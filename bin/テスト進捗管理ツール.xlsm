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250.131.145\ShareDocs\00_案件\10_業務\20_案件管理\00_案件資料\A00921_(法改正)リスク分担型企業年金制度の対応\00_プロジェクト管理\"/>
    </mc:Choice>
  </mc:AlternateContent>
  <bookViews>
    <workbookView xWindow="0" yWindow="0" windowWidth="28800" windowHeight="13545" tabRatio="525" activeTab="1"/>
  </bookViews>
  <sheets>
    <sheet name="ガイド" sheetId="21" r:id="rId1"/>
    <sheet name="日次管理" sheetId="17" r:id="rId2"/>
    <sheet name="予実管理" sheetId="25" r:id="rId3"/>
  </sheets>
  <functionGroups builtInGroupCount="18"/>
  <definedNames>
    <definedName name="_xlnm._FilterDatabase" localSheetId="1" hidden="1">日次管理!$A$3:$Q$34</definedName>
  </definedNames>
  <calcPr calcId="162913"/>
  <customWorkbookViews>
    <customWorkbookView name="仲川 武志 - 個人用ビュー" guid="{C10C481D-786C-49EF-AF5B-F601FFA551BD}" mergeInterval="0" personalView="1" maximized="1" xWindow="-8" yWindow="-8" windowWidth="1936" windowHeight="1096" tabRatio="662" activeSheetId="2"/>
    <customWorkbookView name="Lib管理 - 個人用ビュー" guid="{6842B3AB-F41E-4932-9EBC-CFA0784D336D}" mergeInterval="0" personalView="1" maximized="1" xWindow="-8" yWindow="-8" windowWidth="1296" windowHeight="1000" tabRatio="411" activeSheetId="2"/>
    <customWorkbookView name="趙 見遅 - 個人用ビュー" guid="{7ECDAAC4-34F0-43A8-A4B2-130DA4AD5DD0}" mergeInterval="0" personalView="1" maximized="1" xWindow="-8" yWindow="-8" windowWidth="1936" windowHeight="1056" tabRatio="411" activeSheetId="2"/>
    <customWorkbookView name="王 瑟琳 - 個人用ビュー" guid="{7093C8BF-2EC1-49AC-861D-8EFC794CADA5}" mergeInterval="0" personalView="1" maximized="1" xWindow="-8" yWindow="-8" windowWidth="1936" windowHeight="1096" tabRatio="411" activeSheetId="2"/>
    <customWorkbookView name="DII10303 - 個人用ビュー" guid="{F7C2C936-91B5-4B31-82ED-98507AFD645C}" mergeInterval="0" personalView="1" maximized="1" windowWidth="1282" windowHeight="669" tabRatio="411" activeSheetId="2"/>
    <customWorkbookView name="TMP01729（JMAS西村（内線:3793）） - 個人用ビュー" guid="{95B55486-BD75-4985-9753-024EE2BF93BE}" mergeInterval="0" personalView="1" maximized="1" windowWidth="1362" windowHeight="520" tabRatio="411" activeSheetId="2"/>
    <customWorkbookView name="郭 公羽 - 個人用ビュー" guid="{08FCF471-0DC7-4288-AE6D-786A7B5DF5C3}" mergeInterval="0" personalView="1" maximized="1" xWindow="-8" yWindow="-8" windowWidth="1296" windowHeight="1000" tabRatio="662" activeSheetId="2"/>
    <customWorkbookView name="森山 展成 - 個人用ビュー" guid="{F9AEC056-FB60-47D6-8250-C4CC070C3A06}" mergeInterval="0" personalView="1" maximized="1" xWindow="-8" yWindow="-8" windowWidth="1936" windowHeight="1056" tabRatio="662" activeSheetId="3"/>
    <customWorkbookView name="ルイ 紅建 - 個人用ビュー" guid="{00523DC3-E37D-4462-81FB-00E40301F3BF}" mergeInterval="0" personalView="1" maximized="1" xWindow="-8" yWindow="-8" windowWidth="1296" windowHeight="1000" tabRatio="411" activeSheetId="2"/>
    <customWorkbookView name="DII10183 - 個人用ビュー" guid="{36928E36-9B02-4D5F-96F8-FC0BFDD0E95D}" mergeInterval="0" personalView="1" maximized="1" windowWidth="1302" windowHeight="672" tabRatio="411" activeSheetId="2"/>
    <customWorkbookView name="TMP02439 - 個人用ビュー" guid="{3FE2949A-1B55-45D5-8D70-E4751351BA04}" mergeInterval="0" personalView="1" maximized="1" windowWidth="1676" windowHeight="772" tabRatio="411" activeSheetId="2"/>
    <customWorkbookView name="TMP02403 - 個人用ビュー" guid="{5B824599-7422-4BEF-B6C9-B1346FFE3767}" mergeInterval="0" personalView="1" maximized="1" windowWidth="1676" windowHeight="794" tabRatio="411" activeSheetId="2"/>
    <customWorkbookView name="諏訪 洋一 - 個人用ビュー" guid="{57ADC195-94B3-4E80-ADF4-9DE2EA6E24D4}" mergeInterval="0" personalView="1" maximized="1" xWindow="-8" yWindow="-8" windowWidth="1936" windowHeight="1056" tabRatio="411" activeSheetId="2"/>
    <customWorkbookView name="DII10172 - 個人用ビュー" guid="{8AFB005D-99E7-499E-A120-156A0EDF41A0}" mergeInterval="0" personalView="1" maximized="1" windowWidth="1276" windowHeight="538" tabRatio="411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G29" i="25" l="1"/>
  <c r="CI29" i="25" s="1"/>
  <c r="CG28" i="25"/>
  <c r="CI28" i="25" s="1"/>
  <c r="CG27" i="25"/>
  <c r="CG26" i="25"/>
  <c r="CI26" i="25" s="1"/>
  <c r="CG25" i="25"/>
  <c r="CI25" i="25" s="1"/>
  <c r="CG24" i="25"/>
  <c r="CI24" i="25" s="1"/>
  <c r="CG23" i="25"/>
  <c r="CI23" i="25" s="1"/>
  <c r="CG22" i="25"/>
  <c r="CI22" i="25" s="1"/>
  <c r="CF29" i="25"/>
  <c r="CF28" i="25"/>
  <c r="CF27" i="25"/>
  <c r="CI27" i="25" s="1"/>
  <c r="CF26" i="25"/>
  <c r="CF25" i="25"/>
  <c r="CF24" i="25"/>
  <c r="CF23" i="25"/>
  <c r="CF22" i="25"/>
  <c r="CF30" i="25" s="1"/>
  <c r="CE29" i="25"/>
  <c r="CE28" i="25"/>
  <c r="CE27" i="25"/>
  <c r="CE26" i="25"/>
  <c r="CE25" i="25"/>
  <c r="CE24" i="25"/>
  <c r="CE23" i="25"/>
  <c r="CE22" i="25"/>
  <c r="CE30" i="25" s="1"/>
  <c r="CD29" i="25"/>
  <c r="CD28" i="25"/>
  <c r="CD27" i="25"/>
  <c r="CD26" i="25"/>
  <c r="CD25" i="25"/>
  <c r="CD24" i="25"/>
  <c r="CD23" i="25"/>
  <c r="CD22" i="25"/>
  <c r="CD30" i="25" s="1"/>
  <c r="CC29" i="25"/>
  <c r="CC28" i="25"/>
  <c r="CC27" i="25"/>
  <c r="CC26" i="25"/>
  <c r="CC25" i="25"/>
  <c r="CC24" i="25"/>
  <c r="CC23" i="25"/>
  <c r="CC22" i="25"/>
  <c r="CC30" i="25" s="1"/>
  <c r="CB29" i="25"/>
  <c r="CB28" i="25"/>
  <c r="CB27" i="25"/>
  <c r="CB26" i="25"/>
  <c r="CB25" i="25"/>
  <c r="CB24" i="25"/>
  <c r="CB23" i="25"/>
  <c r="CB22" i="25"/>
  <c r="CB30" i="25" s="1"/>
  <c r="CA29" i="25"/>
  <c r="CA28" i="25"/>
  <c r="CA27" i="25"/>
  <c r="CA26" i="25"/>
  <c r="CA25" i="25"/>
  <c r="CA24" i="25"/>
  <c r="CA23" i="25"/>
  <c r="CA22" i="25"/>
  <c r="CA30" i="25" s="1"/>
  <c r="BZ29" i="25"/>
  <c r="BZ28" i="25"/>
  <c r="BZ27" i="25"/>
  <c r="BZ26" i="25"/>
  <c r="BZ25" i="25"/>
  <c r="BZ24" i="25"/>
  <c r="BZ23" i="25"/>
  <c r="BZ22" i="25"/>
  <c r="BZ30" i="25" s="1"/>
  <c r="BY29" i="25"/>
  <c r="BY28" i="25"/>
  <c r="BY27" i="25"/>
  <c r="BY26" i="25"/>
  <c r="BY25" i="25"/>
  <c r="BY24" i="25"/>
  <c r="BY23" i="25"/>
  <c r="BY22" i="25"/>
  <c r="BY30" i="25" s="1"/>
  <c r="BX29" i="25"/>
  <c r="BX28" i="25"/>
  <c r="BX27" i="25"/>
  <c r="BX26" i="25"/>
  <c r="BX25" i="25"/>
  <c r="BX24" i="25"/>
  <c r="BX23" i="25"/>
  <c r="BX22" i="25"/>
  <c r="BX30" i="25" s="1"/>
  <c r="BW29" i="25"/>
  <c r="BW28" i="25"/>
  <c r="BW27" i="25"/>
  <c r="BW26" i="25"/>
  <c r="BW25" i="25"/>
  <c r="BW24" i="25"/>
  <c r="BW23" i="25"/>
  <c r="BW22" i="25"/>
  <c r="BW30" i="25" s="1"/>
  <c r="BV29" i="25"/>
  <c r="BV28" i="25"/>
  <c r="BV27" i="25"/>
  <c r="BV26" i="25"/>
  <c r="BV25" i="25"/>
  <c r="BV24" i="25"/>
  <c r="BV23" i="25"/>
  <c r="BV22" i="25"/>
  <c r="BV30" i="25" s="1"/>
  <c r="BU29" i="25"/>
  <c r="BU28" i="25"/>
  <c r="BU27" i="25"/>
  <c r="BU26" i="25"/>
  <c r="BU25" i="25"/>
  <c r="BU24" i="25"/>
  <c r="BU23" i="25"/>
  <c r="BU22" i="25"/>
  <c r="BU30" i="25" s="1"/>
  <c r="BT29" i="25"/>
  <c r="BT28" i="25"/>
  <c r="BT27" i="25"/>
  <c r="BT26" i="25"/>
  <c r="BT25" i="25"/>
  <c r="BT24" i="25"/>
  <c r="BT23" i="25"/>
  <c r="BT22" i="25"/>
  <c r="BT30" i="25" s="1"/>
  <c r="BS29" i="25"/>
  <c r="BS28" i="25"/>
  <c r="BS27" i="25"/>
  <c r="BS26" i="25"/>
  <c r="BS25" i="25"/>
  <c r="BS24" i="25"/>
  <c r="BS23" i="25"/>
  <c r="BS22" i="25"/>
  <c r="BS30" i="25" s="1"/>
  <c r="BR29" i="25"/>
  <c r="BR28" i="25"/>
  <c r="BR27" i="25"/>
  <c r="BR26" i="25"/>
  <c r="BR25" i="25"/>
  <c r="BR24" i="25"/>
  <c r="BR23" i="25"/>
  <c r="BR22" i="25"/>
  <c r="BR30" i="25" s="1"/>
  <c r="BQ29" i="25"/>
  <c r="BQ28" i="25"/>
  <c r="BQ27" i="25"/>
  <c r="BQ26" i="25"/>
  <c r="BQ25" i="25"/>
  <c r="BQ24" i="25"/>
  <c r="BQ23" i="25"/>
  <c r="BQ22" i="25"/>
  <c r="BQ30" i="25" s="1"/>
  <c r="BP29" i="25"/>
  <c r="BP28" i="25"/>
  <c r="BP27" i="25"/>
  <c r="BP26" i="25"/>
  <c r="BP25" i="25"/>
  <c r="BP24" i="25"/>
  <c r="BP23" i="25"/>
  <c r="BP22" i="25"/>
  <c r="BP30" i="25" s="1"/>
  <c r="BO29" i="25"/>
  <c r="BO28" i="25"/>
  <c r="BO27" i="25"/>
  <c r="BO26" i="25"/>
  <c r="BO25" i="25"/>
  <c r="BO24" i="25"/>
  <c r="BO23" i="25"/>
  <c r="BO22" i="25"/>
  <c r="BO30" i="25" s="1"/>
  <c r="BN29" i="25"/>
  <c r="BN28" i="25"/>
  <c r="BN27" i="25"/>
  <c r="BN26" i="25"/>
  <c r="BN25" i="25"/>
  <c r="BN24" i="25"/>
  <c r="BN23" i="25"/>
  <c r="BN22" i="25"/>
  <c r="BN30" i="25" s="1"/>
  <c r="BM29" i="25"/>
  <c r="BM28" i="25"/>
  <c r="BM27" i="25"/>
  <c r="BM26" i="25"/>
  <c r="BM25" i="25"/>
  <c r="BM24" i="25"/>
  <c r="BM23" i="25"/>
  <c r="BM22" i="25"/>
  <c r="BM30" i="25" s="1"/>
  <c r="BL29" i="25"/>
  <c r="BL28" i="25"/>
  <c r="BL27" i="25"/>
  <c r="BL26" i="25"/>
  <c r="BL25" i="25"/>
  <c r="BL24" i="25"/>
  <c r="BL23" i="25"/>
  <c r="BL22" i="25"/>
  <c r="BL30" i="25" s="1"/>
  <c r="BK29" i="25"/>
  <c r="BK28" i="25"/>
  <c r="BK27" i="25"/>
  <c r="BK26" i="25"/>
  <c r="BK25" i="25"/>
  <c r="BK24" i="25"/>
  <c r="BK23" i="25"/>
  <c r="BK22" i="25"/>
  <c r="BK30" i="25" s="1"/>
  <c r="BJ29" i="25"/>
  <c r="BJ28" i="25"/>
  <c r="BJ27" i="25"/>
  <c r="BJ26" i="25"/>
  <c r="BJ25" i="25"/>
  <c r="BJ24" i="25"/>
  <c r="BJ23" i="25"/>
  <c r="BJ22" i="25"/>
  <c r="BJ30" i="25" s="1"/>
  <c r="BI29" i="25"/>
  <c r="BI28" i="25"/>
  <c r="BI27" i="25"/>
  <c r="BI26" i="25"/>
  <c r="BI25" i="25"/>
  <c r="BI24" i="25"/>
  <c r="BI23" i="25"/>
  <c r="BI22" i="25"/>
  <c r="BI30" i="25" s="1"/>
  <c r="BH29" i="25"/>
  <c r="BH28" i="25"/>
  <c r="BH27" i="25"/>
  <c r="BH26" i="25"/>
  <c r="BH25" i="25"/>
  <c r="BH24" i="25"/>
  <c r="BH23" i="25"/>
  <c r="BH22" i="25"/>
  <c r="BH30" i="25" s="1"/>
  <c r="BG29" i="25"/>
  <c r="BG28" i="25"/>
  <c r="BG27" i="25"/>
  <c r="BG26" i="25"/>
  <c r="BG25" i="25"/>
  <c r="BG24" i="25"/>
  <c r="BG23" i="25"/>
  <c r="BG22" i="25"/>
  <c r="BG30" i="25" s="1"/>
  <c r="BF29" i="25"/>
  <c r="BF28" i="25"/>
  <c r="BF27" i="25"/>
  <c r="BF26" i="25"/>
  <c r="BF25" i="25"/>
  <c r="BF24" i="25"/>
  <c r="BF23" i="25"/>
  <c r="BF22" i="25"/>
  <c r="BF30" i="25" s="1"/>
  <c r="BE29" i="25"/>
  <c r="BE28" i="25"/>
  <c r="BE27" i="25"/>
  <c r="BE26" i="25"/>
  <c r="BE25" i="25"/>
  <c r="BE24" i="25"/>
  <c r="BE23" i="25"/>
  <c r="BE22" i="25"/>
  <c r="BE30" i="25" s="1"/>
  <c r="BD29" i="25"/>
  <c r="BD28" i="25"/>
  <c r="BD27" i="25"/>
  <c r="BD26" i="25"/>
  <c r="BD25" i="25"/>
  <c r="BD24" i="25"/>
  <c r="BD23" i="25"/>
  <c r="BD22" i="25"/>
  <c r="BD30" i="25" s="1"/>
  <c r="BC29" i="25"/>
  <c r="BC28" i="25"/>
  <c r="BC27" i="25"/>
  <c r="BC26" i="25"/>
  <c r="BC25" i="25"/>
  <c r="BC24" i="25"/>
  <c r="BC23" i="25"/>
  <c r="BC22" i="25"/>
  <c r="BC30" i="25" s="1"/>
  <c r="BB29" i="25"/>
  <c r="BB28" i="25"/>
  <c r="BB27" i="25"/>
  <c r="BB26" i="25"/>
  <c r="BB25" i="25"/>
  <c r="BB24" i="25"/>
  <c r="BB23" i="25"/>
  <c r="BB22" i="25"/>
  <c r="BB30" i="25" s="1"/>
  <c r="BA29" i="25"/>
  <c r="BA28" i="25"/>
  <c r="BA27" i="25"/>
  <c r="BA26" i="25"/>
  <c r="BA25" i="25"/>
  <c r="BA24" i="25"/>
  <c r="BA23" i="25"/>
  <c r="BA22" i="25"/>
  <c r="BA30" i="25" s="1"/>
  <c r="AZ29" i="25"/>
  <c r="AZ28" i="25"/>
  <c r="AZ27" i="25"/>
  <c r="AZ26" i="25"/>
  <c r="AZ25" i="25"/>
  <c r="AZ24" i="25"/>
  <c r="AZ23" i="25"/>
  <c r="AZ22" i="25"/>
  <c r="AZ30" i="25" s="1"/>
  <c r="AY29" i="25"/>
  <c r="AY28" i="25"/>
  <c r="AY27" i="25"/>
  <c r="AY26" i="25"/>
  <c r="AY25" i="25"/>
  <c r="AY24" i="25"/>
  <c r="AY23" i="25"/>
  <c r="AY22" i="25"/>
  <c r="AY30" i="25" s="1"/>
  <c r="AX29" i="25"/>
  <c r="AX28" i="25"/>
  <c r="AX27" i="25"/>
  <c r="AX26" i="25"/>
  <c r="AX25" i="25"/>
  <c r="AX24" i="25"/>
  <c r="AX23" i="25"/>
  <c r="AX22" i="25"/>
  <c r="AX30" i="25" s="1"/>
  <c r="AW29" i="25"/>
  <c r="AW28" i="25"/>
  <c r="AW27" i="25"/>
  <c r="AW26" i="25"/>
  <c r="AW25" i="25"/>
  <c r="AW24" i="25"/>
  <c r="AW23" i="25"/>
  <c r="AW22" i="25"/>
  <c r="AW30" i="25" s="1"/>
  <c r="AV29" i="25"/>
  <c r="AV28" i="25"/>
  <c r="AV27" i="25"/>
  <c r="AV26" i="25"/>
  <c r="AV25" i="25"/>
  <c r="AV24" i="25"/>
  <c r="AV23" i="25"/>
  <c r="AV22" i="25"/>
  <c r="AV30" i="25" s="1"/>
  <c r="AU29" i="25"/>
  <c r="AU28" i="25"/>
  <c r="AU27" i="25"/>
  <c r="AU26" i="25"/>
  <c r="AU25" i="25"/>
  <c r="AU24" i="25"/>
  <c r="AU23" i="25"/>
  <c r="AU22" i="25"/>
  <c r="AU30" i="25" s="1"/>
  <c r="AT29" i="25"/>
  <c r="AT28" i="25"/>
  <c r="AT27" i="25"/>
  <c r="AT26" i="25"/>
  <c r="AT25" i="25"/>
  <c r="AT24" i="25"/>
  <c r="AT23" i="25"/>
  <c r="AT22" i="25"/>
  <c r="AT30" i="25" s="1"/>
  <c r="AS29" i="25"/>
  <c r="AS28" i="25"/>
  <c r="AS27" i="25"/>
  <c r="AS26" i="25"/>
  <c r="AS25" i="25"/>
  <c r="AS24" i="25"/>
  <c r="AS23" i="25"/>
  <c r="AS22" i="25"/>
  <c r="AS30" i="25" s="1"/>
  <c r="AR29" i="25"/>
  <c r="AR28" i="25"/>
  <c r="AR27" i="25"/>
  <c r="AR26" i="25"/>
  <c r="AR25" i="25"/>
  <c r="AR24" i="25"/>
  <c r="AR23" i="25"/>
  <c r="AR22" i="25"/>
  <c r="AR30" i="25" s="1"/>
  <c r="AQ29" i="25"/>
  <c r="AQ28" i="25"/>
  <c r="AQ27" i="25"/>
  <c r="AQ26" i="25"/>
  <c r="AQ25" i="25"/>
  <c r="AQ24" i="25"/>
  <c r="AQ23" i="25"/>
  <c r="AQ22" i="25"/>
  <c r="AQ30" i="25" s="1"/>
  <c r="AP29" i="25"/>
  <c r="AP28" i="25"/>
  <c r="AP27" i="25"/>
  <c r="AP26" i="25"/>
  <c r="AP25" i="25"/>
  <c r="AP24" i="25"/>
  <c r="AP23" i="25"/>
  <c r="AP22" i="25"/>
  <c r="AP30" i="25" s="1"/>
  <c r="AO29" i="25"/>
  <c r="AO28" i="25"/>
  <c r="AO27" i="25"/>
  <c r="AO26" i="25"/>
  <c r="AO25" i="25"/>
  <c r="AO24" i="25"/>
  <c r="AO23" i="25"/>
  <c r="AO22" i="25"/>
  <c r="AO30" i="25" s="1"/>
  <c r="AN29" i="25"/>
  <c r="AN28" i="25"/>
  <c r="AN27" i="25"/>
  <c r="AN26" i="25"/>
  <c r="AN25" i="25"/>
  <c r="AN24" i="25"/>
  <c r="AN23" i="25"/>
  <c r="AN22" i="25"/>
  <c r="AN30" i="25" s="1"/>
  <c r="AM29" i="25"/>
  <c r="AM28" i="25"/>
  <c r="AM27" i="25"/>
  <c r="AM26" i="25"/>
  <c r="AM25" i="25"/>
  <c r="AM24" i="25"/>
  <c r="AM23" i="25"/>
  <c r="AM22" i="25"/>
  <c r="AM30" i="25" s="1"/>
  <c r="AL29" i="25"/>
  <c r="AL28" i="25"/>
  <c r="AL27" i="25"/>
  <c r="AL26" i="25"/>
  <c r="AL25" i="25"/>
  <c r="AL24" i="25"/>
  <c r="AL23" i="25"/>
  <c r="AL22" i="25"/>
  <c r="AL30" i="25" s="1"/>
  <c r="AK29" i="25"/>
  <c r="AK28" i="25"/>
  <c r="AK27" i="25"/>
  <c r="AK26" i="25"/>
  <c r="AK25" i="25"/>
  <c r="AK24" i="25"/>
  <c r="AK23" i="25"/>
  <c r="AK22" i="25"/>
  <c r="AK30" i="25" s="1"/>
  <c r="AJ29" i="25"/>
  <c r="AJ28" i="25"/>
  <c r="AJ27" i="25"/>
  <c r="AJ26" i="25"/>
  <c r="AJ25" i="25"/>
  <c r="AJ24" i="25"/>
  <c r="AJ23" i="25"/>
  <c r="AJ22" i="25"/>
  <c r="AJ30" i="25" s="1"/>
  <c r="AI29" i="25"/>
  <c r="AI28" i="25"/>
  <c r="AI27" i="25"/>
  <c r="AI26" i="25"/>
  <c r="AI25" i="25"/>
  <c r="AI24" i="25"/>
  <c r="AI23" i="25"/>
  <c r="AI22" i="25"/>
  <c r="AI30" i="25" s="1"/>
  <c r="AH29" i="25"/>
  <c r="AH28" i="25"/>
  <c r="AH27" i="25"/>
  <c r="AH26" i="25"/>
  <c r="AH25" i="25"/>
  <c r="AH24" i="25"/>
  <c r="AH23" i="25"/>
  <c r="AH22" i="25"/>
  <c r="AH30" i="25" s="1"/>
  <c r="AG29" i="25"/>
  <c r="AG28" i="25"/>
  <c r="AG27" i="25"/>
  <c r="AG26" i="25"/>
  <c r="AG25" i="25"/>
  <c r="AG24" i="25"/>
  <c r="AG23" i="25"/>
  <c r="AG22" i="25"/>
  <c r="AG30" i="25" s="1"/>
  <c r="AF29" i="25"/>
  <c r="AF28" i="25"/>
  <c r="AF27" i="25"/>
  <c r="AF26" i="25"/>
  <c r="AF25" i="25"/>
  <c r="AF24" i="25"/>
  <c r="AF23" i="25"/>
  <c r="AF22" i="25"/>
  <c r="AF30" i="25" s="1"/>
  <c r="AE29" i="25"/>
  <c r="AE28" i="25"/>
  <c r="AE27" i="25"/>
  <c r="AE26" i="25"/>
  <c r="AE25" i="25"/>
  <c r="AE24" i="25"/>
  <c r="AE23" i="25"/>
  <c r="AE22" i="25"/>
  <c r="AE30" i="25" s="1"/>
  <c r="AD29" i="25"/>
  <c r="AD28" i="25"/>
  <c r="AD27" i="25"/>
  <c r="AD26" i="25"/>
  <c r="AD25" i="25"/>
  <c r="AD24" i="25"/>
  <c r="AD23" i="25"/>
  <c r="AD22" i="25"/>
  <c r="AD30" i="25" s="1"/>
  <c r="AC29" i="25"/>
  <c r="AC28" i="25"/>
  <c r="AC27" i="25"/>
  <c r="AC26" i="25"/>
  <c r="AC25" i="25"/>
  <c r="AC24" i="25"/>
  <c r="AC23" i="25"/>
  <c r="AC22" i="25"/>
  <c r="AC30" i="25" s="1"/>
  <c r="AB29" i="25"/>
  <c r="AB28" i="25"/>
  <c r="AB27" i="25"/>
  <c r="AB26" i="25"/>
  <c r="AB25" i="25"/>
  <c r="AB24" i="25"/>
  <c r="AB23" i="25"/>
  <c r="AB22" i="25"/>
  <c r="AB30" i="25" s="1"/>
  <c r="AA29" i="25"/>
  <c r="AA28" i="25"/>
  <c r="AA27" i="25"/>
  <c r="AA26" i="25"/>
  <c r="AA25" i="25"/>
  <c r="AA24" i="25"/>
  <c r="AA23" i="25"/>
  <c r="AA22" i="25"/>
  <c r="AA30" i="25" s="1"/>
  <c r="Z29" i="25"/>
  <c r="Z28" i="25"/>
  <c r="Z27" i="25"/>
  <c r="Z26" i="25"/>
  <c r="Z25" i="25"/>
  <c r="Z24" i="25"/>
  <c r="Z23" i="25"/>
  <c r="Z22" i="25"/>
  <c r="Z30" i="25" s="1"/>
  <c r="Y29" i="25"/>
  <c r="Y28" i="25"/>
  <c r="Y27" i="25"/>
  <c r="Y26" i="25"/>
  <c r="Y25" i="25"/>
  <c r="Y24" i="25"/>
  <c r="Y23" i="25"/>
  <c r="Y22" i="25"/>
  <c r="Y30" i="25" s="1"/>
  <c r="X29" i="25"/>
  <c r="X28" i="25"/>
  <c r="X27" i="25"/>
  <c r="X26" i="25"/>
  <c r="X25" i="25"/>
  <c r="X24" i="25"/>
  <c r="X23" i="25"/>
  <c r="X22" i="25"/>
  <c r="X30" i="25" s="1"/>
  <c r="W29" i="25"/>
  <c r="W28" i="25"/>
  <c r="W27" i="25"/>
  <c r="W26" i="25"/>
  <c r="W25" i="25"/>
  <c r="W24" i="25"/>
  <c r="W23" i="25"/>
  <c r="W22" i="25"/>
  <c r="W30" i="25" s="1"/>
  <c r="V29" i="25"/>
  <c r="V28" i="25"/>
  <c r="V27" i="25"/>
  <c r="V26" i="25"/>
  <c r="V25" i="25"/>
  <c r="V24" i="25"/>
  <c r="V23" i="25"/>
  <c r="V22" i="25"/>
  <c r="V30" i="25" s="1"/>
  <c r="U29" i="25"/>
  <c r="U28" i="25"/>
  <c r="U27" i="25"/>
  <c r="U26" i="25"/>
  <c r="U25" i="25"/>
  <c r="U24" i="25"/>
  <c r="U23" i="25"/>
  <c r="U22" i="25"/>
  <c r="U30" i="25" s="1"/>
  <c r="T29" i="25"/>
  <c r="T28" i="25"/>
  <c r="T27" i="25"/>
  <c r="T26" i="25"/>
  <c r="T25" i="25"/>
  <c r="T24" i="25"/>
  <c r="T23" i="25"/>
  <c r="T22" i="25"/>
  <c r="T30" i="25" s="1"/>
  <c r="S29" i="25"/>
  <c r="S28" i="25"/>
  <c r="S27" i="25"/>
  <c r="S26" i="25"/>
  <c r="S25" i="25"/>
  <c r="S24" i="25"/>
  <c r="S23" i="25"/>
  <c r="S22" i="25"/>
  <c r="S30" i="25" s="1"/>
  <c r="R29" i="25"/>
  <c r="R28" i="25"/>
  <c r="R27" i="25"/>
  <c r="R26" i="25"/>
  <c r="R25" i="25"/>
  <c r="R24" i="25"/>
  <c r="R23" i="25"/>
  <c r="R22" i="25"/>
  <c r="R30" i="25" s="1"/>
  <c r="Q29" i="25"/>
  <c r="Q28" i="25"/>
  <c r="Q27" i="25"/>
  <c r="Q26" i="25"/>
  <c r="Q25" i="25"/>
  <c r="Q24" i="25"/>
  <c r="Q23" i="25"/>
  <c r="Q22" i="25"/>
  <c r="Q30" i="25" s="1"/>
  <c r="P29" i="25"/>
  <c r="P28" i="25"/>
  <c r="P27" i="25"/>
  <c r="P26" i="25"/>
  <c r="P25" i="25"/>
  <c r="P24" i="25"/>
  <c r="P23" i="25"/>
  <c r="P22" i="25"/>
  <c r="P30" i="25" s="1"/>
  <c r="O29" i="25"/>
  <c r="O28" i="25"/>
  <c r="O27" i="25"/>
  <c r="O26" i="25"/>
  <c r="O25" i="25"/>
  <c r="O24" i="25"/>
  <c r="O23" i="25"/>
  <c r="O22" i="25"/>
  <c r="O30" i="25" s="1"/>
  <c r="N29" i="25"/>
  <c r="N28" i="25"/>
  <c r="N27" i="25"/>
  <c r="N26" i="25"/>
  <c r="N25" i="25"/>
  <c r="N24" i="25"/>
  <c r="N23" i="25"/>
  <c r="N22" i="25"/>
  <c r="N30" i="25" s="1"/>
  <c r="M29" i="25"/>
  <c r="M28" i="25"/>
  <c r="M27" i="25"/>
  <c r="M26" i="25"/>
  <c r="M25" i="25"/>
  <c r="M24" i="25"/>
  <c r="M23" i="25"/>
  <c r="M22" i="25"/>
  <c r="M30" i="25" s="1"/>
  <c r="L29" i="25"/>
  <c r="L28" i="25"/>
  <c r="L27" i="25"/>
  <c r="L26" i="25"/>
  <c r="L25" i="25"/>
  <c r="L24" i="25"/>
  <c r="L23" i="25"/>
  <c r="L22" i="25"/>
  <c r="L30" i="25" s="1"/>
  <c r="K29" i="25"/>
  <c r="K28" i="25"/>
  <c r="K27" i="25"/>
  <c r="K26" i="25"/>
  <c r="K25" i="25"/>
  <c r="K24" i="25"/>
  <c r="K23" i="25"/>
  <c r="K22" i="25"/>
  <c r="K30" i="25" s="1"/>
  <c r="J29" i="25"/>
  <c r="J28" i="25"/>
  <c r="J27" i="25"/>
  <c r="J26" i="25"/>
  <c r="J25" i="25"/>
  <c r="J24" i="25"/>
  <c r="J23" i="25"/>
  <c r="J22" i="25"/>
  <c r="J30" i="25" s="1"/>
  <c r="I29" i="25"/>
  <c r="I28" i="25"/>
  <c r="I27" i="25"/>
  <c r="I26" i="25"/>
  <c r="I25" i="25"/>
  <c r="I24" i="25"/>
  <c r="I23" i="25"/>
  <c r="I22" i="25"/>
  <c r="I30" i="25" s="1"/>
  <c r="H29" i="25"/>
  <c r="H28" i="25"/>
  <c r="H27" i="25"/>
  <c r="H26" i="25"/>
  <c r="H25" i="25"/>
  <c r="H24" i="25"/>
  <c r="H23" i="25"/>
  <c r="H22" i="25"/>
  <c r="H30" i="25" s="1"/>
  <c r="G29" i="25"/>
  <c r="G28" i="25"/>
  <c r="G27" i="25"/>
  <c r="G26" i="25"/>
  <c r="G25" i="25"/>
  <c r="G24" i="25"/>
  <c r="G23" i="25"/>
  <c r="G22" i="25"/>
  <c r="G30" i="25" s="1"/>
  <c r="F29" i="25"/>
  <c r="F28" i="25"/>
  <c r="F27" i="25"/>
  <c r="F26" i="25"/>
  <c r="F25" i="25"/>
  <c r="F24" i="25"/>
  <c r="F23" i="25"/>
  <c r="F22" i="25"/>
  <c r="F30" i="25" s="1"/>
  <c r="E29" i="25"/>
  <c r="E28" i="25"/>
  <c r="E27" i="25"/>
  <c r="E26" i="25"/>
  <c r="E25" i="25"/>
  <c r="E24" i="25"/>
  <c r="E23" i="25"/>
  <c r="E22" i="25"/>
  <c r="E30" i="25" s="1"/>
  <c r="D29" i="25"/>
  <c r="D28" i="25"/>
  <c r="D27" i="25"/>
  <c r="D26" i="25"/>
  <c r="D25" i="25"/>
  <c r="D24" i="25"/>
  <c r="D23" i="25"/>
  <c r="D22" i="25"/>
  <c r="D30" i="25" s="1"/>
  <c r="C29" i="25"/>
  <c r="C28" i="25"/>
  <c r="C27" i="25"/>
  <c r="C26" i="25"/>
  <c r="C25" i="25"/>
  <c r="C24" i="25"/>
  <c r="C23" i="25"/>
  <c r="C22" i="25"/>
  <c r="C30" i="25" s="1"/>
  <c r="B29" i="25"/>
  <c r="B28" i="25"/>
  <c r="B27" i="25"/>
  <c r="B26" i="25"/>
  <c r="B25" i="25"/>
  <c r="B24" i="25"/>
  <c r="B23" i="25"/>
  <c r="B22" i="25"/>
  <c r="B30" i="25" s="1"/>
  <c r="A20" i="25"/>
  <c r="CG15" i="25"/>
  <c r="CI15" i="25" s="1"/>
  <c r="CG14" i="25"/>
  <c r="CI14" i="25" s="1"/>
  <c r="CG13" i="25"/>
  <c r="CI13" i="25" s="1"/>
  <c r="CG12" i="25"/>
  <c r="CI12" i="25" s="1"/>
  <c r="CG11" i="25"/>
  <c r="CI11" i="25" s="1"/>
  <c r="CG10" i="25"/>
  <c r="CI10" i="25" s="1"/>
  <c r="CG9" i="25"/>
  <c r="CI9" i="25" s="1"/>
  <c r="CG8" i="25"/>
  <c r="CI8" i="25" s="1"/>
  <c r="CG7" i="25"/>
  <c r="CI7" i="25" s="1"/>
  <c r="CG6" i="25"/>
  <c r="CI6" i="25" s="1"/>
  <c r="CG5" i="25"/>
  <c r="CI5" i="25" s="1"/>
  <c r="CF15" i="25"/>
  <c r="CF14" i="25"/>
  <c r="CF13" i="25"/>
  <c r="CF12" i="25"/>
  <c r="CF11" i="25"/>
  <c r="CF10" i="25"/>
  <c r="CF9" i="25"/>
  <c r="CF8" i="25"/>
  <c r="CF7" i="25"/>
  <c r="CF6" i="25"/>
  <c r="CF5" i="25"/>
  <c r="CF16" i="25" s="1"/>
  <c r="CE15" i="25"/>
  <c r="CE14" i="25"/>
  <c r="CE13" i="25"/>
  <c r="CE12" i="25"/>
  <c r="CE11" i="25"/>
  <c r="CE10" i="25"/>
  <c r="CE9" i="25"/>
  <c r="CE8" i="25"/>
  <c r="CE7" i="25"/>
  <c r="CE6" i="25"/>
  <c r="CE5" i="25"/>
  <c r="CE16" i="25" s="1"/>
  <c r="CD15" i="25"/>
  <c r="CD14" i="25"/>
  <c r="CD13" i="25"/>
  <c r="CD12" i="25"/>
  <c r="CD11" i="25"/>
  <c r="CD10" i="25"/>
  <c r="CD9" i="25"/>
  <c r="CD8" i="25"/>
  <c r="CD7" i="25"/>
  <c r="CD6" i="25"/>
  <c r="CD5" i="25"/>
  <c r="CD16" i="25" s="1"/>
  <c r="CC15" i="25"/>
  <c r="CC14" i="25"/>
  <c r="CC13" i="25"/>
  <c r="CC12" i="25"/>
  <c r="CC11" i="25"/>
  <c r="CC10" i="25"/>
  <c r="CC9" i="25"/>
  <c r="CC8" i="25"/>
  <c r="CC7" i="25"/>
  <c r="CC6" i="25"/>
  <c r="CC5" i="25"/>
  <c r="CC16" i="25" s="1"/>
  <c r="CB15" i="25"/>
  <c r="CB14" i="25"/>
  <c r="CB13" i="25"/>
  <c r="CB12" i="25"/>
  <c r="CB11" i="25"/>
  <c r="CB10" i="25"/>
  <c r="CB9" i="25"/>
  <c r="CB8" i="25"/>
  <c r="CB7" i="25"/>
  <c r="CB6" i="25"/>
  <c r="CB5" i="25"/>
  <c r="CB16" i="25" s="1"/>
  <c r="CA15" i="25"/>
  <c r="CA14" i="25"/>
  <c r="CA13" i="25"/>
  <c r="CA12" i="25"/>
  <c r="CA11" i="25"/>
  <c r="CA10" i="25"/>
  <c r="CA9" i="25"/>
  <c r="CA8" i="25"/>
  <c r="CA7" i="25"/>
  <c r="CA6" i="25"/>
  <c r="CA5" i="25"/>
  <c r="CA16" i="25" s="1"/>
  <c r="BZ15" i="25"/>
  <c r="BZ14" i="25"/>
  <c r="BZ13" i="25"/>
  <c r="BZ12" i="25"/>
  <c r="BZ11" i="25"/>
  <c r="BZ10" i="25"/>
  <c r="BZ9" i="25"/>
  <c r="BZ8" i="25"/>
  <c r="BZ7" i="25"/>
  <c r="BZ6" i="25"/>
  <c r="BZ5" i="25"/>
  <c r="BZ16" i="25" s="1"/>
  <c r="BY15" i="25"/>
  <c r="BY14" i="25"/>
  <c r="BY13" i="25"/>
  <c r="BY12" i="25"/>
  <c r="BY11" i="25"/>
  <c r="BY10" i="25"/>
  <c r="BY9" i="25"/>
  <c r="BY8" i="25"/>
  <c r="BY7" i="25"/>
  <c r="BY6" i="25"/>
  <c r="BY5" i="25"/>
  <c r="BY16" i="25" s="1"/>
  <c r="BX15" i="25"/>
  <c r="BX14" i="25"/>
  <c r="BX13" i="25"/>
  <c r="BX12" i="25"/>
  <c r="BX11" i="25"/>
  <c r="BX10" i="25"/>
  <c r="BX9" i="25"/>
  <c r="BX8" i="25"/>
  <c r="BX7" i="25"/>
  <c r="BX6" i="25"/>
  <c r="BX5" i="25"/>
  <c r="BX16" i="25" s="1"/>
  <c r="BW15" i="25"/>
  <c r="BW14" i="25"/>
  <c r="BW13" i="25"/>
  <c r="BW12" i="25"/>
  <c r="BW11" i="25"/>
  <c r="BW10" i="25"/>
  <c r="BW9" i="25"/>
  <c r="BW8" i="25"/>
  <c r="BW7" i="25"/>
  <c r="BW6" i="25"/>
  <c r="BW5" i="25"/>
  <c r="BW16" i="25" s="1"/>
  <c r="BV15" i="25"/>
  <c r="BV14" i="25"/>
  <c r="BV13" i="25"/>
  <c r="BV12" i="25"/>
  <c r="BV11" i="25"/>
  <c r="BV10" i="25"/>
  <c r="BV9" i="25"/>
  <c r="BV8" i="25"/>
  <c r="BV7" i="25"/>
  <c r="BV6" i="25"/>
  <c r="BV5" i="25"/>
  <c r="BV16" i="25" s="1"/>
  <c r="BU15" i="25"/>
  <c r="BU14" i="25"/>
  <c r="BU13" i="25"/>
  <c r="BU12" i="25"/>
  <c r="BU11" i="25"/>
  <c r="BU10" i="25"/>
  <c r="BU9" i="25"/>
  <c r="BU8" i="25"/>
  <c r="BU7" i="25"/>
  <c r="BU6" i="25"/>
  <c r="BU5" i="25"/>
  <c r="BU16" i="25" s="1"/>
  <c r="BT15" i="25"/>
  <c r="BT14" i="25"/>
  <c r="BT13" i="25"/>
  <c r="BT12" i="25"/>
  <c r="BT11" i="25"/>
  <c r="BT10" i="25"/>
  <c r="BT9" i="25"/>
  <c r="BT8" i="25"/>
  <c r="BT7" i="25"/>
  <c r="BT6" i="25"/>
  <c r="BT5" i="25"/>
  <c r="BT16" i="25" s="1"/>
  <c r="BS15" i="25"/>
  <c r="BS14" i="25"/>
  <c r="BS13" i="25"/>
  <c r="BS12" i="25"/>
  <c r="BS11" i="25"/>
  <c r="BS10" i="25"/>
  <c r="BS9" i="25"/>
  <c r="BS8" i="25"/>
  <c r="BS7" i="25"/>
  <c r="BS6" i="25"/>
  <c r="BS5" i="25"/>
  <c r="BS16" i="25" s="1"/>
  <c r="BR15" i="25"/>
  <c r="BR14" i="25"/>
  <c r="BR13" i="25"/>
  <c r="BR12" i="25"/>
  <c r="BR11" i="25"/>
  <c r="BR10" i="25"/>
  <c r="BR9" i="25"/>
  <c r="BR8" i="25"/>
  <c r="BR7" i="25"/>
  <c r="BR6" i="25"/>
  <c r="BR5" i="25"/>
  <c r="BR16" i="25" s="1"/>
  <c r="BQ15" i="25"/>
  <c r="BQ14" i="25"/>
  <c r="BQ13" i="25"/>
  <c r="BQ12" i="25"/>
  <c r="BQ11" i="25"/>
  <c r="BQ10" i="25"/>
  <c r="BQ9" i="25"/>
  <c r="BQ8" i="25"/>
  <c r="BQ7" i="25"/>
  <c r="BQ6" i="25"/>
  <c r="BQ5" i="25"/>
  <c r="BQ16" i="25" s="1"/>
  <c r="BP15" i="25"/>
  <c r="BP14" i="25"/>
  <c r="BP13" i="25"/>
  <c r="BP12" i="25"/>
  <c r="BP11" i="25"/>
  <c r="BP10" i="25"/>
  <c r="BP9" i="25"/>
  <c r="BP8" i="25"/>
  <c r="BP7" i="25"/>
  <c r="BP6" i="25"/>
  <c r="BP5" i="25"/>
  <c r="BP16" i="25" s="1"/>
  <c r="BO15" i="25"/>
  <c r="BO14" i="25"/>
  <c r="BO13" i="25"/>
  <c r="BO12" i="25"/>
  <c r="BO11" i="25"/>
  <c r="BO10" i="25"/>
  <c r="BO9" i="25"/>
  <c r="BO8" i="25"/>
  <c r="BO7" i="25"/>
  <c r="BO6" i="25"/>
  <c r="BO5" i="25"/>
  <c r="BO16" i="25" s="1"/>
  <c r="BN15" i="25"/>
  <c r="BN14" i="25"/>
  <c r="BN13" i="25"/>
  <c r="BN12" i="25"/>
  <c r="BN11" i="25"/>
  <c r="BN10" i="25"/>
  <c r="BN9" i="25"/>
  <c r="BN8" i="25"/>
  <c r="BN7" i="25"/>
  <c r="BN6" i="25"/>
  <c r="BN5" i="25"/>
  <c r="BN16" i="25" s="1"/>
  <c r="BM15" i="25"/>
  <c r="BM14" i="25"/>
  <c r="BM13" i="25"/>
  <c r="BM12" i="25"/>
  <c r="BM11" i="25"/>
  <c r="BM10" i="25"/>
  <c r="BM9" i="25"/>
  <c r="BM8" i="25"/>
  <c r="BM7" i="25"/>
  <c r="BM6" i="25"/>
  <c r="BM5" i="25"/>
  <c r="BM16" i="25" s="1"/>
  <c r="BL15" i="25"/>
  <c r="BL14" i="25"/>
  <c r="BL13" i="25"/>
  <c r="BL12" i="25"/>
  <c r="BL11" i="25"/>
  <c r="BL10" i="25"/>
  <c r="BL9" i="25"/>
  <c r="BL8" i="25"/>
  <c r="BL7" i="25"/>
  <c r="BL6" i="25"/>
  <c r="BL5" i="25"/>
  <c r="BL16" i="25" s="1"/>
  <c r="BK15" i="25"/>
  <c r="BK14" i="25"/>
  <c r="BK13" i="25"/>
  <c r="BK12" i="25"/>
  <c r="BK11" i="25"/>
  <c r="BK10" i="25"/>
  <c r="BK9" i="25"/>
  <c r="BK8" i="25"/>
  <c r="BK7" i="25"/>
  <c r="BK6" i="25"/>
  <c r="BK5" i="25"/>
  <c r="BK16" i="25" s="1"/>
  <c r="BJ15" i="25"/>
  <c r="BJ14" i="25"/>
  <c r="BJ13" i="25"/>
  <c r="BJ12" i="25"/>
  <c r="BJ11" i="25"/>
  <c r="BJ10" i="25"/>
  <c r="BJ9" i="25"/>
  <c r="BJ8" i="25"/>
  <c r="BJ7" i="25"/>
  <c r="BJ6" i="25"/>
  <c r="BJ5" i="25"/>
  <c r="BJ16" i="25" s="1"/>
  <c r="BI15" i="25"/>
  <c r="BI14" i="25"/>
  <c r="BI13" i="25"/>
  <c r="BI12" i="25"/>
  <c r="BI11" i="25"/>
  <c r="BI10" i="25"/>
  <c r="BI9" i="25"/>
  <c r="BI8" i="25"/>
  <c r="BI7" i="25"/>
  <c r="BI6" i="25"/>
  <c r="BI5" i="25"/>
  <c r="BI16" i="25" s="1"/>
  <c r="BH15" i="25"/>
  <c r="BH14" i="25"/>
  <c r="BH13" i="25"/>
  <c r="BH12" i="25"/>
  <c r="BH11" i="25"/>
  <c r="BH10" i="25"/>
  <c r="BH9" i="25"/>
  <c r="BH8" i="25"/>
  <c r="BH7" i="25"/>
  <c r="BH6" i="25"/>
  <c r="BH5" i="25"/>
  <c r="BH16" i="25" s="1"/>
  <c r="BG15" i="25"/>
  <c r="BG14" i="25"/>
  <c r="BG13" i="25"/>
  <c r="BG12" i="25"/>
  <c r="BG11" i="25"/>
  <c r="BG10" i="25"/>
  <c r="BG9" i="25"/>
  <c r="BG8" i="25"/>
  <c r="BG7" i="25"/>
  <c r="BG6" i="25"/>
  <c r="BG5" i="25"/>
  <c r="BG16" i="25" s="1"/>
  <c r="BF15" i="25"/>
  <c r="BF14" i="25"/>
  <c r="BF13" i="25"/>
  <c r="BF12" i="25"/>
  <c r="BF11" i="25"/>
  <c r="BF10" i="25"/>
  <c r="BF9" i="25"/>
  <c r="BF8" i="25"/>
  <c r="BF7" i="25"/>
  <c r="BF6" i="25"/>
  <c r="BF5" i="25"/>
  <c r="BF16" i="25" s="1"/>
  <c r="BE15" i="25"/>
  <c r="BE14" i="25"/>
  <c r="BE13" i="25"/>
  <c r="BE12" i="25"/>
  <c r="BE11" i="25"/>
  <c r="BE10" i="25"/>
  <c r="BE9" i="25"/>
  <c r="BE8" i="25"/>
  <c r="BE7" i="25"/>
  <c r="BE6" i="25"/>
  <c r="BE5" i="25"/>
  <c r="BE16" i="25" s="1"/>
  <c r="BD15" i="25"/>
  <c r="BD14" i="25"/>
  <c r="BD13" i="25"/>
  <c r="BD12" i="25"/>
  <c r="BD11" i="25"/>
  <c r="BD10" i="25"/>
  <c r="BD9" i="25"/>
  <c r="BD8" i="25"/>
  <c r="BD7" i="25"/>
  <c r="BD6" i="25"/>
  <c r="BD5" i="25"/>
  <c r="BD16" i="25" s="1"/>
  <c r="BC15" i="25"/>
  <c r="BC14" i="25"/>
  <c r="BC13" i="25"/>
  <c r="BC12" i="25"/>
  <c r="BC11" i="25"/>
  <c r="BC10" i="25"/>
  <c r="BC9" i="25"/>
  <c r="BC8" i="25"/>
  <c r="BC7" i="25"/>
  <c r="BC6" i="25"/>
  <c r="BC5" i="25"/>
  <c r="BC16" i="25" s="1"/>
  <c r="BB15" i="25"/>
  <c r="BB14" i="25"/>
  <c r="BB13" i="25"/>
  <c r="BB12" i="25"/>
  <c r="BB11" i="25"/>
  <c r="BB10" i="25"/>
  <c r="BB9" i="25"/>
  <c r="BB8" i="25"/>
  <c r="BB7" i="25"/>
  <c r="BB6" i="25"/>
  <c r="BB5" i="25"/>
  <c r="BB16" i="25" s="1"/>
  <c r="BA15" i="25"/>
  <c r="BA14" i="25"/>
  <c r="BA13" i="25"/>
  <c r="BA12" i="25"/>
  <c r="BA11" i="25"/>
  <c r="BA10" i="25"/>
  <c r="BA9" i="25"/>
  <c r="BA8" i="25"/>
  <c r="BA7" i="25"/>
  <c r="BA6" i="25"/>
  <c r="BA5" i="25"/>
  <c r="BA16" i="25" s="1"/>
  <c r="AZ15" i="25"/>
  <c r="AZ14" i="25"/>
  <c r="AZ13" i="25"/>
  <c r="AZ12" i="25"/>
  <c r="AZ11" i="25"/>
  <c r="AZ10" i="25"/>
  <c r="AZ9" i="25"/>
  <c r="AZ8" i="25"/>
  <c r="AZ7" i="25"/>
  <c r="AZ6" i="25"/>
  <c r="AZ5" i="25"/>
  <c r="AZ16" i="25" s="1"/>
  <c r="AY15" i="25"/>
  <c r="AY14" i="25"/>
  <c r="AY13" i="25"/>
  <c r="AY12" i="25"/>
  <c r="AY11" i="25"/>
  <c r="AY10" i="25"/>
  <c r="AY9" i="25"/>
  <c r="AY8" i="25"/>
  <c r="AY7" i="25"/>
  <c r="AY6" i="25"/>
  <c r="AY5" i="25"/>
  <c r="AY16" i="25" s="1"/>
  <c r="AX15" i="25"/>
  <c r="AX14" i="25"/>
  <c r="AX13" i="25"/>
  <c r="AX12" i="25"/>
  <c r="AX11" i="25"/>
  <c r="AX10" i="25"/>
  <c r="AX9" i="25"/>
  <c r="AX8" i="25"/>
  <c r="AX7" i="25"/>
  <c r="AX6" i="25"/>
  <c r="AX5" i="25"/>
  <c r="AX16" i="25" s="1"/>
  <c r="AW15" i="25"/>
  <c r="AW14" i="25"/>
  <c r="AW13" i="25"/>
  <c r="AW12" i="25"/>
  <c r="AW11" i="25"/>
  <c r="AW10" i="25"/>
  <c r="AW9" i="25"/>
  <c r="AW8" i="25"/>
  <c r="AW7" i="25"/>
  <c r="AW6" i="25"/>
  <c r="AW5" i="25"/>
  <c r="AV15" i="25"/>
  <c r="AV14" i="25"/>
  <c r="AV13" i="25"/>
  <c r="AV12" i="25"/>
  <c r="AV11" i="25"/>
  <c r="AV10" i="25"/>
  <c r="AV9" i="25"/>
  <c r="AV8" i="25"/>
  <c r="AV7" i="25"/>
  <c r="AV6" i="25"/>
  <c r="AV5" i="25"/>
  <c r="AU15" i="25"/>
  <c r="AU14" i="25"/>
  <c r="AU13" i="25"/>
  <c r="AU12" i="25"/>
  <c r="AU11" i="25"/>
  <c r="AU10" i="25"/>
  <c r="AU9" i="25"/>
  <c r="AU8" i="25"/>
  <c r="AU7" i="25"/>
  <c r="AU6" i="25"/>
  <c r="AU5" i="25"/>
  <c r="AT15" i="25"/>
  <c r="AT14" i="25"/>
  <c r="AT13" i="25"/>
  <c r="AT12" i="25"/>
  <c r="AT11" i="25"/>
  <c r="AT10" i="25"/>
  <c r="AT9" i="25"/>
  <c r="AT8" i="25"/>
  <c r="AT7" i="25"/>
  <c r="AT6" i="25"/>
  <c r="AT5" i="25"/>
  <c r="AT16" i="25" s="1"/>
  <c r="AS15" i="25"/>
  <c r="AS14" i="25"/>
  <c r="AS13" i="25"/>
  <c r="AS12" i="25"/>
  <c r="AS11" i="25"/>
  <c r="AS10" i="25"/>
  <c r="AS9" i="25"/>
  <c r="AS8" i="25"/>
  <c r="AS7" i="25"/>
  <c r="AS6" i="25"/>
  <c r="AS5" i="25"/>
  <c r="AS16" i="25" s="1"/>
  <c r="AR15" i="25"/>
  <c r="AR14" i="25"/>
  <c r="AR13" i="25"/>
  <c r="AR12" i="25"/>
  <c r="AR11" i="25"/>
  <c r="AR10" i="25"/>
  <c r="AR9" i="25"/>
  <c r="AR8" i="25"/>
  <c r="AR7" i="25"/>
  <c r="AR6" i="25"/>
  <c r="AR5" i="25"/>
  <c r="AR16" i="25" s="1"/>
  <c r="AQ15" i="25"/>
  <c r="AQ14" i="25"/>
  <c r="AQ13" i="25"/>
  <c r="AQ12" i="25"/>
  <c r="AQ11" i="25"/>
  <c r="AQ10" i="25"/>
  <c r="AQ9" i="25"/>
  <c r="AQ8" i="25"/>
  <c r="AQ7" i="25"/>
  <c r="AQ6" i="25"/>
  <c r="AQ5" i="25"/>
  <c r="AP15" i="25"/>
  <c r="AP14" i="25"/>
  <c r="AP13" i="25"/>
  <c r="AP12" i="25"/>
  <c r="AP11" i="25"/>
  <c r="AP10" i="25"/>
  <c r="AP9" i="25"/>
  <c r="AP8" i="25"/>
  <c r="AP7" i="25"/>
  <c r="AP6" i="25"/>
  <c r="AP5" i="25"/>
  <c r="AP16" i="25" s="1"/>
  <c r="AO15" i="25"/>
  <c r="AO14" i="25"/>
  <c r="AO13" i="25"/>
  <c r="AO12" i="25"/>
  <c r="AO11" i="25"/>
  <c r="AO10" i="25"/>
  <c r="AO9" i="25"/>
  <c r="AO8" i="25"/>
  <c r="AO7" i="25"/>
  <c r="AO6" i="25"/>
  <c r="AO5" i="25"/>
  <c r="AO16" i="25" s="1"/>
  <c r="AN15" i="25"/>
  <c r="AN14" i="25"/>
  <c r="AN13" i="25"/>
  <c r="AN12" i="25"/>
  <c r="AN11" i="25"/>
  <c r="AN10" i="25"/>
  <c r="AN9" i="25"/>
  <c r="AN8" i="25"/>
  <c r="AN7" i="25"/>
  <c r="AN6" i="25"/>
  <c r="AN5" i="25"/>
  <c r="AN16" i="25" s="1"/>
  <c r="AM15" i="25"/>
  <c r="AM14" i="25"/>
  <c r="AM13" i="25"/>
  <c r="AM12" i="25"/>
  <c r="AM11" i="25"/>
  <c r="AM10" i="25"/>
  <c r="AM9" i="25"/>
  <c r="AM8" i="25"/>
  <c r="AM7" i="25"/>
  <c r="AM6" i="25"/>
  <c r="AM5" i="25"/>
  <c r="AM16" i="25" s="1"/>
  <c r="AL15" i="25"/>
  <c r="AL14" i="25"/>
  <c r="AL13" i="25"/>
  <c r="AL12" i="25"/>
  <c r="AL11" i="25"/>
  <c r="AL10" i="25"/>
  <c r="AL9" i="25"/>
  <c r="AL8" i="25"/>
  <c r="AL7" i="25"/>
  <c r="AL6" i="25"/>
  <c r="AL5" i="25"/>
  <c r="AL16" i="25" s="1"/>
  <c r="AK15" i="25"/>
  <c r="AK14" i="25"/>
  <c r="AK13" i="25"/>
  <c r="AK12" i="25"/>
  <c r="AK11" i="25"/>
  <c r="AK10" i="25"/>
  <c r="AK9" i="25"/>
  <c r="AK8" i="25"/>
  <c r="AK7" i="25"/>
  <c r="AK6" i="25"/>
  <c r="AK5" i="25"/>
  <c r="AK16" i="25" s="1"/>
  <c r="AJ15" i="25"/>
  <c r="AJ14" i="25"/>
  <c r="AJ13" i="25"/>
  <c r="AJ12" i="25"/>
  <c r="AJ11" i="25"/>
  <c r="AJ10" i="25"/>
  <c r="AJ9" i="25"/>
  <c r="AJ8" i="25"/>
  <c r="AJ7" i="25"/>
  <c r="AJ6" i="25"/>
  <c r="AJ5" i="25"/>
  <c r="AJ16" i="25" s="1"/>
  <c r="AI15" i="25"/>
  <c r="AI14" i="25"/>
  <c r="AI13" i="25"/>
  <c r="AI12" i="25"/>
  <c r="AI11" i="25"/>
  <c r="AI10" i="25"/>
  <c r="AI9" i="25"/>
  <c r="AI8" i="25"/>
  <c r="AI7" i="25"/>
  <c r="AI6" i="25"/>
  <c r="AI5" i="25"/>
  <c r="AI16" i="25" s="1"/>
  <c r="AH15" i="25"/>
  <c r="AH14" i="25"/>
  <c r="AH13" i="25"/>
  <c r="AH12" i="25"/>
  <c r="AH11" i="25"/>
  <c r="AH10" i="25"/>
  <c r="AH9" i="25"/>
  <c r="AH8" i="25"/>
  <c r="AH7" i="25"/>
  <c r="AH6" i="25"/>
  <c r="AH5" i="25"/>
  <c r="AH16" i="25" s="1"/>
  <c r="AG15" i="25"/>
  <c r="AG14" i="25"/>
  <c r="AG13" i="25"/>
  <c r="AG12" i="25"/>
  <c r="AG11" i="25"/>
  <c r="AG10" i="25"/>
  <c r="AG9" i="25"/>
  <c r="AG8" i="25"/>
  <c r="AG7" i="25"/>
  <c r="AG6" i="25"/>
  <c r="AG5" i="25"/>
  <c r="AG16" i="25" s="1"/>
  <c r="AF15" i="25"/>
  <c r="AF14" i="25"/>
  <c r="AF13" i="25"/>
  <c r="AF12" i="25"/>
  <c r="AF11" i="25"/>
  <c r="AF10" i="25"/>
  <c r="AF9" i="25"/>
  <c r="AF8" i="25"/>
  <c r="AF7" i="25"/>
  <c r="AF6" i="25"/>
  <c r="AF5" i="25"/>
  <c r="AF16" i="25" s="1"/>
  <c r="AE15" i="25"/>
  <c r="AE14" i="25"/>
  <c r="AE13" i="25"/>
  <c r="AE12" i="25"/>
  <c r="AE11" i="25"/>
  <c r="AE10" i="25"/>
  <c r="AE9" i="25"/>
  <c r="AE8" i="25"/>
  <c r="AE7" i="25"/>
  <c r="AE6" i="25"/>
  <c r="AE5" i="25"/>
  <c r="AE16" i="25" s="1"/>
  <c r="AD15" i="25"/>
  <c r="AD14" i="25"/>
  <c r="AD13" i="25"/>
  <c r="AD12" i="25"/>
  <c r="AD11" i="25"/>
  <c r="AD10" i="25"/>
  <c r="AD9" i="25"/>
  <c r="AD8" i="25"/>
  <c r="AD7" i="25"/>
  <c r="AD6" i="25"/>
  <c r="AD5" i="25"/>
  <c r="AD16" i="25" s="1"/>
  <c r="AC15" i="25"/>
  <c r="AC14" i="25"/>
  <c r="AC13" i="25"/>
  <c r="AC12" i="25"/>
  <c r="AC11" i="25"/>
  <c r="AC10" i="25"/>
  <c r="AC9" i="25"/>
  <c r="AC8" i="25"/>
  <c r="AC7" i="25"/>
  <c r="AC6" i="25"/>
  <c r="AC5" i="25"/>
  <c r="AC16" i="25" s="1"/>
  <c r="AB15" i="25"/>
  <c r="AB14" i="25"/>
  <c r="AB13" i="25"/>
  <c r="AB12" i="25"/>
  <c r="AB11" i="25"/>
  <c r="AB10" i="25"/>
  <c r="AB9" i="25"/>
  <c r="AB8" i="25"/>
  <c r="AB7" i="25"/>
  <c r="AB6" i="25"/>
  <c r="AB5" i="25"/>
  <c r="AB16" i="25" s="1"/>
  <c r="AA15" i="25"/>
  <c r="AA14" i="25"/>
  <c r="AA13" i="25"/>
  <c r="AA12" i="25"/>
  <c r="AA11" i="25"/>
  <c r="AA10" i="25"/>
  <c r="AA9" i="25"/>
  <c r="AA8" i="25"/>
  <c r="AA7" i="25"/>
  <c r="AA6" i="25"/>
  <c r="AA5" i="25"/>
  <c r="Z15" i="25"/>
  <c r="Z14" i="25"/>
  <c r="Z13" i="25"/>
  <c r="Z12" i="25"/>
  <c r="Z11" i="25"/>
  <c r="Z10" i="25"/>
  <c r="Z9" i="25"/>
  <c r="Z8" i="25"/>
  <c r="Z7" i="25"/>
  <c r="Z6" i="25"/>
  <c r="Z5" i="25"/>
  <c r="Z16" i="25" s="1"/>
  <c r="Y15" i="25"/>
  <c r="Y14" i="25"/>
  <c r="Y13" i="25"/>
  <c r="Y12" i="25"/>
  <c r="Y11" i="25"/>
  <c r="Y10" i="25"/>
  <c r="Y9" i="25"/>
  <c r="Y8" i="25"/>
  <c r="Y7" i="25"/>
  <c r="Y6" i="25"/>
  <c r="Y5" i="25"/>
  <c r="Y16" i="25" s="1"/>
  <c r="X15" i="25"/>
  <c r="X14" i="25"/>
  <c r="X13" i="25"/>
  <c r="X12" i="25"/>
  <c r="X11" i="25"/>
  <c r="X10" i="25"/>
  <c r="X9" i="25"/>
  <c r="X8" i="25"/>
  <c r="X7" i="25"/>
  <c r="X6" i="25"/>
  <c r="X5" i="25"/>
  <c r="X16" i="25" s="1"/>
  <c r="W15" i="25"/>
  <c r="W14" i="25"/>
  <c r="W13" i="25"/>
  <c r="W12" i="25"/>
  <c r="W11" i="25"/>
  <c r="W10" i="25"/>
  <c r="W9" i="25"/>
  <c r="W8" i="25"/>
  <c r="W7" i="25"/>
  <c r="W6" i="25"/>
  <c r="W5" i="25"/>
  <c r="W16" i="25" s="1"/>
  <c r="V15" i="25"/>
  <c r="V14" i="25"/>
  <c r="V13" i="25"/>
  <c r="V12" i="25"/>
  <c r="V11" i="25"/>
  <c r="V10" i="25"/>
  <c r="V9" i="25"/>
  <c r="V8" i="25"/>
  <c r="V7" i="25"/>
  <c r="V6" i="25"/>
  <c r="V5" i="25"/>
  <c r="V16" i="25" s="1"/>
  <c r="U15" i="25"/>
  <c r="U14" i="25"/>
  <c r="U13" i="25"/>
  <c r="U12" i="25"/>
  <c r="U11" i="25"/>
  <c r="U10" i="25"/>
  <c r="U9" i="25"/>
  <c r="U8" i="25"/>
  <c r="U7" i="25"/>
  <c r="U6" i="25"/>
  <c r="U5" i="25"/>
  <c r="U16" i="25" s="1"/>
  <c r="T15" i="25"/>
  <c r="T14" i="25"/>
  <c r="T13" i="25"/>
  <c r="T12" i="25"/>
  <c r="T11" i="25"/>
  <c r="T10" i="25"/>
  <c r="T9" i="25"/>
  <c r="T8" i="25"/>
  <c r="T7" i="25"/>
  <c r="T6" i="25"/>
  <c r="T5" i="25"/>
  <c r="T16" i="25" s="1"/>
  <c r="S15" i="25"/>
  <c r="S14" i="25"/>
  <c r="S13" i="25"/>
  <c r="S12" i="25"/>
  <c r="S11" i="25"/>
  <c r="S10" i="25"/>
  <c r="S9" i="25"/>
  <c r="S8" i="25"/>
  <c r="S7" i="25"/>
  <c r="S6" i="25"/>
  <c r="S5" i="25"/>
  <c r="S16" i="25" s="1"/>
  <c r="R15" i="25"/>
  <c r="R14" i="25"/>
  <c r="R13" i="25"/>
  <c r="R12" i="25"/>
  <c r="R11" i="25"/>
  <c r="R10" i="25"/>
  <c r="R9" i="25"/>
  <c r="R8" i="25"/>
  <c r="R7" i="25"/>
  <c r="R6" i="25"/>
  <c r="R5" i="25"/>
  <c r="R16" i="25" s="1"/>
  <c r="Q15" i="25"/>
  <c r="Q14" i="25"/>
  <c r="Q13" i="25"/>
  <c r="Q12" i="25"/>
  <c r="Q11" i="25"/>
  <c r="Q10" i="25"/>
  <c r="Q9" i="25"/>
  <c r="Q8" i="25"/>
  <c r="Q7" i="25"/>
  <c r="Q6" i="25"/>
  <c r="Q5" i="25"/>
  <c r="Q16" i="25" s="1"/>
  <c r="P15" i="25"/>
  <c r="P14" i="25"/>
  <c r="P13" i="25"/>
  <c r="P12" i="25"/>
  <c r="P11" i="25"/>
  <c r="P10" i="25"/>
  <c r="P9" i="25"/>
  <c r="P8" i="25"/>
  <c r="P7" i="25"/>
  <c r="P6" i="25"/>
  <c r="P5" i="25"/>
  <c r="P16" i="25" s="1"/>
  <c r="O15" i="25"/>
  <c r="O14" i="25"/>
  <c r="O13" i="25"/>
  <c r="O12" i="25"/>
  <c r="O11" i="25"/>
  <c r="O10" i="25"/>
  <c r="O9" i="25"/>
  <c r="O8" i="25"/>
  <c r="O7" i="25"/>
  <c r="O6" i="25"/>
  <c r="O5" i="25"/>
  <c r="O16" i="25" s="1"/>
  <c r="N15" i="25"/>
  <c r="N14" i="25"/>
  <c r="N13" i="25"/>
  <c r="N12" i="25"/>
  <c r="N11" i="25"/>
  <c r="N10" i="25"/>
  <c r="N9" i="25"/>
  <c r="N8" i="25"/>
  <c r="N7" i="25"/>
  <c r="N6" i="25"/>
  <c r="N5" i="25"/>
  <c r="N16" i="25" s="1"/>
  <c r="M15" i="25"/>
  <c r="M14" i="25"/>
  <c r="M13" i="25"/>
  <c r="M12" i="25"/>
  <c r="M11" i="25"/>
  <c r="M10" i="25"/>
  <c r="M9" i="25"/>
  <c r="M8" i="25"/>
  <c r="M7" i="25"/>
  <c r="M6" i="25"/>
  <c r="M5" i="25"/>
  <c r="M16" i="25" s="1"/>
  <c r="L15" i="25"/>
  <c r="L14" i="25"/>
  <c r="L13" i="25"/>
  <c r="L12" i="25"/>
  <c r="L11" i="25"/>
  <c r="L10" i="25"/>
  <c r="L9" i="25"/>
  <c r="L8" i="25"/>
  <c r="L7" i="25"/>
  <c r="L6" i="25"/>
  <c r="L5" i="25"/>
  <c r="L16" i="25" s="1"/>
  <c r="K15" i="25"/>
  <c r="K14" i="25"/>
  <c r="K13" i="25"/>
  <c r="K12" i="25"/>
  <c r="K11" i="25"/>
  <c r="K10" i="25"/>
  <c r="K9" i="25"/>
  <c r="K8" i="25"/>
  <c r="K7" i="25"/>
  <c r="K6" i="25"/>
  <c r="K5" i="25"/>
  <c r="K16" i="25" s="1"/>
  <c r="J15" i="25"/>
  <c r="J14" i="25"/>
  <c r="J13" i="25"/>
  <c r="J12" i="25"/>
  <c r="J11" i="25"/>
  <c r="J10" i="25"/>
  <c r="J9" i="25"/>
  <c r="J8" i="25"/>
  <c r="J7" i="25"/>
  <c r="J6" i="25"/>
  <c r="J5" i="25"/>
  <c r="J16" i="25" s="1"/>
  <c r="I15" i="25"/>
  <c r="I14" i="25"/>
  <c r="I13" i="25"/>
  <c r="I12" i="25"/>
  <c r="I11" i="25"/>
  <c r="I10" i="25"/>
  <c r="I9" i="25"/>
  <c r="I8" i="25"/>
  <c r="I7" i="25"/>
  <c r="I6" i="25"/>
  <c r="I5" i="25"/>
  <c r="I16" i="25" s="1"/>
  <c r="H15" i="25"/>
  <c r="H14" i="25"/>
  <c r="H13" i="25"/>
  <c r="H12" i="25"/>
  <c r="H11" i="25"/>
  <c r="H10" i="25"/>
  <c r="H9" i="25"/>
  <c r="H8" i="25"/>
  <c r="H7" i="25"/>
  <c r="H6" i="25"/>
  <c r="H5" i="25"/>
  <c r="H16" i="25" s="1"/>
  <c r="G15" i="25"/>
  <c r="G14" i="25"/>
  <c r="G13" i="25"/>
  <c r="G12" i="25"/>
  <c r="G11" i="25"/>
  <c r="G10" i="25"/>
  <c r="G9" i="25"/>
  <c r="G8" i="25"/>
  <c r="G7" i="25"/>
  <c r="G6" i="25"/>
  <c r="G5" i="25"/>
  <c r="G16" i="25" s="1"/>
  <c r="F15" i="25"/>
  <c r="F14" i="25"/>
  <c r="F13" i="25"/>
  <c r="F12" i="25"/>
  <c r="F11" i="25"/>
  <c r="F10" i="25"/>
  <c r="F9" i="25"/>
  <c r="F8" i="25"/>
  <c r="F7" i="25"/>
  <c r="F6" i="25"/>
  <c r="F5" i="25"/>
  <c r="F16" i="25" s="1"/>
  <c r="E15" i="25"/>
  <c r="E14" i="25"/>
  <c r="E13" i="25"/>
  <c r="E12" i="25"/>
  <c r="E11" i="25"/>
  <c r="E10" i="25"/>
  <c r="E9" i="25"/>
  <c r="E8" i="25"/>
  <c r="E7" i="25"/>
  <c r="E6" i="25"/>
  <c r="E5" i="25"/>
  <c r="E16" i="25" s="1"/>
  <c r="D15" i="25"/>
  <c r="D14" i="25"/>
  <c r="D13" i="25"/>
  <c r="D12" i="25"/>
  <c r="D11" i="25"/>
  <c r="D10" i="25"/>
  <c r="D9" i="25"/>
  <c r="D8" i="25"/>
  <c r="D7" i="25"/>
  <c r="D6" i="25"/>
  <c r="D5" i="25"/>
  <c r="D16" i="25" s="1"/>
  <c r="C15" i="25"/>
  <c r="C14" i="25"/>
  <c r="C13" i="25"/>
  <c r="C12" i="25"/>
  <c r="C11" i="25"/>
  <c r="C10" i="25"/>
  <c r="C9" i="25"/>
  <c r="C8" i="25"/>
  <c r="C7" i="25"/>
  <c r="C6" i="25"/>
  <c r="C5" i="25"/>
  <c r="C16" i="25" s="1"/>
  <c r="B15" i="25"/>
  <c r="B14" i="25"/>
  <c r="B13" i="25"/>
  <c r="B12" i="25"/>
  <c r="B11" i="25"/>
  <c r="B10" i="25"/>
  <c r="B9" i="25"/>
  <c r="B8" i="25"/>
  <c r="B7" i="25"/>
  <c r="B6" i="25"/>
  <c r="B5" i="25"/>
  <c r="B16" i="25" s="1"/>
  <c r="A3" i="25"/>
  <c r="GC35" i="17"/>
  <c r="GB35" i="17"/>
  <c r="GA35" i="17"/>
  <c r="FZ35" i="17"/>
  <c r="FY35" i="17"/>
  <c r="FX35" i="17"/>
  <c r="FW35" i="17"/>
  <c r="FV35" i="17"/>
  <c r="FU35" i="17"/>
  <c r="FT35" i="17"/>
  <c r="FS35" i="17"/>
  <c r="FR35" i="17"/>
  <c r="FQ35" i="17"/>
  <c r="FP35" i="17"/>
  <c r="FO35" i="17"/>
  <c r="FN35" i="17"/>
  <c r="FM35" i="17"/>
  <c r="FL35" i="17"/>
  <c r="FK35" i="17"/>
  <c r="FJ35" i="17"/>
  <c r="FI35" i="17"/>
  <c r="FH35" i="17"/>
  <c r="FG35" i="17"/>
  <c r="FF35" i="17"/>
  <c r="FE35" i="17"/>
  <c r="FD35" i="17"/>
  <c r="FC35" i="17"/>
  <c r="FB35" i="17"/>
  <c r="FA35" i="17"/>
  <c r="EZ35" i="17"/>
  <c r="EY35" i="17"/>
  <c r="EX35" i="17"/>
  <c r="EW35" i="17"/>
  <c r="EV35" i="17"/>
  <c r="EU35" i="17"/>
  <c r="ET35" i="17"/>
  <c r="ES35" i="17"/>
  <c r="ER35" i="17"/>
  <c r="EQ35" i="17"/>
  <c r="EP35" i="17"/>
  <c r="EO35" i="17"/>
  <c r="EN35" i="17"/>
  <c r="EM35" i="17"/>
  <c r="EL35" i="17"/>
  <c r="EK35" i="17"/>
  <c r="EJ35" i="17"/>
  <c r="EI35" i="17"/>
  <c r="EH35" i="17"/>
  <c r="EG35" i="17"/>
  <c r="EF35" i="17"/>
  <c r="EE35" i="17"/>
  <c r="ED35" i="17"/>
  <c r="EC35" i="17"/>
  <c r="EB35" i="17"/>
  <c r="EA35" i="17"/>
  <c r="DZ35" i="17"/>
  <c r="DY35" i="17"/>
  <c r="DX35" i="17"/>
  <c r="DW35" i="17"/>
  <c r="DV35" i="17"/>
  <c r="DU35" i="17"/>
  <c r="DT35" i="17"/>
  <c r="DS35" i="17"/>
  <c r="DR35" i="17"/>
  <c r="DQ35" i="17"/>
  <c r="DP35" i="17"/>
  <c r="DO35" i="17"/>
  <c r="DN35" i="17"/>
  <c r="DM35" i="17"/>
  <c r="DL35" i="17"/>
  <c r="DK35" i="17"/>
  <c r="DJ35" i="17"/>
  <c r="DI35" i="17"/>
  <c r="DH35" i="17"/>
  <c r="DG35" i="17"/>
  <c r="DF35" i="17"/>
  <c r="DE35" i="17"/>
  <c r="DD35" i="17"/>
  <c r="DC35" i="17"/>
  <c r="DB35" i="17"/>
  <c r="DA35" i="17"/>
  <c r="CZ35" i="17"/>
  <c r="CY35" i="17"/>
  <c r="CX35" i="17"/>
  <c r="CW35" i="17"/>
  <c r="CV35" i="17"/>
  <c r="CU35" i="17"/>
  <c r="CT35" i="17"/>
  <c r="CS35" i="17"/>
  <c r="CR35" i="17"/>
  <c r="CQ35" i="17"/>
  <c r="CP35" i="17"/>
  <c r="CO35" i="17"/>
  <c r="CN35" i="17"/>
  <c r="CM35" i="17"/>
  <c r="CL35" i="17"/>
  <c r="CK35" i="17"/>
  <c r="CJ35" i="17"/>
  <c r="CI35" i="17"/>
  <c r="CH35" i="17"/>
  <c r="CG35" i="17"/>
  <c r="CF35" i="17"/>
  <c r="CE35" i="17"/>
  <c r="CD35" i="17"/>
  <c r="CC35" i="17"/>
  <c r="CB35" i="17"/>
  <c r="CA35" i="17"/>
  <c r="BZ35" i="17"/>
  <c r="BY35" i="17"/>
  <c r="BX35" i="17"/>
  <c r="BW35" i="17"/>
  <c r="BV35" i="17"/>
  <c r="BU35" i="17"/>
  <c r="BT35" i="17"/>
  <c r="BS35" i="17"/>
  <c r="BR35" i="17"/>
  <c r="BQ35" i="17"/>
  <c r="BP35" i="17"/>
  <c r="BO35" i="17"/>
  <c r="BN35" i="17"/>
  <c r="BM35" i="17"/>
  <c r="BL35" i="17"/>
  <c r="BK35" i="17"/>
  <c r="BJ35" i="17"/>
  <c r="BI35" i="17"/>
  <c r="BH35" i="17"/>
  <c r="BG35" i="17"/>
  <c r="BF35" i="17"/>
  <c r="BE35" i="17"/>
  <c r="BD35" i="17"/>
  <c r="BC35" i="17"/>
  <c r="BB35" i="17"/>
  <c r="BA35" i="17"/>
  <c r="AZ35" i="17"/>
  <c r="AY35" i="17"/>
  <c r="AX35" i="17"/>
  <c r="AW35" i="17"/>
  <c r="AV35" i="17"/>
  <c r="AU35" i="17"/>
  <c r="AT35" i="17"/>
  <c r="AS35" i="17"/>
  <c r="AR35" i="17"/>
  <c r="AQ35" i="17"/>
  <c r="AP35" i="17"/>
  <c r="AO35" i="17"/>
  <c r="AN35" i="17"/>
  <c r="AM35" i="17"/>
  <c r="AL35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Y36" i="17" s="1"/>
  <c r="X35" i="17"/>
  <c r="W35" i="17"/>
  <c r="V35" i="17"/>
  <c r="U35" i="17"/>
  <c r="U36" i="17" s="1"/>
  <c r="T36" i="17"/>
  <c r="T35" i="17"/>
  <c r="S35" i="17"/>
  <c r="S36" i="17" s="1"/>
  <c r="R35" i="17"/>
  <c r="R36" i="17" s="1"/>
  <c r="GG34" i="17"/>
  <c r="GG33" i="17"/>
  <c r="GG32" i="17"/>
  <c r="GG31" i="17"/>
  <c r="GG30" i="17"/>
  <c r="GG29" i="17"/>
  <c r="GG28" i="17"/>
  <c r="GG27" i="17"/>
  <c r="GG26" i="17"/>
  <c r="GG25" i="17"/>
  <c r="GG24" i="17"/>
  <c r="GG23" i="17"/>
  <c r="GG22" i="17"/>
  <c r="GG21" i="17"/>
  <c r="GG20" i="17"/>
  <c r="GG19" i="17"/>
  <c r="GG18" i="17"/>
  <c r="GG17" i="17"/>
  <c r="GG16" i="17"/>
  <c r="GG15" i="17"/>
  <c r="GG14" i="17"/>
  <c r="GG13" i="17"/>
  <c r="GG12" i="17"/>
  <c r="GG11" i="17"/>
  <c r="GG10" i="17"/>
  <c r="GG9" i="17"/>
  <c r="GG8" i="17"/>
  <c r="GG7" i="17"/>
  <c r="GG6" i="17"/>
  <c r="GG5" i="17"/>
  <c r="GG4" i="17"/>
  <c r="GF34" i="17"/>
  <c r="GF33" i="17"/>
  <c r="GF32" i="17"/>
  <c r="GF31" i="17"/>
  <c r="GF30" i="17"/>
  <c r="GF29" i="17"/>
  <c r="GF28" i="17"/>
  <c r="GF27" i="17"/>
  <c r="GF26" i="17"/>
  <c r="GF25" i="17"/>
  <c r="GF24" i="17"/>
  <c r="GF23" i="17"/>
  <c r="GF22" i="17"/>
  <c r="GF21" i="17"/>
  <c r="GF20" i="17"/>
  <c r="GF19" i="17"/>
  <c r="GF18" i="17"/>
  <c r="GF17" i="17"/>
  <c r="GF16" i="17"/>
  <c r="GF15" i="17"/>
  <c r="GF14" i="17"/>
  <c r="GF13" i="17"/>
  <c r="GF12" i="17"/>
  <c r="GF11" i="17"/>
  <c r="GF10" i="17"/>
  <c r="GF9" i="17"/>
  <c r="GF8" i="17"/>
  <c r="GF7" i="17"/>
  <c r="GF6" i="17"/>
  <c r="GF5" i="17"/>
  <c r="GF4" i="17"/>
  <c r="GF35" i="17" s="1"/>
  <c r="GE34" i="17"/>
  <c r="GE33" i="17"/>
  <c r="GE32" i="17"/>
  <c r="GE31" i="17"/>
  <c r="GE30" i="17"/>
  <c r="GE29" i="17"/>
  <c r="GE28" i="17"/>
  <c r="GE27" i="17"/>
  <c r="GE26" i="17"/>
  <c r="GE25" i="17"/>
  <c r="GE24" i="17"/>
  <c r="GE23" i="17"/>
  <c r="GE22" i="17"/>
  <c r="GE21" i="17"/>
  <c r="GE20" i="17"/>
  <c r="GE19" i="17"/>
  <c r="GE18" i="17"/>
  <c r="GE17" i="17"/>
  <c r="GE16" i="17"/>
  <c r="GE15" i="17"/>
  <c r="GE14" i="17"/>
  <c r="GE13" i="17"/>
  <c r="GE12" i="17"/>
  <c r="GE11" i="17"/>
  <c r="GE10" i="17"/>
  <c r="GE9" i="17"/>
  <c r="GE8" i="17"/>
  <c r="GE7" i="17"/>
  <c r="GE6" i="17"/>
  <c r="GE5" i="17"/>
  <c r="GE4" i="17"/>
  <c r="GD34" i="17"/>
  <c r="GD33" i="17"/>
  <c r="GD32" i="17"/>
  <c r="GD31" i="17"/>
  <c r="GD30" i="17"/>
  <c r="GD29" i="17"/>
  <c r="GD28" i="17"/>
  <c r="GD27" i="17"/>
  <c r="GD26" i="17"/>
  <c r="GD25" i="17"/>
  <c r="GD24" i="17"/>
  <c r="GD23" i="17"/>
  <c r="GD22" i="17"/>
  <c r="GD21" i="17"/>
  <c r="GD20" i="17"/>
  <c r="GD19" i="17"/>
  <c r="GD18" i="17"/>
  <c r="GD17" i="17"/>
  <c r="GD16" i="17"/>
  <c r="GD15" i="17"/>
  <c r="GD14" i="17"/>
  <c r="GD13" i="17"/>
  <c r="GD12" i="17"/>
  <c r="GD11" i="17"/>
  <c r="GD10" i="17"/>
  <c r="GD9" i="17"/>
  <c r="GD8" i="17"/>
  <c r="GD7" i="17"/>
  <c r="GD6" i="17"/>
  <c r="GD5" i="17"/>
  <c r="GD4" i="17"/>
  <c r="AW16" i="25" l="1"/>
  <c r="GE35" i="17"/>
  <c r="CH5" i="25"/>
  <c r="AV16" i="25"/>
  <c r="AA16" i="25"/>
  <c r="AQ16" i="25"/>
  <c r="AU16" i="25"/>
  <c r="CG16" i="25"/>
  <c r="CI16" i="25" s="1"/>
  <c r="CH22" i="25"/>
  <c r="CG30" i="25"/>
  <c r="CI30" i="25" s="1"/>
  <c r="CH30" i="25"/>
  <c r="CH29" i="25"/>
  <c r="CH28" i="25"/>
  <c r="CH27" i="25"/>
  <c r="CH26" i="25"/>
  <c r="CH25" i="25"/>
  <c r="CH24" i="25"/>
  <c r="CH23" i="25"/>
  <c r="CH16" i="25"/>
  <c r="CH15" i="25"/>
  <c r="CH14" i="25"/>
  <c r="CH12" i="25"/>
  <c r="CH13" i="25"/>
  <c r="CH11" i="25"/>
  <c r="CH10" i="25"/>
  <c r="CH9" i="25"/>
  <c r="CH8" i="25"/>
  <c r="CH7" i="25"/>
  <c r="CH6" i="25"/>
  <c r="V36" i="17"/>
  <c r="Z36" i="17"/>
  <c r="AD36" i="17" s="1"/>
  <c r="AH36" i="17" s="1"/>
  <c r="AL36" i="17" s="1"/>
  <c r="AP36" i="17" s="1"/>
  <c r="AT36" i="17" s="1"/>
  <c r="AX36" i="17" s="1"/>
  <c r="BB36" i="17" s="1"/>
  <c r="BF36" i="17" s="1"/>
  <c r="BJ36" i="17" s="1"/>
  <c r="BN36" i="17" s="1"/>
  <c r="BR36" i="17" s="1"/>
  <c r="BV36" i="17" s="1"/>
  <c r="BZ36" i="17" s="1"/>
  <c r="CD36" i="17" s="1"/>
  <c r="CH36" i="17" s="1"/>
  <c r="CL36" i="17" s="1"/>
  <c r="CP36" i="17" s="1"/>
  <c r="CT36" i="17" s="1"/>
  <c r="CX36" i="17" s="1"/>
  <c r="DB36" i="17" s="1"/>
  <c r="DF36" i="17" s="1"/>
  <c r="DJ36" i="17" s="1"/>
  <c r="DN36" i="17" s="1"/>
  <c r="DR36" i="17" s="1"/>
  <c r="DV36" i="17" s="1"/>
  <c r="DZ36" i="17" s="1"/>
  <c r="ED36" i="17" s="1"/>
  <c r="EH36" i="17" s="1"/>
  <c r="EL36" i="17" s="1"/>
  <c r="EP36" i="17" s="1"/>
  <c r="ET36" i="17" s="1"/>
  <c r="EX36" i="17" s="1"/>
  <c r="FB36" i="17" s="1"/>
  <c r="FF36" i="17" s="1"/>
  <c r="FJ36" i="17" s="1"/>
  <c r="FN36" i="17" s="1"/>
  <c r="FR36" i="17" s="1"/>
  <c r="FV36" i="17" s="1"/>
  <c r="FZ36" i="17" s="1"/>
  <c r="GD35" i="17"/>
  <c r="W36" i="17"/>
  <c r="AA36" i="17" s="1"/>
  <c r="AE36" i="17" s="1"/>
  <c r="AI36" i="17" s="1"/>
  <c r="AM36" i="17" s="1"/>
  <c r="AQ36" i="17" s="1"/>
  <c r="AU36" i="17" s="1"/>
  <c r="AY36" i="17" s="1"/>
  <c r="BC36" i="17" s="1"/>
  <c r="BG36" i="17" s="1"/>
  <c r="BK36" i="17" s="1"/>
  <c r="BO36" i="17" s="1"/>
  <c r="BS36" i="17" s="1"/>
  <c r="BW36" i="17" s="1"/>
  <c r="CA36" i="17" s="1"/>
  <c r="CE36" i="17" s="1"/>
  <c r="CI36" i="17" s="1"/>
  <c r="CM36" i="17" s="1"/>
  <c r="CQ36" i="17" s="1"/>
  <c r="CU36" i="17" s="1"/>
  <c r="CY36" i="17" s="1"/>
  <c r="DC36" i="17" s="1"/>
  <c r="DG36" i="17" s="1"/>
  <c r="DK36" i="17" s="1"/>
  <c r="DO36" i="17" s="1"/>
  <c r="DS36" i="17" s="1"/>
  <c r="DW36" i="17" s="1"/>
  <c r="EA36" i="17" s="1"/>
  <c r="EE36" i="17" s="1"/>
  <c r="EI36" i="17" s="1"/>
  <c r="EM36" i="17" s="1"/>
  <c r="EQ36" i="17" s="1"/>
  <c r="EU36" i="17" s="1"/>
  <c r="EY36" i="17" s="1"/>
  <c r="FC36" i="17" s="1"/>
  <c r="FG36" i="17" s="1"/>
  <c r="FK36" i="17" s="1"/>
  <c r="FO36" i="17" s="1"/>
  <c r="FS36" i="17" s="1"/>
  <c r="FW36" i="17" s="1"/>
  <c r="GA36" i="17" s="1"/>
  <c r="GG35" i="17"/>
  <c r="X36" i="17"/>
  <c r="AB36" i="17"/>
  <c r="AF36" i="17" s="1"/>
  <c r="AJ36" i="17" s="1"/>
  <c r="AN36" i="17" s="1"/>
  <c r="AR36" i="17" s="1"/>
  <c r="AV36" i="17" s="1"/>
  <c r="AZ36" i="17" s="1"/>
  <c r="BD36" i="17" s="1"/>
  <c r="BH36" i="17" s="1"/>
  <c r="BL36" i="17" s="1"/>
  <c r="BP36" i="17" s="1"/>
  <c r="BT36" i="17" s="1"/>
  <c r="BX36" i="17" s="1"/>
  <c r="CB36" i="17" s="1"/>
  <c r="CF36" i="17" s="1"/>
  <c r="CJ36" i="17" s="1"/>
  <c r="CN36" i="17" s="1"/>
  <c r="CR36" i="17" s="1"/>
  <c r="CV36" i="17" s="1"/>
  <c r="CZ36" i="17" s="1"/>
  <c r="DD36" i="17" s="1"/>
  <c r="DH36" i="17" s="1"/>
  <c r="DL36" i="17" s="1"/>
  <c r="DP36" i="17" s="1"/>
  <c r="DT36" i="17" s="1"/>
  <c r="DX36" i="17" s="1"/>
  <c r="EB36" i="17" s="1"/>
  <c r="EF36" i="17" s="1"/>
  <c r="EJ36" i="17" s="1"/>
  <c r="EN36" i="17" s="1"/>
  <c r="ER36" i="17" s="1"/>
  <c r="EV36" i="17" s="1"/>
  <c r="EZ36" i="17" s="1"/>
  <c r="FD36" i="17" s="1"/>
  <c r="FH36" i="17" s="1"/>
  <c r="FL36" i="17" s="1"/>
  <c r="FP36" i="17" s="1"/>
  <c r="FT36" i="17" s="1"/>
  <c r="FX36" i="17" s="1"/>
  <c r="GB36" i="17" s="1"/>
  <c r="AC36" i="17"/>
  <c r="AG36" i="17" s="1"/>
  <c r="AK36" i="17" s="1"/>
  <c r="AO36" i="17" s="1"/>
  <c r="AS36" i="17" s="1"/>
  <c r="AW36" i="17" s="1"/>
  <c r="BA36" i="17" s="1"/>
  <c r="BE36" i="17" s="1"/>
  <c r="BI36" i="17" s="1"/>
  <c r="BM36" i="17" s="1"/>
  <c r="BQ36" i="17" s="1"/>
  <c r="BU36" i="17" s="1"/>
  <c r="BY36" i="17" s="1"/>
  <c r="CC36" i="17" s="1"/>
  <c r="CG36" i="17" s="1"/>
  <c r="CK36" i="17" s="1"/>
  <c r="CO36" i="17" s="1"/>
  <c r="CS36" i="17" s="1"/>
  <c r="CW36" i="17" s="1"/>
  <c r="DA36" i="17" s="1"/>
  <c r="DE36" i="17" s="1"/>
  <c r="DI36" i="17" s="1"/>
  <c r="DM36" i="17" s="1"/>
  <c r="DQ36" i="17" s="1"/>
  <c r="DU36" i="17" s="1"/>
  <c r="DY36" i="17" s="1"/>
  <c r="EC36" i="17" s="1"/>
  <c r="EG36" i="17" s="1"/>
  <c r="EK36" i="17" s="1"/>
  <c r="EO36" i="17" s="1"/>
  <c r="ES36" i="17" s="1"/>
  <c r="EW36" i="17" s="1"/>
  <c r="FA36" i="17" s="1"/>
  <c r="FE36" i="17" s="1"/>
  <c r="FI36" i="17" s="1"/>
  <c r="FM36" i="17" s="1"/>
  <c r="FQ36" i="17" s="1"/>
  <c r="FU36" i="17" s="1"/>
  <c r="FY36" i="17" s="1"/>
  <c r="GC36" i="17" s="1"/>
</calcChain>
</file>

<file path=xl/comments1.xml><?xml version="1.0" encoding="utf-8"?>
<comments xmlns="http://schemas.openxmlformats.org/spreadsheetml/2006/main">
  <authors>
    <author>DII10172</author>
  </authors>
  <commentList>
    <comment ref="Q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実施者、精査者双方で、状況が更新される度に入力して下さい。
例）
①実施中：実施者が入力
②精査中：実施者が実施完了時、入力
③再実施中：精査者が指摘した時に、入力
④再精査中；実施者が再実施完了時、入力
⑤完了：精査者が指摘無し 又は指摘内容が修正した事を確認して入力
</t>
        </r>
      </text>
    </comment>
    <comment ref="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指摘が繰り返し行われる場合は、その都度、日付と状況を更新して下さい。</t>
        </r>
      </text>
    </comment>
    <comment ref="M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指摘有無に関わらず、初回の精査実績日を入力して下さい。
</t>
        </r>
      </text>
    </comment>
  </commentList>
</comments>
</file>

<file path=xl/sharedStrings.xml><?xml version="1.0" encoding="utf-8"?>
<sst xmlns="http://schemas.openxmlformats.org/spreadsheetml/2006/main" count="759" uniqueCount="159">
  <si>
    <t>精査者</t>
    <rPh sb="0" eb="2">
      <t>セイサ</t>
    </rPh>
    <rPh sb="2" eb="3">
      <t>シャ</t>
    </rPh>
    <phoneticPr fontId="2"/>
  </si>
  <si>
    <t>着手</t>
    <rPh sb="0" eb="2">
      <t>チャクシュ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</si>
  <si>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</si>
  <si>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</si>
  <si>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完了</t>
    <rPh sb="0" eb="2">
      <t>カンリョウ</t>
    </rPh>
    <phoneticPr fontId="2"/>
  </si>
  <si>
    <t>実施者</t>
    <rPh sb="0" eb="2">
      <t>ジッシ</t>
    </rPh>
    <rPh sb="2" eb="3">
      <t>シャ</t>
    </rPh>
    <phoneticPr fontId="2"/>
  </si>
  <si>
    <t>指摘対応</t>
    <rPh sb="0" eb="2">
      <t>シテキ</t>
    </rPh>
    <rPh sb="2" eb="4">
      <t>タイオウ</t>
    </rPh>
    <phoneticPr fontId="2"/>
  </si>
  <si>
    <t>指摘有無</t>
    <rPh sb="0" eb="2">
      <t>シテキ</t>
    </rPh>
    <rPh sb="2" eb="4">
      <t>ウム</t>
    </rPh>
    <phoneticPr fontId="2"/>
  </si>
  <si>
    <t>状況</t>
    <rPh sb="0" eb="2">
      <t>ジョウキョウ</t>
    </rPh>
    <phoneticPr fontId="2"/>
  </si>
  <si>
    <t>(実施者)
指摘修正日</t>
    <rPh sb="1" eb="3">
      <t>ジッシ</t>
    </rPh>
    <rPh sb="3" eb="4">
      <t>シャ</t>
    </rPh>
    <rPh sb="6" eb="8">
      <t>シテキ</t>
    </rPh>
    <rPh sb="8" eb="10">
      <t>シュウセイ</t>
    </rPh>
    <rPh sb="10" eb="11">
      <t>ヒ</t>
    </rPh>
    <phoneticPr fontId="2"/>
  </si>
  <si>
    <t>(精査者)
指摘確認日</t>
    <rPh sb="1" eb="3">
      <t>セイサ</t>
    </rPh>
    <rPh sb="3" eb="4">
      <t>シャ</t>
    </rPh>
    <rPh sb="6" eb="8">
      <t>シテキ</t>
    </rPh>
    <rPh sb="8" eb="10">
      <t>カクニン</t>
    </rPh>
    <rPh sb="10" eb="11">
      <t>ビ</t>
    </rPh>
    <phoneticPr fontId="2"/>
  </si>
  <si>
    <t>ID</t>
    <phoneticPr fontId="39"/>
  </si>
  <si>
    <t>ケース数</t>
    <rPh sb="3" eb="4">
      <t>スウ</t>
    </rPh>
    <phoneticPr fontId="39"/>
  </si>
  <si>
    <t>１．「初期化」ボタン押下</t>
    <rPh sb="3" eb="6">
      <t>ショキカ</t>
    </rPh>
    <rPh sb="10" eb="12">
      <t>オウカ</t>
    </rPh>
    <phoneticPr fontId="2"/>
  </si>
  <si>
    <t>２．「行数指定フォーム」にて、作成する行数を入力</t>
    <rPh sb="3" eb="5">
      <t>ギョウスウ</t>
    </rPh>
    <rPh sb="5" eb="7">
      <t>シテイ</t>
    </rPh>
    <rPh sb="15" eb="17">
      <t>サクセイ</t>
    </rPh>
    <rPh sb="19" eb="21">
      <t>ギョウスウ</t>
    </rPh>
    <rPh sb="20" eb="21">
      <t>ニュウコウ</t>
    </rPh>
    <rPh sb="22" eb="24">
      <t>ニュウリョク</t>
    </rPh>
    <phoneticPr fontId="2"/>
  </si>
  <si>
    <t>３．以下項目を入力</t>
    <rPh sb="2" eb="4">
      <t>イカ</t>
    </rPh>
    <rPh sb="4" eb="6">
      <t>コウモク</t>
    </rPh>
    <rPh sb="7" eb="9">
      <t>ニュウリョク</t>
    </rPh>
    <phoneticPr fontId="2"/>
  </si>
  <si>
    <t>・(B列)ID</t>
    <rPh sb="3" eb="4">
      <t>レツ</t>
    </rPh>
    <phoneticPr fontId="2"/>
  </si>
  <si>
    <t>・(E列)ケース数</t>
    <rPh sb="3" eb="4">
      <t>レツ</t>
    </rPh>
    <rPh sb="8" eb="9">
      <t>スウ</t>
    </rPh>
    <phoneticPr fontId="2"/>
  </si>
  <si>
    <t>★</t>
    <phoneticPr fontId="2"/>
  </si>
  <si>
    <t>４．「進捗管理」ボタン押下</t>
    <rPh sb="3" eb="5">
      <t>シンチョク</t>
    </rPh>
    <rPh sb="5" eb="7">
      <t>カンリ</t>
    </rPh>
    <rPh sb="11" eb="13">
      <t>オウカ</t>
    </rPh>
    <phoneticPr fontId="2"/>
  </si>
  <si>
    <t>１．「行Copy」ボタン押下</t>
    <rPh sb="3" eb="4">
      <t>ギョウ</t>
    </rPh>
    <rPh sb="12" eb="14">
      <t>オウカ</t>
    </rPh>
    <phoneticPr fontId="2"/>
  </si>
  <si>
    <t>２．「行数指定フォーム」にて、追加する行数を入力</t>
    <rPh sb="3" eb="5">
      <t>ギョウスウ</t>
    </rPh>
    <rPh sb="5" eb="7">
      <t>シテイ</t>
    </rPh>
    <rPh sb="15" eb="17">
      <t>ツイカ</t>
    </rPh>
    <rPh sb="19" eb="21">
      <t>ギョウスウ</t>
    </rPh>
    <rPh sb="20" eb="21">
      <t>ニュウコウ</t>
    </rPh>
    <rPh sb="22" eb="24">
      <t>ニュウリョク</t>
    </rPh>
    <phoneticPr fontId="2"/>
  </si>
  <si>
    <t>⇒　進捗管理したい行について、★の項目は必ず入力してください</t>
    <rPh sb="2" eb="4">
      <t>シンチョク</t>
    </rPh>
    <rPh sb="4" eb="6">
      <t>カンリ</t>
    </rPh>
    <rPh sb="9" eb="10">
      <t>ギョウ</t>
    </rPh>
    <rPh sb="17" eb="19">
      <t>コウモク</t>
    </rPh>
    <rPh sb="20" eb="21">
      <t>カナラ</t>
    </rPh>
    <rPh sb="22" eb="24">
      <t>ニュウリョク</t>
    </rPh>
    <phoneticPr fontId="2"/>
  </si>
  <si>
    <t>　　　（月曜日を週初として１週間単位でタイトルの背景色を塗り分けます）</t>
    <rPh sb="4" eb="7">
      <t>ゲツヨウビ</t>
    </rPh>
    <rPh sb="8" eb="9">
      <t>シュウ</t>
    </rPh>
    <rPh sb="9" eb="10">
      <t>ショ</t>
    </rPh>
    <rPh sb="14" eb="18">
      <t>シュウカンタンイ</t>
    </rPh>
    <rPh sb="24" eb="27">
      <t>ハイケイショク</t>
    </rPh>
    <rPh sb="28" eb="29">
      <t>ヌ</t>
    </rPh>
    <rPh sb="30" eb="31">
      <t>ワ</t>
    </rPh>
    <phoneticPr fontId="2"/>
  </si>
  <si>
    <t>３．追加された行に進捗管理したい内容を入力（上記★の項目を入力）</t>
    <rPh sb="2" eb="4">
      <t>ツイカ</t>
    </rPh>
    <rPh sb="7" eb="8">
      <t>ギョウ</t>
    </rPh>
    <rPh sb="9" eb="11">
      <t>シンチョク</t>
    </rPh>
    <rPh sb="11" eb="13">
      <t>カンリ</t>
    </rPh>
    <rPh sb="16" eb="18">
      <t>ナイヨウ</t>
    </rPh>
    <rPh sb="19" eb="21">
      <t>ニュウリョク</t>
    </rPh>
    <rPh sb="22" eb="24">
      <t>ジョウキ</t>
    </rPh>
    <rPh sb="26" eb="28">
      <t>コウモク</t>
    </rPh>
    <rPh sb="29" eb="31">
      <t>ニュウリョク</t>
    </rPh>
    <phoneticPr fontId="2"/>
  </si>
  <si>
    <t>１．削除したい行の(A列)チェックボックスにチェックを入れる</t>
    <rPh sb="2" eb="4">
      <t>サクジョ</t>
    </rPh>
    <rPh sb="7" eb="8">
      <t>ギョウ</t>
    </rPh>
    <rPh sb="11" eb="12">
      <t>レツ</t>
    </rPh>
    <rPh sb="27" eb="28">
      <t>イ</t>
    </rPh>
    <phoneticPr fontId="2"/>
  </si>
  <si>
    <t>２．「行削除」ボタンを押下</t>
    <rPh sb="3" eb="4">
      <t>ギョウ</t>
    </rPh>
    <rPh sb="4" eb="6">
      <t>サクジョ</t>
    </rPh>
    <rPh sb="11" eb="13">
      <t>オウカ</t>
    </rPh>
    <phoneticPr fontId="2"/>
  </si>
  <si>
    <t>…テストケース数</t>
    <rPh sb="7" eb="8">
      <t>スウ</t>
    </rPh>
    <phoneticPr fontId="2"/>
  </si>
  <si>
    <t>⇒　B列(ID)の値の有無で最終行を判断しています</t>
    <phoneticPr fontId="2"/>
  </si>
  <si>
    <t>⇒　2回目以降「進捗管理」ボタンを押下する時、既に日次明細列が作成されている状態です</t>
    <rPh sb="3" eb="5">
      <t>カイメ</t>
    </rPh>
    <rPh sb="5" eb="7">
      <t>イコウ</t>
    </rPh>
    <rPh sb="17" eb="19">
      <t>オウカ</t>
    </rPh>
    <rPh sb="21" eb="22">
      <t>トキ</t>
    </rPh>
    <rPh sb="23" eb="24">
      <t>スデ</t>
    </rPh>
    <rPh sb="25" eb="27">
      <t>ニチジ</t>
    </rPh>
    <rPh sb="27" eb="29">
      <t>メイサイ</t>
    </rPh>
    <rPh sb="29" eb="30">
      <t>レツ</t>
    </rPh>
    <rPh sb="31" eb="33">
      <t>サクセイ</t>
    </rPh>
    <rPh sb="38" eb="40">
      <t>ジョウタイ</t>
    </rPh>
    <phoneticPr fontId="2"/>
  </si>
  <si>
    <t>　　 日次明細列の値を消して日次明細列を作成したい時は、</t>
    <rPh sb="3" eb="5">
      <t>ニチジ</t>
    </rPh>
    <rPh sb="5" eb="7">
      <t>メイサイ</t>
    </rPh>
    <rPh sb="7" eb="8">
      <t>レツ</t>
    </rPh>
    <rPh sb="9" eb="10">
      <t>アタイ</t>
    </rPh>
    <rPh sb="11" eb="12">
      <t>ケ</t>
    </rPh>
    <rPh sb="14" eb="16">
      <t>ニチジ</t>
    </rPh>
    <rPh sb="16" eb="18">
      <t>メイサイ</t>
    </rPh>
    <rPh sb="18" eb="19">
      <t>レツ</t>
    </rPh>
    <rPh sb="20" eb="22">
      <t>サクセイ</t>
    </rPh>
    <rPh sb="25" eb="26">
      <t>トキ</t>
    </rPh>
    <phoneticPr fontId="2"/>
  </si>
  <si>
    <t>　　「日次明細列の値削除」にチェックを入れた状態で、「進捗管理」ボタン押下してください</t>
    <phoneticPr fontId="2"/>
  </si>
  <si>
    <t>【初回時】</t>
    <rPh sb="1" eb="3">
      <t>ショカイ</t>
    </rPh>
    <rPh sb="3" eb="4">
      <t>ジ</t>
    </rPh>
    <phoneticPr fontId="2"/>
  </si>
  <si>
    <t>【行を追加したいとき】</t>
    <rPh sb="1" eb="2">
      <t>ギョウ</t>
    </rPh>
    <rPh sb="3" eb="5">
      <t>ツイカ</t>
    </rPh>
    <phoneticPr fontId="2"/>
  </si>
  <si>
    <t>【行を削除したいとき】</t>
    <rPh sb="1" eb="2">
      <t>ギョウ</t>
    </rPh>
    <rPh sb="3" eb="5">
      <t>サクジョ</t>
    </rPh>
    <phoneticPr fontId="2"/>
  </si>
  <si>
    <t>&lt;使用方法&gt;</t>
    <rPh sb="1" eb="3">
      <t>シヨウ</t>
    </rPh>
    <rPh sb="3" eb="5">
      <t>ホウホウ</t>
    </rPh>
    <phoneticPr fontId="2"/>
  </si>
  <si>
    <t>⇒　予定日のうち、最小の日付から最大の日付について１日単位で日次明細列を作成します</t>
    <rPh sb="2" eb="5">
      <t>ヨテイビ</t>
    </rPh>
    <rPh sb="9" eb="11">
      <t>サイショウ</t>
    </rPh>
    <rPh sb="12" eb="14">
      <t>ヒヅケ</t>
    </rPh>
    <rPh sb="16" eb="18">
      <t>サイダイ</t>
    </rPh>
    <rPh sb="19" eb="21">
      <t>ヒヅケ</t>
    </rPh>
    <rPh sb="26" eb="27">
      <t>ニチ</t>
    </rPh>
    <rPh sb="27" eb="29">
      <t>タンイ</t>
    </rPh>
    <rPh sb="30" eb="32">
      <t>ニチジ</t>
    </rPh>
    <rPh sb="32" eb="34">
      <t>メイサイ</t>
    </rPh>
    <rPh sb="34" eb="35">
      <t>レツ</t>
    </rPh>
    <rPh sb="36" eb="38">
      <t>サクセイ</t>
    </rPh>
    <phoneticPr fontId="2"/>
  </si>
  <si>
    <t>&lt;当ツールについて&gt;</t>
    <rPh sb="1" eb="2">
      <t>トウ</t>
    </rPh>
    <phoneticPr fontId="2"/>
  </si>
  <si>
    <t>　　　　　　シナリオ名</t>
    <rPh sb="10" eb="11">
      <t>メイ</t>
    </rPh>
    <phoneticPr fontId="2"/>
  </si>
  <si>
    <t>テスト実施</t>
    <rPh sb="3" eb="5">
      <t>ジッシ</t>
    </rPh>
    <phoneticPr fontId="2"/>
  </si>
  <si>
    <t>テスト精査</t>
    <rPh sb="3" eb="5">
      <t>セイサ</t>
    </rPh>
    <phoneticPr fontId="2"/>
  </si>
  <si>
    <t>・テスト実施ケース数、精査ケース数の進捗管理を行います</t>
    <rPh sb="4" eb="6">
      <t>ジッシ</t>
    </rPh>
    <rPh sb="9" eb="10">
      <t>スウ</t>
    </rPh>
    <rPh sb="11" eb="13">
      <t>セイサ</t>
    </rPh>
    <rPh sb="16" eb="17">
      <t>スウ</t>
    </rPh>
    <rPh sb="18" eb="20">
      <t>シンチョク</t>
    </rPh>
    <rPh sb="20" eb="22">
      <t>カンリ</t>
    </rPh>
    <rPh sb="23" eb="24">
      <t>オコナ</t>
    </rPh>
    <phoneticPr fontId="2"/>
  </si>
  <si>
    <t>・(C列)シナリオ名</t>
    <rPh sb="3" eb="4">
      <t>レツ</t>
    </rPh>
    <rPh sb="9" eb="10">
      <t>メイ</t>
    </rPh>
    <phoneticPr fontId="2"/>
  </si>
  <si>
    <t>・(F列)テスト実施 - 実施者</t>
    <rPh sb="3" eb="4">
      <t>レツ</t>
    </rPh>
    <rPh sb="8" eb="10">
      <t>ジッシ</t>
    </rPh>
    <rPh sb="13" eb="15">
      <t>ジッシ</t>
    </rPh>
    <rPh sb="15" eb="16">
      <t>シャ</t>
    </rPh>
    <phoneticPr fontId="2"/>
  </si>
  <si>
    <t>・(G列)テスト実施 - 着手 - 予定</t>
    <rPh sb="3" eb="4">
      <t>レツ</t>
    </rPh>
    <rPh sb="8" eb="10">
      <t>ジッシ</t>
    </rPh>
    <rPh sb="13" eb="15">
      <t>チャクシュ</t>
    </rPh>
    <rPh sb="18" eb="20">
      <t>ヨテイ</t>
    </rPh>
    <phoneticPr fontId="2"/>
  </si>
  <si>
    <t>…テスト実施の着手予定日</t>
    <rPh sb="4" eb="6">
      <t>ジッシ</t>
    </rPh>
    <rPh sb="7" eb="9">
      <t>チャクシュ</t>
    </rPh>
    <rPh sb="9" eb="12">
      <t>ヨテイビ</t>
    </rPh>
    <phoneticPr fontId="2"/>
  </si>
  <si>
    <t>・(K列)テスト精査 - 実施者</t>
    <rPh sb="3" eb="4">
      <t>レツ</t>
    </rPh>
    <rPh sb="8" eb="10">
      <t>セイサ</t>
    </rPh>
    <rPh sb="13" eb="15">
      <t>ジッシ</t>
    </rPh>
    <rPh sb="15" eb="16">
      <t>シャ</t>
    </rPh>
    <phoneticPr fontId="2"/>
  </si>
  <si>
    <t>・(L列)テスト精査 - 完了 - 予定</t>
    <rPh sb="3" eb="4">
      <t>レツ</t>
    </rPh>
    <rPh sb="8" eb="10">
      <t>セイサ</t>
    </rPh>
    <rPh sb="13" eb="15">
      <t>カンリョウ</t>
    </rPh>
    <rPh sb="18" eb="20">
      <t>ヨテイ</t>
    </rPh>
    <phoneticPr fontId="2"/>
  </si>
  <si>
    <t>…テスト精査の完了予定日</t>
    <rPh sb="4" eb="6">
      <t>セイサ</t>
    </rPh>
    <rPh sb="7" eb="9">
      <t>カンリョウ</t>
    </rPh>
    <rPh sb="9" eb="12">
      <t>ヨテイビ</t>
    </rPh>
    <phoneticPr fontId="2"/>
  </si>
  <si>
    <t>　　　（(C列)シナリオ名に、サブタイトル入力して下さい）</t>
    <rPh sb="21" eb="23">
      <t>ニュウリョク</t>
    </rPh>
    <rPh sb="25" eb="26">
      <t>クダ</t>
    </rPh>
    <phoneticPr fontId="2"/>
  </si>
  <si>
    <t>…テスト実施の完了予定日</t>
    <rPh sb="4" eb="6">
      <t>ジッシ</t>
    </rPh>
    <rPh sb="7" eb="9">
      <t>カンリョウ</t>
    </rPh>
    <rPh sb="9" eb="12">
      <t>ヨテイビ</t>
    </rPh>
    <phoneticPr fontId="2"/>
  </si>
  <si>
    <t>・(I列)テスト実施 - 完了 - 予定</t>
    <rPh sb="3" eb="4">
      <t>レツ</t>
    </rPh>
    <rPh sb="8" eb="10">
      <t>ジッシ</t>
    </rPh>
    <rPh sb="13" eb="15">
      <t>カンリョウ</t>
    </rPh>
    <rPh sb="18" eb="20">
      <t>ヨテイ</t>
    </rPh>
    <phoneticPr fontId="2"/>
  </si>
  <si>
    <t>…管理対象のテストシナリオNo</t>
    <rPh sb="1" eb="3">
      <t>カンリ</t>
    </rPh>
    <rPh sb="3" eb="5">
      <t>タイショウ</t>
    </rPh>
    <phoneticPr fontId="2"/>
  </si>
  <si>
    <t>・日次管理シートにて、テスト実施完了予定/完了実績、テスト精査完了予定/完了実績を日次で入力して下さい、最終列にて累積数を表示します</t>
    <rPh sb="1" eb="3">
      <t>ニチジ</t>
    </rPh>
    <rPh sb="3" eb="5">
      <t>カンリ</t>
    </rPh>
    <rPh sb="14" eb="16">
      <t>ジッシ</t>
    </rPh>
    <rPh sb="16" eb="18">
      <t>カンリョウ</t>
    </rPh>
    <rPh sb="18" eb="20">
      <t>ヨテイ</t>
    </rPh>
    <rPh sb="21" eb="23">
      <t>カンリョウ</t>
    </rPh>
    <rPh sb="23" eb="25">
      <t>ジッセキ</t>
    </rPh>
    <rPh sb="29" eb="31">
      <t>セイサ</t>
    </rPh>
    <rPh sb="31" eb="33">
      <t>カンリョウ</t>
    </rPh>
    <rPh sb="33" eb="35">
      <t>ヨテイ</t>
    </rPh>
    <rPh sb="36" eb="38">
      <t>カンリョウ</t>
    </rPh>
    <rPh sb="38" eb="40">
      <t>ジッセキ</t>
    </rPh>
    <rPh sb="41" eb="43">
      <t>ニチジ</t>
    </rPh>
    <rPh sb="44" eb="46">
      <t>ニュウリョク</t>
    </rPh>
    <rPh sb="48" eb="49">
      <t>クダ</t>
    </rPh>
    <rPh sb="52" eb="54">
      <t>サイシュウ</t>
    </rPh>
    <rPh sb="54" eb="55">
      <t>レツ</t>
    </rPh>
    <rPh sb="57" eb="59">
      <t>ルイセキ</t>
    </rPh>
    <rPh sb="59" eb="60">
      <t>スウ</t>
    </rPh>
    <rPh sb="61" eb="63">
      <t>ヒョウジ</t>
    </rPh>
    <phoneticPr fontId="2"/>
  </si>
  <si>
    <t>　　　★(B列)ID項目に入力ない場合は、サブタイトルを意味する明細行となり、背景色を設定します</t>
    <rPh sb="10" eb="12">
      <t>コウモク</t>
    </rPh>
    <rPh sb="13" eb="15">
      <t>ニュウリョク</t>
    </rPh>
    <rPh sb="17" eb="19">
      <t>バアイ</t>
    </rPh>
    <rPh sb="28" eb="30">
      <t>イミ</t>
    </rPh>
    <rPh sb="32" eb="34">
      <t>メイサイ</t>
    </rPh>
    <rPh sb="34" eb="35">
      <t>ギョウ</t>
    </rPh>
    <rPh sb="39" eb="42">
      <t>ハイケイショク</t>
    </rPh>
    <rPh sb="43" eb="45">
      <t>セッテイ</t>
    </rPh>
    <phoneticPr fontId="2"/>
  </si>
  <si>
    <t>　　 「進捗管理」ボタン押下時、存在している日次明細列の値を保管、新規の日次明細列に反映します</t>
    <rPh sb="12" eb="14">
      <t>オウカ</t>
    </rPh>
    <rPh sb="14" eb="15">
      <t>ジ</t>
    </rPh>
    <rPh sb="16" eb="18">
      <t>ソンザイ</t>
    </rPh>
    <rPh sb="22" eb="24">
      <t>ニチジ</t>
    </rPh>
    <rPh sb="24" eb="26">
      <t>メイサイ</t>
    </rPh>
    <rPh sb="26" eb="27">
      <t>レツ</t>
    </rPh>
    <rPh sb="28" eb="29">
      <t>アタイ</t>
    </rPh>
    <rPh sb="30" eb="32">
      <t>ホカン</t>
    </rPh>
    <rPh sb="33" eb="35">
      <t>シンキ</t>
    </rPh>
    <rPh sb="36" eb="38">
      <t>ニチジ</t>
    </rPh>
    <rPh sb="38" eb="40">
      <t>メイサイ</t>
    </rPh>
    <rPh sb="40" eb="41">
      <t>レツ</t>
    </rPh>
    <rPh sb="42" eb="44">
      <t>ハンエイ</t>
    </rPh>
    <phoneticPr fontId="2"/>
  </si>
  <si>
    <t>・予実管理シートにて、担当者毎にテスト実施数、精査数を週単位で集計し、進捗率・完了率を表示します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7" eb="28">
      <t>シュウ</t>
    </rPh>
    <rPh sb="28" eb="30">
      <t>タンイ</t>
    </rPh>
    <rPh sb="31" eb="33">
      <t>シュウケイ</t>
    </rPh>
    <rPh sb="35" eb="37">
      <t>シンチョク</t>
    </rPh>
    <rPh sb="37" eb="38">
      <t>リツ</t>
    </rPh>
    <rPh sb="39" eb="41">
      <t>カンリョウ</t>
    </rPh>
    <rPh sb="41" eb="42">
      <t>リツ</t>
    </rPh>
    <rPh sb="43" eb="45">
      <t>ヒョウジ</t>
    </rPh>
    <phoneticPr fontId="2"/>
  </si>
  <si>
    <t>(日次管理シートについて)</t>
    <phoneticPr fontId="2"/>
  </si>
  <si>
    <t>(予実管理シートについて)</t>
    <phoneticPr fontId="2"/>
  </si>
  <si>
    <t>⇒　テスト実施 - 実施者、及び、テスト精査 - 精査者に記載された担当者毎に、テスト実施・テスト精査に関する以下の情報を表示します</t>
    <rPh sb="5" eb="7">
      <t>ジッシ</t>
    </rPh>
    <rPh sb="10" eb="12">
      <t>ジッシ</t>
    </rPh>
    <rPh sb="12" eb="13">
      <t>シャ</t>
    </rPh>
    <rPh sb="14" eb="15">
      <t>オヨ</t>
    </rPh>
    <rPh sb="20" eb="22">
      <t>セイサ</t>
    </rPh>
    <rPh sb="25" eb="27">
      <t>セイサ</t>
    </rPh>
    <rPh sb="27" eb="28">
      <t>シャ</t>
    </rPh>
    <rPh sb="29" eb="31">
      <t>キサイ</t>
    </rPh>
    <rPh sb="34" eb="37">
      <t>タントウシャ</t>
    </rPh>
    <rPh sb="37" eb="38">
      <t>ゴト</t>
    </rPh>
    <rPh sb="43" eb="45">
      <t>ジッシ</t>
    </rPh>
    <rPh sb="49" eb="51">
      <t>セイサ</t>
    </rPh>
    <rPh sb="52" eb="53">
      <t>カン</t>
    </rPh>
    <rPh sb="55" eb="57">
      <t>イカ</t>
    </rPh>
    <rPh sb="58" eb="60">
      <t>ジョウホウ</t>
    </rPh>
    <rPh sb="61" eb="63">
      <t>ヒョウジ</t>
    </rPh>
    <phoneticPr fontId="2"/>
  </si>
  <si>
    <t>　　　・最終列に、当ツールを起動している本日時点の週末金曜日を基準とした進捗率、及び全体の完了率を表示</t>
    <rPh sb="4" eb="6">
      <t>サイシュウ</t>
    </rPh>
    <rPh sb="6" eb="7">
      <t>レツ</t>
    </rPh>
    <rPh sb="9" eb="10">
      <t>トウ</t>
    </rPh>
    <rPh sb="14" eb="16">
      <t>キドウ</t>
    </rPh>
    <rPh sb="20" eb="22">
      <t>ホンジツ</t>
    </rPh>
    <rPh sb="22" eb="24">
      <t>ジテン</t>
    </rPh>
    <rPh sb="25" eb="27">
      <t>シュウマツ</t>
    </rPh>
    <rPh sb="27" eb="30">
      <t>キンヨウビ</t>
    </rPh>
    <rPh sb="31" eb="33">
      <t>キジュン</t>
    </rPh>
    <rPh sb="36" eb="38">
      <t>シンチョク</t>
    </rPh>
    <rPh sb="38" eb="39">
      <t>リツ</t>
    </rPh>
    <rPh sb="40" eb="41">
      <t>オヨ</t>
    </rPh>
    <rPh sb="42" eb="44">
      <t>ゼンタイ</t>
    </rPh>
    <rPh sb="45" eb="47">
      <t>カンリョウ</t>
    </rPh>
    <rPh sb="47" eb="48">
      <t>リツ</t>
    </rPh>
    <rPh sb="49" eb="51">
      <t>ヒョウジ</t>
    </rPh>
    <phoneticPr fontId="2"/>
  </si>
  <si>
    <t>予実管理</t>
  </si>
  <si>
    <t>　　(H列)テスト実施 - 着手 - 実績、(J列)テスト実施 - 完了 - 実績、(M列)テスト精査 - 完了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34" eb="36">
      <t>カンリョウ</t>
    </rPh>
    <rPh sb="49" eb="51">
      <t>セイサ</t>
    </rPh>
    <rPh sb="54" eb="56">
      <t>カンリョウ</t>
    </rPh>
    <rPh sb="62" eb="64">
      <t>ヒヅケ</t>
    </rPh>
    <rPh sb="65" eb="67">
      <t>ジドウ</t>
    </rPh>
    <rPh sb="67" eb="69">
      <t>ニュウリョク</t>
    </rPh>
    <phoneticPr fontId="2"/>
  </si>
  <si>
    <t>⇒　テスト実施・テスト精査それぞれにおいて、各行の累積予定数と累積実績数が一致した時、</t>
    <rPh sb="5" eb="7">
      <t>ジッシ</t>
    </rPh>
    <rPh sb="11" eb="13">
      <t>セイサ</t>
    </rPh>
    <rPh sb="22" eb="23">
      <t>カク</t>
    </rPh>
    <rPh sb="23" eb="24">
      <t>ギョウ</t>
    </rPh>
    <rPh sb="25" eb="27">
      <t>ルイセキ</t>
    </rPh>
    <rPh sb="27" eb="29">
      <t>ヨテイ</t>
    </rPh>
    <rPh sb="29" eb="30">
      <t>スウ</t>
    </rPh>
    <rPh sb="31" eb="33">
      <t>ルイセキ</t>
    </rPh>
    <rPh sb="33" eb="35">
      <t>ジッセキ</t>
    </rPh>
    <rPh sb="35" eb="36">
      <t>スウ</t>
    </rPh>
    <rPh sb="37" eb="39">
      <t>イッチ</t>
    </rPh>
    <rPh sb="41" eb="42">
      <t>トキ</t>
    </rPh>
    <phoneticPr fontId="2"/>
  </si>
  <si>
    <t>・Excel2010にて動作確認済み</t>
    <rPh sb="16" eb="17">
      <t>ズ</t>
    </rPh>
    <phoneticPr fontId="2"/>
  </si>
  <si>
    <t>異動関連帳票作成（040-301）</t>
  </si>
  <si>
    <t>納入告知書作成（040-302）</t>
  </si>
  <si>
    <t>納入告知額明細書作成（040-303）</t>
  </si>
  <si>
    <t>掛金債権調査確認・内訳書作成（040-304）</t>
  </si>
  <si>
    <t>債権管理簿作成（040-305）</t>
  </si>
  <si>
    <t>掛金計算結果(ＣＳＶ)作成(040-306)</t>
  </si>
  <si>
    <t>口座振替関連帳票作成（040-307）</t>
  </si>
  <si>
    <t>掛金払込明細関連帳票作成(040-351)</t>
  </si>
  <si>
    <t>掛金拠出金自動引落データ作成(040-352)</t>
  </si>
  <si>
    <t>事業所別掛金明細表作成（040-354）</t>
  </si>
  <si>
    <t>事業所記録照会(040-401)</t>
  </si>
  <si>
    <t>他シスIF_受信管理(C220-020)</t>
  </si>
  <si>
    <t>口座振替FDデータ作成（040-355）</t>
  </si>
  <si>
    <t>制度情報/制度履歴</t>
    <rPh sb="0" eb="2">
      <t>セイド</t>
    </rPh>
    <rPh sb="2" eb="4">
      <t>ジョウホウ</t>
    </rPh>
    <rPh sb="5" eb="7">
      <t>セイド</t>
    </rPh>
    <rPh sb="7" eb="9">
      <t>リレキ</t>
    </rPh>
    <phoneticPr fontId="1"/>
  </si>
  <si>
    <t>掛金_基本</t>
    <rPh sb="0" eb="2">
      <t>カケキン</t>
    </rPh>
    <rPh sb="3" eb="5">
      <t>キホン</t>
    </rPh>
    <phoneticPr fontId="1"/>
  </si>
  <si>
    <t>調整率</t>
    <rPh sb="0" eb="2">
      <t>チョウセイ</t>
    </rPh>
    <rPh sb="2" eb="3">
      <t>リツ</t>
    </rPh>
    <phoneticPr fontId="1"/>
  </si>
  <si>
    <t>給付額計算式</t>
    <rPh sb="0" eb="2">
      <t>キュウフ</t>
    </rPh>
    <rPh sb="2" eb="3">
      <t>ガク</t>
    </rPh>
    <rPh sb="3" eb="5">
      <t>ケイサン</t>
    </rPh>
    <rPh sb="5" eb="6">
      <t>シキ</t>
    </rPh>
    <phoneticPr fontId="1"/>
  </si>
  <si>
    <t>CB現価率</t>
    <rPh sb="2" eb="4">
      <t>ゲンカ</t>
    </rPh>
    <rPh sb="4" eb="5">
      <t>リツ</t>
    </rPh>
    <phoneticPr fontId="1"/>
  </si>
  <si>
    <t>給付額計算（オンライン）</t>
    <rPh sb="0" eb="2">
      <t>キュウフ</t>
    </rPh>
    <rPh sb="2" eb="3">
      <t>ガク</t>
    </rPh>
    <rPh sb="3" eb="5">
      <t>ケイサン</t>
    </rPh>
    <phoneticPr fontId="1"/>
  </si>
  <si>
    <t>未裁定者管理（加入員連動）</t>
    <rPh sb="0" eb="1">
      <t>ミ</t>
    </rPh>
    <rPh sb="1" eb="3">
      <t>サイテイ</t>
    </rPh>
    <rPh sb="3" eb="4">
      <t>シャ</t>
    </rPh>
    <rPh sb="4" eb="6">
      <t>カンリ</t>
    </rPh>
    <rPh sb="7" eb="10">
      <t>カニュウイン</t>
    </rPh>
    <rPh sb="10" eb="12">
      <t>レンドウ</t>
    </rPh>
    <phoneticPr fontId="1"/>
  </si>
  <si>
    <t>記録登録</t>
    <rPh sb="0" eb="2">
      <t>キロク</t>
    </rPh>
    <rPh sb="2" eb="4">
      <t>トウロク</t>
    </rPh>
    <phoneticPr fontId="1"/>
  </si>
  <si>
    <t>一括額改定</t>
    <rPh sb="0" eb="2">
      <t>イッカツ</t>
    </rPh>
    <rPh sb="2" eb="3">
      <t>ガク</t>
    </rPh>
    <rPh sb="3" eb="5">
      <t>カイテイ</t>
    </rPh>
    <phoneticPr fontId="1"/>
  </si>
  <si>
    <t>補正</t>
    <rPh sb="0" eb="2">
      <t>ホセイ</t>
    </rPh>
    <phoneticPr fontId="1"/>
  </si>
  <si>
    <t>標準年金額補正</t>
    <rPh sb="0" eb="2">
      <t>ヒョウジュン</t>
    </rPh>
    <rPh sb="2" eb="5">
      <t>ネンキンガク</t>
    </rPh>
    <rPh sb="5" eb="7">
      <t>ホセイ</t>
    </rPh>
    <phoneticPr fontId="1"/>
  </si>
  <si>
    <t>年金記録照会</t>
    <rPh sb="0" eb="2">
      <t>ネンキン</t>
    </rPh>
    <rPh sb="2" eb="4">
      <t>キロク</t>
    </rPh>
    <rPh sb="4" eb="6">
      <t>ショウカイ</t>
    </rPh>
    <phoneticPr fontId="1"/>
  </si>
  <si>
    <t>サイクルテスト</t>
  </si>
  <si>
    <t>性能容量検証</t>
    <rPh sb="0" eb="2">
      <t>セイノウ</t>
    </rPh>
    <rPh sb="2" eb="4">
      <t>ヨウリョウ</t>
    </rPh>
    <rPh sb="4" eb="6">
      <t>ケンショウ</t>
    </rPh>
    <phoneticPr fontId="1"/>
  </si>
  <si>
    <t>セキュリティ検証(AppScan)</t>
    <rPh sb="6" eb="8">
      <t>ケンショウ</t>
    </rPh>
    <phoneticPr fontId="1"/>
  </si>
  <si>
    <t>追いつき検証</t>
    <rPh sb="0" eb="1">
      <t>オ</t>
    </rPh>
    <rPh sb="4" eb="6">
      <t>ケンショウ</t>
    </rPh>
    <phoneticPr fontId="1"/>
  </si>
  <si>
    <t>GDC</t>
    <phoneticPr fontId="2"/>
  </si>
  <si>
    <t>実施完了</t>
  </si>
  <si>
    <t>予定</t>
  </si>
  <si>
    <t>実績</t>
  </si>
  <si>
    <t>精査完了</t>
  </si>
  <si>
    <t>累積</t>
  </si>
  <si>
    <t>テスト実施</t>
  </si>
  <si>
    <t>(累積管理)</t>
  </si>
  <si>
    <t>担当</t>
  </si>
  <si>
    <t>GDC</t>
  </si>
  <si>
    <t>合計</t>
  </si>
  <si>
    <t>実績日による管理_x000D_
(指摘有無に関わらず_x000D_
初回の実績入力日で管理)</t>
  </si>
  <si>
    <t>進捗率</t>
  </si>
  <si>
    <t>完了率</t>
  </si>
  <si>
    <t>テスト精査</t>
  </si>
  <si>
    <t>森山</t>
    <rPh sb="0" eb="2">
      <t>モリヤマ</t>
    </rPh>
    <phoneticPr fontId="2"/>
  </si>
  <si>
    <t>諏訪</t>
    <rPh sb="0" eb="2">
      <t>スワ</t>
    </rPh>
    <phoneticPr fontId="2"/>
  </si>
  <si>
    <t>安部</t>
    <rPh sb="0" eb="2">
      <t>アベ</t>
    </rPh>
    <phoneticPr fontId="2"/>
  </si>
  <si>
    <t>岡田</t>
    <rPh sb="0" eb="2">
      <t>オカダ</t>
    </rPh>
    <phoneticPr fontId="2"/>
  </si>
  <si>
    <t>JMAS西村</t>
    <rPh sb="4" eb="6">
      <t>ニシムラ</t>
    </rPh>
    <phoneticPr fontId="2"/>
  </si>
  <si>
    <t>JMAS植田</t>
    <rPh sb="4" eb="5">
      <t>ウ</t>
    </rPh>
    <rPh sb="5" eb="6">
      <t>タ</t>
    </rPh>
    <phoneticPr fontId="2"/>
  </si>
  <si>
    <t>清水</t>
    <rPh sb="0" eb="2">
      <t>シミズ</t>
    </rPh>
    <phoneticPr fontId="2"/>
  </si>
  <si>
    <t>安部</t>
  </si>
  <si>
    <t>ルイ</t>
  </si>
  <si>
    <t>岡田</t>
  </si>
  <si>
    <t>諏訪</t>
  </si>
  <si>
    <t>森山</t>
  </si>
  <si>
    <t>石川</t>
  </si>
  <si>
    <t>JMAS西村</t>
  </si>
  <si>
    <t>JMAS植田</t>
  </si>
  <si>
    <t>清水</t>
  </si>
  <si>
    <t>有</t>
  </si>
  <si>
    <t>完了</t>
  </si>
  <si>
    <t>無</t>
  </si>
  <si>
    <t>-</t>
    <phoneticPr fontId="2"/>
  </si>
  <si>
    <t>実施中</t>
  </si>
  <si>
    <t>企業年金基金事業報告書（100-320）</t>
    <phoneticPr fontId="2"/>
  </si>
  <si>
    <t>規約型企業年金事業報告書（100-330）</t>
    <phoneticPr fontId="2"/>
  </si>
  <si>
    <t>趙</t>
  </si>
  <si>
    <t>趙</t>
    <rPh sb="0" eb="1">
      <t>チョウ</t>
    </rPh>
    <phoneticPr fontId="2"/>
  </si>
  <si>
    <t>山本</t>
  </si>
  <si>
    <t>山本</t>
    <rPh sb="0" eb="2">
      <t>ヤマモト</t>
    </rPh>
    <phoneticPr fontId="2"/>
  </si>
  <si>
    <t>仲川</t>
  </si>
  <si>
    <t>仲川</t>
    <rPh sb="0" eb="2">
      <t>ナカガワ</t>
    </rPh>
    <phoneticPr fontId="2"/>
  </si>
  <si>
    <t>石川</t>
    <rPh sb="0" eb="2">
      <t>イシカワ</t>
    </rPh>
    <phoneticPr fontId="2"/>
  </si>
  <si>
    <t>GDC（黄）</t>
    <rPh sb="4" eb="5">
      <t>コ</t>
    </rPh>
    <phoneticPr fontId="2"/>
  </si>
  <si>
    <t>GDC（梁）</t>
    <rPh sb="4" eb="5">
      <t>ハリ</t>
    </rPh>
    <phoneticPr fontId="2"/>
  </si>
  <si>
    <t>GDC（鄭）</t>
    <rPh sb="4" eb="5">
      <t>テイ</t>
    </rPh>
    <phoneticPr fontId="2"/>
  </si>
  <si>
    <t>GDC（陳）</t>
    <rPh sb="4" eb="5">
      <t>チン</t>
    </rPh>
    <phoneticPr fontId="2"/>
  </si>
  <si>
    <t>GDC（黄）</t>
  </si>
  <si>
    <t>GDC（梁）</t>
  </si>
  <si>
    <t>GDC（鄭）</t>
  </si>
  <si>
    <t>GDC（陳）</t>
  </si>
  <si>
    <t>(19/03/26 修正)</t>
    <rPh sb="10" eb="12">
      <t>シュウセイ</t>
    </rPh>
    <phoneticPr fontId="2"/>
  </si>
  <si>
    <t>・予実管理シートにて、担当者毎にテスト実施数、精査数を1日単位で集計し、進捗率・完了率を表示します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8" eb="29">
      <t>ニチ</t>
    </rPh>
    <rPh sb="29" eb="31">
      <t>タンイ</t>
    </rPh>
    <rPh sb="32" eb="34">
      <t>シュウケイ</t>
    </rPh>
    <rPh sb="36" eb="38">
      <t>シンチョク</t>
    </rPh>
    <rPh sb="38" eb="39">
      <t>リツ</t>
    </rPh>
    <rPh sb="40" eb="42">
      <t>カンリョウ</t>
    </rPh>
    <rPh sb="42" eb="43">
      <t>リツ</t>
    </rPh>
    <rPh sb="44" eb="46">
      <t>ヒョウジ</t>
    </rPh>
    <phoneticPr fontId="2"/>
  </si>
  <si>
    <t>(19/03/26 追加)</t>
    <rPh sb="10" eb="12">
      <t>ツイカ</t>
    </rPh>
    <phoneticPr fontId="2"/>
  </si>
  <si>
    <t>⇒　(H列)テスト実施 - 着手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22" eb="24">
      <t>ヒヅケ</t>
    </rPh>
    <rPh sb="25" eb="27">
      <t>ジドウ</t>
    </rPh>
    <rPh sb="27" eb="29">
      <t>ニュウリョク</t>
    </rPh>
    <phoneticPr fontId="2"/>
  </si>
  <si>
    <r>
      <rPr>
        <sz val="11"/>
        <rFont val="Meiryo UI"/>
        <family val="3"/>
        <charset val="128"/>
      </rPr>
      <t>　　　</t>
    </r>
    <r>
      <rPr>
        <strike/>
        <sz val="11"/>
        <rFont val="Meiryo UI"/>
        <family val="3"/>
        <charset val="128"/>
      </rPr>
      <t>・(週末を金曜日とした)週単位に、予定数・実績数を表示</t>
    </r>
    <rPh sb="5" eb="7">
      <t>シュウマツ</t>
    </rPh>
    <rPh sb="8" eb="11">
      <t>キンヨウビ</t>
    </rPh>
    <rPh sb="15" eb="16">
      <t>シュウ</t>
    </rPh>
    <rPh sb="16" eb="18">
      <t>タンイ</t>
    </rPh>
    <rPh sb="20" eb="22">
      <t>ヨテイ</t>
    </rPh>
    <rPh sb="22" eb="23">
      <t>スウ</t>
    </rPh>
    <rPh sb="24" eb="26">
      <t>ジッセキ</t>
    </rPh>
    <rPh sb="26" eb="27">
      <t>スウ</t>
    </rPh>
    <rPh sb="28" eb="30">
      <t>ヒョウジ</t>
    </rPh>
    <phoneticPr fontId="2"/>
  </si>
  <si>
    <t>　　　・1日単位に、予定数・実績数を表示</t>
    <rPh sb="5" eb="6">
      <t>ニチ</t>
    </rPh>
    <rPh sb="6" eb="8">
      <t>タンイ</t>
    </rPh>
    <rPh sb="10" eb="12">
      <t>ヨテイ</t>
    </rPh>
    <rPh sb="12" eb="13">
      <t>スウ</t>
    </rPh>
    <rPh sb="14" eb="16">
      <t>ジッセキ</t>
    </rPh>
    <rPh sb="16" eb="17">
      <t>スウ</t>
    </rPh>
    <rPh sb="18" eb="20">
      <t>ヒョウジ</t>
    </rPh>
    <phoneticPr fontId="2"/>
  </si>
  <si>
    <t>(19/03/26 修正)</t>
    <phoneticPr fontId="2"/>
  </si>
  <si>
    <t>[注意] 行を削除することで、(H列)テスト実施 - 着手 - 予定の最小日付と、R列から始まる最小日付が異なってくるケースがあります。</t>
    <rPh sb="1" eb="3">
      <t>チュウイ</t>
    </rPh>
    <rPh sb="5" eb="6">
      <t>ギョウ</t>
    </rPh>
    <rPh sb="7" eb="9">
      <t>サクジョ</t>
    </rPh>
    <rPh sb="32" eb="34">
      <t>ヨテイ</t>
    </rPh>
    <rPh sb="35" eb="37">
      <t>サイショウ</t>
    </rPh>
    <rPh sb="37" eb="39">
      <t>ヒヅケ</t>
    </rPh>
    <rPh sb="42" eb="43">
      <t>レツ</t>
    </rPh>
    <rPh sb="45" eb="46">
      <t>ハジ</t>
    </rPh>
    <rPh sb="48" eb="50">
      <t>サイショウ</t>
    </rPh>
    <rPh sb="50" eb="52">
      <t>ヒヅケ</t>
    </rPh>
    <rPh sb="53" eb="54">
      <t>コト</t>
    </rPh>
    <phoneticPr fontId="2"/>
  </si>
  <si>
    <t>　　　　　その時に「進捗管理」ボタン押下すると、日次明細列の値がずれてしまいます。</t>
    <rPh sb="7" eb="8">
      <t>トキ</t>
    </rPh>
    <rPh sb="10" eb="12">
      <t>シンチョク</t>
    </rPh>
    <rPh sb="12" eb="14">
      <t>カンリ</t>
    </rPh>
    <rPh sb="18" eb="20">
      <t>オウカ</t>
    </rPh>
    <rPh sb="24" eb="26">
      <t>ニチジ</t>
    </rPh>
    <rPh sb="26" eb="28">
      <t>メイサイ</t>
    </rPh>
    <rPh sb="28" eb="29">
      <t>レツ</t>
    </rPh>
    <rPh sb="30" eb="31">
      <t>アタイ</t>
    </rPh>
    <phoneticPr fontId="2"/>
  </si>
  <si>
    <t>　　　　　対策としては、(H列)テスト実施 - 着手 - 予定の日付のいずれかをR列から始まる最小日付と揃える様にして下さい。</t>
    <rPh sb="5" eb="7">
      <t>タイサク</t>
    </rPh>
    <rPh sb="41" eb="42">
      <t>レツ</t>
    </rPh>
    <rPh sb="44" eb="45">
      <t>ハジ</t>
    </rPh>
    <rPh sb="47" eb="49">
      <t>サイショウ</t>
    </rPh>
    <rPh sb="49" eb="51">
      <t>ヒヅケ</t>
    </rPh>
    <rPh sb="52" eb="53">
      <t>ソロ</t>
    </rPh>
    <rPh sb="55" eb="56">
      <t>ヨウ</t>
    </rPh>
    <rPh sb="59" eb="60">
      <t>クダ</t>
    </rPh>
    <phoneticPr fontId="2"/>
  </si>
  <si>
    <t>(19/03/26 追加)</t>
    <rPh sb="10" eb="12">
      <t>ツイカ</t>
    </rPh>
    <phoneticPr fontId="2"/>
  </si>
  <si>
    <t>再実施中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</si>
</sst>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#,##0;\-#,##0;&quot;-&quot;"/>
    <numFmt numFmtId="178" formatCode="####"/>
    <numFmt numFmtId="179" formatCode="0.00_)"/>
    <numFmt numFmtId="180" formatCode="\$#,##0.00"/>
    <numFmt numFmtId="181" formatCode="_ &quot;｣､&quot;* #,##0_ ;_ &quot;｣､&quot;* \-#,##0_ ;_ &quot;｣､&quot;* &quot;-&quot;_ ;_ @_ "/>
    <numFmt numFmtId="182" formatCode="#,##0_ ;[Red]\-#,##0\ "/>
    <numFmt numFmtId="183" formatCode="#,##0.0&quot;人月&quot;"/>
    <numFmt numFmtId="184" formatCode="0_);\(0\)"/>
    <numFmt numFmtId="185" formatCode="#,##0&quot; &quot;;[Red]&quot;▲&quot;#,##0&quot; &quot;"/>
    <numFmt numFmtId="186" formatCode="0.0"/>
    <numFmt numFmtId="187" formatCode="#,##0.00;\(#,##0.00\)"/>
    <numFmt numFmtId="188" formatCode="0.000000000"/>
    <numFmt numFmtId="189" formatCode="0%;\(0%\)"/>
    <numFmt numFmtId="190" formatCode="0.0%"/>
    <numFmt numFmtId="191" formatCode="#,##0.0_ "/>
    <numFmt numFmtId="192" formatCode="d&quot;¥&quot;&quot;¥&quot;\.mmm&quot;¥&quot;&quot;¥&quot;\.yy"/>
    <numFmt numFmtId="193" formatCode="&quot;No_&quot;@"/>
    <numFmt numFmtId="194" formatCode="&quot;$&quot;#,##0_);\(&quot;$&quot;#,##0\)"/>
    <numFmt numFmtId="195" formatCode="0.0%;[Red]\(0.0%\)"/>
    <numFmt numFmtId="196" formatCode="#,##0.00\ &quot;f&quot;;\-#,##0.00\ &quot;f&quot;"/>
    <numFmt numFmtId="197" formatCode="0%;[Red]\(0%\)"/>
    <numFmt numFmtId="198" formatCode="0.0%;\(0.0%\)"/>
    <numFmt numFmtId="199" formatCode="&quot;   &quot;@"/>
    <numFmt numFmtId="200" formatCode="&quot;$&quot;#,##0;\-&quot;$&quot;#,##0"/>
    <numFmt numFmtId="201" formatCode="_(* #,##0_);_(* \(#,##0\);_(* &quot;-&quot;_)"/>
    <numFmt numFmtId="202" formatCode="_(* #,##0_);_(* \(#,##0\);_(* &quot;-&quot;_);_(@_)"/>
    <numFmt numFmtId="203" formatCode="#,##0.0_);\(#,##0.0\)"/>
    <numFmt numFmtId="204" formatCode="_-* #,##0.0_-;\-* #,##0.0_-;_-* &quot;-&quot;??_-;_-@_-"/>
    <numFmt numFmtId="205" formatCode="_(&quot;$&quot;* #,##0_);_(&quot;$&quot;* \(#,##0\);_(&quot;$&quot;* &quot;-&quot;_);_(@_)"/>
    <numFmt numFmtId="206" formatCode="&quot;$&quot;#,##0.00_);\(&quot;$&quot;#,##0.00\)"/>
    <numFmt numFmtId="207" formatCode="\(@\)"/>
    <numFmt numFmtId="208" formatCode="#,##0.0"/>
    <numFmt numFmtId="209" formatCode="_-* #,##0\ _F_-;\-* #,##0\ _F_-;_-* &quot;-&quot;\ _F_-;_-@_-"/>
    <numFmt numFmtId="210" formatCode="_-* #,##0.00\ _F_-;\-* #,##0.00\ _F_-;_-* &quot;-&quot;??\ _F_-;_-@_-"/>
    <numFmt numFmtId="211" formatCode="&quot;$&quot;#,##0.00_);[Red]\(&quot;$&quot;#,##0.00\)"/>
    <numFmt numFmtId="212" formatCode="_-* #,##0\ &quot;F&quot;_-;\-* #,##0\ &quot;F&quot;_-;_-* &quot;-&quot;\ &quot;F&quot;_-;_-@_-"/>
    <numFmt numFmtId="213" formatCode="_-* #,##0.00\ &quot;F&quot;_-;\-* #,##0.00\ &quot;F&quot;_-;_-* &quot;-&quot;??\ &quot;F&quot;_-;_-@_-"/>
    <numFmt numFmtId="214" formatCode="_(* #,##0.0000_);_(* \(#,##0.0000\);_(* &quot;-&quot;??_);_(@_)"/>
    <numFmt numFmtId="215" formatCode="_(* #,##0.00_);_(* \(#,##0.00\);_(* &quot;-&quot;??_);_(@_)"/>
    <numFmt numFmtId="216" formatCode="0%_);\(0%\)"/>
    <numFmt numFmtId="217" formatCode="_(* #,##0,_);_(* \(#,##0,\);_(* &quot;-&quot;_)"/>
    <numFmt numFmtId="218" formatCode=";;;"/>
    <numFmt numFmtId="219" formatCode="&quot;(&quot;0%&quot;)   &quot;;[Red]\-&quot;(&quot;0%&quot;)   &quot;;&quot;－    &quot;"/>
    <numFmt numFmtId="220" formatCode="&quot;(&quot;0.00%&quot;)   &quot;;[Red]\-&quot;(&quot;0.00%&quot;)   &quot;;&quot;－    &quot;"/>
    <numFmt numFmtId="221" formatCode="0.00%;[Red]\-0.00%;&quot;－&quot;"/>
    <numFmt numFmtId="222" formatCode="&quot;¥&quot;#,##0.00;\-&quot;¥&quot;#,##0.00"/>
    <numFmt numFmtId="223" formatCode="_-* #,##0_-;\-* #,##0_-;_-* &quot;-&quot;_-;_-@_-"/>
    <numFmt numFmtId="224" formatCode="#,##0_ ;[Red]&quot;¥&quot;\!\-#,##0&quot;¥&quot;\!\ "/>
    <numFmt numFmtId="225" formatCode="0_ ;[Red]&quot;¥&quot;\!\-0&quot;¥&quot;\!\ "/>
    <numFmt numFmtId="226" formatCode="#,##0_ "/>
    <numFmt numFmtId="227" formatCode="&quot;¥&quot;#,##0.00;[Red]\-&quot;¥&quot;#,##0.00"/>
    <numFmt numFmtId="228" formatCode="&quot;¥&quot;#,##0;[Red]\-&quot;¥&quot;#,##0"/>
    <numFmt numFmtId="229" formatCode="m/d"/>
    <numFmt numFmtId="230" formatCode="hh:mm\ \T\K"/>
    <numFmt numFmtId="231" formatCode="mm&quot;月&quot;dd&quot;日&quot;"/>
  </numFmts>
  <fonts count="16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1"/>
      <name val="明朝"/>
      <family val="1"/>
      <charset val="128"/>
    </font>
    <font>
      <sz val="11"/>
      <name val="標準明朝"/>
      <family val="1"/>
      <charset val="128"/>
    </font>
    <font>
      <sz val="11"/>
      <name val="ＭＳ Ｐ明朝"/>
      <family val="1"/>
      <charset val="128"/>
    </font>
    <font>
      <sz val="12"/>
      <name val="Tms Rmn"/>
      <family val="1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2"/>
      <name val="Times New Roman"/>
      <family val="1"/>
    </font>
    <font>
      <sz val="10"/>
      <name val="Helv"/>
      <family val="2"/>
    </font>
    <font>
      <sz val="11"/>
      <name val="ＭＳ 明朝"/>
      <family val="1"/>
      <charset val="128"/>
    </font>
    <font>
      <sz val="14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6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1"/>
      <name val="??"/>
      <family val="1"/>
    </font>
    <font>
      <sz val="11"/>
      <name val="MS ??"/>
      <family val="1"/>
    </font>
    <font>
      <sz val="14"/>
      <name val="AngsanaUPC"/>
      <family val="1"/>
    </font>
    <font>
      <u/>
      <sz val="11"/>
      <color indexed="12"/>
      <name val="MS P????"/>
      <family val="3"/>
    </font>
    <font>
      <u/>
      <sz val="11"/>
      <color indexed="12"/>
      <name val="MS P????"/>
      <family val="2"/>
    </font>
    <font>
      <u/>
      <sz val="11"/>
      <color indexed="36"/>
      <name val="MS P????"/>
      <family val="3"/>
    </font>
    <font>
      <u/>
      <sz val="11"/>
      <color indexed="36"/>
      <name val="MS P????"/>
      <family val="2"/>
    </font>
    <font>
      <b/>
      <sz val="14"/>
      <name val="MS P????"/>
      <family val="3"/>
    </font>
    <font>
      <b/>
      <sz val="14"/>
      <name val="MS P????"/>
      <family val="2"/>
    </font>
    <font>
      <sz val="9"/>
      <name val="ＭＳ 明朝"/>
      <family val="1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8.25"/>
      <color indexed="36"/>
      <name val="lr oSVbN"/>
      <family val="3"/>
    </font>
    <font>
      <u/>
      <sz val="11"/>
      <color indexed="36"/>
      <name val="lr oSVbN"/>
      <family val="3"/>
    </font>
    <font>
      <u/>
      <sz val="8.25"/>
      <color indexed="12"/>
      <name val="lr oSVbN"/>
      <family val="3"/>
    </font>
    <font>
      <sz val="11"/>
      <name val="¾©"/>
      <family val="1"/>
    </font>
    <font>
      <sz val="11"/>
      <name val="lr ¾©"/>
      <family val="2"/>
    </font>
    <font>
      <sz val="11"/>
      <color indexed="12"/>
      <name val="ＭＳ Ｐ明朝"/>
      <family val="1"/>
      <charset val="128"/>
    </font>
    <font>
      <sz val="13"/>
      <name val="Tms Rmn"/>
      <family val="1"/>
    </font>
    <font>
      <sz val="12"/>
      <name val="細明朝体"/>
      <family val="3"/>
      <charset val="128"/>
    </font>
    <font>
      <sz val="12"/>
      <name val="明朝"/>
      <family val="1"/>
      <charset val="128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b/>
      <i/>
      <u/>
      <sz val="10"/>
      <name val="Times New Roman"/>
      <family val="1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b/>
      <sz val="10"/>
      <color indexed="10"/>
      <name val="Arial"/>
      <family val="2"/>
    </font>
    <font>
      <sz val="8"/>
      <name val="ＭＳ ゴシック"/>
      <family val="3"/>
      <charset val="128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name val="中ゴシックＢＢＢ"/>
      <family val="1"/>
      <charset val="128"/>
    </font>
    <font>
      <sz val="9"/>
      <name val="Helv"/>
      <family val="2"/>
    </font>
    <font>
      <b/>
      <sz val="11"/>
      <color indexed="52"/>
      <name val="Calibri"/>
      <family val="2"/>
    </font>
    <font>
      <sz val="7"/>
      <name val="Times New Roman"/>
      <family val="1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2"/>
      <name val="Arial"/>
      <family val="2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color indexed="16"/>
      <name val="Arial"/>
      <family val="2"/>
    </font>
    <font>
      <b/>
      <sz val="8"/>
      <color indexed="14"/>
      <name val="Verdana"/>
      <family val="2"/>
    </font>
    <font>
      <sz val="10"/>
      <name val="Times New Roman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u/>
      <sz val="13.75"/>
      <color indexed="36"/>
      <name val="ＭＳ Ｐゴシック"/>
      <family val="3"/>
      <charset val="128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10"/>
      <name val="明朝"/>
      <family val="1"/>
      <charset val="128"/>
    </font>
    <font>
      <b/>
      <sz val="10"/>
      <name val="Arial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u/>
      <sz val="10"/>
      <color indexed="12"/>
      <name val="Arial"/>
      <family val="2"/>
    </font>
    <font>
      <u/>
      <sz val="10"/>
      <color theme="10"/>
      <name val="Meiryo UI"/>
      <family val="2"/>
      <charset val="128"/>
    </font>
    <font>
      <sz val="8.5"/>
      <name val="ＭＳ ゴシック"/>
      <family val="3"/>
      <charset val="128"/>
    </font>
    <font>
      <sz val="11"/>
      <color indexed="62"/>
      <name val="Calibri"/>
      <family val="2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b/>
      <sz val="11"/>
      <color indexed="63"/>
      <name val="Calibri"/>
      <family val="2"/>
    </font>
    <font>
      <sz val="10"/>
      <name val="Tms Rmn"/>
      <family val="1"/>
    </font>
    <font>
      <sz val="8"/>
      <color indexed="10"/>
      <name val="Helv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sz val="10"/>
      <color indexed="8"/>
      <name val="ＭＳ Ｐゴシック"/>
      <family val="3"/>
      <charset val="128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sz val="11"/>
      <color indexed="10"/>
      <name val="Calibri"/>
      <family val="2"/>
    </font>
    <font>
      <sz val="9.5"/>
      <name val="ＭＳ ゴシック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10"/>
      <color theme="10"/>
      <name val="Meiryo UI"/>
      <family val="3"/>
      <charset val="128"/>
    </font>
    <font>
      <sz val="9"/>
      <name val="HG丸ｺﾞｼｯｸM-PRO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HG丸ｺﾞｼｯｸM-PRO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16"/>
      <name val="ＭＳ 明朝"/>
      <family val="1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i/>
      <sz val="9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OLF明朝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1"/>
      <color indexed="12"/>
      <name val="ＭＳ 明朝"/>
      <family val="1"/>
      <charset val="128"/>
    </font>
    <font>
      <sz val="14"/>
      <name val="ＭＳ ・団"/>
      <family val="1"/>
      <charset val="128"/>
    </font>
    <font>
      <sz val="12"/>
      <name val="ＭＳ Ｐゴシック"/>
      <family val="1"/>
      <charset val="128"/>
    </font>
    <font>
      <sz val="11"/>
      <color indexed="17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trike/>
      <sz val="11"/>
      <color theme="0" tint="-0.499984740745262"/>
      <name val="Meiryo UI"/>
      <family val="3"/>
      <charset val="128"/>
    </font>
    <font>
      <sz val="11"/>
      <color rgb="FF0099CC"/>
      <name val="Meiryo UI"/>
      <family val="3"/>
      <charset val="128"/>
    </font>
    <font>
      <strike/>
      <sz val="11"/>
      <name val="Meiryo UI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5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5917">
    <xf numFmtId="0" fontId="0" fillId="0" borderId="0"/>
    <xf numFmtId="49" fontId="8" fillId="0" borderId="0"/>
    <xf numFmtId="0" fontId="5" fillId="0" borderId="0"/>
    <xf numFmtId="0" fontId="9" fillId="0" borderId="0" applyFont="0"/>
    <xf numFmtId="8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77" fontId="12" fillId="0" borderId="0" applyFill="0" applyBorder="0" applyAlignment="0"/>
    <xf numFmtId="0" fontId="10" fillId="0" borderId="0"/>
    <xf numFmtId="0" fontId="13" fillId="0" borderId="0">
      <alignment horizontal="left"/>
    </xf>
    <xf numFmtId="38" fontId="14" fillId="6" borderId="0" applyNumberFormat="0" applyBorder="0" applyAlignment="0" applyProtection="0"/>
    <xf numFmtId="0" fontId="15" fillId="7" borderId="0"/>
    <xf numFmtId="0" fontId="16" fillId="0" borderId="8" applyNumberFormat="0" applyAlignment="0" applyProtection="0">
      <alignment horizontal="left" vertical="center"/>
    </xf>
    <xf numFmtId="0" fontId="16" fillId="0" borderId="7">
      <alignment horizontal="left" vertical="center"/>
    </xf>
    <xf numFmtId="0" fontId="6" fillId="0" borderId="0" applyBorder="0"/>
    <xf numFmtId="10" fontId="14" fillId="8" borderId="1" applyNumberFormat="0" applyBorder="0" applyAlignment="0" applyProtection="0"/>
    <xf numFmtId="0" fontId="6" fillId="0" borderId="0"/>
    <xf numFmtId="9" fontId="10" fillId="0" borderId="0" applyFont="0" applyFill="0" applyBorder="0" applyAlignment="0" applyProtection="0"/>
    <xf numFmtId="37" fontId="17" fillId="0" borderId="0"/>
    <xf numFmtId="178" fontId="5" fillId="0" borderId="0"/>
    <xf numFmtId="179" fontId="18" fillId="0" borderId="0"/>
    <xf numFmtId="10" fontId="19" fillId="0" borderId="0" applyFont="0" applyFill="0" applyBorder="0" applyAlignment="0" applyProtection="0"/>
    <xf numFmtId="4" fontId="13" fillId="0" borderId="0">
      <alignment horizontal="right"/>
    </xf>
    <xf numFmtId="0" fontId="20" fillId="0" borderId="0" applyNumberFormat="0" applyFont="0" applyFill="0" applyBorder="0" applyAlignment="0" applyProtection="0">
      <alignment horizontal="left"/>
    </xf>
    <xf numFmtId="0" fontId="21" fillId="0" borderId="9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/>
    <xf numFmtId="0" fontId="25" fillId="0" borderId="0">
      <alignment horizontal="center"/>
    </xf>
    <xf numFmtId="180" fontId="26" fillId="0" borderId="0"/>
    <xf numFmtId="0" fontId="19" fillId="0" borderId="0"/>
    <xf numFmtId="0" fontId="26" fillId="0" borderId="0"/>
    <xf numFmtId="1" fontId="26" fillId="0" borderId="0" applyNumberFormat="0"/>
    <xf numFmtId="181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7" fillId="0" borderId="0"/>
    <xf numFmtId="56" fontId="2" fillId="0" borderId="0" applyNumberFormat="0" applyFill="0" applyBorder="0" applyAlignment="0" applyProtection="0">
      <alignment horizontal="center"/>
    </xf>
    <xf numFmtId="38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8" fillId="0" borderId="0"/>
    <xf numFmtId="0" fontId="29" fillId="0" borderId="3"/>
    <xf numFmtId="182" fontId="3" fillId="0" borderId="0" applyBorder="0">
      <alignment horizontal="right"/>
    </xf>
    <xf numFmtId="0" fontId="30" fillId="0" borderId="4" applyNumberFormat="0" applyBorder="0">
      <alignment vertical="center"/>
    </xf>
    <xf numFmtId="49" fontId="5" fillId="0" borderId="0">
      <alignment vertical="center"/>
    </xf>
    <xf numFmtId="49" fontId="5" fillId="0" borderId="0" applyFont="0"/>
    <xf numFmtId="0" fontId="31" fillId="0" borderId="0">
      <alignment vertical="center"/>
    </xf>
    <xf numFmtId="183" fontId="8" fillId="0" borderId="0"/>
    <xf numFmtId="184" fontId="3" fillId="0" borderId="0" applyBorder="0">
      <alignment horizontal="left"/>
    </xf>
    <xf numFmtId="185" fontId="5" fillId="0" borderId="0" applyFont="0" applyFill="0" applyBorder="0" applyProtection="0">
      <alignment vertical="center"/>
    </xf>
    <xf numFmtId="14" fontId="3" fillId="0" borderId="10" applyBorder="0">
      <alignment horizontal="left"/>
    </xf>
    <xf numFmtId="0" fontId="5" fillId="0" borderId="0"/>
    <xf numFmtId="0" fontId="5" fillId="0" borderId="0">
      <alignment vertical="center"/>
    </xf>
    <xf numFmtId="0" fontId="5" fillId="0" borderId="0"/>
    <xf numFmtId="0" fontId="32" fillId="0" borderId="0">
      <alignment vertical="center"/>
    </xf>
    <xf numFmtId="0" fontId="5" fillId="0" borderId="0">
      <alignment vertical="center"/>
    </xf>
    <xf numFmtId="0" fontId="28" fillId="0" borderId="0"/>
    <xf numFmtId="0" fontId="33" fillId="0" borderId="0" applyNumberFormat="0" applyFill="0" applyBorder="0" applyAlignment="0" applyProtection="0">
      <alignment vertical="top"/>
      <protection locked="0"/>
    </xf>
    <xf numFmtId="49" fontId="3" fillId="0" borderId="0" applyBorder="0">
      <alignment horizontal="left"/>
    </xf>
    <xf numFmtId="0" fontId="34" fillId="0" borderId="0"/>
    <xf numFmtId="0" fontId="35" fillId="0" borderId="0"/>
    <xf numFmtId="0" fontId="36" fillId="0" borderId="7">
      <alignment horizontal="left" vertical="center"/>
    </xf>
    <xf numFmtId="0" fontId="37" fillId="0" borderId="0" applyFill="0" applyBorder="0" applyAlignment="0"/>
    <xf numFmtId="0" fontId="36" fillId="0" borderId="8" applyNumberFormat="0" applyAlignment="0" applyProtection="0">
      <alignment horizontal="left" vertical="center"/>
    </xf>
    <xf numFmtId="0" fontId="38" fillId="0" borderId="0"/>
    <xf numFmtId="0" fontId="5" fillId="0" borderId="0"/>
    <xf numFmtId="0" fontId="1" fillId="0" borderId="0">
      <alignment vertical="center"/>
    </xf>
    <xf numFmtId="0" fontId="42" fillId="0" borderId="0"/>
    <xf numFmtId="9" fontId="42" fillId="0" borderId="0" applyFont="0" applyFill="0" applyBorder="0" applyAlignment="0" applyProtection="0"/>
    <xf numFmtId="0" fontId="43" fillId="0" borderId="0"/>
    <xf numFmtId="49" fontId="8" fillId="0" borderId="0"/>
    <xf numFmtId="49" fontId="8" fillId="0" borderId="0"/>
    <xf numFmtId="49" fontId="8" fillId="0" borderId="0"/>
    <xf numFmtId="49" fontId="28" fillId="0" borderId="0">
      <alignment horizontal="left" vertical="center"/>
    </xf>
    <xf numFmtId="0" fontId="28" fillId="0" borderId="0"/>
    <xf numFmtId="0" fontId="19" fillId="0" borderId="0" applyFont="0" applyFill="0" applyBorder="0" applyAlignment="0" applyProtection="0"/>
    <xf numFmtId="8" fontId="44" fillId="0" borderId="0" applyFont="0" applyFill="0" applyBorder="0" applyAlignment="0" applyProtection="0"/>
    <xf numFmtId="0" fontId="45" fillId="0" borderId="0" applyNumberFormat="0" applyFont="0" applyFill="0" applyBorder="0">
      <alignment horizontal="left" vertical="top" wrapText="1"/>
    </xf>
    <xf numFmtId="0" fontId="19" fillId="0" borderId="0" applyFont="0" applyFill="0" applyBorder="0" applyAlignment="0" applyProtection="0"/>
    <xf numFmtId="186" fontId="46" fillId="0" borderId="0" applyFont="0" applyFill="0" applyBorder="0" applyAlignment="0" applyProtection="0"/>
    <xf numFmtId="186" fontId="46" fillId="0" borderId="0" applyFont="0" applyFill="0" applyBorder="0" applyAlignment="0" applyProtection="0"/>
    <xf numFmtId="187" fontId="46" fillId="0" borderId="0" applyFont="0" applyFill="0" applyBorder="0" applyAlignment="0" applyProtection="0">
      <alignment vertical="top"/>
    </xf>
    <xf numFmtId="187" fontId="46" fillId="0" borderId="0" applyFont="0" applyFill="0" applyBorder="0" applyAlignment="0" applyProtection="0">
      <alignment vertical="top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51" fillId="0" borderId="0" applyFill="0" applyBorder="0" applyProtection="0"/>
    <xf numFmtId="0" fontId="52" fillId="0" borderId="0" applyFill="0" applyBorder="0" applyProtection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2" fillId="0" borderId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19" fillId="0" borderId="0"/>
    <xf numFmtId="0" fontId="26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>
      <alignment horizontal="right" vertical="top"/>
    </xf>
    <xf numFmtId="0" fontId="53" fillId="0" borderId="15">
      <alignment horizontal="right" vertical="top"/>
    </xf>
    <xf numFmtId="0" fontId="54" fillId="0" borderId="0"/>
    <xf numFmtId="0" fontId="55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60" fillId="0" borderId="0"/>
    <xf numFmtId="0" fontId="61" fillId="0" borderId="19">
      <alignment vertical="center"/>
    </xf>
    <xf numFmtId="0" fontId="61" fillId="0" borderId="19">
      <alignment vertical="center"/>
    </xf>
    <xf numFmtId="0" fontId="61" fillId="0" borderId="19">
      <alignment vertical="center"/>
    </xf>
    <xf numFmtId="189" fontId="6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26" fillId="0" borderId="0"/>
    <xf numFmtId="3" fontId="63" fillId="0" borderId="0" applyNumberFormat="0" applyAlignment="0">
      <alignment vertical="center"/>
    </xf>
    <xf numFmtId="190" fontId="62" fillId="0" borderId="0" applyFont="0" applyFill="0" applyBorder="0" applyAlignment="0" applyProtection="0"/>
    <xf numFmtId="10" fontId="62" fillId="0" borderId="0" applyFont="0" applyFill="0" applyBorder="0" applyAlignment="0" applyProtection="0"/>
    <xf numFmtId="0" fontId="28" fillId="0" borderId="0" applyFont="0">
      <alignment horizontal="left"/>
    </xf>
    <xf numFmtId="0" fontId="53" fillId="0" borderId="0">
      <alignment vertical="top"/>
    </xf>
    <xf numFmtId="0" fontId="29" fillId="0" borderId="0" applyNumberFormat="0" applyFill="0" applyBorder="0" applyAlignment="0" applyProtection="0"/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5" fillId="9" borderId="0" applyNumberFormat="0" applyBorder="0" applyAlignment="0" applyProtection="0"/>
    <xf numFmtId="0" fontId="65" fillId="10" borderId="0" applyNumberFormat="0" applyBorder="0" applyAlignment="0" applyProtection="0"/>
    <xf numFmtId="0" fontId="65" fillId="11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4" borderId="0" applyNumberFormat="0" applyBorder="0" applyAlignment="0" applyProtection="0"/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193" fontId="67" fillId="0" borderId="0">
      <alignment horizontal="right"/>
    </xf>
    <xf numFmtId="0" fontId="65" fillId="15" borderId="0" applyNumberFormat="0" applyBorder="0" applyAlignment="0" applyProtection="0"/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2" borderId="0" applyNumberFormat="0" applyBorder="0" applyAlignment="0" applyProtection="0"/>
    <xf numFmtId="0" fontId="65" fillId="15" borderId="0" applyNumberFormat="0" applyBorder="0" applyAlignment="0" applyProtection="0"/>
    <xf numFmtId="0" fontId="65" fillId="18" borderId="0" applyNumberFormat="0" applyBorder="0" applyAlignment="0" applyProtection="0"/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8" fillId="19" borderId="0" applyNumberFormat="0" applyBorder="0" applyAlignment="0" applyProtection="0"/>
    <xf numFmtId="0" fontId="68" fillId="16" borderId="0" applyNumberFormat="0" applyBorder="0" applyAlignment="0" applyProtection="0"/>
    <xf numFmtId="0" fontId="68" fillId="17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2" borderId="0" applyNumberFormat="0" applyBorder="0" applyAlignment="0" applyProtection="0"/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68" fillId="23" borderId="0" applyNumberFormat="0" applyBorder="0" applyAlignment="0" applyProtection="0"/>
    <xf numFmtId="0" fontId="68" fillId="24" borderId="0" applyNumberFormat="0" applyBorder="0" applyAlignment="0" applyProtection="0"/>
    <xf numFmtId="0" fontId="68" fillId="25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6" borderId="0" applyNumberFormat="0" applyBorder="0" applyAlignment="0" applyProtection="0"/>
    <xf numFmtId="0" fontId="70" fillId="0" borderId="14" applyFill="0" applyBorder="0" applyAlignment="0">
      <alignment horizontal="center" wrapText="1"/>
    </xf>
    <xf numFmtId="0" fontId="70" fillId="0" borderId="14" applyFill="0" applyBorder="0" applyAlignment="0">
      <alignment horizontal="center" wrapText="1"/>
    </xf>
    <xf numFmtId="0" fontId="6" fillId="0" borderId="0"/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2" fillId="0" borderId="0">
      <alignment horizontal="center" wrapText="1"/>
      <protection locked="0"/>
    </xf>
    <xf numFmtId="0" fontId="73" fillId="10" borderId="0" applyNumberFormat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197" fontId="27" fillId="0" borderId="0" applyFill="0" applyBorder="0" applyAlignment="0"/>
    <xf numFmtId="0" fontId="19" fillId="0" borderId="0" applyFill="0" applyBorder="0" applyAlignment="0"/>
    <xf numFmtId="198" fontId="27" fillId="0" borderId="0" applyFill="0" applyBorder="0" applyAlignment="0"/>
    <xf numFmtId="0" fontId="19" fillId="0" borderId="0" applyFill="0" applyBorder="0" applyAlignment="0"/>
    <xf numFmtId="199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49" fontId="77" fillId="0" borderId="0">
      <alignment horizontal="right" vertical="top"/>
    </xf>
    <xf numFmtId="0" fontId="78" fillId="28" borderId="22" applyNumberFormat="0" applyAlignment="0" applyProtection="0"/>
    <xf numFmtId="0" fontId="79" fillId="0" borderId="17" applyNumberFormat="0" applyFill="0" applyProtection="0">
      <alignment horizontal="center"/>
    </xf>
    <xf numFmtId="202" fontId="80" fillId="0" borderId="0" applyFont="0" applyFill="0" applyBorder="0" applyAlignment="0" applyProtection="0"/>
    <xf numFmtId="196" fontId="6" fillId="0" borderId="0" applyFont="0" applyFill="0" applyBorder="0" applyAlignment="0" applyProtection="0"/>
    <xf numFmtId="200" fontId="27" fillId="0" borderId="0" applyFont="0" applyFill="0" applyBorder="0" applyAlignment="0" applyProtection="0"/>
    <xf numFmtId="37" fontId="62" fillId="0" borderId="0" applyFont="0" applyFill="0" applyBorder="0" applyAlignment="0" applyProtection="0"/>
    <xf numFmtId="203" fontId="62" fillId="0" borderId="0" applyFont="0" applyFill="0" applyBorder="0" applyAlignment="0" applyProtection="0"/>
    <xf numFmtId="39" fontId="62" fillId="0" borderId="0" applyFont="0" applyFill="0" applyBorder="0" applyAlignment="0" applyProtection="0"/>
    <xf numFmtId="204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Alignment="0">
      <alignment horizontal="left"/>
    </xf>
    <xf numFmtId="205" fontId="80" fillId="0" borderId="0" applyFont="0" applyFill="0" applyBorder="0" applyAlignment="0" applyProtection="0"/>
    <xf numFmtId="184" fontId="75" fillId="0" borderId="0" applyFont="0" applyFill="0" applyBorder="0" applyAlignment="0" applyProtection="0"/>
    <xf numFmtId="195" fontId="27" fillId="0" borderId="0" applyFont="0" applyFill="0" applyBorder="0" applyAlignment="0" applyProtection="0"/>
    <xf numFmtId="194" fontId="62" fillId="0" borderId="0" applyFont="0" applyFill="0" applyBorder="0" applyAlignment="0" applyProtection="0"/>
    <xf numFmtId="206" fontId="62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14" applyFill="0" applyBorder="0" applyAlignment="0">
      <alignment horizontal="center" wrapText="1"/>
    </xf>
    <xf numFmtId="0" fontId="83" fillId="0" borderId="14" applyFill="0" applyBorder="0" applyAlignment="0">
      <alignment horizontal="center" wrapText="1"/>
    </xf>
    <xf numFmtId="14" fontId="19" fillId="0" borderId="0"/>
    <xf numFmtId="14" fontId="12" fillId="0" borderId="0" applyFill="0" applyBorder="0" applyAlignment="0"/>
    <xf numFmtId="0" fontId="84" fillId="0" borderId="14" applyFill="0" applyBorder="0" applyAlignment="0">
      <alignment horizontal="center"/>
    </xf>
    <xf numFmtId="0" fontId="84" fillId="0" borderId="14" applyFill="0" applyBorder="0" applyAlignment="0">
      <alignment horizontal="center"/>
    </xf>
    <xf numFmtId="17" fontId="27" fillId="0" borderId="0" applyNumberFormat="0" applyFont="0" applyFill="0" applyBorder="0" applyAlignment="0" applyProtection="0">
      <alignment horizontal="right"/>
    </xf>
    <xf numFmtId="0" fontId="85" fillId="0" borderId="0"/>
    <xf numFmtId="0" fontId="77" fillId="0" borderId="0"/>
    <xf numFmtId="0" fontId="85" fillId="0" borderId="0">
      <alignment horizontal="centerContinuous"/>
    </xf>
    <xf numFmtId="0" fontId="77" fillId="0" borderId="0">
      <alignment horizontal="centerContinuous"/>
    </xf>
    <xf numFmtId="0" fontId="85" fillId="1" borderId="0">
      <alignment horizontal="centerContinuous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86" fillId="0" borderId="0" applyNumberFormat="0" applyAlignment="0">
      <alignment horizontal="left"/>
    </xf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5" fillId="0" borderId="0">
      <alignment vertical="center"/>
    </xf>
    <xf numFmtId="0" fontId="90" fillId="11" borderId="0" applyNumberFormat="0" applyBorder="0" applyAlignment="0" applyProtection="0"/>
    <xf numFmtId="0" fontId="91" fillId="0" borderId="0"/>
    <xf numFmtId="0" fontId="15" fillId="7" borderId="0"/>
    <xf numFmtId="0" fontId="15" fillId="7" borderId="0"/>
    <xf numFmtId="0" fontId="15" fillId="7" borderId="0"/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14" fontId="92" fillId="4" borderId="9">
      <alignment horizontal="center" vertical="center" wrapText="1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93" fillId="0" borderId="23" applyNumberFormat="0" applyFill="0" applyAlignment="0" applyProtection="0"/>
    <xf numFmtId="0" fontId="93" fillId="0" borderId="0" applyNumberFormat="0" applyFill="0" applyBorder="0" applyAlignment="0" applyProtection="0"/>
    <xf numFmtId="0" fontId="94" fillId="0" borderId="9">
      <alignment horizontal="center"/>
    </xf>
    <xf numFmtId="0" fontId="94" fillId="0" borderId="0">
      <alignment horizontal="center"/>
    </xf>
    <xf numFmtId="0" fontId="95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center"/>
    </xf>
    <xf numFmtId="0" fontId="97" fillId="0" borderId="0">
      <alignment vertical="center"/>
    </xf>
    <xf numFmtId="0" fontId="98" fillId="14" borderId="21" applyNumberFormat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9" fillId="0" borderId="13" applyFill="0" applyBorder="0">
      <alignment horizontal="center"/>
    </xf>
    <xf numFmtId="0" fontId="16" fillId="0" borderId="0" applyFont="0" applyAlignment="0">
      <alignment horizontal="justify" vertical="top" wrapText="1"/>
    </xf>
    <xf numFmtId="0" fontId="100" fillId="0" borderId="14" applyFill="0" applyBorder="0" applyAlignment="0">
      <alignment horizontal="center"/>
    </xf>
    <xf numFmtId="0" fontId="100" fillId="0" borderId="14" applyFill="0" applyBorder="0" applyAlignment="0">
      <alignment horizontal="center"/>
    </xf>
    <xf numFmtId="0" fontId="101" fillId="0" borderId="14" applyFill="0" applyBorder="0" applyAlignment="0">
      <alignment horizontal="center" wrapText="1"/>
    </xf>
    <xf numFmtId="0" fontId="101" fillId="0" borderId="14" applyFill="0" applyBorder="0" applyAlignment="0">
      <alignment horizontal="center" wrapText="1"/>
    </xf>
    <xf numFmtId="0" fontId="102" fillId="0" borderId="14" applyFill="0" applyBorder="0">
      <alignment horizontal="center" wrapText="1"/>
    </xf>
    <xf numFmtId="0" fontId="102" fillId="0" borderId="14" applyFill="0" applyBorder="0">
      <alignment horizontal="center" wrapText="1"/>
    </xf>
    <xf numFmtId="0" fontId="53" fillId="0" borderId="0">
      <alignment vertical="top"/>
    </xf>
    <xf numFmtId="207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left" vertical="center"/>
    </xf>
    <xf numFmtId="49" fontId="28" fillId="0" borderId="0">
      <alignment horizontal="left"/>
    </xf>
    <xf numFmtId="49" fontId="28" fillId="0" borderId="0">
      <alignment horizontal="left" vertical="top"/>
    </xf>
    <xf numFmtId="49" fontId="28" fillId="0" borderId="0">
      <alignment vertical="center"/>
    </xf>
    <xf numFmtId="49" fontId="28" fillId="29" borderId="0">
      <alignment horizontal="centerContinuous" vertical="center"/>
    </xf>
    <xf numFmtId="49" fontId="85" fillId="0" borderId="0">
      <alignment horizontal="left" vertical="center"/>
    </xf>
    <xf numFmtId="49" fontId="77" fillId="0" borderId="0">
      <alignment horizontal="left" vertical="center"/>
    </xf>
    <xf numFmtId="0" fontId="20" fillId="0" borderId="0"/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103" fillId="0" borderId="24" applyNumberFormat="0" applyFill="0" applyAlignment="0" applyProtection="0"/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208" fontId="5" fillId="0" borderId="0" applyFont="0" applyFill="0" applyBorder="0" applyAlignment="0" applyProtection="0"/>
    <xf numFmtId="4" fontId="27" fillId="0" borderId="0" applyFont="0" applyFill="0" applyBorder="0" applyAlignment="0" applyProtection="0"/>
    <xf numFmtId="209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211" fontId="27" fillId="0" borderId="0" applyFont="0" applyFill="0" applyBorder="0" applyAlignment="0" applyProtection="0"/>
    <xf numFmtId="212" fontId="19" fillId="0" borderId="0" applyFont="0" applyFill="0" applyBorder="0" applyAlignment="0" applyProtection="0"/>
    <xf numFmtId="213" fontId="19" fillId="0" borderId="0" applyFont="0" applyFill="0" applyBorder="0" applyAlignment="0" applyProtection="0"/>
    <xf numFmtId="0" fontId="53" fillId="0" borderId="0"/>
    <xf numFmtId="0" fontId="28" fillId="0" borderId="0" applyNumberFormat="0" applyFont="0" applyBorder="0" applyProtection="0">
      <alignment vertical="center"/>
    </xf>
    <xf numFmtId="0" fontId="104" fillId="30" borderId="0" applyNumberFormat="0" applyBorder="0" applyAlignment="0" applyProtection="0"/>
    <xf numFmtId="193" fontId="67" fillId="0" borderId="0">
      <alignment horizontal="right"/>
    </xf>
    <xf numFmtId="179" fontId="18" fillId="0" borderId="0"/>
    <xf numFmtId="178" fontId="5" fillId="0" borderId="0"/>
    <xf numFmtId="214" fontId="8" fillId="0" borderId="0"/>
    <xf numFmtId="0" fontId="19" fillId="0" borderId="0"/>
    <xf numFmtId="0" fontId="20" fillId="0" borderId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105" fillId="0" borderId="11" applyNumberFormat="0" applyFont="0" applyFill="0" applyBorder="0">
      <alignment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215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0" fontId="91" fillId="0" borderId="0"/>
    <xf numFmtId="0" fontId="91" fillId="0" borderId="0"/>
    <xf numFmtId="0" fontId="8" fillId="0" borderId="0"/>
    <xf numFmtId="0" fontId="19" fillId="0" borderId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14" fontId="72" fillId="0" borderId="0">
      <alignment horizontal="center" wrapText="1"/>
      <protection locked="0"/>
    </xf>
    <xf numFmtId="216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99" fontId="27" fillId="0" borderId="0" applyFont="0" applyFill="0" applyBorder="0" applyAlignment="0" applyProtection="0"/>
    <xf numFmtId="204" fontId="19" fillId="0" borderId="0" applyFont="0" applyFill="0" applyBorder="0" applyAlignment="0" applyProtection="0"/>
    <xf numFmtId="21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77" fillId="0" borderId="0">
      <alignment horizontal="left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4" fontId="27" fillId="0" borderId="0">
      <alignment horizontal="right"/>
    </xf>
    <xf numFmtId="200" fontId="108" fillId="0" borderId="0"/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0" fontId="20" fillId="32" borderId="0" applyNumberFormat="0" applyFont="0" applyBorder="0" applyAlignment="0" applyProtection="0"/>
    <xf numFmtId="49" fontId="85" fillId="0" borderId="0">
      <alignment horizontal="right" vertical="center"/>
    </xf>
    <xf numFmtId="49" fontId="77" fillId="0" borderId="0">
      <alignment horizontal="right" vertical="center"/>
    </xf>
    <xf numFmtId="0" fontId="109" fillId="0" borderId="0"/>
    <xf numFmtId="0" fontId="110" fillId="33" borderId="0" applyNumberFormat="0" applyFont="0" applyBorder="0" applyAlignment="0">
      <alignment horizontal="center"/>
    </xf>
    <xf numFmtId="30" fontId="111" fillId="0" borderId="0" applyNumberFormat="0" applyFill="0" applyBorder="0" applyAlignment="0" applyProtection="0">
      <alignment horizontal="left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2" fillId="0" borderId="0" applyNumberFormat="0" applyFill="0" applyBorder="0" applyAlignment="0">
      <alignment horizontal="center"/>
    </xf>
    <xf numFmtId="0" fontId="113" fillId="34" borderId="0">
      <alignment horizontal="left" vertical="top"/>
    </xf>
    <xf numFmtId="0" fontId="14" fillId="0" borderId="0" applyNumberFormat="0" applyFill="0" applyBorder="0" applyProtection="0">
      <alignment horizontal="left" vertical="top" wrapText="1"/>
    </xf>
    <xf numFmtId="40" fontId="114" fillId="0" borderId="0" applyBorder="0">
      <alignment horizontal="right"/>
    </xf>
    <xf numFmtId="0" fontId="115" fillId="0" borderId="0" applyNumberFormat="0" applyFill="0" applyBorder="0"/>
    <xf numFmtId="49" fontId="12" fillId="0" borderId="0" applyFill="0" applyBorder="0" applyAlignment="0"/>
    <xf numFmtId="0" fontId="19" fillId="0" borderId="0" applyFill="0" applyBorder="0" applyAlignment="0"/>
    <xf numFmtId="217" fontId="27" fillId="0" borderId="0" applyFill="0" applyBorder="0" applyAlignment="0"/>
    <xf numFmtId="0" fontId="19" fillId="0" borderId="0" applyFill="0" applyBorder="0" applyAlignment="0"/>
    <xf numFmtId="218" fontId="27" fillId="0" borderId="0" applyFill="0" applyBorder="0" applyAlignment="0"/>
    <xf numFmtId="0" fontId="70" fillId="0" borderId="0" applyFill="0" applyBorder="0" applyProtection="0">
      <alignment horizontal="left" vertical="top"/>
    </xf>
    <xf numFmtId="0" fontId="53" fillId="0" borderId="0">
      <alignment vertical="top"/>
    </xf>
    <xf numFmtId="0" fontId="81" fillId="0" borderId="0" applyNumberFormat="0" applyFill="0" applyBorder="0" applyAlignment="0" applyProtection="0"/>
    <xf numFmtId="0" fontId="31" fillId="0" borderId="0"/>
    <xf numFmtId="0" fontId="30" fillId="0" borderId="0">
      <protection locked="0"/>
    </xf>
    <xf numFmtId="0" fontId="116" fillId="0" borderId="0" applyNumberFormat="0" applyFill="0" applyBorder="0" applyAlignment="0" applyProtection="0"/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0" applyProtection="0"/>
    <xf numFmtId="0" fontId="71" fillId="0" borderId="0" applyFill="0" applyBorder="0" applyProtection="0"/>
    <xf numFmtId="0" fontId="27" fillId="0" borderId="0"/>
    <xf numFmtId="0" fontId="3" fillId="0" borderId="27">
      <alignment vertical="center"/>
    </xf>
    <xf numFmtId="6" fontId="14" fillId="0" borderId="0" applyFont="0" applyFill="0" applyBorder="0" applyAlignment="0" applyProtection="0"/>
    <xf numFmtId="0" fontId="5" fillId="0" borderId="0"/>
    <xf numFmtId="0" fontId="118" fillId="0" borderId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56" fontId="2" fillId="0" borderId="0" applyNumberForma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219" fontId="42" fillId="0" borderId="0" applyFont="0" applyFill="0" applyBorder="0" applyAlignment="0" applyProtection="0"/>
    <xf numFmtId="220" fontId="42" fillId="0" borderId="0" applyFont="0" applyFill="0" applyBorder="0" applyAlignment="0" applyProtection="0">
      <alignment vertical="top"/>
    </xf>
    <xf numFmtId="221" fontId="4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center"/>
    </xf>
    <xf numFmtId="49" fontId="28" fillId="0" borderId="0">
      <alignment horizontal="left"/>
    </xf>
    <xf numFmtId="49" fontId="28" fillId="0" borderId="15">
      <alignment horizontal="left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31" fillId="0" borderId="0" applyNumberFormat="0" applyFont="0" applyBorder="0" applyAlignment="0" applyProtection="0"/>
    <xf numFmtId="0" fontId="28" fillId="0" borderId="0"/>
    <xf numFmtId="0" fontId="8" fillId="0" borderId="0"/>
    <xf numFmtId="0" fontId="8" fillId="0" borderId="0"/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41" fillId="0" borderId="0">
      <alignment vertical="center"/>
    </xf>
    <xf numFmtId="0" fontId="31" fillId="0" borderId="0">
      <alignment vertical="top"/>
    </xf>
    <xf numFmtId="0" fontId="5" fillId="0" borderId="28"/>
    <xf numFmtId="0" fontId="5" fillId="0" borderId="28"/>
    <xf numFmtId="0" fontId="31" fillId="0" borderId="0">
      <alignment vertical="top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6" fillId="0" borderId="0"/>
    <xf numFmtId="49" fontId="5" fillId="0" borderId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43" fontId="129" fillId="0" borderId="0" applyFont="0" applyFill="0" applyBorder="0" applyAlignment="0" applyProtection="0"/>
    <xf numFmtId="41" fontId="129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41" fillId="0" borderId="0" applyFont="0" applyFill="0" applyBorder="0" applyAlignment="0" applyProtection="0">
      <alignment vertical="center"/>
    </xf>
    <xf numFmtId="38" fontId="32" fillId="0" borderId="0" applyFont="0" applyFill="0" applyBorder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0"/>
    <xf numFmtId="0" fontId="134" fillId="0" borderId="0" applyFill="0" applyBorder="0" applyProtection="0"/>
    <xf numFmtId="0" fontId="133" fillId="0" borderId="0"/>
    <xf numFmtId="0" fontId="135" fillId="0" borderId="0">
      <alignment horizontal="center"/>
    </xf>
    <xf numFmtId="0" fontId="136" fillId="0" borderId="0"/>
    <xf numFmtId="0" fontId="137" fillId="0" borderId="0"/>
    <xf numFmtId="0" fontId="138" fillId="0" borderId="0"/>
    <xf numFmtId="0" fontId="139" fillId="0" borderId="0"/>
    <xf numFmtId="0" fontId="140" fillId="0" borderId="0"/>
    <xf numFmtId="14" fontId="141" fillId="0" borderId="0">
      <alignment horizontal="right" vertical="center" wrapText="1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26" fillId="0" borderId="0" applyBorder="0">
      <alignment vertical="center"/>
    </xf>
    <xf numFmtId="0" fontId="5" fillId="0" borderId="0">
      <alignment vertical="center"/>
    </xf>
    <xf numFmtId="0" fontId="5" fillId="0" borderId="0">
      <alignment vertical="center"/>
    </xf>
    <xf numFmtId="222" fontId="71" fillId="0" borderId="0">
      <alignment vertical="center"/>
    </xf>
    <xf numFmtId="223" fontId="71" fillId="0" borderId="0" applyFont="0" applyFill="0" applyBorder="0" applyProtection="0">
      <alignment vertical="center"/>
    </xf>
    <xf numFmtId="0" fontId="144" fillId="0" borderId="0" applyFont="0"/>
    <xf numFmtId="0" fontId="5" fillId="0" borderId="0">
      <alignment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183" fontId="8" fillId="0" borderId="0"/>
    <xf numFmtId="183" fontId="8" fillId="0" borderId="0"/>
    <xf numFmtId="224" fontId="3" fillId="0" borderId="0" applyFill="0" applyBorder="0"/>
    <xf numFmtId="225" fontId="3" fillId="0" borderId="0" applyFill="0" applyBorder="0"/>
    <xf numFmtId="185" fontId="5" fillId="0" borderId="0" applyFont="0" applyFill="0" applyBorder="0" applyProtection="0">
      <alignment vertical="center"/>
    </xf>
    <xf numFmtId="185" fontId="5" fillId="0" borderId="0" applyFont="0" applyFill="0" applyBorder="0" applyProtection="0">
      <alignment vertical="center"/>
    </xf>
    <xf numFmtId="49" fontId="3" fillId="34" borderId="32">
      <alignment horizontal="center"/>
    </xf>
    <xf numFmtId="226" fontId="3" fillId="34" borderId="32">
      <alignment horizontal="right"/>
    </xf>
    <xf numFmtId="14" fontId="3" fillId="34" borderId="0" applyBorder="0">
      <alignment horizontal="center"/>
    </xf>
    <xf numFmtId="49" fontId="3" fillId="0" borderId="32"/>
    <xf numFmtId="0" fontId="28" fillId="0" borderId="0" applyNumberFormat="0" applyFont="0" applyFill="0" applyBorder="0">
      <alignment horizontal="left" vertical="top" wrapText="1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0" borderId="0">
      <alignment vertical="center"/>
    </xf>
    <xf numFmtId="227" fontId="5" fillId="0" borderId="0" applyFont="0" applyFill="0" applyBorder="0" applyAlignment="0" applyProtection="0"/>
    <xf numFmtId="228" fontId="5" fillId="0" borderId="0" applyFont="0" applyFill="0" applyBorder="0" applyAlignment="0" applyProtection="0"/>
    <xf numFmtId="0" fontId="105" fillId="0" borderId="9"/>
    <xf numFmtId="0" fontId="34" fillId="0" borderId="0">
      <alignment vertical="center"/>
    </xf>
    <xf numFmtId="0" fontId="30" fillId="0" borderId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53" fillId="0" borderId="0">
      <alignment horizontal="center" vertical="center"/>
    </xf>
    <xf numFmtId="8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105" fillId="0" borderId="9"/>
    <xf numFmtId="229" fontId="126" fillId="0" borderId="0" applyBorder="0">
      <alignment horizontal="center" vertical="center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0"/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14" fontId="3" fillId="0" borderId="0" applyFill="0" applyBorder="0"/>
    <xf numFmtId="0" fontId="20" fillId="0" borderId="0"/>
    <xf numFmtId="0" fontId="5" fillId="0" borderId="0"/>
    <xf numFmtId="0" fontId="5" fillId="0" borderId="0"/>
    <xf numFmtId="0" fontId="32" fillId="0" borderId="0"/>
    <xf numFmtId="0" fontId="66" fillId="0" borderId="0"/>
    <xf numFmtId="0" fontId="148" fillId="0" borderId="0">
      <alignment vertical="center"/>
    </xf>
    <xf numFmtId="0" fontId="42" fillId="0" borderId="0">
      <alignment horizontal="left" vertical="top"/>
    </xf>
    <xf numFmtId="0" fontId="6" fillId="0" borderId="0"/>
    <xf numFmtId="0" fontId="149" fillId="0" borderId="0">
      <alignment vertical="center"/>
    </xf>
    <xf numFmtId="0" fontId="5" fillId="0" borderId="0"/>
    <xf numFmtId="0" fontId="150" fillId="0" borderId="0">
      <alignment vertical="center"/>
    </xf>
    <xf numFmtId="0" fontId="32" fillId="0" borderId="0">
      <alignment vertical="center"/>
    </xf>
    <xf numFmtId="0" fontId="150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129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5" fillId="0" borderId="0"/>
    <xf numFmtId="0" fontId="41" fillId="0" borderId="0"/>
    <xf numFmtId="0" fontId="66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1" fillId="0" borderId="0">
      <alignment vertical="center"/>
    </xf>
    <xf numFmtId="0" fontId="32" fillId="0" borderId="0">
      <alignment vertical="center"/>
    </xf>
    <xf numFmtId="0" fontId="32" fillId="0" borderId="0"/>
    <xf numFmtId="0" fontId="5" fillId="0" borderId="0"/>
    <xf numFmtId="0" fontId="5" fillId="0" borderId="0"/>
    <xf numFmtId="0" fontId="5" fillId="0" borderId="0"/>
    <xf numFmtId="0" fontId="66" fillId="0" borderId="0">
      <alignment vertical="center"/>
    </xf>
    <xf numFmtId="0" fontId="148" fillId="0" borderId="0">
      <alignment vertical="center"/>
    </xf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32" fillId="0" borderId="0"/>
    <xf numFmtId="0" fontId="66" fillId="0" borderId="0"/>
    <xf numFmtId="0" fontId="32" fillId="0" borderId="0"/>
    <xf numFmtId="0" fontId="66" fillId="0" borderId="0"/>
    <xf numFmtId="0" fontId="28" fillId="0" borderId="0">
      <alignment vertical="top" wrapText="1"/>
    </xf>
    <xf numFmtId="49" fontId="53" fillId="0" borderId="0">
      <alignment vertical="center" wrapText="1"/>
    </xf>
    <xf numFmtId="0" fontId="151" fillId="0" borderId="0"/>
    <xf numFmtId="230" fontId="28" fillId="0" borderId="0"/>
    <xf numFmtId="0" fontId="28" fillId="0" borderId="0">
      <alignment horizontal="centerContinuous" vertical="center"/>
    </xf>
    <xf numFmtId="0" fontId="8" fillId="0" borderId="0"/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6" fillId="0" borderId="0" applyNumberFormat="0" applyFill="0" applyBorder="0" applyAlignment="0"/>
    <xf numFmtId="0" fontId="31" fillId="0" borderId="18" applyBorder="0">
      <alignment vertical="top"/>
    </xf>
    <xf numFmtId="0" fontId="152" fillId="0" borderId="0" applyNumberFormat="0" applyFill="0" applyBorder="0" applyAlignment="0" applyProtection="0">
      <alignment vertical="top"/>
      <protection locked="0"/>
    </xf>
    <xf numFmtId="0" fontId="31" fillId="6" borderId="0" applyNumberFormat="0" applyAlignment="0"/>
    <xf numFmtId="0" fontId="152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49" fontId="30" fillId="0" borderId="0">
      <alignment horizontal="center" vertical="center"/>
    </xf>
    <xf numFmtId="0" fontId="154" fillId="0" borderId="12">
      <alignment horizontal="left"/>
      <protection locked="0"/>
    </xf>
    <xf numFmtId="0" fontId="31" fillId="0" borderId="0"/>
    <xf numFmtId="0" fontId="155" fillId="0" borderId="0"/>
    <xf numFmtId="0" fontId="156" fillId="0" borderId="0"/>
    <xf numFmtId="0" fontId="34" fillId="0" borderId="0"/>
    <xf numFmtId="0" fontId="34" fillId="0" borderId="0"/>
    <xf numFmtId="0" fontId="35" fillId="0" borderId="0"/>
    <xf numFmtId="1" fontId="35" fillId="0" borderId="0"/>
    <xf numFmtId="0" fontId="28" fillId="0" borderId="0"/>
    <xf numFmtId="0" fontId="6" fillId="0" borderId="0"/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28" fillId="0" borderId="0">
      <alignment horizontal="centerContinuous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33">
      <alignment horizontal="left" vertical="center"/>
    </xf>
    <xf numFmtId="0" fontId="37" fillId="0" borderId="0" applyFill="0" applyBorder="0" applyAlignment="0"/>
    <xf numFmtId="0" fontId="36" fillId="0" borderId="34" applyNumberFormat="0" applyAlignment="0" applyProtection="0"/>
    <xf numFmtId="0" fontId="38" fillId="0" borderId="0"/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</cellStyleXfs>
  <cellXfs count="183">
    <xf numFmtId="0" fontId="0" fillId="0" borderId="0" xfId="0"/>
    <xf numFmtId="0" fontId="162" fillId="0" borderId="0" xfId="0" applyFont="1"/>
    <xf numFmtId="0" fontId="162" fillId="37" borderId="47" xfId="0" applyFont="1" applyFill="1" applyBorder="1"/>
    <xf numFmtId="0" fontId="162" fillId="37" borderId="35" xfId="0" applyFont="1" applyFill="1" applyBorder="1"/>
    <xf numFmtId="0" fontId="162" fillId="37" borderId="44" xfId="0" applyFont="1" applyFill="1" applyBorder="1"/>
    <xf numFmtId="0" fontId="162" fillId="37" borderId="15" xfId="0" applyFont="1" applyFill="1" applyBorder="1"/>
    <xf numFmtId="0" fontId="162" fillId="37" borderId="0" xfId="0" applyFont="1" applyFill="1" applyBorder="1"/>
    <xf numFmtId="0" fontId="162" fillId="37" borderId="36" xfId="0" applyFont="1" applyFill="1" applyBorder="1"/>
    <xf numFmtId="0" fontId="162" fillId="37" borderId="0" xfId="0" applyFont="1" applyFill="1" applyBorder="1" applyAlignment="1">
      <alignment horizontal="right"/>
    </xf>
    <xf numFmtId="0" fontId="162" fillId="37" borderId="0" xfId="0" applyFont="1" applyFill="1" applyBorder="1" applyAlignment="1">
      <alignment horizontal="left"/>
    </xf>
    <xf numFmtId="0" fontId="162" fillId="37" borderId="12" xfId="0" applyFont="1" applyFill="1" applyBorder="1"/>
    <xf numFmtId="0" fontId="162" fillId="37" borderId="17" xfId="0" applyFont="1" applyFill="1" applyBorder="1"/>
    <xf numFmtId="0" fontId="162" fillId="37" borderId="45" xfId="0" applyFont="1" applyFill="1" applyBorder="1"/>
    <xf numFmtId="0" fontId="162" fillId="37" borderId="48" xfId="0" applyFont="1" applyFill="1" applyBorder="1"/>
    <xf numFmtId="0" fontId="162" fillId="37" borderId="49" xfId="0" applyFont="1" applyFill="1" applyBorder="1"/>
    <xf numFmtId="0" fontId="162" fillId="37" borderId="50" xfId="0" applyFont="1" applyFill="1" applyBorder="1"/>
    <xf numFmtId="0" fontId="162" fillId="37" borderId="51" xfId="0" applyFont="1" applyFill="1" applyBorder="1"/>
    <xf numFmtId="0" fontId="162" fillId="37" borderId="52" xfId="0" applyFont="1" applyFill="1" applyBorder="1"/>
    <xf numFmtId="0" fontId="162" fillId="37" borderId="53" xfId="0" applyFont="1" applyFill="1" applyBorder="1"/>
    <xf numFmtId="0" fontId="162" fillId="37" borderId="54" xfId="0" applyFont="1" applyFill="1" applyBorder="1"/>
    <xf numFmtId="0" fontId="162" fillId="37" borderId="55" xfId="0" applyFont="1" applyFill="1" applyBorder="1"/>
    <xf numFmtId="0" fontId="162" fillId="37" borderId="56" xfId="0" applyFont="1" applyFill="1" applyBorder="1"/>
    <xf numFmtId="0" fontId="162" fillId="38" borderId="4" xfId="0" applyFont="1" applyFill="1" applyBorder="1"/>
    <xf numFmtId="0" fontId="162" fillId="38" borderId="16" xfId="0" applyFont="1" applyFill="1" applyBorder="1"/>
    <xf numFmtId="0" fontId="162" fillId="38" borderId="10" xfId="0" applyFont="1" applyFill="1" applyBorder="1"/>
    <xf numFmtId="0" fontId="162" fillId="38" borderId="15" xfId="0" applyFont="1" applyFill="1" applyBorder="1"/>
    <xf numFmtId="0" fontId="162" fillId="38" borderId="0" xfId="0" applyFont="1" applyFill="1" applyBorder="1"/>
    <xf numFmtId="0" fontId="162" fillId="38" borderId="36" xfId="0" applyFont="1" applyFill="1" applyBorder="1"/>
    <xf numFmtId="0" fontId="162" fillId="38" borderId="12" xfId="0" applyFont="1" applyFill="1" applyBorder="1"/>
    <xf numFmtId="0" fontId="162" fillId="38" borderId="17" xfId="0" applyFont="1" applyFill="1" applyBorder="1"/>
    <xf numFmtId="0" fontId="162" fillId="38" borderId="45" xfId="0" applyFont="1" applyFill="1" applyBorder="1"/>
    <xf numFmtId="0" fontId="162" fillId="36" borderId="4" xfId="0" applyFont="1" applyFill="1" applyBorder="1"/>
    <xf numFmtId="0" fontId="162" fillId="36" borderId="16" xfId="0" applyFont="1" applyFill="1" applyBorder="1"/>
    <xf numFmtId="0" fontId="162" fillId="36" borderId="10" xfId="0" applyFont="1" applyFill="1" applyBorder="1"/>
    <xf numFmtId="0" fontId="162" fillId="36" borderId="15" xfId="0" applyFont="1" applyFill="1" applyBorder="1"/>
    <xf numFmtId="0" fontId="162" fillId="36" borderId="0" xfId="0" applyFont="1" applyFill="1" applyBorder="1"/>
    <xf numFmtId="0" fontId="162" fillId="36" borderId="36" xfId="0" applyFont="1" applyFill="1" applyBorder="1"/>
    <xf numFmtId="0" fontId="162" fillId="36" borderId="12" xfId="0" applyFont="1" applyFill="1" applyBorder="1"/>
    <xf numFmtId="0" fontId="162" fillId="36" borderId="17" xfId="0" applyFont="1" applyFill="1" applyBorder="1"/>
    <xf numFmtId="0" fontId="162" fillId="36" borderId="45" xfId="0" applyFont="1" applyFill="1" applyBorder="1"/>
    <xf numFmtId="0" fontId="162" fillId="38" borderId="35" xfId="0" applyFont="1" applyFill="1" applyBorder="1"/>
    <xf numFmtId="0" fontId="162" fillId="36" borderId="35" xfId="0" applyFont="1" applyFill="1" applyBorder="1"/>
    <xf numFmtId="176" fontId="41" fillId="2" borderId="57" xfId="0" applyNumberFormat="1" applyFont="1" applyFill="1" applyBorder="1" applyAlignment="1">
      <alignment horizontal="center" vertical="center"/>
    </xf>
    <xf numFmtId="176" fontId="41" fillId="2" borderId="46" xfId="0" applyNumberFormat="1" applyFont="1" applyFill="1" applyBorder="1" applyAlignment="1">
      <alignment horizontal="center" vertical="center"/>
    </xf>
    <xf numFmtId="231" fontId="158" fillId="2" borderId="4" xfId="65" applyNumberFormat="1" applyFont="1" applyFill="1" applyBorder="1" applyAlignment="1">
      <alignment horizontal="center" vertical="center" wrapText="1"/>
    </xf>
    <xf numFmtId="0" fontId="158" fillId="2" borderId="5" xfId="6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0" fontId="41" fillId="2" borderId="37" xfId="65" applyFont="1" applyFill="1" applyBorder="1" applyAlignment="1">
      <alignment horizontal="center" vertical="center" wrapText="1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0" fontId="3" fillId="34" borderId="37" xfId="0" applyFont="1" applyFill="1" applyBorder="1" applyAlignment="1">
      <alignment horizontal="center" vertical="center"/>
    </xf>
    <xf numFmtId="0" fontId="40" fillId="34" borderId="37" xfId="0" applyFont="1" applyFill="1" applyBorder="1" applyAlignment="1">
      <alignment horizontal="center" vertical="center"/>
    </xf>
    <xf numFmtId="231" fontId="3" fillId="34" borderId="37" xfId="0" applyNumberFormat="1" applyFont="1" applyFill="1" applyBorder="1" applyAlignment="1">
      <alignment horizontal="center" vertical="center"/>
    </xf>
    <xf numFmtId="0" fontId="3" fillId="40" borderId="37" xfId="0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left" vertical="center"/>
    </xf>
    <xf numFmtId="0" fontId="3" fillId="8" borderId="37" xfId="0" applyFont="1" applyFill="1" applyBorder="1" applyAlignment="1">
      <alignment horizontal="center" vertical="center"/>
    </xf>
    <xf numFmtId="231" fontId="3" fillId="40" borderId="37" xfId="0" applyNumberFormat="1" applyFont="1" applyFill="1" applyBorder="1" applyAlignment="1">
      <alignment horizontal="center" vertical="center"/>
    </xf>
    <xf numFmtId="176" fontId="3" fillId="8" borderId="37" xfId="0" applyNumberFormat="1" applyFont="1" applyFill="1" applyBorder="1" applyAlignment="1">
      <alignment horizontal="center" vertical="center"/>
    </xf>
    <xf numFmtId="231" fontId="3" fillId="8" borderId="37" xfId="0" applyNumberFormat="1" applyFont="1" applyFill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41" borderId="37" xfId="0" applyFont="1" applyFill="1" applyBorder="1" applyAlignment="1">
      <alignment horizontal="center" vertical="center"/>
    </xf>
    <xf numFmtId="0" fontId="3" fillId="41" borderId="46" xfId="0" applyFont="1" applyFill="1" applyBorder="1" applyAlignment="1">
      <alignment horizontal="center" vertical="center"/>
    </xf>
    <xf numFmtId="0" fontId="3" fillId="42" borderId="37" xfId="0" applyFont="1" applyFill="1" applyBorder="1" applyAlignment="1">
      <alignment horizontal="center" vertical="center"/>
    </xf>
    <xf numFmtId="0" fontId="3" fillId="42" borderId="46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 vertical="center"/>
    </xf>
    <xf numFmtId="231" fontId="3" fillId="43" borderId="15" xfId="0" applyNumberFormat="1" applyFont="1" applyFill="1" applyBorder="1" applyAlignment="1">
      <alignment horizontal="center" vertical="center"/>
    </xf>
    <xf numFmtId="231" fontId="3" fillId="43" borderId="0" xfId="0" applyNumberFormat="1" applyFont="1" applyFill="1" applyBorder="1" applyAlignment="1">
      <alignment horizontal="center" vertical="center"/>
    </xf>
    <xf numFmtId="0" fontId="3" fillId="43" borderId="37" xfId="0" applyFont="1" applyFill="1" applyBorder="1" applyAlignment="1">
      <alignment horizontal="center" vertical="center"/>
    </xf>
    <xf numFmtId="231" fontId="3" fillId="2" borderId="0" xfId="0" applyNumberFormat="1" applyFont="1" applyFill="1" applyBorder="1" applyAlignment="1">
      <alignment horizontal="center" vertical="center"/>
    </xf>
    <xf numFmtId="0" fontId="164" fillId="42" borderId="37" xfId="0" applyFont="1" applyFill="1" applyBorder="1" applyAlignment="1">
      <alignment horizontal="center" vertical="center"/>
    </xf>
    <xf numFmtId="0" fontId="164" fillId="42" borderId="46" xfId="0" applyFont="1" applyFill="1" applyBorder="1" applyAlignment="1">
      <alignment horizontal="center" vertical="center"/>
    </xf>
    <xf numFmtId="0" fontId="164" fillId="3" borderId="37" xfId="0" applyFont="1" applyFill="1" applyBorder="1" applyAlignment="1">
      <alignment horizontal="center" vertical="center"/>
    </xf>
    <xf numFmtId="0" fontId="164" fillId="3" borderId="46" xfId="0" applyFont="1" applyFill="1" applyBorder="1" applyAlignment="1">
      <alignment horizontal="center" vertical="center"/>
    </xf>
    <xf numFmtId="0" fontId="3" fillId="44" borderId="0" xfId="0" applyFont="1" applyFill="1" applyBorder="1" applyAlignment="1">
      <alignment horizontal="center" vertical="center"/>
    </xf>
    <xf numFmtId="0" fontId="3" fillId="44" borderId="37" xfId="0" applyFont="1" applyFill="1" applyBorder="1" applyAlignment="1">
      <alignment horizontal="center" vertical="center"/>
    </xf>
    <xf numFmtId="0" fontId="164" fillId="45" borderId="58" xfId="0" applyFont="1" applyFill="1" applyBorder="1" applyAlignment="1">
      <alignment horizontal="center" vertical="center"/>
    </xf>
    <xf numFmtId="14" fontId="0" fillId="41" borderId="63" xfId="0" applyNumberFormat="1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9" fontId="0" fillId="0" borderId="59" xfId="0" applyNumberFormat="1" applyBorder="1" applyAlignment="1">
      <alignment horizontal="center" vertical="center"/>
    </xf>
    <xf numFmtId="9" fontId="0" fillId="0" borderId="60" xfId="0" applyNumberFormat="1" applyBorder="1" applyAlignment="1">
      <alignment horizontal="center" vertical="center"/>
    </xf>
    <xf numFmtId="0" fontId="0" fillId="42" borderId="42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231" fontId="165" fillId="34" borderId="37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120" fillId="46" borderId="61" xfId="0" applyNumberFormat="1" applyFont="1" applyFill="1" applyBorder="1" applyAlignment="1">
      <alignment horizontal="center" vertical="center"/>
    </xf>
    <xf numFmtId="14" fontId="0" fillId="3" borderId="63" xfId="0" applyNumberFormat="1" applyFill="1" applyBorder="1" applyAlignment="1">
      <alignment horizontal="center" vertical="center"/>
    </xf>
    <xf numFmtId="0" fontId="166" fillId="0" borderId="0" xfId="0" applyFont="1"/>
    <xf numFmtId="0" fontId="167" fillId="0" borderId="0" xfId="0" applyFont="1"/>
    <xf numFmtId="0" fontId="167" fillId="37" borderId="0" xfId="0" applyFont="1" applyFill="1" applyBorder="1"/>
    <xf numFmtId="0" fontId="167" fillId="37" borderId="0" xfId="0" applyFont="1" applyFill="1" applyBorder="1" applyAlignment="1">
      <alignment horizontal="left"/>
    </xf>
    <xf numFmtId="0" fontId="168" fillId="37" borderId="0" xfId="0" applyFont="1" applyFill="1" applyBorder="1" applyAlignment="1">
      <alignment horizontal="left"/>
    </xf>
    <xf numFmtId="0" fontId="167" fillId="36" borderId="0" xfId="0" applyFont="1" applyFill="1" applyBorder="1"/>
    <xf numFmtId="0" fontId="3" fillId="0" borderId="66" xfId="0" applyFont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0" fontId="3" fillId="0" borderId="74" xfId="0" applyFont="1" applyBorder="1" applyAlignment="1">
      <alignment horizontal="center" vertical="center"/>
    </xf>
    <xf numFmtId="0" fontId="3" fillId="0" borderId="75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/>
    </xf>
    <xf numFmtId="0" fontId="3" fillId="0" borderId="77" xfId="0" applyFont="1" applyBorder="1" applyAlignment="1">
      <alignment horizontal="center" vertical="center"/>
    </xf>
    <xf numFmtId="0" fontId="3" fillId="0" borderId="78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231" fontId="3" fillId="43" borderId="67" xfId="0" applyNumberFormat="1" applyFont="1" applyFill="1" applyBorder="1" applyAlignment="1">
      <alignment horizontal="center" vertical="center"/>
    </xf>
    <xf numFmtId="231" fontId="3" fillId="43" borderId="69" xfId="0" applyNumberFormat="1" applyFont="1" applyFill="1" applyBorder="1" applyAlignment="1">
      <alignment horizontal="center" vertical="center"/>
    </xf>
    <xf numFmtId="0" fontId="3" fillId="43" borderId="68" xfId="0" applyFont="1" applyFill="1" applyBorder="1" applyAlignment="1">
      <alignment horizontal="center" vertical="center"/>
    </xf>
    <xf numFmtId="0" fontId="3" fillId="43" borderId="70" xfId="0" applyFont="1" applyFill="1" applyBorder="1" applyAlignment="1">
      <alignment horizontal="center" vertical="center"/>
    </xf>
    <xf numFmtId="0" fontId="3" fillId="41" borderId="70" xfId="0" applyFont="1" applyFill="1" applyBorder="1" applyAlignment="1">
      <alignment horizontal="center" vertical="center"/>
    </xf>
    <xf numFmtId="0" fontId="3" fillId="41" borderId="73" xfId="0" applyFont="1" applyFill="1" applyBorder="1" applyAlignment="1">
      <alignment horizontal="center" vertical="center"/>
    </xf>
    <xf numFmtId="231" fontId="3" fillId="2" borderId="69" xfId="0" applyNumberFormat="1" applyFont="1" applyFill="1" applyBorder="1" applyAlignment="1">
      <alignment horizontal="center" vertical="center"/>
    </xf>
    <xf numFmtId="231" fontId="3" fillId="2" borderId="67" xfId="0" applyNumberFormat="1" applyFont="1" applyFill="1" applyBorder="1" applyAlignment="1">
      <alignment horizontal="center" vertical="center"/>
    </xf>
    <xf numFmtId="0" fontId="3" fillId="2" borderId="70" xfId="0" applyFont="1" applyFill="1" applyBorder="1" applyAlignment="1">
      <alignment horizontal="center" vertical="center"/>
    </xf>
    <xf numFmtId="0" fontId="3" fillId="2" borderId="68" xfId="0" applyFont="1" applyFill="1" applyBorder="1" applyAlignment="1">
      <alignment horizontal="center" vertical="center"/>
    </xf>
    <xf numFmtId="0" fontId="164" fillId="41" borderId="70" xfId="0" applyFont="1" applyFill="1" applyBorder="1" applyAlignment="1">
      <alignment horizontal="center" vertical="center"/>
    </xf>
    <xf numFmtId="0" fontId="164" fillId="41" borderId="73" xfId="0" applyFont="1" applyFill="1" applyBorder="1" applyAlignment="1">
      <alignment horizontal="center" vertical="center"/>
    </xf>
    <xf numFmtId="0" fontId="164" fillId="4" borderId="68" xfId="0" applyFont="1" applyFill="1" applyBorder="1" applyAlignment="1">
      <alignment horizontal="center" vertical="center"/>
    </xf>
    <xf numFmtId="0" fontId="164" fillId="4" borderId="72" xfId="0" applyFont="1" applyFill="1" applyBorder="1" applyAlignment="1">
      <alignment horizontal="center" vertical="center"/>
    </xf>
    <xf numFmtId="0" fontId="3" fillId="44" borderId="69" xfId="0" applyFont="1" applyFill="1" applyBorder="1" applyAlignment="1">
      <alignment horizontal="center" vertical="center"/>
    </xf>
    <xf numFmtId="0" fontId="3" fillId="44" borderId="67" xfId="0" applyFont="1" applyFill="1" applyBorder="1" applyAlignment="1">
      <alignment horizontal="center" vertical="center"/>
    </xf>
    <xf numFmtId="0" fontId="3" fillId="44" borderId="70" xfId="0" applyFont="1" applyFill="1" applyBorder="1" applyAlignment="1">
      <alignment horizontal="center" vertical="center"/>
    </xf>
    <xf numFmtId="0" fontId="3" fillId="44" borderId="68" xfId="0" applyFont="1" applyFill="1" applyBorder="1" applyAlignment="1">
      <alignment horizontal="center" vertical="center"/>
    </xf>
    <xf numFmtId="0" fontId="164" fillId="45" borderId="75" xfId="0" applyFont="1" applyFill="1" applyBorder="1" applyAlignment="1">
      <alignment horizontal="center" vertical="center"/>
    </xf>
    <xf numFmtId="0" fontId="164" fillId="45" borderId="74" xfId="0" applyFont="1" applyFill="1" applyBorder="1" applyAlignment="1">
      <alignment horizontal="center" vertical="center"/>
    </xf>
    <xf numFmtId="14" fontId="0" fillId="41" borderId="66" xfId="0" applyNumberFormat="1" applyFill="1" applyBorder="1" applyAlignment="1">
      <alignment horizontal="center" vertical="center"/>
    </xf>
    <xf numFmtId="14" fontId="0" fillId="3" borderId="66" xfId="0" applyNumberFormat="1" applyFill="1" applyBorder="1" applyAlignment="1">
      <alignment horizontal="center" vertical="center"/>
    </xf>
    <xf numFmtId="0" fontId="0" fillId="46" borderId="81" xfId="0" applyFill="1" applyBorder="1" applyAlignment="1">
      <alignment horizontal="center" vertical="center"/>
    </xf>
    <xf numFmtId="0" fontId="0" fillId="41" borderId="76" xfId="0" applyFill="1" applyBorder="1" applyAlignment="1">
      <alignment horizontal="center" vertical="center"/>
    </xf>
    <xf numFmtId="0" fontId="0" fillId="41" borderId="83" xfId="0" applyFill="1" applyBorder="1" applyAlignment="1">
      <alignment horizontal="center" vertical="center"/>
    </xf>
    <xf numFmtId="0" fontId="0" fillId="3" borderId="76" xfId="0" applyFill="1" applyBorder="1" applyAlignment="1">
      <alignment horizontal="center" vertical="center"/>
    </xf>
    <xf numFmtId="0" fontId="0" fillId="3" borderId="83" xfId="0" applyFill="1" applyBorder="1" applyAlignment="1">
      <alignment horizontal="center" vertical="center"/>
    </xf>
    <xf numFmtId="0" fontId="0" fillId="41" borderId="80" xfId="0" applyFill="1" applyBorder="1" applyAlignment="1">
      <alignment horizontal="center" vertical="center"/>
    </xf>
    <xf numFmtId="0" fontId="0" fillId="42" borderId="82" xfId="0" applyFill="1" applyBorder="1" applyAlignment="1">
      <alignment horizontal="center" vertical="center"/>
    </xf>
    <xf numFmtId="0" fontId="0" fillId="42" borderId="71" xfId="0" applyFill="1" applyBorder="1" applyAlignment="1">
      <alignment horizontal="center" vertical="center"/>
    </xf>
    <xf numFmtId="9" fontId="0" fillId="42" borderId="71" xfId="0" applyNumberFormat="1" applyFill="1" applyBorder="1" applyAlignment="1">
      <alignment horizontal="center" vertical="center"/>
    </xf>
    <xf numFmtId="9" fontId="0" fillId="42" borderId="64" xfId="0" applyNumberFormat="1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9" fontId="0" fillId="0" borderId="71" xfId="0" applyNumberFormat="1" applyBorder="1" applyAlignment="1">
      <alignment horizontal="center" vertical="center"/>
    </xf>
    <xf numFmtId="9" fontId="0" fillId="0" borderId="64" xfId="0" applyNumberFormat="1" applyBorder="1" applyAlignment="1">
      <alignment horizontal="center" vertical="center"/>
    </xf>
    <xf numFmtId="0" fontId="0" fillId="42" borderId="81" xfId="0" applyFill="1" applyBorder="1" applyAlignment="1">
      <alignment horizontal="center" vertical="center"/>
    </xf>
    <xf numFmtId="0" fontId="0" fillId="42" borderId="76" xfId="0" applyFill="1" applyBorder="1" applyAlignment="1">
      <alignment horizontal="center" vertical="center"/>
    </xf>
    <xf numFmtId="0" fontId="0" fillId="42" borderId="83" xfId="0" applyFill="1" applyBorder="1" applyAlignment="1">
      <alignment horizontal="center" vertical="center"/>
    </xf>
    <xf numFmtId="9" fontId="0" fillId="42" borderId="76" xfId="0" applyNumberFormat="1" applyFill="1" applyBorder="1" applyAlignment="1">
      <alignment horizontal="center" vertical="center"/>
    </xf>
    <xf numFmtId="9" fontId="0" fillId="42" borderId="80" xfId="0" applyNumberFormat="1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9" fontId="0" fillId="0" borderId="76" xfId="0" applyNumberFormat="1" applyBorder="1" applyAlignment="1">
      <alignment horizontal="center" vertical="center"/>
    </xf>
    <xf numFmtId="9" fontId="0" fillId="0" borderId="80" xfId="0" applyNumberFormat="1" applyBorder="1" applyAlignment="1">
      <alignment horizontal="center" vertical="center"/>
    </xf>
    <xf numFmtId="176" fontId="41" fillId="39" borderId="44" xfId="0" applyNumberFormat="1" applyFont="1" applyFill="1" applyBorder="1" applyAlignment="1">
      <alignment horizontal="center" vertical="center"/>
    </xf>
    <xf numFmtId="176" fontId="41" fillId="39" borderId="36" xfId="0" applyNumberFormat="1" applyFont="1" applyFill="1" applyBorder="1" applyAlignment="1">
      <alignment horizontal="center" vertical="center"/>
    </xf>
    <xf numFmtId="176" fontId="41" fillId="39" borderId="4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/>
    </xf>
    <xf numFmtId="231" fontId="3" fillId="2" borderId="36" xfId="0" applyNumberFormat="1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231" fontId="41" fillId="2" borderId="4" xfId="65" applyNumberFormat="1" applyFont="1" applyFill="1" applyBorder="1" applyAlignment="1">
      <alignment horizontal="center" vertical="center" wrapText="1"/>
    </xf>
    <xf numFmtId="231" fontId="41" fillId="2" borderId="10" xfId="65" applyNumberFormat="1" applyFont="1" applyFill="1" applyBorder="1" applyAlignment="1">
      <alignment horizontal="center" vertical="center" wrapText="1"/>
    </xf>
    <xf numFmtId="0" fontId="41" fillId="2" borderId="37" xfId="65" applyFont="1" applyFill="1" applyBorder="1" applyAlignment="1">
      <alignment horizontal="center" vertical="center" wrapText="1"/>
    </xf>
    <xf numFmtId="231" fontId="159" fillId="2" borderId="2" xfId="65" applyNumberFormat="1" applyFont="1" applyFill="1" applyBorder="1" applyAlignment="1">
      <alignment horizontal="center" vertical="center" wrapText="1"/>
    </xf>
    <xf numFmtId="0" fontId="159" fillId="2" borderId="37" xfId="65" applyFont="1" applyFill="1" applyBorder="1" applyAlignment="1">
      <alignment horizontal="center" vertical="center" wrapText="1"/>
    </xf>
    <xf numFmtId="231" fontId="41" fillId="2" borderId="5" xfId="0" applyNumberFormat="1" applyFont="1" applyFill="1" applyBorder="1" applyAlignment="1">
      <alignment horizontal="center" vertical="center"/>
    </xf>
    <xf numFmtId="231" fontId="41" fillId="2" borderId="7" xfId="0" applyNumberFormat="1" applyFont="1" applyFill="1" applyBorder="1" applyAlignment="1">
      <alignment horizontal="center" vertical="center"/>
    </xf>
    <xf numFmtId="231" fontId="41" fillId="2" borderId="38" xfId="0" applyNumberFormat="1" applyFont="1" applyFill="1" applyBorder="1" applyAlignment="1">
      <alignment horizontal="center" vertical="center"/>
    </xf>
    <xf numFmtId="231" fontId="41" fillId="2" borderId="39" xfId="0" applyNumberFormat="1" applyFont="1" applyFill="1" applyBorder="1" applyAlignment="1">
      <alignment horizontal="center" vertical="center"/>
    </xf>
    <xf numFmtId="231" fontId="41" fillId="2" borderId="6" xfId="0" applyNumberFormat="1" applyFont="1" applyFill="1" applyBorder="1" applyAlignment="1">
      <alignment horizontal="center" vertical="center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176" fontId="41" fillId="2" borderId="40" xfId="0" applyNumberFormat="1" applyFont="1" applyFill="1" applyBorder="1" applyAlignment="1">
      <alignment horizontal="center" vertical="center"/>
    </xf>
    <xf numFmtId="176" fontId="41" fillId="2" borderId="41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231" fontId="41" fillId="2" borderId="42" xfId="0" applyNumberFormat="1" applyFont="1" applyFill="1" applyBorder="1" applyAlignment="1">
      <alignment horizontal="center" vertical="center"/>
    </xf>
    <xf numFmtId="231" fontId="41" fillId="2" borderId="43" xfId="0" applyNumberFormat="1" applyFont="1" applyFill="1" applyBorder="1" applyAlignment="1">
      <alignment horizontal="center" vertical="center"/>
    </xf>
    <xf numFmtId="0" fontId="0" fillId="41" borderId="66" xfId="0" applyFill="1" applyBorder="1" applyAlignment="1">
      <alignment horizontal="center" vertical="center" wrapText="1"/>
    </xf>
    <xf numFmtId="0" fontId="0" fillId="41" borderId="65" xfId="0" applyFill="1" applyBorder="1" applyAlignment="1">
      <alignment horizontal="center" vertical="center" wrapText="1"/>
    </xf>
  </cellXfs>
  <cellStyles count="5917">
    <cellStyle name=" LBP-830 LIPS4" xfId="67"/>
    <cellStyle name="_x000c_ーセン_x000c_" xfId="68"/>
    <cellStyle name="_x000d__x000a_JournalTemplate=C:\COMFO\CTALK\JOURSTD.TPL_x000d__x000a_LbStateAddress=3 3 0 251 1 89 2 311_x000d__x000a_LbStateJou" xfId="69"/>
    <cellStyle name="####" xfId="1"/>
    <cellStyle name="#### 2" xfId="70"/>
    <cellStyle name="#### 2 2" xfId="71"/>
    <cellStyle name="#### 3" xfId="72"/>
    <cellStyle name="*JOB標準" xfId="73"/>
    <cellStyle name="*標準" xfId="74"/>
    <cellStyle name="??" xfId="75"/>
    <cellStyle name="?? [0.00]_??????????" xfId="76"/>
    <cellStyle name="????" xfId="77"/>
    <cellStyle name="???? [0.00]_??????????FunctionsApps " xfId="78"/>
    <cellStyle name="?????()" xfId="79"/>
    <cellStyle name="?????() 2" xfId="80"/>
    <cellStyle name="?????(0.00)" xfId="81"/>
    <cellStyle name="?????(0.00) 2" xfId="82"/>
    <cellStyle name="???????" xfId="83"/>
    <cellStyle name="??????? 2" xfId="84"/>
    <cellStyle name="????????????at match the" xfId="85"/>
    <cellStyle name="????????????at match the 2" xfId="86"/>
    <cellStyle name="?????[0.00]" xfId="87"/>
    <cellStyle name="?????[0.00] 2" xfId="88"/>
    <cellStyle name="????_??????????FunctionsApps " xfId="89"/>
    <cellStyle name="???1" xfId="90"/>
    <cellStyle name="???1 2" xfId="91"/>
    <cellStyle name="??_???? (?)??_Y2K Ve" xfId="92"/>
    <cellStyle name="_(資源配布) 【20090611】千里導入明細資料_２１年度fj分" xfId="93"/>
    <cellStyle name="_(資源配布) 【20090611】千里導入明細資料_２１年度fj分 2" xfId="94"/>
    <cellStyle name="_(資源配布) 【20090611】千里導入明細資料_２１年度fj分_【20091218】千里導入明細資料_２１年度分（ネットワーク敷設）" xfId="95"/>
    <cellStyle name="_(資源配布) 【20090611】千里導入明細資料_２１年度fj分_【20091218】千里導入明細資料_２１年度分（ネットワーク敷設） 2" xfId="96"/>
    <cellStyle name="_(資源配布) 【20090611】千里導入明細資料_２１年度fj分_【20091218】千里導入明細資料_２１年度分（ネットワーク敷設）_Ⅹ_課題と対応策_20121211" xfId="97"/>
    <cellStyle name="_(資源配布) 【20090611】千里導入明細資料_２１年度fj分_【20091218】千里導入明細資料_２１年度分（ネットワーク敷設）_Ⅹ_課題と対応策_20121211 2" xfId="98"/>
    <cellStyle name="_(資源配布) 【20090611】千里導入明細資料_２１年度fj分_Ⅹ_課題と対応策_20121211" xfId="99"/>
    <cellStyle name="_(資源配布) 【20090611】千里導入明細資料_２１年度fj分_Ⅹ_課題と対応策_20121211 2" xfId="100"/>
    <cellStyle name="_(資源配布) 【20090611】千里導入明細資料_２１年度fj分_千里導入明細資料_２２年度分（ネットワーク敷設）_fj" xfId="101"/>
    <cellStyle name="_(資源配布) 【20090611】千里導入明細資料_２１年度fj分_千里導入明細資料_２２年度分（ネットワーク敷設）_fj 2" xfId="102"/>
    <cellStyle name="_(資源配布) 【20090611】千里導入明細資料_２１年度fj分_千里導入明細資料_２２年度分（ネットワーク敷設）_fj_Ⅹ_課題と対応策_20121211" xfId="103"/>
    <cellStyle name="_(資源配布) 【20090611】千里導入明細資料_２１年度fj分_千里導入明細資料_２２年度分（ネットワーク敷設）_fj_Ⅹ_課題と対応策_20121211 2" xfId="104"/>
    <cellStyle name="_(自動機監視GW) 【20090611】千里導入明細資料_２１年度fj分" xfId="105"/>
    <cellStyle name="_(自動機監視GW) 【20090611】千里導入明細資料_２１年度fj分 2" xfId="106"/>
    <cellStyle name="_(自動機監視GW) 【20090611】千里導入明細資料_２１年度fj分_【20091218】千里導入明細資料_２１年度分（ネットワーク敷設）" xfId="107"/>
    <cellStyle name="_(自動機監視GW) 【20090611】千里導入明細資料_２１年度fj分_【20091218】千里導入明細資料_２１年度分（ネットワーク敷設） 2" xfId="108"/>
    <cellStyle name="_(自動機監視GW) 【20090611】千里導入明細資料_２１年度fj分_【20091218】千里導入明細資料_２１年度分（ネットワーク敷設）_Ⅹ_課題と対応策_20121211" xfId="109"/>
    <cellStyle name="_(自動機監視GW) 【20090611】千里導入明細資料_２１年度fj分_【20091218】千里導入明細資料_２１年度分（ネットワーク敷設）_Ⅹ_課題と対応策_20121211 2" xfId="110"/>
    <cellStyle name="_(自動機監視GW) 【20090611】千里導入明細資料_２１年度fj分_Ⅹ_課題と対応策_20121211" xfId="111"/>
    <cellStyle name="_(自動機監視GW) 【20090611】千里導入明細資料_２１年度fj分_Ⅹ_課題と対応策_20121211 2" xfId="112"/>
    <cellStyle name="_(自動機監視GW) 【20090611】千里導入明細資料_２１年度fj分_千里導入明細資料_２２年度分（ネットワーク敷設）_fj" xfId="113"/>
    <cellStyle name="_(自動機監視GW) 【20090611】千里導入明細資料_２１年度fj分_千里導入明細資料_２２年度分（ネットワーク敷設）_fj 2" xfId="114"/>
    <cellStyle name="_(自動機監視GW) 【20090611】千里導入明細資料_２１年度fj分_千里導入明細資料_２２年度分（ネットワーク敷設）_fj_Ⅹ_課題と対応策_20121211" xfId="115"/>
    <cellStyle name="_(自動機監視GW) 【20090611】千里導入明細資料_２１年度fj分_千里導入明細資料_２２年度分（ネットワーク敷設）_fj_Ⅹ_課題と対応策_20121211 2" xfId="116"/>
    <cellStyle name="_［修正版］【20090708】千里導入明細資料_２１年度分（７月工事分）" xfId="117"/>
    <cellStyle name="_［修正版］【20090708】千里導入明細資料_２１年度分（７月工事分） 2" xfId="118"/>
    <cellStyle name="_［修正版］【20090708】千里導入明細資料_２１年度分（７月工事分）_【20091218】千里導入明細資料_２１年度分（ネットワーク敷設）" xfId="119"/>
    <cellStyle name="_［修正版］【20090708】千里導入明細資料_２１年度分（７月工事分）_【20091218】千里導入明細資料_２１年度分（ネットワーク敷設） 2" xfId="120"/>
    <cellStyle name="_［修正版］【20090708】千里導入明細資料_２１年度分（７月工事分）_【20091218】千里導入明細資料_２１年度分（ネットワーク敷設）_Ⅹ_課題と対応策_20121211" xfId="121"/>
    <cellStyle name="_［修正版］【20090708】千里導入明細資料_２１年度分（７月工事分）_【20091218】千里導入明細資料_２１年度分（ネットワーク敷設）_Ⅹ_課題と対応策_20121211 2" xfId="122"/>
    <cellStyle name="_［修正版］【20090708】千里導入明細資料_２１年度分（７月工事分）_【20091224】千里導入明細資料_２２年度上期分_営業店DB" xfId="123"/>
    <cellStyle name="_［修正版］【20090708】千里導入明細資料_２１年度分（７月工事分）_【20091224】千里導入明細資料_２２年度上期分_営業店DB 2" xfId="124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" xfId="125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 2" xfId="126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" xfId="127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 2" xfId="128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9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30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" xfId="131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 2" xfId="132"/>
    <cellStyle name="_［修正版］【20090708】千里導入明細資料_２１年度分（７月工事分）_【20091224】千里導入明細資料_２２年度上期分_営業店DB_【20091225】千里導入明細資料_２２年度上期分_営業店DB" xfId="133"/>
    <cellStyle name="_［修正版］【20090708】千里導入明細資料_２１年度分（７月工事分）_【20091224】千里導入明細資料_２２年度上期分_営業店DB_【20091225】千里導入明細資料_２２年度上期分_営業店DB 2" xfId="134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" xfId="135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 2" xfId="136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" xfId="137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 2" xfId="138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" xfId="139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 2" xfId="140"/>
    <cellStyle name="_［修正版］【20090708】千里導入明細資料_２１年度分（７月工事分）_【20091224】千里導入明細資料_２２年度上期分_営業店DB_Ⅹ_課題と対応策_20121211" xfId="141"/>
    <cellStyle name="_［修正版］【20090708】千里導入明細資料_２１年度分（７月工事分）_【20091224】千里導入明細資料_２２年度上期分_営業店DB_Ⅹ_課題と対応策_20121211 2" xfId="142"/>
    <cellStyle name="_［修正版］【20090708】千里導入明細資料_２１年度分（７月工事分）_【20091225】千里導入明細資料_２２年度上期分" xfId="143"/>
    <cellStyle name="_［修正版］【20090708】千里導入明細資料_２１年度分（７月工事分）_【20091225】千里導入明細資料_２２年度上期分 2" xfId="144"/>
    <cellStyle name="_［修正版］【20090708】千里導入明細資料_２１年度分（７月工事分）_【20091225】千里導入明細資料_２２年度上期分_Ⅹ_課題と対応策_20121211" xfId="145"/>
    <cellStyle name="_［修正版］【20090708】千里導入明細資料_２１年度分（７月工事分）_【20091225】千里導入明細資料_２２年度上期分_Ⅹ_課題と対応策_20121211 2" xfId="146"/>
    <cellStyle name="_［修正版］【20090708】千里導入明細資料_２１年度分（７月工事分）_【20091225】千里導入明細資料_２２年度上期分_営業店DB" xfId="147"/>
    <cellStyle name="_［修正版］【20090708】千里導入明細資料_２１年度分（７月工事分）_【20091225】千里導入明細資料_２２年度上期分_営業店DB 2" xfId="148"/>
    <cellStyle name="_［修正版］【20090708】千里導入明細資料_２１年度分（７月工事分）_【20091225】千里導入明細資料_２２年度上期分_営業店DB_Ⅹ_課題と対応策_20121211" xfId="149"/>
    <cellStyle name="_［修正版］【20090708】千里導入明細資料_２１年度分（７月工事分）_【20091225】千里導入明細資料_２２年度上期分_営業店DB_Ⅹ_課題と対応策_20121211 2" xfId="150"/>
    <cellStyle name="_［修正版］【20090708】千里導入明細資料_２１年度分（７月工事分）_【20091225】千里導入明細資料_２２年度上期分_連携DB" xfId="151"/>
    <cellStyle name="_［修正版］【20090708】千里導入明細資料_２１年度分（７月工事分）_【20091225】千里導入明細資料_２２年度上期分_連携DB 2" xfId="152"/>
    <cellStyle name="_［修正版］【20090708】千里導入明細資料_２１年度分（７月工事分）_【20091225】千里導入明細資料_２２年度上期分_連携DB_Ⅹ_課題と対応策_20121211" xfId="153"/>
    <cellStyle name="_［修正版］【20090708】千里導入明細資料_２１年度分（７月工事分）_【20091225】千里導入明細資料_２２年度上期分_連携DB_Ⅹ_課題と対応策_20121211 2" xfId="154"/>
    <cellStyle name="_［修正版］【20090708】千里導入明細資料_２１年度分（７月工事分）_【200912xx】千里導入明細資料_２２年度上期分" xfId="155"/>
    <cellStyle name="_［修正版］【20090708】千里導入明細資料_２１年度分（７月工事分）_【200912xx】千里導入明細資料_２２年度上期分 2" xfId="156"/>
    <cellStyle name="_［修正版］【20090708】千里導入明細資料_２１年度分（７月工事分）_【200912xx】千里導入明細資料_２２年度上期分（為替分）" xfId="157"/>
    <cellStyle name="_［修正版］【20090708】千里導入明細資料_２１年度分（７月工事分）_【200912xx】千里導入明細資料_２２年度上期分（為替分） 2" xfId="158"/>
    <cellStyle name="_［修正版］【20090708】千里導入明細資料_２１年度分（７月工事分）_【200912xx】千里導入明細資料_２２年度上期分（為替分）_Ⅹ_課題と対応策_20121211" xfId="159"/>
    <cellStyle name="_［修正版］【20090708】千里導入明細資料_２１年度分（７月工事分）_【200912xx】千里導入明細資料_２２年度上期分（為替分）_Ⅹ_課題と対応策_20121211 2" xfId="160"/>
    <cellStyle name="_［修正版］【20090708】千里導入明細資料_２１年度分（７月工事分）_【200912xx】千里導入明細資料_２２年度上期分_【20091225】千里導入明細資料_２２年度上期分（営業店ＡＰ－ＤＢ）" xfId="161"/>
    <cellStyle name="_［修正版］【20090708】千里導入明細資料_２１年度分（７月工事分）_【200912xx】千里導入明細資料_２２年度上期分_【20091225】千里導入明細資料_２２年度上期分（営業店ＡＰ－ＤＢ） 2" xfId="162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" xfId="163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 2" xfId="164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165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166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" xfId="167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 2" xfId="168"/>
    <cellStyle name="_［修正版］【20090708】千里導入明細資料_２１年度分（７月工事分）_【200912xx】千里導入明細資料_２２年度上期分_【20091225】千里導入明細資料_２２年度上期分_営業店DB" xfId="169"/>
    <cellStyle name="_［修正版］【20090708】千里導入明細資料_２１年度分（７月工事分）_【200912xx】千里導入明細資料_２２年度上期分_【20091225】千里導入明細資料_２２年度上期分_営業店DB 2" xfId="170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" xfId="171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 2" xfId="172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" xfId="173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 2" xfId="174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" xfId="175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 2" xfId="176"/>
    <cellStyle name="_［修正版］【20090708】千里導入明細資料_２１年度分（７月工事分）_【200912xx】千里導入明細資料_２２年度上期分_【20091225】千里導入明細資料_２２年度上期分_連携DB" xfId="177"/>
    <cellStyle name="_［修正版］【20090708】千里導入明細資料_２１年度分（７月工事分）_【200912xx】千里導入明細資料_２２年度上期分_【20091225】千里導入明細資料_２２年度上期分_連携DB 2" xfId="178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" xfId="179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 2" xfId="180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" xfId="181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 2" xfId="182"/>
    <cellStyle name="_［修正版］【20090708】千里導入明細資料_２１年度分（７月工事分）_【200912xx】千里導入明細資料_２２年度上期分_【20091225】千里導入明細資料_２２年度上期分_連携DB_Ⅹ_課題と対応策_20121211" xfId="183"/>
    <cellStyle name="_［修正版］【20090708】千里導入明細資料_２１年度分（７月工事分）_【200912xx】千里導入明細資料_２２年度上期分_【20091225】千里導入明細資料_２２年度上期分_連携DB_Ⅹ_課題と対応策_20121211 2" xfId="184"/>
    <cellStyle name="_［修正版］【20090708】千里導入明細資料_２１年度分（７月工事分）_【200912xx】千里導入明細資料_２２年度上期分_Ⅹ_課題と対応策_20121211" xfId="185"/>
    <cellStyle name="_［修正版］【20090708】千里導入明細資料_２１年度分（７月工事分）_【200912xx】千里導入明細資料_２２年度上期分_Ⅹ_課題と対応策_20121211 2" xfId="186"/>
    <cellStyle name="_［修正版］【20090708】千里導入明細資料_２１年度分（７月工事分）_【調整中】千里導入明細資料_２２年度上期分_fj_20100127" xfId="187"/>
    <cellStyle name="_［修正版］【20090708】千里導入明細資料_２１年度分（７月工事分）_【調整中】千里導入明細資料_２２年度上期分_fj_20100127 2" xfId="188"/>
    <cellStyle name="_［修正版］【20090708】千里導入明細資料_２１年度分（７月工事分）_【調整中】千里導入明細資料_２２年度上期分_fj_20100127_Ⅹ_課題と対応策_20121211" xfId="189"/>
    <cellStyle name="_［修正版］【20090708】千里導入明細資料_２１年度分（７月工事分）_【調整中】千里導入明細資料_２２年度上期分_fj_20100127_Ⅹ_課題と対応策_20121211 2" xfId="190"/>
    <cellStyle name="_［修正版］【20090708】千里導入明細資料_２１年度分（７月工事分）_①【20091225】千里導入明細資料_２２年度上期1分)" xfId="191"/>
    <cellStyle name="_［修正版］【20090708】千里導入明細資料_２１年度分（７月工事分）_①【20091225】千里導入明細資料_２２年度上期1分) 2" xfId="192"/>
    <cellStyle name="_［修正版］【20090708】千里導入明細資料_２１年度分（７月工事分）_①【20091225】千里導入明細資料_２２年度上期1分)_Ⅹ_課題と対応策_20121211" xfId="193"/>
    <cellStyle name="_［修正版］【20090708】千里導入明細資料_２１年度分（７月工事分）_①【20091225】千里導入明細資料_２２年度上期1分)_Ⅹ_課題と対応策_20121211 2" xfId="194"/>
    <cellStyle name="_［修正版］【20090708】千里導入明細資料_２１年度分（７月工事分）_Ⅹ_課題と対応策_20121211" xfId="195"/>
    <cellStyle name="_［修正版］【20090708】千里導入明細資料_２１年度分（７月工事分）_Ⅹ_課題と対応策_20121211 2" xfId="196"/>
    <cellStyle name="_［修正版］【20090708】千里導入明細資料_２１年度分（７月工事分）_千里導入明細資料_２２年度分（ネットワーク敷設）_fj" xfId="197"/>
    <cellStyle name="_［修正版］【20090708】千里導入明細資料_２１年度分（７月工事分）_千里導入明細資料_２２年度分（ネットワーク敷設）_fj 2" xfId="198"/>
    <cellStyle name="_［修正版］【20090708】千里導入明細資料_２１年度分（７月工事分）_千里導入明細資料_２２年度分（ネットワーク敷設）_fj_Ⅹ_課題と対応策_20121211" xfId="199"/>
    <cellStyle name="_［修正版］【20090708】千里導入明細資料_２１年度分（７月工事分）_千里導入明細資料_２２年度分（ネットワーク敷設）_fj_Ⅹ_課題と対応策_20121211 2" xfId="200"/>
    <cellStyle name="_［提出版］千里導入明細資料（資源配付・仮想化）20090323" xfId="201"/>
    <cellStyle name="_［提出版］千里導入明細資料（資源配付・仮想化）20090323 2" xfId="202"/>
    <cellStyle name="_［提出版］千里導入明細資料（資源配付・仮想化）20090323_(自動機監視GW) 【20090602】千里導入明細資料_２１年度fj分" xfId="203"/>
    <cellStyle name="_［提出版］千里導入明細資料（資源配付・仮想化）20090323_(自動機監視GW) 【20090602】千里導入明細資料_２１年度fj分 2" xfId="204"/>
    <cellStyle name="_［提出版］千里導入明細資料（資源配付・仮想化）20090323_(自動機監視GW) 【20090602】千里導入明細資料_２１年度fj分_【20091218】千里導入明細資料_２１年度分（ネットワーク敷設）" xfId="205"/>
    <cellStyle name="_［提出版］千里導入明細資料（資源配付・仮想化）20090323_(自動機監視GW) 【20090602】千里導入明細資料_２１年度fj分_【20091218】千里導入明細資料_２１年度分（ネットワーク敷設） 2" xfId="206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" xfId="207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 2" xfId="208"/>
    <cellStyle name="_［提出版］千里導入明細資料（資源配付・仮想化）20090323_(自動機監視GW) 【20090602】千里導入明細資料_２１年度fj分_Ⅹ_課題と対応策_20121211" xfId="209"/>
    <cellStyle name="_［提出版］千里導入明細資料（資源配付・仮想化）20090323_(自動機監視GW) 【20090602】千里導入明細資料_２１年度fj分_Ⅹ_課題と対応策_20121211 2" xfId="210"/>
    <cellStyle name="_［提出版］千里導入明細資料（資源配付・仮想化）20090323_(自動機監視GW) 【20090602】千里導入明細資料_２１年度fj分_千里導入明細資料_２２年度分（ネットワーク敷設）_fj" xfId="211"/>
    <cellStyle name="_［提出版］千里導入明細資料（資源配付・仮想化）20090323_(自動機監視GW) 【20090602】千里導入明細資料_２１年度fj分_千里導入明細資料_２２年度分（ネットワーク敷設）_fj 2" xfId="212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" xfId="213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 2" xfId="214"/>
    <cellStyle name="_［提出版］千里導入明細資料（資源配付・仮想化）20090323_【20090715】千里導入明細資料_２１年度分（９月工事分）_fj" xfId="215"/>
    <cellStyle name="_［提出版］千里導入明細資料（資源配付・仮想化）20090323_【20090715】千里導入明細資料_２１年度分（９月工事分）_fj 2" xfId="216"/>
    <cellStyle name="_［提出版］千里導入明細資料（資源配付・仮想化）20090323_【20090715】千里導入明細資料_２１年度分（９月工事分）_fj_【20090721】千里導入明細資料_２１年度分" xfId="217"/>
    <cellStyle name="_［提出版］千里導入明細資料（資源配付・仮想化）20090323_【20090715】千里導入明細資料_２１年度分（９月工事分）_fj_【20090721】千里導入明細資料_２１年度分 2" xfId="218"/>
    <cellStyle name="_［提出版］千里導入明細資料（資源配付・仮想化）20090323_【20090715】千里導入明細資料_２１年度分（９月工事分）_fj_【20090721】千里導入明細資料_２１年度分（９月工事分）_ETERNUS追加" xfId="219"/>
    <cellStyle name="_［提出版］千里導入明細資料（資源配付・仮想化）20090323_【20090715】千里導入明細資料_２１年度分（９月工事分）_fj_【20090721】千里導入明細資料_２１年度分（９月工事分）_ETERNUS追加 2" xfId="22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" xfId="22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 2" xfId="22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2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2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2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2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2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2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" xfId="22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 2" xfId="23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" xfId="23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 2" xfId="23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" xfId="23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 2" xfId="23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3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3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" xfId="23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 2" xfId="23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3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4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4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4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4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4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4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4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4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4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4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" xfId="25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 2" xfId="25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" xfId="25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 2" xfId="26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" xfId="26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 2" xfId="26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6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6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" xfId="26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 2" xfId="26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6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6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" xfId="26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 2" xfId="27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" xfId="27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 2" xfId="27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7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7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7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7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7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7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7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8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8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8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8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8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8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8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8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8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8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90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91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92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93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94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95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96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97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98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" xfId="299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 2" xfId="300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" xfId="301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 2" xfId="302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303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304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" xfId="305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 2" xfId="306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" xfId="307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 2" xfId="308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" xfId="309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 2" xfId="310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" xfId="311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 2" xfId="312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313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314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" xfId="315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 2" xfId="316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" xfId="317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 2" xfId="318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" xfId="319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 2" xfId="320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321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322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23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24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25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26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327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328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329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330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31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32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33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34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335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336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" xfId="337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 2" xfId="338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" xfId="339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 2" xfId="340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" xfId="341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 2" xfId="342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" xfId="343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 2" xfId="344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" xfId="345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 2" xfId="346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" xfId="347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 2" xfId="348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" xfId="349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 2" xfId="350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" xfId="351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 2" xfId="352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" xfId="353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 2" xfId="354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" xfId="355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 2" xfId="356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357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358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9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60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61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62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363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364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" xfId="365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 2" xfId="366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367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368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69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70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371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372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" xfId="373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 2" xfId="374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375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376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77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78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379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380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" xfId="381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 2" xfId="382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" xfId="383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 2" xfId="384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" xfId="385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 2" xfId="386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" xfId="387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 2" xfId="388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" xfId="389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 2" xfId="390"/>
    <cellStyle name="_［提出版］千里導入明細資料（資源配付・仮想化）20090323_【20090715】千里導入明細資料_２１年度分（９月工事分）_fj_【20090721】千里導入明細資料_２１年度分_Ⅹ_課題と対応策_20121211" xfId="391"/>
    <cellStyle name="_［提出版］千里導入明細資料（資源配付・仮想化）20090323_【20090715】千里導入明細資料_２１年度分（９月工事分）_fj_【20090721】千里導入明細資料_２１年度分_Ⅹ_課題と対応策_20121211 2" xfId="392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" xfId="393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 2" xfId="394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" xfId="395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 2" xfId="396"/>
    <cellStyle name="_［提出版］千里導入明細資料（資源配付・仮想化）20090323_【20090715】千里導入明細資料_２１年度分（９月工事分）_fj_【20090821】千里ラック搭載図（NW機器）" xfId="397"/>
    <cellStyle name="_［提出版］千里導入明細資料（資源配付・仮想化）20090323_【20090715】千里導入明細資料_２１年度分（９月工事分）_fj_【20090821】千里ラック搭載図（NW機器） 2" xfId="398"/>
    <cellStyle name="_［提出版］千里導入明細資料（資源配付・仮想化）20090323_【20090715】千里導入明細資料_２１年度分（９月工事分）_fj_【20090821】千里ラック搭載図（NW機器）_Ⅹ_課題と対応策_20121211" xfId="399"/>
    <cellStyle name="_［提出版］千里導入明細資料（資源配付・仮想化）20090323_【20090715】千里導入明細資料_２１年度分（９月工事分）_fj_【20090821】千里ラック搭載図（NW機器）_Ⅹ_課題と対応策_20121211 2" xfId="400"/>
    <cellStyle name="_［提出版］千里導入明細資料（資源配付・仮想化）20090323_【20090715】千里導入明細資料_２１年度分（９月工事分）_fj_【20091207】千里導入明細資料_２１年度分（ネットワーク敷設）" xfId="401"/>
    <cellStyle name="_［提出版］千里導入明細資料（資源配付・仮想化）20090323_【20090715】千里導入明細資料_２１年度分（９月工事分）_fj_【20091207】千里導入明細資料_２１年度分（ネットワーク敷設） 2" xfId="402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" xfId="403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 2" xfId="404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05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06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" xfId="407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 2" xfId="408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" xfId="409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 2" xfId="410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" xfId="411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12"/>
    <cellStyle name="_［提出版］千里導入明細資料（資源配付・仮想化）20090323_【20090715】千里導入明細資料_２１年度分（９月工事分）_fj_【20091225】千里導入明細資料_２２年度上期分（営業店ＡＰ－ＤＢ）" xfId="413"/>
    <cellStyle name="_［提出版］千里導入明細資料（資源配付・仮想化）20090323_【20090715】千里導入明細資料_２１年度分（９月工事分）_fj_【20091225】千里導入明細資料_２２年度上期分（営業店ＡＰ－ＤＢ） 2" xfId="414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" xfId="415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 2" xfId="416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17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18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" xfId="419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 2" xfId="420"/>
    <cellStyle name="_［提出版］千里導入明細資料（資源配付・仮想化）20090323_【20090715】千里導入明細資料_２１年度分（９月工事分）_fj_【20091225】千里導入明細資料_２２年度上期分_営業店DB" xfId="421"/>
    <cellStyle name="_［提出版］千里導入明細資料（資源配付・仮想化）20090323_【20090715】千里導入明細資料_２１年度分（９月工事分）_fj_【20091225】千里導入明細資料_２２年度上期分_営業店DB 2" xfId="422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" xfId="423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 2" xfId="424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" xfId="425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 2" xfId="426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" xfId="427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 2" xfId="428"/>
    <cellStyle name="_［提出版］千里導入明細資料（資源配付・仮想化）20090323_【20090715】千里導入明細資料_２１年度分（９月工事分）_fj_【20091225】千里導入明細資料_２２年度上期分_連携DB" xfId="429"/>
    <cellStyle name="_［提出版］千里導入明細資料（資源配付・仮想化）20090323_【20090715】千里導入明細資料_２１年度分（９月工事分）_fj_【20091225】千里導入明細資料_２２年度上期分_連携DB 2" xfId="430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" xfId="431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 2" xfId="432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" xfId="433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 2" xfId="434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" xfId="435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 2" xfId="436"/>
    <cellStyle name="_［提出版］千里導入明細資料（資源配付・仮想化）20090323_【20090715】千里導入明細資料_２１年度分（９月工事分）_fj_【作成中】千里センター機器配置図（2010年対応分）_20091221" xfId="437"/>
    <cellStyle name="_［提出版］千里導入明細資料（資源配付・仮想化）20090323_【20090715】千里導入明細資料_２１年度分（９月工事分）_fj_【作成中】千里センター機器配置図（2010年対応分）_20091221 2" xfId="438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" xfId="439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 2" xfId="440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" xfId="441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 2" xfId="442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" xfId="443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 2" xfId="444"/>
    <cellStyle name="_［提出版］千里導入明細資料（資源配付・仮想化）20090323_【20090715】千里導入明細資料_２１年度分（９月工事分）_fj_Ⅹ_課題と対応策_20121211" xfId="445"/>
    <cellStyle name="_［提出版］千里導入明細資料（資源配付・仮想化）20090323_【20090715】千里導入明細資料_２１年度分（９月工事分）_fj_Ⅹ_課題と対応策_20121211 2" xfId="446"/>
    <cellStyle name="_［提出版］千里導入明細資料（資源配付・仮想化）20090323_【20090715】千里導入明細資料_２１年度分（９月工事分）_fj_千里センター機器構築スケジュール（８月分）_20090731" xfId="447"/>
    <cellStyle name="_［提出版］千里導入明細資料（資源配付・仮想化）20090323_【20090715】千里導入明細資料_２１年度分（９月工事分）_fj_千里センター機器構築スケジュール（８月分）_20090731 2" xfId="448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" xfId="449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 2" xfId="450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51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52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53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54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" xfId="455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 2" xfId="456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" xfId="457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 2" xfId="458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" xfId="459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 2" xfId="460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" xfId="461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 2" xfId="462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" xfId="463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64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" xfId="465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 2" xfId="466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67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68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69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70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1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2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73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74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75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76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77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78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79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80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81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82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" xfId="483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 2" xfId="484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" xfId="485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 2" xfId="486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" xfId="487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 2" xfId="488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" xfId="489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 2" xfId="490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" xfId="491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 2" xfId="492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" xfId="493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 2" xfId="494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" xfId="495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 2" xfId="496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" xfId="497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 2" xfId="498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" xfId="499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 2" xfId="500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" xfId="501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 2" xfId="502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503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504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5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6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7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8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509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510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511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512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13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14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15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16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517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518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519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520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21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22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23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24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525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526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" xfId="527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 2" xfId="528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" xfId="529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 2" xfId="530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" xfId="531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 2" xfId="532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" xfId="533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 2" xfId="534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" xfId="535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 2" xfId="536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" xfId="537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 2" xfId="538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" xfId="539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 2" xfId="540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" xfId="541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 2" xfId="542"/>
    <cellStyle name="_［提出版］千里導入明細資料（資源配付・仮想化）20090323_【20090724】千里導入明細資料_２１年度" xfId="543"/>
    <cellStyle name="_［提出版］千里導入明細資料（資源配付・仮想化）20090323_【20090724】千里導入明細資料_２１年度 2" xfId="544"/>
    <cellStyle name="_［提出版］千里導入明細資料（資源配付・仮想化）20090323_【20090724】千里導入明細資料_２１年度_【20091207】千里導入明細資料_２１年度分（ネットワーク敷設）" xfId="545"/>
    <cellStyle name="_［提出版］千里導入明細資料（資源配付・仮想化）20090323_【20090724】千里導入明細資料_２１年度_【20091207】千里導入明細資料_２１年度分（ネットワーク敷設） 2" xfId="546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" xfId="547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 2" xfId="548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" xfId="549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 2" xfId="550"/>
    <cellStyle name="_［提出版］千里導入明細資料（資源配付・仮想化）20090323_【20090724】千里導入明細資料_２１年度_【20091207】千里導入明細資料_２１年度分（ネットワーク敷設）_Ⅹ_課題と対応策_20121211" xfId="551"/>
    <cellStyle name="_［提出版］千里導入明細資料（資源配付・仮想化）20090323_【20090724】千里導入明細資料_２１年度_【20091207】千里導入明細資料_２１年度分（ネットワーク敷設）_Ⅹ_課題と対応策_20121211 2" xfId="552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" xfId="553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 2" xfId="554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" xfId="555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 2" xfId="556"/>
    <cellStyle name="_［提出版］千里導入明細資料（資源配付・仮想化）20090323_【20090724】千里導入明細資料_２１年度_【20091225】千里導入明細資料_２２年度上期分（営業店ＡＰ－ＤＢ）" xfId="557"/>
    <cellStyle name="_［提出版］千里導入明細資料（資源配付・仮想化）20090323_【20090724】千里導入明細資料_２１年度_【20091225】千里導入明細資料_２２年度上期分（営業店ＡＰ－ＤＢ） 2" xfId="558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" xfId="559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 2" xfId="560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" xfId="561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 2" xfId="562"/>
    <cellStyle name="_［提出版］千里導入明細資料（資源配付・仮想化）20090323_【20090724】千里導入明細資料_２１年度_【20091225】千里導入明細資料_２２年度上期分（営業店ＡＰ－ＤＢ）_Ⅹ_課題と対応策_20121211" xfId="563"/>
    <cellStyle name="_［提出版］千里導入明細資料（資源配付・仮想化）20090323_【20090724】千里導入明細資料_２１年度_【20091225】千里導入明細資料_２２年度上期分（営業店ＡＰ－ＤＢ）_Ⅹ_課題と対応策_20121211 2" xfId="564"/>
    <cellStyle name="_［提出版］千里導入明細資料（資源配付・仮想化）20090323_【20090724】千里導入明細資料_２１年度_【20091225】千里導入明細資料_２２年度上期分_営業店DB" xfId="565"/>
    <cellStyle name="_［提出版］千里導入明細資料（資源配付・仮想化）20090323_【20090724】千里導入明細資料_２１年度_【20091225】千里導入明細資料_２２年度上期分_営業店DB 2" xfId="566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" xfId="567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 2" xfId="568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" xfId="569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 2" xfId="570"/>
    <cellStyle name="_［提出版］千里導入明細資料（資源配付・仮想化）20090323_【20090724】千里導入明細資料_２１年度_【20091225】千里導入明細資料_２２年度上期分_営業店DB_Ⅹ_課題と対応策_20121211" xfId="571"/>
    <cellStyle name="_［提出版］千里導入明細資料（資源配付・仮想化）20090323_【20090724】千里導入明細資料_２１年度_【20091225】千里導入明細資料_２２年度上期分_営業店DB_Ⅹ_課題と対応策_20121211 2" xfId="572"/>
    <cellStyle name="_［提出版］千里導入明細資料（資源配付・仮想化）20090323_【20090724】千里導入明細資料_２１年度_【20091225】千里導入明細資料_２２年度上期分_連携DB" xfId="573"/>
    <cellStyle name="_［提出版］千里導入明細資料（資源配付・仮想化）20090323_【20090724】千里導入明細資料_２１年度_【20091225】千里導入明細資料_２２年度上期分_連携DB 2" xfId="574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" xfId="575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 2" xfId="576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" xfId="577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 2" xfId="578"/>
    <cellStyle name="_［提出版］千里導入明細資料（資源配付・仮想化）20090323_【20090724】千里導入明細資料_２１年度_【20091225】千里導入明細資料_２２年度上期分_連携DB_Ⅹ_課題と対応策_20121211" xfId="579"/>
    <cellStyle name="_［提出版］千里導入明細資料（資源配付・仮想化）20090323_【20090724】千里導入明細資料_２１年度_【20091225】千里導入明細資料_２２年度上期分_連携DB_Ⅹ_課題と対応策_20121211 2" xfId="580"/>
    <cellStyle name="_［提出版］千里導入明細資料（資源配付・仮想化）20090323_【20090724】千里導入明細資料_２１年度_【作成中】千里センター機器配置図（2010年対応分）_20091221" xfId="581"/>
    <cellStyle name="_［提出版］千里導入明細資料（資源配付・仮想化）20090323_【20090724】千里導入明細資料_２１年度_【作成中】千里センター機器配置図（2010年対応分）_20091221 2" xfId="582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" xfId="583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 2" xfId="584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" xfId="585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 2" xfId="586"/>
    <cellStyle name="_［提出版］千里導入明細資料（資源配付・仮想化）20090323_【20090724】千里導入明細資料_２１年度_【作成中】千里センター機器配置図（2010年対応分）_20091221_Ⅹ_課題と対応策_20121211" xfId="587"/>
    <cellStyle name="_［提出版］千里導入明細資料（資源配付・仮想化）20090323_【20090724】千里導入明細資料_２１年度_【作成中】千里センター機器配置図（2010年対応分）_20091221_Ⅹ_課題と対応策_20121211 2" xfId="588"/>
    <cellStyle name="_［提出版］千里導入明細資料（資源配付・仮想化）20090323_【20090724】千里導入明細資料_２１年度_Ⅹ_課題と対応策_20121211" xfId="589"/>
    <cellStyle name="_［提出版］千里導入明細資料（資源配付・仮想化）20090323_【20090724】千里導入明細資料_２１年度_Ⅹ_課題と対応策_20121211 2" xfId="590"/>
    <cellStyle name="_［提出版］千里導入明細資料（資源配付・仮想化）20090323_【20090724】千里導入明細資料_２１年度分（９月工事分）" xfId="591"/>
    <cellStyle name="_［提出版］千里導入明細資料（資源配付・仮想化）20090323_【20090724】千里導入明細資料_２１年度分（９月工事分） 2" xfId="592"/>
    <cellStyle name="_［提出版］千里導入明細資料（資源配付・仮想化）20090323_【20090724】千里導入明細資料_２１年度分（９月工事分）_【20091207】千里導入明細資料_２１年度分（ネットワーク敷設）" xfId="593"/>
    <cellStyle name="_［提出版］千里導入明細資料（資源配付・仮想化）20090323_【20090724】千里導入明細資料_２１年度分（９月工事分）_【20091207】千里導入明細資料_２１年度分（ネットワーク敷設） 2" xfId="594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" xfId="595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 2" xfId="596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597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598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" xfId="599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 2" xfId="600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" xfId="601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 2" xfId="602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" xfId="603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 2" xfId="604"/>
    <cellStyle name="_［提出版］千里導入明細資料（資源配付・仮想化）20090323_【20090724】千里導入明細資料_２１年度分（９月工事分）_【20091225】千里導入明細資料_２２年度上期分（営業店ＡＰ－ＤＢ）" xfId="605"/>
    <cellStyle name="_［提出版］千里導入明細資料（資源配付・仮想化）20090323_【20090724】千里導入明細資料_２１年度分（９月工事分）_【20091225】千里導入明細資料_２２年度上期分（営業店ＡＰ－ＤＢ） 2" xfId="606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" xfId="607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 2" xfId="608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609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610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" xfId="611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 2" xfId="612"/>
    <cellStyle name="_［提出版］千里導入明細資料（資源配付・仮想化）20090323_【20090724】千里導入明細資料_２１年度分（９月工事分）_【20091225】千里導入明細資料_２２年度上期分_営業店DB" xfId="613"/>
    <cellStyle name="_［提出版］千里導入明細資料（資源配付・仮想化）20090323_【20090724】千里導入明細資料_２１年度分（９月工事分）_【20091225】千里導入明細資料_２２年度上期分_営業店DB 2" xfId="614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" xfId="615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 2" xfId="616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" xfId="617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 2" xfId="618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" xfId="619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 2" xfId="620"/>
    <cellStyle name="_［提出版］千里導入明細資料（資源配付・仮想化）20090323_【20090724】千里導入明細資料_２１年度分（９月工事分）_【20091225】千里導入明細資料_２２年度上期分_連携DB" xfId="621"/>
    <cellStyle name="_［提出版］千里導入明細資料（資源配付・仮想化）20090323_【20090724】千里導入明細資料_２１年度分（９月工事分）_【20091225】千里導入明細資料_２２年度上期分_連携DB 2" xfId="622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" xfId="623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 2" xfId="624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" xfId="625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 2" xfId="626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" xfId="627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 2" xfId="628"/>
    <cellStyle name="_［提出版］千里導入明細資料（資源配付・仮想化）20090323_【20090724】千里導入明細資料_２１年度分（９月工事分）_【作成中】千里センター機器配置図（2010年対応分）_20091221" xfId="629"/>
    <cellStyle name="_［提出版］千里導入明細資料（資源配付・仮想化）20090323_【20090724】千里導入明細資料_２１年度分（９月工事分）_【作成中】千里センター機器配置図（2010年対応分）_20091221 2" xfId="630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" xfId="631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 2" xfId="632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" xfId="633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 2" xfId="634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" xfId="635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 2" xfId="636"/>
    <cellStyle name="_［提出版］千里導入明細資料（資源配付・仮想化）20090323_【20090724】千里導入明細資料_２１年度分（９月工事分）_Ⅹ_課題と対応策_20121211" xfId="637"/>
    <cellStyle name="_［提出版］千里導入明細資料（資源配付・仮想化）20090323_【20090724】千里導入明細資料_２１年度分（９月工事分）_Ⅹ_課題と対応策_20121211 2" xfId="638"/>
    <cellStyle name="_［提出版］千里導入明細資料（資源配付・仮想化）20090323_【20090731】千里導入明細資料_２１年度分（９月工事分）" xfId="639"/>
    <cellStyle name="_［提出版］千里導入明細資料（資源配付・仮想化）20090323_【20090731】千里導入明細資料_２１年度分（９月工事分） 2" xfId="640"/>
    <cellStyle name="_［提出版］千里導入明細資料（資源配付・仮想化）20090323_【20090731】千里導入明細資料_２１年度分（９月工事分）_【20090821】千里ラック搭載図（NW機器）" xfId="641"/>
    <cellStyle name="_［提出版］千里導入明細資料（資源配付・仮想化）20090323_【20090731】千里導入明細資料_２１年度分（９月工事分）_【20090821】千里ラック搭載図（NW機器） 2" xfId="642"/>
    <cellStyle name="_［提出版］千里導入明細資料（資源配付・仮想化）20090323_【20090731】千里導入明細資料_２１年度分（９月工事分）_【20090821】千里ラック搭載図（NW機器）_Ⅹ_課題と対応策_20121211" xfId="643"/>
    <cellStyle name="_［提出版］千里導入明細資料（資源配付・仮想化）20090323_【20090731】千里導入明細資料_２１年度分（９月工事分）_【20090821】千里ラック搭載図（NW機器）_Ⅹ_課題と対応策_20121211 2" xfId="644"/>
    <cellStyle name="_［提出版］千里導入明細資料（資源配付・仮想化）20090323_【20090731】千里導入明細資料_２１年度分（９月工事分）_Ⅹ_課題と対応策_20121211" xfId="645"/>
    <cellStyle name="_［提出版］千里導入明細資料（資源配付・仮想化）20090323_【20090731】千里導入明細資料_２１年度分（９月工事分）_Ⅹ_課題と対応策_20121211 2" xfId="646"/>
    <cellStyle name="_［提出版］千里導入明細資料（資源配付・仮想化）20090323_【20090807】千里導入明細資料" xfId="647"/>
    <cellStyle name="_［提出版］千里導入明細資料（資源配付・仮想化）20090323_【20090807】千里導入明細資料 2" xfId="648"/>
    <cellStyle name="_［提出版］千里導入明細資料（資源配付・仮想化）20090323_【20090807】千里導入明細資料_【20091207】千里導入明細資料_２１年度分（ネットワーク敷設）" xfId="649"/>
    <cellStyle name="_［提出版］千里導入明細資料（資源配付・仮想化）20090323_【20090807】千里導入明細資料_【20091207】千里導入明細資料_２１年度分（ネットワーク敷設） 2" xfId="650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" xfId="651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 2" xfId="652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" xfId="653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 2" xfId="654"/>
    <cellStyle name="_［提出版］千里導入明細資料（資源配付・仮想化）20090323_【20090807】千里導入明細資料_【20091207】千里導入明細資料_２１年度分（ネットワーク敷設）_Ⅹ_課題と対応策_20121211" xfId="655"/>
    <cellStyle name="_［提出版］千里導入明細資料（資源配付・仮想化）20090323_【20090807】千里導入明細資料_【20091207】千里導入明細資料_２１年度分（ネットワーク敷設）_Ⅹ_課題と対応策_20121211 2" xfId="656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" xfId="657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 2" xfId="658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" xfId="659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 2" xfId="660"/>
    <cellStyle name="_［提出版］千里導入明細資料（資源配付・仮想化）20090323_【20090807】千里導入明細資料_【20091225】千里導入明細資料_２２年度上期分（営業店ＡＰ－ＤＢ）" xfId="661"/>
    <cellStyle name="_［提出版］千里導入明細資料（資源配付・仮想化）20090323_【20090807】千里導入明細資料_【20091225】千里導入明細資料_２２年度上期分（営業店ＡＰ－ＤＢ） 2" xfId="662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" xfId="663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 2" xfId="664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" xfId="665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 2" xfId="666"/>
    <cellStyle name="_［提出版］千里導入明細資料（資源配付・仮想化）20090323_【20090807】千里導入明細資料_【20091225】千里導入明細資料_２２年度上期分（営業店ＡＰ－ＤＢ）_Ⅹ_課題と対応策_20121211" xfId="667"/>
    <cellStyle name="_［提出版］千里導入明細資料（資源配付・仮想化）20090323_【20090807】千里導入明細資料_【20091225】千里導入明細資料_２２年度上期分（営業店ＡＰ－ＤＢ）_Ⅹ_課題と対応策_20121211 2" xfId="668"/>
    <cellStyle name="_［提出版］千里導入明細資料（資源配付・仮想化）20090323_【20090807】千里導入明細資料_【20091225】千里導入明細資料_２２年度上期分_営業店DB" xfId="669"/>
    <cellStyle name="_［提出版］千里導入明細資料（資源配付・仮想化）20090323_【20090807】千里導入明細資料_【20091225】千里導入明細資料_２２年度上期分_営業店DB 2" xfId="670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" xfId="671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 2" xfId="672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" xfId="673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 2" xfId="674"/>
    <cellStyle name="_［提出版］千里導入明細資料（資源配付・仮想化）20090323_【20090807】千里導入明細資料_【20091225】千里導入明細資料_２２年度上期分_営業店DB_Ⅹ_課題と対応策_20121211" xfId="675"/>
    <cellStyle name="_［提出版］千里導入明細資料（資源配付・仮想化）20090323_【20090807】千里導入明細資料_【20091225】千里導入明細資料_２２年度上期分_営業店DB_Ⅹ_課題と対応策_20121211 2" xfId="676"/>
    <cellStyle name="_［提出版］千里導入明細資料（資源配付・仮想化）20090323_【20090807】千里導入明細資料_【20091225】千里導入明細資料_２２年度上期分_連携DB" xfId="677"/>
    <cellStyle name="_［提出版］千里導入明細資料（資源配付・仮想化）20090323_【20090807】千里導入明細資料_【20091225】千里導入明細資料_２２年度上期分_連携DB 2" xfId="678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" xfId="679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 2" xfId="680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" xfId="681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 2" xfId="682"/>
    <cellStyle name="_［提出版］千里導入明細資料（資源配付・仮想化）20090323_【20090807】千里導入明細資料_【20091225】千里導入明細資料_２２年度上期分_連携DB_Ⅹ_課題と対応策_20121211" xfId="683"/>
    <cellStyle name="_［提出版］千里導入明細資料（資源配付・仮想化）20090323_【20090807】千里導入明細資料_【20091225】千里導入明細資料_２２年度上期分_連携DB_Ⅹ_課題と対応策_20121211 2" xfId="684"/>
    <cellStyle name="_［提出版］千里導入明細資料（資源配付・仮想化）20090323_【20090807】千里導入明細資料_【作成中】千里センター機器配置図（2010年対応分）_20091221" xfId="685"/>
    <cellStyle name="_［提出版］千里導入明細資料（資源配付・仮想化）20090323_【20090807】千里導入明細資料_【作成中】千里センター機器配置図（2010年対応分）_20091221 2" xfId="686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" xfId="687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 2" xfId="688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" xfId="689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 2" xfId="690"/>
    <cellStyle name="_［提出版］千里導入明細資料（資源配付・仮想化）20090323_【20090807】千里導入明細資料_【作成中】千里センター機器配置図（2010年対応分）_20091221_Ⅹ_課題と対応策_20121211" xfId="691"/>
    <cellStyle name="_［提出版］千里導入明細資料（資源配付・仮想化）20090323_【20090807】千里導入明細資料_【作成中】千里センター機器配置図（2010年対応分）_20091221_Ⅹ_課題と対応策_20121211 2" xfId="692"/>
    <cellStyle name="_［提出版］千里導入明細資料（資源配付・仮想化）20090323_【20090807】千里導入明細資料_Ⅹ_課題と対応策_20121211" xfId="693"/>
    <cellStyle name="_［提出版］千里導入明細資料（資源配付・仮想化）20090323_【20090807】千里導入明細資料_Ⅹ_課題と対応策_20121211 2" xfId="694"/>
    <cellStyle name="_［提出版］千里導入明細資料（資源配付・仮想化）20090323_【20090814】千里導入明細資料_SDB追加" xfId="695"/>
    <cellStyle name="_［提出版］千里導入明細資料（資源配付・仮想化）20090323_【20090814】千里導入明細資料_SDB追加 2" xfId="696"/>
    <cellStyle name="_［提出版］千里導入明細資料（資源配付・仮想化）20090323_【20090814】千里導入明細資料_SDB追加_【20091207】千里導入明細資料_２１年度分（ネットワーク敷設）" xfId="697"/>
    <cellStyle name="_［提出版］千里導入明細資料（資源配付・仮想化）20090323_【20090814】千里導入明細資料_SDB追加_【20091207】千里導入明細資料_２１年度分（ネットワーク敷設） 2" xfId="698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" xfId="699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 2" xfId="700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" xfId="701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 2" xfId="702"/>
    <cellStyle name="_［提出版］千里導入明細資料（資源配付・仮想化）20090323_【20090814】千里導入明細資料_SDB追加_【20091207】千里導入明細資料_２１年度分（ネットワーク敷設）_Ⅹ_課題と対応策_20121211" xfId="703"/>
    <cellStyle name="_［提出版］千里導入明細資料（資源配付・仮想化）20090323_【20090814】千里導入明細資料_SDB追加_【20091207】千里導入明細資料_２１年度分（ネットワーク敷設）_Ⅹ_課題と対応策_20121211 2" xfId="704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" xfId="705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 2" xfId="706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" xfId="707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 2" xfId="708"/>
    <cellStyle name="_［提出版］千里導入明細資料（資源配付・仮想化）20090323_【20090814】千里導入明細資料_SDB追加_【20091225】千里導入明細資料_２２年度上期分（営業店ＡＰ－ＤＢ）" xfId="709"/>
    <cellStyle name="_［提出版］千里導入明細資料（資源配付・仮想化）20090323_【20090814】千里導入明細資料_SDB追加_【20091225】千里導入明細資料_２２年度上期分（営業店ＡＰ－ＤＢ） 2" xfId="710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" xfId="711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 2" xfId="712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" xfId="713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 2" xfId="714"/>
    <cellStyle name="_［提出版］千里導入明細資料（資源配付・仮想化）20090323_【20090814】千里導入明細資料_SDB追加_【20091225】千里導入明細資料_２２年度上期分（営業店ＡＰ－ＤＢ）_Ⅹ_課題と対応策_20121211" xfId="715"/>
    <cellStyle name="_［提出版］千里導入明細資料（資源配付・仮想化）20090323_【20090814】千里導入明細資料_SDB追加_【20091225】千里導入明細資料_２２年度上期分（営業店ＡＰ－ＤＢ）_Ⅹ_課題と対応策_20121211 2" xfId="716"/>
    <cellStyle name="_［提出版］千里導入明細資料（資源配付・仮想化）20090323_【20090814】千里導入明細資料_SDB追加_【20091225】千里導入明細資料_２２年度上期分_営業店DB" xfId="717"/>
    <cellStyle name="_［提出版］千里導入明細資料（資源配付・仮想化）20090323_【20090814】千里導入明細資料_SDB追加_【20091225】千里導入明細資料_２２年度上期分_営業店DB 2" xfId="718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" xfId="719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 2" xfId="720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" xfId="721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 2" xfId="722"/>
    <cellStyle name="_［提出版］千里導入明細資料（資源配付・仮想化）20090323_【20090814】千里導入明細資料_SDB追加_【20091225】千里導入明細資料_２２年度上期分_営業店DB_Ⅹ_課題と対応策_20121211" xfId="723"/>
    <cellStyle name="_［提出版］千里導入明細資料（資源配付・仮想化）20090323_【20090814】千里導入明細資料_SDB追加_【20091225】千里導入明細資料_２２年度上期分_営業店DB_Ⅹ_課題と対応策_20121211 2" xfId="724"/>
    <cellStyle name="_［提出版］千里導入明細資料（資源配付・仮想化）20090323_【20090814】千里導入明細資料_SDB追加_【20091225】千里導入明細資料_２２年度上期分_連携DB" xfId="725"/>
    <cellStyle name="_［提出版］千里導入明細資料（資源配付・仮想化）20090323_【20090814】千里導入明細資料_SDB追加_【20091225】千里導入明細資料_２２年度上期分_連携DB 2" xfId="726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" xfId="727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 2" xfId="728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" xfId="729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 2" xfId="730"/>
    <cellStyle name="_［提出版］千里導入明細資料（資源配付・仮想化）20090323_【20090814】千里導入明細資料_SDB追加_【20091225】千里導入明細資料_２２年度上期分_連携DB_Ⅹ_課題と対応策_20121211" xfId="731"/>
    <cellStyle name="_［提出版］千里導入明細資料（資源配付・仮想化）20090323_【20090814】千里導入明細資料_SDB追加_【20091225】千里導入明細資料_２２年度上期分_連携DB_Ⅹ_課題と対応策_20121211 2" xfId="732"/>
    <cellStyle name="_［提出版］千里導入明細資料（資源配付・仮想化）20090323_【20090814】千里導入明細資料_SDB追加_【作成中】千里センター機器配置図（2010年対応分）_20091221" xfId="733"/>
    <cellStyle name="_［提出版］千里導入明細資料（資源配付・仮想化）20090323_【20090814】千里導入明細資料_SDB追加_【作成中】千里センター機器配置図（2010年対応分）_20091221 2" xfId="734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" xfId="735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 2" xfId="736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" xfId="737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 2" xfId="738"/>
    <cellStyle name="_［提出版］千里導入明細資料（資源配付・仮想化）20090323_【20090814】千里導入明細資料_SDB追加_【作成中】千里センター機器配置図（2010年対応分）_20091221_Ⅹ_課題と対応策_20121211" xfId="739"/>
    <cellStyle name="_［提出版］千里導入明細資料（資源配付・仮想化）20090323_【20090814】千里導入明細資料_SDB追加_【作成中】千里センター機器配置図（2010年対応分）_20091221_Ⅹ_課題と対応策_20121211 2" xfId="740"/>
    <cellStyle name="_［提出版］千里導入明細資料（資源配付・仮想化）20090323_【20090814】千里導入明細資料_SDB追加_Ⅹ_課題と対応策_20121211" xfId="741"/>
    <cellStyle name="_［提出版］千里導入明細資料（資源配付・仮想化）20090323_【20090814】千里導入明細資料_SDB追加_Ⅹ_課題と対応策_20121211 2" xfId="742"/>
    <cellStyle name="_［提出版］千里導入明細資料（資源配付・仮想化）20090323_【20090821】千里ラック搭載図（NW機器）" xfId="743"/>
    <cellStyle name="_［提出版］千里導入明細資料（資源配付・仮想化）20090323_【20090821】千里ラック搭載図（NW機器） 2" xfId="744"/>
    <cellStyle name="_［提出版］千里導入明細資料（資源配付・仮想化）20090323_【20090821】千里ラック搭載図（NW機器）_Ⅹ_課題と対応策_20121211" xfId="745"/>
    <cellStyle name="_［提出版］千里導入明細資料（資源配付・仮想化）20090323_【20090821】千里ラック搭載図（NW機器）_Ⅹ_課題と対応策_20121211 2" xfId="746"/>
    <cellStyle name="_［提出版］千里導入明細資料（資源配付・仮想化）20090323_【20091218】千里導入明細資料_２１年度分（ネットワーク敷設）" xfId="747"/>
    <cellStyle name="_［提出版］千里導入明細資料（資源配付・仮想化）20090323_【20091218】千里導入明細資料_２１年度分（ネットワーク敷設） 2" xfId="748"/>
    <cellStyle name="_［提出版］千里導入明細資料（資源配付・仮想化）20090323_【20091218】千里導入明細資料_２１年度分（ネットワーク敷設）_Ⅹ_課題と対応策_20121211" xfId="749"/>
    <cellStyle name="_［提出版］千里導入明細資料（資源配付・仮想化）20090323_【20091218】千里導入明細資料_２１年度分（ネットワーク敷設）_Ⅹ_課題と対応策_20121211 2" xfId="750"/>
    <cellStyle name="_［提出版］千里導入明細資料（資源配付・仮想化）20090323_【20091224】千里導入明細資料_２２年度上期分_営業店DB" xfId="751"/>
    <cellStyle name="_［提出版］千里導入明細資料（資源配付・仮想化）20090323_【20091224】千里導入明細資料_２２年度上期分_営業店DB 2" xfId="752"/>
    <cellStyle name="_［提出版］千里導入明細資料（資源配付・仮想化）20090323_【20091224】千里導入明細資料_２２年度上期分_営業店DB_【20091225】千里導入明細資料_２２年度上期分（営業店ＡＰ－ＤＢ）" xfId="753"/>
    <cellStyle name="_［提出版］千里導入明細資料（資源配付・仮想化）20090323_【20091224】千里導入明細資料_２２年度上期分_営業店DB_【20091225】千里導入明細資料_２２年度上期分（営業店ＡＰ－ＤＢ） 2" xfId="754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" xfId="755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 2" xfId="756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" xfId="757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758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" xfId="759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 2" xfId="760"/>
    <cellStyle name="_［提出版］千里導入明細資料（資源配付・仮想化）20090323_【20091224】千里導入明細資料_２２年度上期分_営業店DB_【20091225】千里導入明細資料_２２年度上期分_営業店DB" xfId="761"/>
    <cellStyle name="_［提出版］千里導入明細資料（資源配付・仮想化）20090323_【20091224】千里導入明細資料_２２年度上期分_営業店DB_【20091225】千里導入明細資料_２２年度上期分_営業店DB 2" xfId="762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" xfId="763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 2" xfId="764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" xfId="765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 2" xfId="766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" xfId="767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 2" xfId="768"/>
    <cellStyle name="_［提出版］千里導入明細資料（資源配付・仮想化）20090323_【20091224】千里導入明細資料_２２年度上期分_営業店DB_Ⅹ_課題と対応策_20121211" xfId="769"/>
    <cellStyle name="_［提出版］千里導入明細資料（資源配付・仮想化）20090323_【20091224】千里導入明細資料_２２年度上期分_営業店DB_Ⅹ_課題と対応策_20121211 2" xfId="770"/>
    <cellStyle name="_［提出版］千里導入明細資料（資源配付・仮想化）20090323_【20091225】千里導入明細資料_２２年度上期分" xfId="771"/>
    <cellStyle name="_［提出版］千里導入明細資料（資源配付・仮想化）20090323_【20091225】千里導入明細資料_２２年度上期分 2" xfId="772"/>
    <cellStyle name="_［提出版］千里導入明細資料（資源配付・仮想化）20090323_【20091225】千里導入明細資料_２２年度上期分_Ⅹ_課題と対応策_20121211" xfId="773"/>
    <cellStyle name="_［提出版］千里導入明細資料（資源配付・仮想化）20090323_【20091225】千里導入明細資料_２２年度上期分_Ⅹ_課題と対応策_20121211 2" xfId="774"/>
    <cellStyle name="_［提出版］千里導入明細資料（資源配付・仮想化）20090323_【20091225】千里導入明細資料_２２年度上期分_営業店DB" xfId="775"/>
    <cellStyle name="_［提出版］千里導入明細資料（資源配付・仮想化）20090323_【20091225】千里導入明細資料_２２年度上期分_営業店DB 2" xfId="776"/>
    <cellStyle name="_［提出版］千里導入明細資料（資源配付・仮想化）20090323_【20091225】千里導入明細資料_２２年度上期分_営業店DB_Ⅹ_課題と対応策_20121211" xfId="777"/>
    <cellStyle name="_［提出版］千里導入明細資料（資源配付・仮想化）20090323_【20091225】千里導入明細資料_２２年度上期分_営業店DB_Ⅹ_課題と対応策_20121211 2" xfId="778"/>
    <cellStyle name="_［提出版］千里導入明細資料（資源配付・仮想化）20090323_【20091225】千里導入明細資料_２２年度上期分_連携DB" xfId="779"/>
    <cellStyle name="_［提出版］千里導入明細資料（資源配付・仮想化）20090323_【20091225】千里導入明細資料_２２年度上期分_連携DB 2" xfId="780"/>
    <cellStyle name="_［提出版］千里導入明細資料（資源配付・仮想化）20090323_【20091225】千里導入明細資料_２２年度上期分_連携DB_Ⅹ_課題と対応策_20121211" xfId="781"/>
    <cellStyle name="_［提出版］千里導入明細資料（資源配付・仮想化）20090323_【20091225】千里導入明細資料_２２年度上期分_連携DB_Ⅹ_課題と対応策_20121211 2" xfId="782"/>
    <cellStyle name="_［提出版］千里導入明細資料（資源配付・仮想化）20090323_【200912xx】千里導入明細資料_２２年度上期分" xfId="783"/>
    <cellStyle name="_［提出版］千里導入明細資料（資源配付・仮想化）20090323_【200912xx】千里導入明細資料_２２年度上期分 2" xfId="784"/>
    <cellStyle name="_［提出版］千里導入明細資料（資源配付・仮想化）20090323_【200912xx】千里導入明細資料_２２年度上期分（為替分）" xfId="785"/>
    <cellStyle name="_［提出版］千里導入明細資料（資源配付・仮想化）20090323_【200912xx】千里導入明細資料_２２年度上期分（為替分） 2" xfId="786"/>
    <cellStyle name="_［提出版］千里導入明細資料（資源配付・仮想化）20090323_【200912xx】千里導入明細資料_２２年度上期分（為替分）_Ⅹ_課題と対応策_20121211" xfId="787"/>
    <cellStyle name="_［提出版］千里導入明細資料（資源配付・仮想化）20090323_【200912xx】千里導入明細資料_２２年度上期分（為替分）_Ⅹ_課題と対応策_20121211 2" xfId="788"/>
    <cellStyle name="_［提出版］千里導入明細資料（資源配付・仮想化）20090323_【200912xx】千里導入明細資料_２２年度上期分_【20091225】千里導入明細資料_２２年度上期分（営業店ＡＰ－ＤＢ）" xfId="789"/>
    <cellStyle name="_［提出版］千里導入明細資料（資源配付・仮想化）20090323_【200912xx】千里導入明細資料_２２年度上期分_【20091225】千里導入明細資料_２２年度上期分（営業店ＡＰ－ＤＢ） 2" xfId="790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" xfId="791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 2" xfId="792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" xfId="793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 2" xfId="794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" xfId="795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 2" xfId="796"/>
    <cellStyle name="_［提出版］千里導入明細資料（資源配付・仮想化）20090323_【200912xx】千里導入明細資料_２２年度上期分_【20091225】千里導入明細資料_２２年度上期分_営業店DB" xfId="797"/>
    <cellStyle name="_［提出版］千里導入明細資料（資源配付・仮想化）20090323_【200912xx】千里導入明細資料_２２年度上期分_【20091225】千里導入明細資料_２２年度上期分_営業店DB 2" xfId="798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" xfId="799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 2" xfId="800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" xfId="801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 2" xfId="802"/>
    <cellStyle name="_［提出版］千里導入明細資料（資源配付・仮想化）20090323_【200912xx】千里導入明細資料_２２年度上期分_【20091225】千里導入明細資料_２２年度上期分_営業店DB_Ⅹ_課題と対応策_20121211" xfId="803"/>
    <cellStyle name="_［提出版］千里導入明細資料（資源配付・仮想化）20090323_【200912xx】千里導入明細資料_２２年度上期分_【20091225】千里導入明細資料_２２年度上期分_営業店DB_Ⅹ_課題と対応策_20121211 2" xfId="804"/>
    <cellStyle name="_［提出版］千里導入明細資料（資源配付・仮想化）20090323_【200912xx】千里導入明細資料_２２年度上期分_【20091225】千里導入明細資料_２２年度上期分_連携DB" xfId="805"/>
    <cellStyle name="_［提出版］千里導入明細資料（資源配付・仮想化）20090323_【200912xx】千里導入明細資料_２２年度上期分_【20091225】千里導入明細資料_２２年度上期分_連携DB 2" xfId="806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" xfId="807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 2" xfId="808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" xfId="809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 2" xfId="810"/>
    <cellStyle name="_［提出版］千里導入明細資料（資源配付・仮想化）20090323_【200912xx】千里導入明細資料_２２年度上期分_【20091225】千里導入明細資料_２２年度上期分_連携DB_Ⅹ_課題と対応策_20121211" xfId="811"/>
    <cellStyle name="_［提出版］千里導入明細資料（資源配付・仮想化）20090323_【200912xx】千里導入明細資料_２２年度上期分_【20091225】千里導入明細資料_２２年度上期分_連携DB_Ⅹ_課題と対応策_20121211 2" xfId="812"/>
    <cellStyle name="_［提出版］千里導入明細資料（資源配付・仮想化）20090323_【200912xx】千里導入明細資料_２２年度上期分_Ⅹ_課題と対応策_20121211" xfId="813"/>
    <cellStyle name="_［提出版］千里導入明細資料（資源配付・仮想化）20090323_【200912xx】千里導入明細資料_２２年度上期分_Ⅹ_課題と対応策_20121211 2" xfId="814"/>
    <cellStyle name="_［提出版］千里導入明細資料（資源配付・仮想化）20090323_【調整中】千里導入明細資料_２２年度上期分_fj_20100127" xfId="815"/>
    <cellStyle name="_［提出版］千里導入明細資料（資源配付・仮想化）20090323_【調整中】千里導入明細資料_２２年度上期分_fj_20100127 2" xfId="816"/>
    <cellStyle name="_［提出版］千里導入明細資料（資源配付・仮想化）20090323_【調整中】千里導入明細資料_２２年度上期分_fj_20100127_Ⅹ_課題と対応策_20121211" xfId="817"/>
    <cellStyle name="_［提出版］千里導入明細資料（資源配付・仮想化）20090323_【調整中】千里導入明細資料_２２年度上期分_fj_20100127_Ⅹ_課題と対応策_20121211 2" xfId="818"/>
    <cellStyle name="_［提出版］千里導入明細資料（資源配付・仮想化）20090323_①【20091225】千里導入明細資料_２２年度上期1分)" xfId="819"/>
    <cellStyle name="_［提出版］千里導入明細資料（資源配付・仮想化）20090323_①【20091225】千里導入明細資料_２２年度上期1分) 2" xfId="820"/>
    <cellStyle name="_［提出版］千里導入明細資料（資源配付・仮想化）20090323_①【20091225】千里導入明細資料_２２年度上期1分)_Ⅹ_課題と対応策_20121211" xfId="821"/>
    <cellStyle name="_［提出版］千里導入明細資料（資源配付・仮想化）20090323_①【20091225】千里導入明細資料_２２年度上期1分)_Ⅹ_課題と対応策_20121211 2" xfId="822"/>
    <cellStyle name="_［提出版］千里導入明細資料（資源配付・仮想化）20090323_Ⅹ_課題と対応策_20121211" xfId="823"/>
    <cellStyle name="_［提出版］千里導入明細資料（資源配付・仮想化）20090323_Ⅹ_課題と対応策_20121211 2" xfId="824"/>
    <cellStyle name="_［提出版］千里導入明細資料（資源配付・仮想化）20090323_ラック構成図（千里_営業店・新事務）_20090805" xfId="825"/>
    <cellStyle name="_［提出版］千里導入明細資料（資源配付・仮想化）20090323_ラック構成図（千里_営業店・新事務）_20090805 2" xfId="826"/>
    <cellStyle name="_［提出版］千里導入明細資料（資源配付・仮想化）20090323_ラック構成図（千里_営業店・新事務）_20090805_【20091207】千里導入明細資料_２１年度分（ネットワーク敷設）" xfId="827"/>
    <cellStyle name="_［提出版］千里導入明細資料（資源配付・仮想化）20090323_ラック構成図（千里_営業店・新事務）_20090805_【20091207】千里導入明細資料_２１年度分（ネットワーク敷設） 2" xfId="828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" xfId="829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 2" xfId="830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" xfId="831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 2" xfId="832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" xfId="833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 2" xfId="834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" xfId="835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 2" xfId="836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" xfId="837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 2" xfId="838"/>
    <cellStyle name="_［提出版］千里導入明細資料（資源配付・仮想化）20090323_ラック構成図（千里_営業店・新事務）_20090805_【20091225】千里導入明細資料_２２年度上期分（営業店ＡＰ－ＤＢ）" xfId="839"/>
    <cellStyle name="_［提出版］千里導入明細資料（資源配付・仮想化）20090323_ラック構成図（千里_営業店・新事務）_20090805_【20091225】千里導入明細資料_２２年度上期分（営業店ＡＰ－ＤＢ） 2" xfId="840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" xfId="841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 2" xfId="842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" xfId="843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 2" xfId="844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" xfId="845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 2" xfId="846"/>
    <cellStyle name="_［提出版］千里導入明細資料（資源配付・仮想化）20090323_ラック構成図（千里_営業店・新事務）_20090805_【20091225】千里導入明細資料_２２年度上期分_営業店DB" xfId="847"/>
    <cellStyle name="_［提出版］千里導入明細資料（資源配付・仮想化）20090323_ラック構成図（千里_営業店・新事務）_20090805_【20091225】千里導入明細資料_２２年度上期分_営業店DB 2" xfId="848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" xfId="849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 2" xfId="850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" xfId="851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 2" xfId="852"/>
    <cellStyle name="_［提出版］千里導入明細資料（資源配付・仮想化）20090323_ラック構成図（千里_営業店・新事務）_20090805_【20091225】千里導入明細資料_２２年度上期分_営業店DB_Ⅹ_課題と対応策_20121211" xfId="853"/>
    <cellStyle name="_［提出版］千里導入明細資料（資源配付・仮想化）20090323_ラック構成図（千里_営業店・新事務）_20090805_【20091225】千里導入明細資料_２２年度上期分_営業店DB_Ⅹ_課題と対応策_20121211 2" xfId="854"/>
    <cellStyle name="_［提出版］千里導入明細資料（資源配付・仮想化）20090323_ラック構成図（千里_営業店・新事務）_20090805_【20091225】千里導入明細資料_２２年度上期分_連携DB" xfId="855"/>
    <cellStyle name="_［提出版］千里導入明細資料（資源配付・仮想化）20090323_ラック構成図（千里_営業店・新事務）_20090805_【20091225】千里導入明細資料_２２年度上期分_連携DB 2" xfId="856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" xfId="857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 2" xfId="858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" xfId="859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 2" xfId="860"/>
    <cellStyle name="_［提出版］千里導入明細資料（資源配付・仮想化）20090323_ラック構成図（千里_営業店・新事務）_20090805_【20091225】千里導入明細資料_２２年度上期分_連携DB_Ⅹ_課題と対応策_20121211" xfId="861"/>
    <cellStyle name="_［提出版］千里導入明細資料（資源配付・仮想化）20090323_ラック構成図（千里_営業店・新事務）_20090805_【20091225】千里導入明細資料_２２年度上期分_連携DB_Ⅹ_課題と対応策_20121211 2" xfId="862"/>
    <cellStyle name="_［提出版］千里導入明細資料（資源配付・仮想化）20090323_ラック構成図（千里_営業店・新事務）_20090805_【作成中】千里センター機器配置図（2010年対応分）_20091221" xfId="863"/>
    <cellStyle name="_［提出版］千里導入明細資料（資源配付・仮想化）20090323_ラック構成図（千里_営業店・新事務）_20090805_【作成中】千里センター機器配置図（2010年対応分）_20091221 2" xfId="864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" xfId="865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 2" xfId="866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" xfId="867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 2" xfId="868"/>
    <cellStyle name="_［提出版］千里導入明細資料（資源配付・仮想化）20090323_ラック構成図（千里_営業店・新事務）_20090805_【作成中】千里センター機器配置図（2010年対応分）_20091221_Ⅹ_課題と対応策_20121211" xfId="869"/>
    <cellStyle name="_［提出版］千里導入明細資料（資源配付・仮想化）20090323_ラック構成図（千里_営業店・新事務）_20090805_【作成中】千里センター機器配置図（2010年対応分）_20091221_Ⅹ_課題と対応策_20121211 2" xfId="870"/>
    <cellStyle name="_［提出版］千里導入明細資料（資源配付・仮想化）20090323_ラック構成図（千里_営業店・新事務）_20090805_Ⅹ_課題と対応策_20121211" xfId="871"/>
    <cellStyle name="_［提出版］千里導入明細資料（資源配付・仮想化）20090323_ラック構成図（千里_営業店・新事務）_20090805_Ⅹ_課題と対応策_20121211 2" xfId="872"/>
    <cellStyle name="_［提出版］千里導入明細資料（資源配付・仮想化）20090323_ラック構成図_Catalyst直付け（新事務処理）" xfId="873"/>
    <cellStyle name="_［提出版］千里導入明細資料（資源配付・仮想化）20090323_ラック構成図_Catalyst直付け（新事務処理） 2" xfId="874"/>
    <cellStyle name="_［提出版］千里導入明細資料（資源配付・仮想化）20090323_ラック構成図_Catalyst直付け（新事務処理）_【20091207】千里導入明細資料_２１年度分（ネットワーク敷設）" xfId="875"/>
    <cellStyle name="_［提出版］千里導入明細資料（資源配付・仮想化）20090323_ラック構成図_Catalyst直付け（新事務処理）_【20091207】千里導入明細資料_２１年度分（ネットワーク敷設） 2" xfId="876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" xfId="877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 2" xfId="878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" xfId="879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 2" xfId="880"/>
    <cellStyle name="_［提出版］千里導入明細資料（資源配付・仮想化）20090323_ラック構成図_Catalyst直付け（新事務処理）_【20091207】千里導入明細資料_２１年度分（ネットワーク敷設）_Ⅹ_課題と対応策_20121211" xfId="881"/>
    <cellStyle name="_［提出版］千里導入明細資料（資源配付・仮想化）20090323_ラック構成図_Catalyst直付け（新事務処理）_【20091207】千里導入明細資料_２１年度分（ネットワーク敷設）_Ⅹ_課題と対応策_20121211 2" xfId="882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" xfId="883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 2" xfId="884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" xfId="885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 2" xfId="886"/>
    <cellStyle name="_［提出版］千里導入明細資料（資源配付・仮想化）20090323_ラック構成図_Catalyst直付け（新事務処理）_【20091225】千里導入明細資料_２２年度上期分（営業店ＡＰ－ＤＢ）" xfId="887"/>
    <cellStyle name="_［提出版］千里導入明細資料（資源配付・仮想化）20090323_ラック構成図_Catalyst直付け（新事務処理）_【20091225】千里導入明細資料_２２年度上期分（営業店ＡＰ－ＤＢ） 2" xfId="888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" xfId="889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 2" xfId="890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" xfId="891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 2" xfId="892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" xfId="893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 2" xfId="894"/>
    <cellStyle name="_［提出版］千里導入明細資料（資源配付・仮想化）20090323_ラック構成図_Catalyst直付け（新事務処理）_【20091225】千里導入明細資料_２２年度上期分_営業店DB" xfId="895"/>
    <cellStyle name="_［提出版］千里導入明細資料（資源配付・仮想化）20090323_ラック構成図_Catalyst直付け（新事務処理）_【20091225】千里導入明細資料_２２年度上期分_営業店DB 2" xfId="896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" xfId="897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 2" xfId="898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" xfId="899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 2" xfId="900"/>
    <cellStyle name="_［提出版］千里導入明細資料（資源配付・仮想化）20090323_ラック構成図_Catalyst直付け（新事務処理）_【20091225】千里導入明細資料_２２年度上期分_営業店DB_Ⅹ_課題と対応策_20121211" xfId="901"/>
    <cellStyle name="_［提出版］千里導入明細資料（資源配付・仮想化）20090323_ラック構成図_Catalyst直付け（新事務処理）_【20091225】千里導入明細資料_２２年度上期分_営業店DB_Ⅹ_課題と対応策_20121211 2" xfId="902"/>
    <cellStyle name="_［提出版］千里導入明細資料（資源配付・仮想化）20090323_ラック構成図_Catalyst直付け（新事務処理）_【20091225】千里導入明細資料_２２年度上期分_連携DB" xfId="903"/>
    <cellStyle name="_［提出版］千里導入明細資料（資源配付・仮想化）20090323_ラック構成図_Catalyst直付け（新事務処理）_【20091225】千里導入明細資料_２２年度上期分_連携DB 2" xfId="904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" xfId="905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 2" xfId="906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" xfId="907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 2" xfId="908"/>
    <cellStyle name="_［提出版］千里導入明細資料（資源配付・仮想化）20090323_ラック構成図_Catalyst直付け（新事務処理）_【20091225】千里導入明細資料_２２年度上期分_連携DB_Ⅹ_課題と対応策_20121211" xfId="909"/>
    <cellStyle name="_［提出版］千里導入明細資料（資源配付・仮想化）20090323_ラック構成図_Catalyst直付け（新事務処理）_【20091225】千里導入明細資料_２２年度上期分_連携DB_Ⅹ_課題と対応策_20121211 2" xfId="910"/>
    <cellStyle name="_［提出版］千里導入明細資料（資源配付・仮想化）20090323_ラック構成図_Catalyst直付け（新事務処理）_【作成中】千里センター機器配置図（2010年対応分）_20091221" xfId="911"/>
    <cellStyle name="_［提出版］千里導入明細資料（資源配付・仮想化）20090323_ラック構成図_Catalyst直付け（新事務処理）_【作成中】千里センター機器配置図（2010年対応分）_20091221 2" xfId="912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" xfId="913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 2" xfId="914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" xfId="915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 2" xfId="916"/>
    <cellStyle name="_［提出版］千里導入明細資料（資源配付・仮想化）20090323_ラック構成図_Catalyst直付け（新事務処理）_【作成中】千里センター機器配置図（2010年対応分）_20091221_Ⅹ_課題と対応策_20121211" xfId="917"/>
    <cellStyle name="_［提出版］千里導入明細資料（資源配付・仮想化）20090323_ラック構成図_Catalyst直付け（新事務処理）_【作成中】千里センター機器配置図（2010年対応分）_20091221_Ⅹ_課題と対応策_20121211 2" xfId="918"/>
    <cellStyle name="_［提出版］千里導入明細資料（資源配付・仮想化）20090323_ラック構成図_Catalyst直付け（新事務処理）_Ⅹ_課題と対応策_20121211" xfId="919"/>
    <cellStyle name="_［提出版］千里導入明細資料（資源配付・仮想化）20090323_ラック構成図_Catalyst直付け（新事務処理）_Ⅹ_課題と対応策_20121211 2" xfId="920"/>
    <cellStyle name="_［提出版］千里導入明細資料（資源配付・仮想化）20090323_ラック構成図_RX100Si-R削除(新事務処理)" xfId="921"/>
    <cellStyle name="_［提出版］千里導入明細資料（資源配付・仮想化）20090323_ラック構成図_RX100Si-R削除(新事務処理) 2" xfId="922"/>
    <cellStyle name="_［提出版］千里導入明細資料（資源配付・仮想化）20090323_ラック構成図_RX100Si-R削除(新事務処理)_【20091207】千里導入明細資料_２１年度分（ネットワーク敷設）" xfId="923"/>
    <cellStyle name="_［提出版］千里導入明細資料（資源配付・仮想化）20090323_ラック構成図_RX100Si-R削除(新事務処理)_【20091207】千里導入明細資料_２１年度分（ネットワーク敷設） 2" xfId="924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" xfId="925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 2" xfId="926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" xfId="927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 2" xfId="928"/>
    <cellStyle name="_［提出版］千里導入明細資料（資源配付・仮想化）20090323_ラック構成図_RX100Si-R削除(新事務処理)_【20091207】千里導入明細資料_２１年度分（ネットワーク敷設）_Ⅹ_課題と対応策_20121211" xfId="929"/>
    <cellStyle name="_［提出版］千里導入明細資料（資源配付・仮想化）20090323_ラック構成図_RX100Si-R削除(新事務処理)_【20091207】千里導入明細資料_２１年度分（ネットワーク敷設）_Ⅹ_課題と対応策_20121211 2" xfId="930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" xfId="931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 2" xfId="932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" xfId="933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 2" xfId="934"/>
    <cellStyle name="_［提出版］千里導入明細資料（資源配付・仮想化）20090323_ラック構成図_RX100Si-R削除(新事務処理)_【20091225】千里導入明細資料_２２年度上期分（営業店ＡＰ－ＤＢ）" xfId="935"/>
    <cellStyle name="_［提出版］千里導入明細資料（資源配付・仮想化）20090323_ラック構成図_RX100Si-R削除(新事務処理)_【20091225】千里導入明細資料_２２年度上期分（営業店ＡＰ－ＤＢ） 2" xfId="936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" xfId="937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 2" xfId="938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" xfId="939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 2" xfId="940"/>
    <cellStyle name="_［提出版］千里導入明細資料（資源配付・仮想化）20090323_ラック構成図_RX100Si-R削除(新事務処理)_【20091225】千里導入明細資料_２２年度上期分（営業店ＡＰ－ＤＢ）_Ⅹ_課題と対応策_20121211" xfId="941"/>
    <cellStyle name="_［提出版］千里導入明細資料（資源配付・仮想化）20090323_ラック構成図_RX100Si-R削除(新事務処理)_【20091225】千里導入明細資料_２２年度上期分（営業店ＡＰ－ＤＢ）_Ⅹ_課題と対応策_20121211 2" xfId="942"/>
    <cellStyle name="_［提出版］千里導入明細資料（資源配付・仮想化）20090323_ラック構成図_RX100Si-R削除(新事務処理)_【20091225】千里導入明細資料_２２年度上期分_営業店DB" xfId="943"/>
    <cellStyle name="_［提出版］千里導入明細資料（資源配付・仮想化）20090323_ラック構成図_RX100Si-R削除(新事務処理)_【20091225】千里導入明細資料_２２年度上期分_営業店DB 2" xfId="944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" xfId="945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 2" xfId="946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" xfId="947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 2" xfId="948"/>
    <cellStyle name="_［提出版］千里導入明細資料（資源配付・仮想化）20090323_ラック構成図_RX100Si-R削除(新事務処理)_【20091225】千里導入明細資料_２２年度上期分_営業店DB_Ⅹ_課題と対応策_20121211" xfId="949"/>
    <cellStyle name="_［提出版］千里導入明細資料（資源配付・仮想化）20090323_ラック構成図_RX100Si-R削除(新事務処理)_【20091225】千里導入明細資料_２２年度上期分_営業店DB_Ⅹ_課題と対応策_20121211 2" xfId="950"/>
    <cellStyle name="_［提出版］千里導入明細資料（資源配付・仮想化）20090323_ラック構成図_RX100Si-R削除(新事務処理)_【20091225】千里導入明細資料_２２年度上期分_連携DB" xfId="951"/>
    <cellStyle name="_［提出版］千里導入明細資料（資源配付・仮想化）20090323_ラック構成図_RX100Si-R削除(新事務処理)_【20091225】千里導入明細資料_２２年度上期分_連携DB 2" xfId="952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" xfId="953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 2" xfId="954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" xfId="955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 2" xfId="956"/>
    <cellStyle name="_［提出版］千里導入明細資料（資源配付・仮想化）20090323_ラック構成図_RX100Si-R削除(新事務処理)_【20091225】千里導入明細資料_２２年度上期分_連携DB_Ⅹ_課題と対応策_20121211" xfId="957"/>
    <cellStyle name="_［提出版］千里導入明細資料（資源配付・仮想化）20090323_ラック構成図_RX100Si-R削除(新事務処理)_【20091225】千里導入明細資料_２２年度上期分_連携DB_Ⅹ_課題と対応策_20121211 2" xfId="958"/>
    <cellStyle name="_［提出版］千里導入明細資料（資源配付・仮想化）20090323_ラック構成図_RX100Si-R削除(新事務処理)_【作成中】千里センター機器配置図（2010年対応分）_20091221" xfId="959"/>
    <cellStyle name="_［提出版］千里導入明細資料（資源配付・仮想化）20090323_ラック構成図_RX100Si-R削除(新事務処理)_【作成中】千里センター機器配置図（2010年対応分）_20091221 2" xfId="960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" xfId="961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 2" xfId="962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" xfId="963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 2" xfId="964"/>
    <cellStyle name="_［提出版］千里導入明細資料（資源配付・仮想化）20090323_ラック構成図_RX100Si-R削除(新事務処理)_【作成中】千里センター機器配置図（2010年対応分）_20091221_Ⅹ_課題と対応策_20121211" xfId="965"/>
    <cellStyle name="_［提出版］千里導入明細資料（資源配付・仮想化）20090323_ラック構成図_RX100Si-R削除(新事務処理)_【作成中】千里センター機器配置図（2010年対応分）_20091221_Ⅹ_課題と対応策_20121211 2" xfId="966"/>
    <cellStyle name="_［提出版］千里導入明細資料（資源配付・仮想化）20090323_ラック構成図_RX100Si-R削除(新事務処理)_Ⅹ_課題と対応策_20121211" xfId="967"/>
    <cellStyle name="_［提出版］千里導入明細資料（資源配付・仮想化）20090323_ラック構成図_RX100Si-R削除(新事務処理)_Ⅹ_課題と対応策_20121211 2" xfId="968"/>
    <cellStyle name="_［提出版］千里導入明細資料（資源配付・仮想化）20090323_千里導入明細資料_２２年度分（ネットワーク敷設）_fj" xfId="969"/>
    <cellStyle name="_［提出版］千里導入明細資料（資源配付・仮想化）20090323_千里導入明細資料_２２年度分（ネットワーク敷設）_fj 2" xfId="970"/>
    <cellStyle name="_［提出版］千里導入明細資料（資源配付・仮想化）20090323_千里導入明細資料_２２年度分（ネットワーク敷設）_fj_Ⅹ_課題と対応策_20121211" xfId="971"/>
    <cellStyle name="_［提出版］千里導入明細資料（資源配付・仮想化）20090323_千里導入明細資料_２２年度分（ネットワーク敷設）_fj_Ⅹ_課題と対応策_20121211 2" xfId="972"/>
    <cellStyle name="_【20090323_参考資料】千里導入明細資料" xfId="973"/>
    <cellStyle name="_【20090323_参考資料】千里導入明細資料 2" xfId="974"/>
    <cellStyle name="_【20090323_参考資料】千里導入明細資料_(自動機監視GW) 【20090602】千里導入明細資料_２１年度fj分" xfId="975"/>
    <cellStyle name="_【20090323_参考資料】千里導入明細資料_(自動機監視GW) 【20090602】千里導入明細資料_２１年度fj分 2" xfId="976"/>
    <cellStyle name="_【20090323_参考資料】千里導入明細資料_(自動機監視GW) 【20090602】千里導入明細資料_２１年度fj分_【20091218】千里導入明細資料_２１年度分（ネットワーク敷設）" xfId="977"/>
    <cellStyle name="_【20090323_参考資料】千里導入明細資料_(自動機監視GW) 【20090602】千里導入明細資料_２１年度fj分_【20091218】千里導入明細資料_２１年度分（ネットワーク敷設） 2" xfId="978"/>
    <cellStyle name="_【20090323_参考資料】千里導入明細資料_(自動機監視GW) 【20090602】千里導入明細資料_２１年度fj分_【20091218】千里導入明細資料_２１年度分（ネットワーク敷設）_Ⅹ_課題と対応策_20121211" xfId="979"/>
    <cellStyle name="_【20090323_参考資料】千里導入明細資料_(自動機監視GW) 【20090602】千里導入明細資料_２１年度fj分_【20091218】千里導入明細資料_２１年度分（ネットワーク敷設）_Ⅹ_課題と対応策_20121211 2" xfId="980"/>
    <cellStyle name="_【20090323_参考資料】千里導入明細資料_(自動機監視GW) 【20090602】千里導入明細資料_２１年度fj分_Ⅹ_課題と対応策_20121211" xfId="981"/>
    <cellStyle name="_【20090323_参考資料】千里導入明細資料_(自動機監視GW) 【20090602】千里導入明細資料_２１年度fj分_Ⅹ_課題と対応策_20121211 2" xfId="982"/>
    <cellStyle name="_【20090323_参考資料】千里導入明細資料_(自動機監視GW) 【20090602】千里導入明細資料_２１年度fj分_千里導入明細資料_２２年度分（ネットワーク敷設）_fj" xfId="983"/>
    <cellStyle name="_【20090323_参考資料】千里導入明細資料_(自動機監視GW) 【20090602】千里導入明細資料_２１年度fj分_千里導入明細資料_２２年度分（ネットワーク敷設）_fj 2" xfId="984"/>
    <cellStyle name="_【20090323_参考資料】千里導入明細資料_(自動機監視GW) 【20090602】千里導入明細資料_２１年度fj分_千里導入明細資料_２２年度分（ネットワーク敷設）_fj_Ⅹ_課題と対応策_20121211" xfId="985"/>
    <cellStyle name="_【20090323_参考資料】千里導入明細資料_(自動機監視GW) 【20090602】千里導入明細資料_２１年度fj分_千里導入明細資料_２２年度分（ネットワーク敷設）_fj_Ⅹ_課題と対応策_20121211 2" xfId="986"/>
    <cellStyle name="_【20090323_参考資料】千里導入明細資料_【20090715】千里導入明細資料_２１年度分（９月工事分）_fj" xfId="987"/>
    <cellStyle name="_【20090323_参考資料】千里導入明細資料_【20090715】千里導入明細資料_２１年度分（９月工事分）_fj 2" xfId="988"/>
    <cellStyle name="_【20090323_参考資料】千里導入明細資料_【20090715】千里導入明細資料_２１年度分（９月工事分）_fj_【20090721】千里導入明細資料_２１年度分" xfId="989"/>
    <cellStyle name="_【20090323_参考資料】千里導入明細資料_【20090715】千里導入明細資料_２１年度分（９月工事分）_fj_【20090721】千里導入明細資料_２１年度分 2" xfId="990"/>
    <cellStyle name="_【20090323_参考資料】千里導入明細資料_【20090715】千里導入明細資料_２１年度分（９月工事分）_fj_【20090721】千里導入明細資料_２１年度分（９月工事分）_ETERNUS追加" xfId="991"/>
    <cellStyle name="_【20090323_参考資料】千里導入明細資料_【20090715】千里導入明細資料_２１年度分（９月工事分）_fj_【20090721】千里導入明細資料_２１年度分（９月工事分）_ETERNUS追加 2" xfId="992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" xfId="993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 2" xfId="994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995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996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997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998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999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000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" xfId="1001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 2" xfId="1002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" xfId="1003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 2" xfId="1004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" xfId="1005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 2" xfId="1006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007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008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" xfId="1009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 2" xfId="1010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011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012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013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014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15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16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017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018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019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020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021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022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023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024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025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026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027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028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" xfId="1029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 2" xfId="1030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" xfId="1031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 2" xfId="1032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" xfId="1033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 2" xfId="1034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035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036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" xfId="1037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 2" xfId="1038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039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040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" xfId="1041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 2" xfId="1042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" xfId="1043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 2" xfId="1044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045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046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047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048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049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050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051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052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053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054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055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056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057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058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059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060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061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062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063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064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065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066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067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068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069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070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" xfId="1071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 2" xfId="1072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" xfId="1073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 2" xfId="1074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075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076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" xfId="1077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 2" xfId="1078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" xfId="1079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 2" xfId="1080"/>
    <cellStyle name="_【20090323_参考資料】千里導入明細資料_【20090715】千里導入明細資料_２１年度分（９月工事分）_fj_【20090721】千里導入明細資料_２１年度分（９月工事分）_ETERNUS追加_Ⅹ_課題と対応策_20121211" xfId="1081"/>
    <cellStyle name="_【20090323_参考資料】千里導入明細資料_【20090715】千里導入明細資料_２１年度分（９月工事分）_fj_【20090721】千里導入明細資料_２１年度分（９月工事分）_ETERNUS追加_Ⅹ_課題と対応策_20121211 2" xfId="1082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" xfId="1083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 2" xfId="1084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085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086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" xfId="1087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 2" xfId="1088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" xfId="1089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 2" xfId="1090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" xfId="1091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 2" xfId="1092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093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094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095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096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97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98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099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100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101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102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103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104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105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106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107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108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" xfId="1109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 2" xfId="1110"/>
    <cellStyle name="_【20090323_参考資料】千里導入明細資料_【20090715】千里導入明細資料_２１年度分（９月工事分）_fj_【20090721】千里導入明細資料_２１年度分_【20091225】千里導入明細資料_２２年度上期分" xfId="1111"/>
    <cellStyle name="_【20090323_参考資料】千里導入明細資料_【20090715】千里導入明細資料_２１年度分（９月工事分）_fj_【20090721】千里導入明細資料_２１年度分_【20091225】千里導入明細資料_２２年度上期分 2" xfId="1112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" xfId="1113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 2" xfId="1114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" xfId="1115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 2" xfId="1116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" xfId="1117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 2" xfId="1118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" xfId="1119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 2" xfId="1120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" xfId="1121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 2" xfId="1122"/>
    <cellStyle name="_【20090323_参考資料】千里導入明細資料_【20090715】千里導入明細資料_２１年度分（９月工事分）_fj_【20090721】千里導入明細資料_２１年度分_【200912xx】千里導入明細資料_２２年度上期分" xfId="1123"/>
    <cellStyle name="_【20090323_参考資料】千里導入明細資料_【20090715】千里導入明細資料_２１年度分（９月工事分）_fj_【20090721】千里導入明細資料_２１年度分_【200912xx】千里導入明細資料_２２年度上期分 2" xfId="1124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" xfId="1125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 2" xfId="1126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" xfId="1127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 2" xfId="1128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129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130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131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132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133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134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135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136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" xfId="1137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 2" xfId="1138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139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140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141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142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143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144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" xfId="1145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 2" xfId="1146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147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148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149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150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151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152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" xfId="1153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 2" xfId="1154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" xfId="1155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 2" xfId="1156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" xfId="1157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 2" xfId="1158"/>
    <cellStyle name="_【20090323_参考資料】千里導入明細資料_【20090715】千里導入明細資料_２１年度分（９月工事分）_fj_【20090721】千里導入明細資料_２１年度分_①【20091225】千里導入明細資料_２２年度上期1分)" xfId="1159"/>
    <cellStyle name="_【20090323_参考資料】千里導入明細資料_【20090715】千里導入明細資料_２１年度分（９月工事分）_fj_【20090721】千里導入明細資料_２１年度分_①【20091225】千里導入明細資料_２２年度上期1分) 2" xfId="1160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" xfId="1161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 2" xfId="1162"/>
    <cellStyle name="_【20090323_参考資料】千里導入明細資料_【20090715】千里導入明細資料_２１年度分（９月工事分）_fj_【20090721】千里導入明細資料_２１年度分_Ⅹ_課題と対応策_20121211" xfId="1163"/>
    <cellStyle name="_【20090323_参考資料】千里導入明細資料_【20090715】千里導入明細資料_２１年度分（９月工事分）_fj_【20090721】千里導入明細資料_２１年度分_Ⅹ_課題と対応策_20121211 2" xfId="1164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" xfId="1165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 2" xfId="1166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" xfId="1167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 2" xfId="1168"/>
    <cellStyle name="_【20090323_参考資料】千里導入明細資料_【20090715】千里導入明細資料_２１年度分（９月工事分）_fj_【20090821】千里ラック搭載図（NW機器）" xfId="1169"/>
    <cellStyle name="_【20090323_参考資料】千里導入明細資料_【20090715】千里導入明細資料_２１年度分（９月工事分）_fj_【20090821】千里ラック搭載図（NW機器） 2" xfId="1170"/>
    <cellStyle name="_【20090323_参考資料】千里導入明細資料_【20090715】千里導入明細資料_２１年度分（９月工事分）_fj_【20090821】千里ラック搭載図（NW機器）_Ⅹ_課題と対応策_20121211" xfId="1171"/>
    <cellStyle name="_【20090323_参考資料】千里導入明細資料_【20090715】千里導入明細資料_２１年度分（９月工事分）_fj_【20090821】千里ラック搭載図（NW機器）_Ⅹ_課題と対応策_20121211 2" xfId="1172"/>
    <cellStyle name="_【20090323_参考資料】千里導入明細資料_【20090715】千里導入明細資料_２１年度分（９月工事分）_fj_【20091207】千里導入明細資料_２１年度分（ネットワーク敷設）" xfId="1173"/>
    <cellStyle name="_【20090323_参考資料】千里導入明細資料_【20090715】千里導入明細資料_２１年度分（９月工事分）_fj_【20091207】千里導入明細資料_２１年度分（ネットワーク敷設） 2" xfId="1174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" xfId="1175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 2" xfId="1176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177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178"/>
    <cellStyle name="_【20090323_参考資料】千里導入明細資料_【20090715】千里導入明細資料_２１年度分（９月工事分）_fj_【20091207】千里導入明細資料_２１年度分（ネットワーク敷設）_Ⅹ_課題と対応策_20121211" xfId="1179"/>
    <cellStyle name="_【20090323_参考資料】千里導入明細資料_【20090715】千里導入明細資料_２１年度分（９月工事分）_fj_【20091207】千里導入明細資料_２１年度分（ネットワーク敷設）_Ⅹ_課題と対応策_20121211 2" xfId="1180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" xfId="1181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 2" xfId="1182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" xfId="1183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184"/>
    <cellStyle name="_【20090323_参考資料】千里導入明細資料_【20090715】千里導入明細資料_２１年度分（９月工事分）_fj_【20091225】千里導入明細資料_２２年度上期分（営業店ＡＰ－ＤＢ）" xfId="1185"/>
    <cellStyle name="_【20090323_参考資料】千里導入明細資料_【20090715】千里導入明細資料_２１年度分（９月工事分）_fj_【20091225】千里導入明細資料_２２年度上期分（営業店ＡＰ－ＤＢ） 2" xfId="1186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" xfId="1187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 2" xfId="1188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189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190"/>
    <cellStyle name="_【20090323_参考資料】千里導入明細資料_【20090715】千里導入明細資料_２１年度分（９月工事分）_fj_【20091225】千里導入明細資料_２２年度上期分（営業店ＡＰ－ＤＢ）_Ⅹ_課題と対応策_20121211" xfId="1191"/>
    <cellStyle name="_【20090323_参考資料】千里導入明細資料_【20090715】千里導入明細資料_２１年度分（９月工事分）_fj_【20091225】千里導入明細資料_２２年度上期分（営業店ＡＰ－ＤＢ）_Ⅹ_課題と対応策_20121211 2" xfId="1192"/>
    <cellStyle name="_【20090323_参考資料】千里導入明細資料_【20090715】千里導入明細資料_２１年度分（９月工事分）_fj_【20091225】千里導入明細資料_２２年度上期分_営業店DB" xfId="1193"/>
    <cellStyle name="_【20090323_参考資料】千里導入明細資料_【20090715】千里導入明細資料_２１年度分（９月工事分）_fj_【20091225】千里導入明細資料_２２年度上期分_営業店DB 2" xfId="1194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" xfId="1195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 2" xfId="1196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" xfId="1197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 2" xfId="1198"/>
    <cellStyle name="_【20090323_参考資料】千里導入明細資料_【20090715】千里導入明細資料_２１年度分（９月工事分）_fj_【20091225】千里導入明細資料_２２年度上期分_営業店DB_Ⅹ_課題と対応策_20121211" xfId="1199"/>
    <cellStyle name="_【20090323_参考資料】千里導入明細資料_【20090715】千里導入明細資料_２１年度分（９月工事分）_fj_【20091225】千里導入明細資料_２２年度上期分_営業店DB_Ⅹ_課題と対応策_20121211 2" xfId="1200"/>
    <cellStyle name="_【20090323_参考資料】千里導入明細資料_【20090715】千里導入明細資料_２１年度分（９月工事分）_fj_【20091225】千里導入明細資料_２２年度上期分_連携DB" xfId="1201"/>
    <cellStyle name="_【20090323_参考資料】千里導入明細資料_【20090715】千里導入明細資料_２１年度分（９月工事分）_fj_【20091225】千里導入明細資料_２２年度上期分_連携DB 2" xfId="1202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" xfId="1203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 2" xfId="1204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" xfId="1205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 2" xfId="1206"/>
    <cellStyle name="_【20090323_参考資料】千里導入明細資料_【20090715】千里導入明細資料_２１年度分（９月工事分）_fj_【20091225】千里導入明細資料_２２年度上期分_連携DB_Ⅹ_課題と対応策_20121211" xfId="1207"/>
    <cellStyle name="_【20090323_参考資料】千里導入明細資料_【20090715】千里導入明細資料_２１年度分（９月工事分）_fj_【20091225】千里導入明細資料_２２年度上期分_連携DB_Ⅹ_課題と対応策_20121211 2" xfId="1208"/>
    <cellStyle name="_【20090323_参考資料】千里導入明細資料_【20090715】千里導入明細資料_２１年度分（９月工事分）_fj_【作成中】千里センター機器配置図（2010年対応分）_20091221" xfId="1209"/>
    <cellStyle name="_【20090323_参考資料】千里導入明細資料_【20090715】千里導入明細資料_２１年度分（９月工事分）_fj_【作成中】千里センター機器配置図（2010年対応分）_20091221 2" xfId="1210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" xfId="1211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 2" xfId="1212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" xfId="1213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 2" xfId="1214"/>
    <cellStyle name="_【20090323_参考資料】千里導入明細資料_【20090715】千里導入明細資料_２１年度分（９月工事分）_fj_【作成中】千里センター機器配置図（2010年対応分）_20091221_Ⅹ_課題と対応策_20121211" xfId="1215"/>
    <cellStyle name="_【20090323_参考資料】千里導入明細資料_【20090715】千里導入明細資料_２１年度分（９月工事分）_fj_【作成中】千里センター機器配置図（2010年対応分）_20091221_Ⅹ_課題と対応策_20121211 2" xfId="1216"/>
    <cellStyle name="_【20090323_参考資料】千里導入明細資料_【20090715】千里導入明細資料_２１年度分（９月工事分）_fj_Ⅹ_課題と対応策_20121211" xfId="1217"/>
    <cellStyle name="_【20090323_参考資料】千里導入明細資料_【20090715】千里導入明細資料_２１年度分（９月工事分）_fj_Ⅹ_課題と対応策_20121211 2" xfId="1218"/>
    <cellStyle name="_【20090323_参考資料】千里導入明細資料_【20090715】千里導入明細資料_２１年度分（９月工事分）_fj_千里センター機器構築スケジュール（８月分）_20090731" xfId="1219"/>
    <cellStyle name="_【20090323_参考資料】千里導入明細資料_【20090715】千里導入明細資料_２１年度分（９月工事分）_fj_千里センター機器構築スケジュール（８月分）_20090731 2" xfId="1220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" xfId="1221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 2" xfId="1222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223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224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225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226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" xfId="1227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 2" xfId="1228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" xfId="1229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 2" xfId="1230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" xfId="1231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 2" xfId="1232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" xfId="1233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 2" xfId="1234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" xfId="1235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 2" xfId="1236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" xfId="1237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 2" xfId="1238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1239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1240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1241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1242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43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244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1245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1246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1247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1248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1249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1250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1251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1252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1253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1254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" xfId="1255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 2" xfId="1256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" xfId="1257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 2" xfId="1258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" xfId="1259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 2" xfId="1260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" xfId="1261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 2" xfId="1262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" xfId="1263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 2" xfId="1264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" xfId="1265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 2" xfId="1266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" xfId="1267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 2" xfId="1268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" xfId="1269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 2" xfId="1270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" xfId="1271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 2" xfId="1272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" xfId="1273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 2" xfId="1274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1275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1276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1277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1278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1279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1280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1281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1282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1283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1284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1285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1286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1287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1288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1289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1290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1291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1292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1293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1294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1295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1296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1297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1298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" xfId="1299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 2" xfId="1300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" xfId="1301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 2" xfId="1302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" xfId="1303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 2" xfId="1304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" xfId="1305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 2" xfId="1306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" xfId="1307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 2" xfId="1308"/>
    <cellStyle name="_【20090323_参考資料】千里導入明細資料_【20090715】千里導入明細資料_２１年度分（９月工事分）_fj_千里センター機器構築スケジュール（８月分）_20090731_Ⅹ_課題と対応策_20121211" xfId="1309"/>
    <cellStyle name="_【20090323_参考資料】千里導入明細資料_【20090715】千里導入明細資料_２１年度分（９月工事分）_fj_千里センター機器構築スケジュール（８月分）_20090731_Ⅹ_課題と対応策_20121211 2" xfId="1310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" xfId="1311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 2" xfId="1312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" xfId="1313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 2" xfId="1314"/>
    <cellStyle name="_【20090323_参考資料】千里導入明細資料_【20090724】千里導入明細資料_２１年度" xfId="1315"/>
    <cellStyle name="_【20090323_参考資料】千里導入明細資料_【20090724】千里導入明細資料_２１年度 2" xfId="1316"/>
    <cellStyle name="_【20090323_参考資料】千里導入明細資料_【20090724】千里導入明細資料_２１年度_【20091207】千里導入明細資料_２１年度分（ネットワーク敷設）" xfId="1317"/>
    <cellStyle name="_【20090323_参考資料】千里導入明細資料_【20090724】千里導入明細資料_２１年度_【20091207】千里導入明細資料_２１年度分（ネットワーク敷設） 2" xfId="1318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" xfId="1319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 2" xfId="1320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" xfId="1321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 2" xfId="1322"/>
    <cellStyle name="_【20090323_参考資料】千里導入明細資料_【20090724】千里導入明細資料_２１年度_【20091207】千里導入明細資料_２１年度分（ネットワーク敷設）_Ⅹ_課題と対応策_20121211" xfId="1323"/>
    <cellStyle name="_【20090323_参考資料】千里導入明細資料_【20090724】千里導入明細資料_２１年度_【20091207】千里導入明細資料_２１年度分（ネットワーク敷設）_Ⅹ_課題と対応策_20121211 2" xfId="1324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" xfId="1325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 2" xfId="1326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" xfId="1327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 2" xfId="1328"/>
    <cellStyle name="_【20090323_参考資料】千里導入明細資料_【20090724】千里導入明細資料_２１年度_【20091225】千里導入明細資料_２２年度上期分（営業店ＡＰ－ＤＢ）" xfId="1329"/>
    <cellStyle name="_【20090323_参考資料】千里導入明細資料_【20090724】千里導入明細資料_２１年度_【20091225】千里導入明細資料_２２年度上期分（営業店ＡＰ－ＤＢ） 2" xfId="1330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" xfId="1331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 2" xfId="1332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" xfId="1333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 2" xfId="1334"/>
    <cellStyle name="_【20090323_参考資料】千里導入明細資料_【20090724】千里導入明細資料_２１年度_【20091225】千里導入明細資料_２２年度上期分（営業店ＡＰ－ＤＢ）_Ⅹ_課題と対応策_20121211" xfId="1335"/>
    <cellStyle name="_【20090323_参考資料】千里導入明細資料_【20090724】千里導入明細資料_２１年度_【20091225】千里導入明細資料_２２年度上期分（営業店ＡＰ－ＤＢ）_Ⅹ_課題と対応策_20121211 2" xfId="1336"/>
    <cellStyle name="_【20090323_参考資料】千里導入明細資料_【20090724】千里導入明細資料_２１年度_【20091225】千里導入明細資料_２２年度上期分_営業店DB" xfId="1337"/>
    <cellStyle name="_【20090323_参考資料】千里導入明細資料_【20090724】千里導入明細資料_２１年度_【20091225】千里導入明細資料_２２年度上期分_営業店DB 2" xfId="1338"/>
    <cellStyle name="_【20090323_参考資料】千里導入明細資料_【20090724】千里導入明細資料_２１年度_【20091225】千里導入明細資料_２２年度上期分_営業店DB_【調整中】千里導入明細資料_２２年度上期分_fj_20100127" xfId="1339"/>
    <cellStyle name="_【20090323_参考資料】千里導入明細資料_【20090724】千里導入明細資料_２１年度_【20091225】千里導入明細資料_２２年度上期分_営業店DB_【調整中】千里導入明細資料_２２年度上期分_fj_20100127 2" xfId="1340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" xfId="1341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 2" xfId="1342"/>
    <cellStyle name="_【20090323_参考資料】千里導入明細資料_【20090724】千里導入明細資料_２１年度_【20091225】千里導入明細資料_２２年度上期分_営業店DB_Ⅹ_課題と対応策_20121211" xfId="1343"/>
    <cellStyle name="_【20090323_参考資料】千里導入明細資料_【20090724】千里導入明細資料_２１年度_【20091225】千里導入明細資料_２２年度上期分_営業店DB_Ⅹ_課題と対応策_20121211 2" xfId="1344"/>
    <cellStyle name="_【20090323_参考資料】千里導入明細資料_【20090724】千里導入明細資料_２１年度_【20091225】千里導入明細資料_２２年度上期分_連携DB" xfId="1345"/>
    <cellStyle name="_【20090323_参考資料】千里導入明細資料_【20090724】千里導入明細資料_２１年度_【20091225】千里導入明細資料_２２年度上期分_連携DB 2" xfId="1346"/>
    <cellStyle name="_【20090323_参考資料】千里導入明細資料_【20090724】千里導入明細資料_２１年度_【20091225】千里導入明細資料_２２年度上期分_連携DB_【調整中】千里導入明細資料_２２年度上期分_fj_20100127" xfId="1347"/>
    <cellStyle name="_【20090323_参考資料】千里導入明細資料_【20090724】千里導入明細資料_２１年度_【20091225】千里導入明細資料_２２年度上期分_連携DB_【調整中】千里導入明細資料_２２年度上期分_fj_20100127 2" xfId="1348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" xfId="1349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 2" xfId="1350"/>
    <cellStyle name="_【20090323_参考資料】千里導入明細資料_【20090724】千里導入明細資料_２１年度_【20091225】千里導入明細資料_２２年度上期分_連携DB_Ⅹ_課題と対応策_20121211" xfId="1351"/>
    <cellStyle name="_【20090323_参考資料】千里導入明細資料_【20090724】千里導入明細資料_２１年度_【20091225】千里導入明細資料_２２年度上期分_連携DB_Ⅹ_課題と対応策_20121211 2" xfId="1352"/>
    <cellStyle name="_【20090323_参考資料】千里導入明細資料_【20090724】千里導入明細資料_２１年度_【作成中】千里センター機器配置図（2010年対応分）_20091221" xfId="1353"/>
    <cellStyle name="_【20090323_参考資料】千里導入明細資料_【20090724】千里導入明細資料_２１年度_【作成中】千里センター機器配置図（2010年対応分）_20091221 2" xfId="1354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" xfId="1355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 2" xfId="1356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" xfId="1357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 2" xfId="1358"/>
    <cellStyle name="_【20090323_参考資料】千里導入明細資料_【20090724】千里導入明細資料_２１年度_【作成中】千里センター機器配置図（2010年対応分）_20091221_Ⅹ_課題と対応策_20121211" xfId="1359"/>
    <cellStyle name="_【20090323_参考資料】千里導入明細資料_【20090724】千里導入明細資料_２１年度_【作成中】千里センター機器配置図（2010年対応分）_20091221_Ⅹ_課題と対応策_20121211 2" xfId="1360"/>
    <cellStyle name="_【20090323_参考資料】千里導入明細資料_【20090724】千里導入明細資料_２１年度_Ⅹ_課題と対応策_20121211" xfId="1361"/>
    <cellStyle name="_【20090323_参考資料】千里導入明細資料_【20090724】千里導入明細資料_２１年度_Ⅹ_課題と対応策_20121211 2" xfId="1362"/>
    <cellStyle name="_【20090323_参考資料】千里導入明細資料_【20090724】千里導入明細資料_２１年度分（９月工事分）" xfId="1363"/>
    <cellStyle name="_【20090323_参考資料】千里導入明細資料_【20090724】千里導入明細資料_２１年度分（９月工事分） 2" xfId="1364"/>
    <cellStyle name="_【20090323_参考資料】千里導入明細資料_【20090724】千里導入明細資料_２１年度分（９月工事分）_【20091207】千里導入明細資料_２１年度分（ネットワーク敷設）" xfId="1365"/>
    <cellStyle name="_【20090323_参考資料】千里導入明細資料_【20090724】千里導入明細資料_２１年度分（９月工事分）_【20091207】千里導入明細資料_２１年度分（ネットワーク敷設） 2" xfId="1366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" xfId="1367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 2" xfId="1368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1369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1370"/>
    <cellStyle name="_【20090323_参考資料】千里導入明細資料_【20090724】千里導入明細資料_２１年度分（９月工事分）_【20091207】千里導入明細資料_２１年度分（ネットワーク敷設）_Ⅹ_課題と対応策_20121211" xfId="1371"/>
    <cellStyle name="_【20090323_参考資料】千里導入明細資料_【20090724】千里導入明細資料_２１年度分（９月工事分）_【20091207】千里導入明細資料_２１年度分（ネットワーク敷設）_Ⅹ_課題と対応策_20121211 2" xfId="1372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" xfId="1373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 2" xfId="1374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" xfId="1375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 2" xfId="1376"/>
    <cellStyle name="_【20090323_参考資料】千里導入明細資料_【20090724】千里導入明細資料_２１年度分（９月工事分）_【20091225】千里導入明細資料_２２年度上期分（営業店ＡＰ－ＤＢ）" xfId="1377"/>
    <cellStyle name="_【20090323_参考資料】千里導入明細資料_【20090724】千里導入明細資料_２１年度分（９月工事分）_【20091225】千里導入明細資料_２２年度上期分（営業店ＡＰ－ＤＢ） 2" xfId="1378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" xfId="1379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 2" xfId="1380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1381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1382"/>
    <cellStyle name="_【20090323_参考資料】千里導入明細資料_【20090724】千里導入明細資料_２１年度分（９月工事分）_【20091225】千里導入明細資料_２２年度上期分（営業店ＡＰ－ＤＢ）_Ⅹ_課題と対応策_20121211" xfId="1383"/>
    <cellStyle name="_【20090323_参考資料】千里導入明細資料_【20090724】千里導入明細資料_２１年度分（９月工事分）_【20091225】千里導入明細資料_２２年度上期分（営業店ＡＰ－ＤＢ）_Ⅹ_課題と対応策_20121211 2" xfId="1384"/>
    <cellStyle name="_【20090323_参考資料】千里導入明細資料_【20090724】千里導入明細資料_２１年度分（９月工事分）_【20091225】千里導入明細資料_２２年度上期分_営業店DB" xfId="1385"/>
    <cellStyle name="_【20090323_参考資料】千里導入明細資料_【20090724】千里導入明細資料_２１年度分（９月工事分）_【20091225】千里導入明細資料_２２年度上期分_営業店DB 2" xfId="1386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" xfId="1387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 2" xfId="1388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" xfId="1389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 2" xfId="1390"/>
    <cellStyle name="_【20090323_参考資料】千里導入明細資料_【20090724】千里導入明細資料_２１年度分（９月工事分）_【20091225】千里導入明細資料_２２年度上期分_営業店DB_Ⅹ_課題と対応策_20121211" xfId="1391"/>
    <cellStyle name="_【20090323_参考資料】千里導入明細資料_【20090724】千里導入明細資料_２１年度分（９月工事分）_【20091225】千里導入明細資料_２２年度上期分_営業店DB_Ⅹ_課題と対応策_20121211 2" xfId="1392"/>
    <cellStyle name="_【20090323_参考資料】千里導入明細資料_【20090724】千里導入明細資料_２１年度分（９月工事分）_【20091225】千里導入明細資料_２２年度上期分_連携DB" xfId="1393"/>
    <cellStyle name="_【20090323_参考資料】千里導入明細資料_【20090724】千里導入明細資料_２１年度分（９月工事分）_【20091225】千里導入明細資料_２２年度上期分_連携DB 2" xfId="1394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" xfId="1395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 2" xfId="1396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" xfId="1397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 2" xfId="1398"/>
    <cellStyle name="_【20090323_参考資料】千里導入明細資料_【20090724】千里導入明細資料_２１年度分（９月工事分）_【20091225】千里導入明細資料_２２年度上期分_連携DB_Ⅹ_課題と対応策_20121211" xfId="1399"/>
    <cellStyle name="_【20090323_参考資料】千里導入明細資料_【20090724】千里導入明細資料_２１年度分（９月工事分）_【20091225】千里導入明細資料_２２年度上期分_連携DB_Ⅹ_課題と対応策_20121211 2" xfId="1400"/>
    <cellStyle name="_【20090323_参考資料】千里導入明細資料_【20090724】千里導入明細資料_２１年度分（９月工事分）_【作成中】千里センター機器配置図（2010年対応分）_20091221" xfId="1401"/>
    <cellStyle name="_【20090323_参考資料】千里導入明細資料_【20090724】千里導入明細資料_２１年度分（９月工事分）_【作成中】千里センター機器配置図（2010年対応分）_20091221 2" xfId="1402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" xfId="1403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 2" xfId="1404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" xfId="1405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 2" xfId="1406"/>
    <cellStyle name="_【20090323_参考資料】千里導入明細資料_【20090724】千里導入明細資料_２１年度分（９月工事分）_【作成中】千里センター機器配置図（2010年対応分）_20091221_Ⅹ_課題と対応策_20121211" xfId="1407"/>
    <cellStyle name="_【20090323_参考資料】千里導入明細資料_【20090724】千里導入明細資料_２１年度分（９月工事分）_【作成中】千里センター機器配置図（2010年対応分）_20091221_Ⅹ_課題と対応策_20121211 2" xfId="1408"/>
    <cellStyle name="_【20090323_参考資料】千里導入明細資料_【20090724】千里導入明細資料_２１年度分（９月工事分）_Ⅹ_課題と対応策_20121211" xfId="1409"/>
    <cellStyle name="_【20090323_参考資料】千里導入明細資料_【20090724】千里導入明細資料_２１年度分（９月工事分）_Ⅹ_課題と対応策_20121211 2" xfId="1410"/>
    <cellStyle name="_【20090323_参考資料】千里導入明細資料_【20090731】千里導入明細資料_２１年度分（９月工事分）" xfId="1411"/>
    <cellStyle name="_【20090323_参考資料】千里導入明細資料_【20090731】千里導入明細資料_２１年度分（９月工事分） 2" xfId="1412"/>
    <cellStyle name="_【20090323_参考資料】千里導入明細資料_【20090731】千里導入明細資料_２１年度分（９月工事分）_【20090821】千里ラック搭載図（NW機器）" xfId="1413"/>
    <cellStyle name="_【20090323_参考資料】千里導入明細資料_【20090731】千里導入明細資料_２１年度分（９月工事分）_【20090821】千里ラック搭載図（NW機器） 2" xfId="1414"/>
    <cellStyle name="_【20090323_参考資料】千里導入明細資料_【20090731】千里導入明細資料_２１年度分（９月工事分）_【20090821】千里ラック搭載図（NW機器）_Ⅹ_課題と対応策_20121211" xfId="1415"/>
    <cellStyle name="_【20090323_参考資料】千里導入明細資料_【20090731】千里導入明細資料_２１年度分（９月工事分）_【20090821】千里ラック搭載図（NW機器）_Ⅹ_課題と対応策_20121211 2" xfId="1416"/>
    <cellStyle name="_【20090323_参考資料】千里導入明細資料_【20090731】千里導入明細資料_２１年度分（９月工事分）_Ⅹ_課題と対応策_20121211" xfId="1417"/>
    <cellStyle name="_【20090323_参考資料】千里導入明細資料_【20090731】千里導入明細資料_２１年度分（９月工事分）_Ⅹ_課題と対応策_20121211 2" xfId="1418"/>
    <cellStyle name="_【20090323_参考資料】千里導入明細資料_【20090807】千里導入明細資料" xfId="1419"/>
    <cellStyle name="_【20090323_参考資料】千里導入明細資料_【20090807】千里導入明細資料 2" xfId="1420"/>
    <cellStyle name="_【20090323_参考資料】千里導入明細資料_【20090807】千里導入明細資料_【20091207】千里導入明細資料_２１年度分（ネットワーク敷設）" xfId="1421"/>
    <cellStyle name="_【20090323_参考資料】千里導入明細資料_【20090807】千里導入明細資料_【20091207】千里導入明細資料_２１年度分（ネットワーク敷設） 2" xfId="1422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" xfId="1423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 2" xfId="1424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" xfId="1425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 2" xfId="1426"/>
    <cellStyle name="_【20090323_参考資料】千里導入明細資料_【20090807】千里導入明細資料_【20091207】千里導入明細資料_２１年度分（ネットワーク敷設）_Ⅹ_課題と対応策_20121211" xfId="1427"/>
    <cellStyle name="_【20090323_参考資料】千里導入明細資料_【20090807】千里導入明細資料_【20091207】千里導入明細資料_２１年度分（ネットワーク敷設）_Ⅹ_課題と対応策_20121211 2" xfId="1428"/>
    <cellStyle name="_【20090323_参考資料】千里導入明細資料_【20090807】千里導入明細資料_【20091207】千里導入明細資料_２１年度分（ネットワーク敷設）_千里導入明細資料_２２年度分（ネットワーク敷設）_fj" xfId="1429"/>
    <cellStyle name="_【20090323_参考資料】千里導入明細資料_【20090807】千里導入明細資料_【20091207】千里導入明細資料_２１年度分（ネットワーク敷設）_千里導入明細資料_２２年度分（ネットワーク敷設）_fj 2" xfId="1430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" xfId="1431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 2" xfId="1432"/>
    <cellStyle name="_【20090323_参考資料】千里導入明細資料_【20090807】千里導入明細資料_【20091225】千里導入明細資料_２２年度上期分（営業店ＡＰ－ＤＢ）" xfId="1433"/>
    <cellStyle name="_【20090323_参考資料】千里導入明細資料_【20090807】千里導入明細資料_【20091225】千里導入明細資料_２２年度上期分（営業店ＡＰ－ＤＢ） 2" xfId="1434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" xfId="1435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 2" xfId="1436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" xfId="1437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 2" xfId="1438"/>
    <cellStyle name="_【20090323_参考資料】千里導入明細資料_【20090807】千里導入明細資料_【20091225】千里導入明細資料_２２年度上期分（営業店ＡＰ－ＤＢ）_Ⅹ_課題と対応策_20121211" xfId="1439"/>
    <cellStyle name="_【20090323_参考資料】千里導入明細資料_【20090807】千里導入明細資料_【20091225】千里導入明細資料_２２年度上期分（営業店ＡＰ－ＤＢ）_Ⅹ_課題と対応策_20121211 2" xfId="1440"/>
    <cellStyle name="_【20090323_参考資料】千里導入明細資料_【20090807】千里導入明細資料_【20091225】千里導入明細資料_２２年度上期分_営業店DB" xfId="1441"/>
    <cellStyle name="_【20090323_参考資料】千里導入明細資料_【20090807】千里導入明細資料_【20091225】千里導入明細資料_２２年度上期分_営業店DB 2" xfId="1442"/>
    <cellStyle name="_【20090323_参考資料】千里導入明細資料_【20090807】千里導入明細資料_【20091225】千里導入明細資料_２２年度上期分_営業店DB_【調整中】千里導入明細資料_２２年度上期分_fj_20100127" xfId="1443"/>
    <cellStyle name="_【20090323_参考資料】千里導入明細資料_【20090807】千里導入明細資料_【20091225】千里導入明細資料_２２年度上期分_営業店DB_【調整中】千里導入明細資料_２２年度上期分_fj_20100127 2" xfId="1444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" xfId="1445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 2" xfId="1446"/>
    <cellStyle name="_【20090323_参考資料】千里導入明細資料_【20090807】千里導入明細資料_【20091225】千里導入明細資料_２２年度上期分_営業店DB_Ⅹ_課題と対応策_20121211" xfId="1447"/>
    <cellStyle name="_【20090323_参考資料】千里導入明細資料_【20090807】千里導入明細資料_【20091225】千里導入明細資料_２２年度上期分_営業店DB_Ⅹ_課題と対応策_20121211 2" xfId="1448"/>
    <cellStyle name="_【20090323_参考資料】千里導入明細資料_【20090807】千里導入明細資料_【20091225】千里導入明細資料_２２年度上期分_連携DB" xfId="1449"/>
    <cellStyle name="_【20090323_参考資料】千里導入明細資料_【20090807】千里導入明細資料_【20091225】千里導入明細資料_２２年度上期分_連携DB 2" xfId="1450"/>
    <cellStyle name="_【20090323_参考資料】千里導入明細資料_【20090807】千里導入明細資料_【20091225】千里導入明細資料_２２年度上期分_連携DB_【調整中】千里導入明細資料_２２年度上期分_fj_20100127" xfId="1451"/>
    <cellStyle name="_【20090323_参考資料】千里導入明細資料_【20090807】千里導入明細資料_【20091225】千里導入明細資料_２２年度上期分_連携DB_【調整中】千里導入明細資料_２２年度上期分_fj_20100127 2" xfId="1452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" xfId="1453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 2" xfId="1454"/>
    <cellStyle name="_【20090323_参考資料】千里導入明細資料_【20090807】千里導入明細資料_【20091225】千里導入明細資料_２２年度上期分_連携DB_Ⅹ_課題と対応策_20121211" xfId="1455"/>
    <cellStyle name="_【20090323_参考資料】千里導入明細資料_【20090807】千里導入明細資料_【20091225】千里導入明細資料_２２年度上期分_連携DB_Ⅹ_課題と対応策_20121211 2" xfId="1456"/>
    <cellStyle name="_【20090323_参考資料】千里導入明細資料_【20090807】千里導入明細資料_【作成中】千里センター機器配置図（2010年対応分）_20091221" xfId="1457"/>
    <cellStyle name="_【20090323_参考資料】千里導入明細資料_【20090807】千里導入明細資料_【作成中】千里センター機器配置図（2010年対応分）_20091221 2" xfId="1458"/>
    <cellStyle name="_【20090323_参考資料】千里導入明細資料_【20090807】千里導入明細資料_【作成中】千里センター機器配置図（2010年対応分）_20091221_【調整中】千里導入明細資料_２２年度上期分_fj_20100127" xfId="1459"/>
    <cellStyle name="_【20090323_参考資料】千里導入明細資料_【20090807】千里導入明細資料_【作成中】千里センター機器配置図（2010年対応分）_20091221_【調整中】千里導入明細資料_２２年度上期分_fj_20100127 2" xfId="1460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" xfId="1461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 2" xfId="1462"/>
    <cellStyle name="_【20090323_参考資料】千里導入明細資料_【20090807】千里導入明細資料_【作成中】千里センター機器配置図（2010年対応分）_20091221_Ⅹ_課題と対応策_20121211" xfId="1463"/>
    <cellStyle name="_【20090323_参考資料】千里導入明細資料_【20090807】千里導入明細資料_【作成中】千里センター機器配置図（2010年対応分）_20091221_Ⅹ_課題と対応策_20121211 2" xfId="1464"/>
    <cellStyle name="_【20090323_参考資料】千里導入明細資料_【20090807】千里導入明細資料_Ⅹ_課題と対応策_20121211" xfId="1465"/>
    <cellStyle name="_【20090323_参考資料】千里導入明細資料_【20090807】千里導入明細資料_Ⅹ_課題と対応策_20121211 2" xfId="1466"/>
    <cellStyle name="_【20090323_参考資料】千里導入明細資料_【20090814】千里導入明細資料_SDB追加" xfId="1467"/>
    <cellStyle name="_【20090323_参考資料】千里導入明細資料_【20090814】千里導入明細資料_SDB追加 2" xfId="1468"/>
    <cellStyle name="_【20090323_参考資料】千里導入明細資料_【20090814】千里導入明細資料_SDB追加_【20091207】千里導入明細資料_２１年度分（ネットワーク敷設）" xfId="1469"/>
    <cellStyle name="_【20090323_参考資料】千里導入明細資料_【20090814】千里導入明細資料_SDB追加_【20091207】千里導入明細資料_２１年度分（ネットワーク敷設） 2" xfId="1470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" xfId="1471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 2" xfId="1472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" xfId="1473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 2" xfId="1474"/>
    <cellStyle name="_【20090323_参考資料】千里導入明細資料_【20090814】千里導入明細資料_SDB追加_【20091207】千里導入明細資料_２１年度分（ネットワーク敷設）_Ⅹ_課題と対応策_20121211" xfId="1475"/>
    <cellStyle name="_【20090323_参考資料】千里導入明細資料_【20090814】千里導入明細資料_SDB追加_【20091207】千里導入明細資料_２１年度分（ネットワーク敷設）_Ⅹ_課題と対応策_20121211 2" xfId="1476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" xfId="1477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 2" xfId="1478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" xfId="1479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 2" xfId="1480"/>
    <cellStyle name="_【20090323_参考資料】千里導入明細資料_【20090814】千里導入明細資料_SDB追加_【20091225】千里導入明細資料_２２年度上期分（営業店ＡＰ－ＤＢ）" xfId="1481"/>
    <cellStyle name="_【20090323_参考資料】千里導入明細資料_【20090814】千里導入明細資料_SDB追加_【20091225】千里導入明細資料_２２年度上期分（営業店ＡＰ－ＤＢ） 2" xfId="1482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" xfId="1483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 2" xfId="1484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" xfId="1485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 2" xfId="1486"/>
    <cellStyle name="_【20090323_参考資料】千里導入明細資料_【20090814】千里導入明細資料_SDB追加_【20091225】千里導入明細資料_２２年度上期分（営業店ＡＰ－ＤＢ）_Ⅹ_課題と対応策_20121211" xfId="1487"/>
    <cellStyle name="_【20090323_参考資料】千里導入明細資料_【20090814】千里導入明細資料_SDB追加_【20091225】千里導入明細資料_２２年度上期分（営業店ＡＰ－ＤＢ）_Ⅹ_課題と対応策_20121211 2" xfId="1488"/>
    <cellStyle name="_【20090323_参考資料】千里導入明細資料_【20090814】千里導入明細資料_SDB追加_【20091225】千里導入明細資料_２２年度上期分_営業店DB" xfId="1489"/>
    <cellStyle name="_【20090323_参考資料】千里導入明細資料_【20090814】千里導入明細資料_SDB追加_【20091225】千里導入明細資料_２２年度上期分_営業店DB 2" xfId="1490"/>
    <cellStyle name="_【20090323_参考資料】千里導入明細資料_【20090814】千里導入明細資料_SDB追加_【20091225】千里導入明細資料_２２年度上期分_営業店DB_【調整中】千里導入明細資料_２２年度上期分_fj_20100127" xfId="1491"/>
    <cellStyle name="_【20090323_参考資料】千里導入明細資料_【20090814】千里導入明細資料_SDB追加_【20091225】千里導入明細資料_２２年度上期分_営業店DB_【調整中】千里導入明細資料_２２年度上期分_fj_20100127 2" xfId="1492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" xfId="1493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 2" xfId="1494"/>
    <cellStyle name="_【20090323_参考資料】千里導入明細資料_【20090814】千里導入明細資料_SDB追加_【20091225】千里導入明細資料_２２年度上期分_営業店DB_Ⅹ_課題と対応策_20121211" xfId="1495"/>
    <cellStyle name="_【20090323_参考資料】千里導入明細資料_【20090814】千里導入明細資料_SDB追加_【20091225】千里導入明細資料_２２年度上期分_営業店DB_Ⅹ_課題と対応策_20121211 2" xfId="1496"/>
    <cellStyle name="_【20090323_参考資料】千里導入明細資料_【20090814】千里導入明細資料_SDB追加_【20091225】千里導入明細資料_２２年度上期分_連携DB" xfId="1497"/>
    <cellStyle name="_【20090323_参考資料】千里導入明細資料_【20090814】千里導入明細資料_SDB追加_【20091225】千里導入明細資料_２２年度上期分_連携DB 2" xfId="1498"/>
    <cellStyle name="_【20090323_参考資料】千里導入明細資料_【20090814】千里導入明細資料_SDB追加_【20091225】千里導入明細資料_２２年度上期分_連携DB_【調整中】千里導入明細資料_２２年度上期分_fj_20100127" xfId="1499"/>
    <cellStyle name="_【20090323_参考資料】千里導入明細資料_【20090814】千里導入明細資料_SDB追加_【20091225】千里導入明細資料_２２年度上期分_連携DB_【調整中】千里導入明細資料_２２年度上期分_fj_20100127 2" xfId="1500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" xfId="1501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 2" xfId="1502"/>
    <cellStyle name="_【20090323_参考資料】千里導入明細資料_【20090814】千里導入明細資料_SDB追加_【20091225】千里導入明細資料_２２年度上期分_連携DB_Ⅹ_課題と対応策_20121211" xfId="1503"/>
    <cellStyle name="_【20090323_参考資料】千里導入明細資料_【20090814】千里導入明細資料_SDB追加_【20091225】千里導入明細資料_２２年度上期分_連携DB_Ⅹ_課題と対応策_20121211 2" xfId="1504"/>
    <cellStyle name="_【20090323_参考資料】千里導入明細資料_【20090814】千里導入明細資料_SDB追加_【作成中】千里センター機器配置図（2010年対応分）_20091221" xfId="1505"/>
    <cellStyle name="_【20090323_参考資料】千里導入明細資料_【20090814】千里導入明細資料_SDB追加_【作成中】千里センター機器配置図（2010年対応分）_20091221 2" xfId="1506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" xfId="1507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 2" xfId="1508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" xfId="1509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 2" xfId="1510"/>
    <cellStyle name="_【20090323_参考資料】千里導入明細資料_【20090814】千里導入明細資料_SDB追加_【作成中】千里センター機器配置図（2010年対応分）_20091221_Ⅹ_課題と対応策_20121211" xfId="1511"/>
    <cellStyle name="_【20090323_参考資料】千里導入明細資料_【20090814】千里導入明細資料_SDB追加_【作成中】千里センター機器配置図（2010年対応分）_20091221_Ⅹ_課題と対応策_20121211 2" xfId="1512"/>
    <cellStyle name="_【20090323_参考資料】千里導入明細資料_【20090814】千里導入明細資料_SDB追加_Ⅹ_課題と対応策_20121211" xfId="1513"/>
    <cellStyle name="_【20090323_参考資料】千里導入明細資料_【20090814】千里導入明細資料_SDB追加_Ⅹ_課題と対応策_20121211 2" xfId="1514"/>
    <cellStyle name="_【20090323_参考資料】千里導入明細資料_【20090821】千里ラック搭載図（NW機器）" xfId="1515"/>
    <cellStyle name="_【20090323_参考資料】千里導入明細資料_【20090821】千里ラック搭載図（NW機器） 2" xfId="1516"/>
    <cellStyle name="_【20090323_参考資料】千里導入明細資料_【20090821】千里ラック搭載図（NW機器）_Ⅹ_課題と対応策_20121211" xfId="1517"/>
    <cellStyle name="_【20090323_参考資料】千里導入明細資料_【20090821】千里ラック搭載図（NW機器）_Ⅹ_課題と対応策_20121211 2" xfId="1518"/>
    <cellStyle name="_【20090323_参考資料】千里導入明細資料_【20091218】千里導入明細資料_２１年度分（ネットワーク敷設）" xfId="1519"/>
    <cellStyle name="_【20090323_参考資料】千里導入明細資料_【20091218】千里導入明細資料_２１年度分（ネットワーク敷設） 2" xfId="1520"/>
    <cellStyle name="_【20090323_参考資料】千里導入明細資料_【20091218】千里導入明細資料_２１年度分（ネットワーク敷設）_Ⅹ_課題と対応策_20121211" xfId="1521"/>
    <cellStyle name="_【20090323_参考資料】千里導入明細資料_【20091218】千里導入明細資料_２１年度分（ネットワーク敷設）_Ⅹ_課題と対応策_20121211 2" xfId="1522"/>
    <cellStyle name="_【20090323_参考資料】千里導入明細資料_【20091224】千里導入明細資料_２２年度上期分_営業店DB" xfId="1523"/>
    <cellStyle name="_【20090323_参考資料】千里導入明細資料_【20091224】千里導入明細資料_２２年度上期分_営業店DB 2" xfId="1524"/>
    <cellStyle name="_【20090323_参考資料】千里導入明細資料_【20091224】千里導入明細資料_２２年度上期分_営業店DB_【20091225】千里導入明細資料_２２年度上期分（営業店ＡＰ－ＤＢ）" xfId="1525"/>
    <cellStyle name="_【20090323_参考資料】千里導入明細資料_【20091224】千里導入明細資料_２２年度上期分_営業店DB_【20091225】千里導入明細資料_２２年度上期分（営業店ＡＰ－ＤＢ） 2" xfId="1526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" xfId="1527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 2" xfId="1528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" xfId="1529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530"/>
    <cellStyle name="_【20090323_参考資料】千里導入明細資料_【20091224】千里導入明細資料_２２年度上期分_営業店DB_【20091225】千里導入明細資料_２２年度上期分（営業店ＡＰ－ＤＢ）_Ⅹ_課題と対応策_20121211" xfId="1531"/>
    <cellStyle name="_【20090323_参考資料】千里導入明細資料_【20091224】千里導入明細資料_２２年度上期分_営業店DB_【20091225】千里導入明細資料_２２年度上期分（営業店ＡＰ－ＤＢ）_Ⅹ_課題と対応策_20121211 2" xfId="1532"/>
    <cellStyle name="_【20090323_参考資料】千里導入明細資料_【20091224】千里導入明細資料_２２年度上期分_営業店DB_【20091225】千里導入明細資料_２２年度上期分_営業店DB" xfId="1533"/>
    <cellStyle name="_【20090323_参考資料】千里導入明細資料_【20091224】千里導入明細資料_２２年度上期分_営業店DB_【20091225】千里導入明細資料_２２年度上期分_営業店DB 2" xfId="1534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" xfId="1535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 2" xfId="1536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" xfId="1537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 2" xfId="1538"/>
    <cellStyle name="_【20090323_参考資料】千里導入明細資料_【20091224】千里導入明細資料_２２年度上期分_営業店DB_【20091225】千里導入明細資料_２２年度上期分_営業店DB_Ⅹ_課題と対応策_20121211" xfId="1539"/>
    <cellStyle name="_【20090323_参考資料】千里導入明細資料_【20091224】千里導入明細資料_２２年度上期分_営業店DB_【20091225】千里導入明細資料_２２年度上期分_営業店DB_Ⅹ_課題と対応策_20121211 2" xfId="1540"/>
    <cellStyle name="_【20090323_参考資料】千里導入明細資料_【20091224】千里導入明細資料_２２年度上期分_営業店DB_Ⅹ_課題と対応策_20121211" xfId="1541"/>
    <cellStyle name="_【20090323_参考資料】千里導入明細資料_【20091224】千里導入明細資料_２２年度上期分_営業店DB_Ⅹ_課題と対応策_20121211 2" xfId="1542"/>
    <cellStyle name="_【20090323_参考資料】千里導入明細資料_【20091225】千里導入明細資料_２２年度上期分" xfId="1543"/>
    <cellStyle name="_【20090323_参考資料】千里導入明細資料_【20091225】千里導入明細資料_２２年度上期分 2" xfId="1544"/>
    <cellStyle name="_【20090323_参考資料】千里導入明細資料_【20091225】千里導入明細資料_２２年度上期分_Ⅹ_課題と対応策_20121211" xfId="1545"/>
    <cellStyle name="_【20090323_参考資料】千里導入明細資料_【20091225】千里導入明細資料_２２年度上期分_Ⅹ_課題と対応策_20121211 2" xfId="1546"/>
    <cellStyle name="_【20090323_参考資料】千里導入明細資料_【20091225】千里導入明細資料_２２年度上期分_営業店DB" xfId="1547"/>
    <cellStyle name="_【20090323_参考資料】千里導入明細資料_【20091225】千里導入明細資料_２２年度上期分_営業店DB 2" xfId="1548"/>
    <cellStyle name="_【20090323_参考資料】千里導入明細資料_【20091225】千里導入明細資料_２２年度上期分_営業店DB_Ⅹ_課題と対応策_20121211" xfId="1549"/>
    <cellStyle name="_【20090323_参考資料】千里導入明細資料_【20091225】千里導入明細資料_２２年度上期分_営業店DB_Ⅹ_課題と対応策_20121211 2" xfId="1550"/>
    <cellStyle name="_【20090323_参考資料】千里導入明細資料_【20091225】千里導入明細資料_２２年度上期分_連携DB" xfId="1551"/>
    <cellStyle name="_【20090323_参考資料】千里導入明細資料_【20091225】千里導入明細資料_２２年度上期分_連携DB 2" xfId="1552"/>
    <cellStyle name="_【20090323_参考資料】千里導入明細資料_【20091225】千里導入明細資料_２２年度上期分_連携DB_Ⅹ_課題と対応策_20121211" xfId="1553"/>
    <cellStyle name="_【20090323_参考資料】千里導入明細資料_【20091225】千里導入明細資料_２２年度上期分_連携DB_Ⅹ_課題と対応策_20121211 2" xfId="1554"/>
    <cellStyle name="_【20090323_参考資料】千里導入明細資料_【200912xx】千里導入明細資料_２２年度上期分" xfId="1555"/>
    <cellStyle name="_【20090323_参考資料】千里導入明細資料_【200912xx】千里導入明細資料_２２年度上期分 2" xfId="1556"/>
    <cellStyle name="_【20090323_参考資料】千里導入明細資料_【200912xx】千里導入明細資料_２２年度上期分（為替分）" xfId="1557"/>
    <cellStyle name="_【20090323_参考資料】千里導入明細資料_【200912xx】千里導入明細資料_２２年度上期分（為替分） 2" xfId="1558"/>
    <cellStyle name="_【20090323_参考資料】千里導入明細資料_【200912xx】千里導入明細資料_２２年度上期分（為替分）_Ⅹ_課題と対応策_20121211" xfId="1559"/>
    <cellStyle name="_【20090323_参考資料】千里導入明細資料_【200912xx】千里導入明細資料_２２年度上期分（為替分）_Ⅹ_課題と対応策_20121211 2" xfId="1560"/>
    <cellStyle name="_【20090323_参考資料】千里導入明細資料_【200912xx】千里導入明細資料_２２年度上期分_【20091225】千里導入明細資料_２２年度上期分（営業店ＡＰ－ＤＢ）" xfId="1561"/>
    <cellStyle name="_【20090323_参考資料】千里導入明細資料_【200912xx】千里導入明細資料_２２年度上期分_【20091225】千里導入明細資料_２２年度上期分（営業店ＡＰ－ＤＢ） 2" xfId="1562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" xfId="1563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 2" xfId="1564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" xfId="1565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 2" xfId="1566"/>
    <cellStyle name="_【20090323_参考資料】千里導入明細資料_【200912xx】千里導入明細資料_２２年度上期分_【20091225】千里導入明細資料_２２年度上期分（営業店ＡＰ－ＤＢ）_Ⅹ_課題と対応策_20121211" xfId="1567"/>
    <cellStyle name="_【20090323_参考資料】千里導入明細資料_【200912xx】千里導入明細資料_２２年度上期分_【20091225】千里導入明細資料_２２年度上期分（営業店ＡＰ－ＤＢ）_Ⅹ_課題と対応策_20121211 2" xfId="1568"/>
    <cellStyle name="_【20090323_参考資料】千里導入明細資料_【200912xx】千里導入明細資料_２２年度上期分_【20091225】千里導入明細資料_２２年度上期分_営業店DB" xfId="1569"/>
    <cellStyle name="_【20090323_参考資料】千里導入明細資料_【200912xx】千里導入明細資料_２２年度上期分_【20091225】千里導入明細資料_２２年度上期分_営業店DB 2" xfId="1570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" xfId="1571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 2" xfId="1572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" xfId="1573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 2" xfId="1574"/>
    <cellStyle name="_【20090323_参考資料】千里導入明細資料_【200912xx】千里導入明細資料_２２年度上期分_【20091225】千里導入明細資料_２２年度上期分_営業店DB_Ⅹ_課題と対応策_20121211" xfId="1575"/>
    <cellStyle name="_【20090323_参考資料】千里導入明細資料_【200912xx】千里導入明細資料_２２年度上期分_【20091225】千里導入明細資料_２２年度上期分_営業店DB_Ⅹ_課題と対応策_20121211 2" xfId="1576"/>
    <cellStyle name="_【20090323_参考資料】千里導入明細資料_【200912xx】千里導入明細資料_２２年度上期分_【20091225】千里導入明細資料_２２年度上期分_連携DB" xfId="1577"/>
    <cellStyle name="_【20090323_参考資料】千里導入明細資料_【200912xx】千里導入明細資料_２２年度上期分_【20091225】千里導入明細資料_２２年度上期分_連携DB 2" xfId="1578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" xfId="1579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 2" xfId="1580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" xfId="1581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 2" xfId="1582"/>
    <cellStyle name="_【20090323_参考資料】千里導入明細資料_【200912xx】千里導入明細資料_２２年度上期分_【20091225】千里導入明細資料_２２年度上期分_連携DB_Ⅹ_課題と対応策_20121211" xfId="1583"/>
    <cellStyle name="_【20090323_参考資料】千里導入明細資料_【200912xx】千里導入明細資料_２２年度上期分_【20091225】千里導入明細資料_２２年度上期分_連携DB_Ⅹ_課題と対応策_20121211 2" xfId="1584"/>
    <cellStyle name="_【20090323_参考資料】千里導入明細資料_【200912xx】千里導入明細資料_２２年度上期分_Ⅹ_課題と対応策_20121211" xfId="1585"/>
    <cellStyle name="_【20090323_参考資料】千里導入明細資料_【200912xx】千里導入明細資料_２２年度上期分_Ⅹ_課題と対応策_20121211 2" xfId="1586"/>
    <cellStyle name="_【20090323_参考資料】千里導入明細資料_【調整中】千里導入明細資料_２２年度上期分_fj_20100127" xfId="1587"/>
    <cellStyle name="_【20090323_参考資料】千里導入明細資料_【調整中】千里導入明細資料_２２年度上期分_fj_20100127 2" xfId="1588"/>
    <cellStyle name="_【20090323_参考資料】千里導入明細資料_【調整中】千里導入明細資料_２２年度上期分_fj_20100127_Ⅹ_課題と対応策_20121211" xfId="1589"/>
    <cellStyle name="_【20090323_参考資料】千里導入明細資料_【調整中】千里導入明細資料_２２年度上期分_fj_20100127_Ⅹ_課題と対応策_20121211 2" xfId="1590"/>
    <cellStyle name="_【20090323_参考資料】千里導入明細資料_①【20091225】千里導入明細資料_２２年度上期1分)" xfId="1591"/>
    <cellStyle name="_【20090323_参考資料】千里導入明細資料_①【20091225】千里導入明細資料_２２年度上期1分) 2" xfId="1592"/>
    <cellStyle name="_【20090323_参考資料】千里導入明細資料_①【20091225】千里導入明細資料_２２年度上期1分)_Ⅹ_課題と対応策_20121211" xfId="1593"/>
    <cellStyle name="_【20090323_参考資料】千里導入明細資料_①【20091225】千里導入明細資料_２２年度上期1分)_Ⅹ_課題と対応策_20121211 2" xfId="1594"/>
    <cellStyle name="_【20090323_参考資料】千里導入明細資料_Ⅹ_課題と対応策_20121211" xfId="1595"/>
    <cellStyle name="_【20090323_参考資料】千里導入明細資料_Ⅹ_課題と対応策_20121211 2" xfId="1596"/>
    <cellStyle name="_【20090323_参考資料】千里導入明細資料_ラック構成図（千里_営業店・新事務）_20090805" xfId="1597"/>
    <cellStyle name="_【20090323_参考資料】千里導入明細資料_ラック構成図（千里_営業店・新事務）_20090805 2" xfId="1598"/>
    <cellStyle name="_【20090323_参考資料】千里導入明細資料_ラック構成図（千里_営業店・新事務）_20090805_【20091207】千里導入明細資料_２１年度分（ネットワーク敷設）" xfId="1599"/>
    <cellStyle name="_【20090323_参考資料】千里導入明細資料_ラック構成図（千里_営業店・新事務）_20090805_【20091207】千里導入明細資料_２１年度分（ネットワーク敷設） 2" xfId="1600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" xfId="1601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 2" xfId="1602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" xfId="1603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 2" xfId="1604"/>
    <cellStyle name="_【20090323_参考資料】千里導入明細資料_ラック構成図（千里_営業店・新事務）_20090805_【20091207】千里導入明細資料_２１年度分（ネットワーク敷設）_Ⅹ_課題と対応策_20121211" xfId="1605"/>
    <cellStyle name="_【20090323_参考資料】千里導入明細資料_ラック構成図（千里_営業店・新事務）_20090805_【20091207】千里導入明細資料_２１年度分（ネットワーク敷設）_Ⅹ_課題と対応策_20121211 2" xfId="1606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" xfId="1607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 2" xfId="1608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" xfId="1609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 2" xfId="1610"/>
    <cellStyle name="_【20090323_参考資料】千里導入明細資料_ラック構成図（千里_営業店・新事務）_20090805_【20091225】千里導入明細資料_２２年度上期分（営業店ＡＰ－ＤＢ）" xfId="1611"/>
    <cellStyle name="_【20090323_参考資料】千里導入明細資料_ラック構成図（千里_営業店・新事務）_20090805_【20091225】千里導入明細資料_２２年度上期分（営業店ＡＰ－ＤＢ） 2" xfId="1612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" xfId="1613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 2" xfId="1614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" xfId="1615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 2" xfId="1616"/>
    <cellStyle name="_【20090323_参考資料】千里導入明細資料_ラック構成図（千里_営業店・新事務）_20090805_【20091225】千里導入明細資料_２２年度上期分（営業店ＡＰ－ＤＢ）_Ⅹ_課題と対応策_20121211" xfId="1617"/>
    <cellStyle name="_【20090323_参考資料】千里導入明細資料_ラック構成図（千里_営業店・新事務）_20090805_【20091225】千里導入明細資料_２２年度上期分（営業店ＡＰ－ＤＢ）_Ⅹ_課題と対応策_20121211 2" xfId="1618"/>
    <cellStyle name="_【20090323_参考資料】千里導入明細資料_ラック構成図（千里_営業店・新事務）_20090805_【20091225】千里導入明細資料_２２年度上期分_営業店DB" xfId="1619"/>
    <cellStyle name="_【20090323_参考資料】千里導入明細資料_ラック構成図（千里_営業店・新事務）_20090805_【20091225】千里導入明細資料_２２年度上期分_営業店DB 2" xfId="1620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" xfId="1621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 2" xfId="1622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" xfId="1623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 2" xfId="1624"/>
    <cellStyle name="_【20090323_参考資料】千里導入明細資料_ラック構成図（千里_営業店・新事務）_20090805_【20091225】千里導入明細資料_２２年度上期分_営業店DB_Ⅹ_課題と対応策_20121211" xfId="1625"/>
    <cellStyle name="_【20090323_参考資料】千里導入明細資料_ラック構成図（千里_営業店・新事務）_20090805_【20091225】千里導入明細資料_２２年度上期分_営業店DB_Ⅹ_課題と対応策_20121211 2" xfId="1626"/>
    <cellStyle name="_【20090323_参考資料】千里導入明細資料_ラック構成図（千里_営業店・新事務）_20090805_【20091225】千里導入明細資料_２２年度上期分_連携DB" xfId="1627"/>
    <cellStyle name="_【20090323_参考資料】千里導入明細資料_ラック構成図（千里_営業店・新事務）_20090805_【20091225】千里導入明細資料_２２年度上期分_連携DB 2" xfId="1628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" xfId="1629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 2" xfId="1630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" xfId="1631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 2" xfId="1632"/>
    <cellStyle name="_【20090323_参考資料】千里導入明細資料_ラック構成図（千里_営業店・新事務）_20090805_【20091225】千里導入明細資料_２２年度上期分_連携DB_Ⅹ_課題と対応策_20121211" xfId="1633"/>
    <cellStyle name="_【20090323_参考資料】千里導入明細資料_ラック構成図（千里_営業店・新事務）_20090805_【20091225】千里導入明細資料_２２年度上期分_連携DB_Ⅹ_課題と対応策_20121211 2" xfId="1634"/>
    <cellStyle name="_【20090323_参考資料】千里導入明細資料_ラック構成図（千里_営業店・新事務）_20090805_【作成中】千里センター機器配置図（2010年対応分）_20091221" xfId="1635"/>
    <cellStyle name="_【20090323_参考資料】千里導入明細資料_ラック構成図（千里_営業店・新事務）_20090805_【作成中】千里センター機器配置図（2010年対応分）_20091221 2" xfId="1636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" xfId="1637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 2" xfId="1638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" xfId="1639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 2" xfId="1640"/>
    <cellStyle name="_【20090323_参考資料】千里導入明細資料_ラック構成図（千里_営業店・新事務）_20090805_【作成中】千里センター機器配置図（2010年対応分）_20091221_Ⅹ_課題と対応策_20121211" xfId="1641"/>
    <cellStyle name="_【20090323_参考資料】千里導入明細資料_ラック構成図（千里_営業店・新事務）_20090805_【作成中】千里センター機器配置図（2010年対応分）_20091221_Ⅹ_課題と対応策_20121211 2" xfId="1642"/>
    <cellStyle name="_【20090323_参考資料】千里導入明細資料_ラック構成図（千里_営業店・新事務）_20090805_Ⅹ_課題と対応策_20121211" xfId="1643"/>
    <cellStyle name="_【20090323_参考資料】千里導入明細資料_ラック構成図（千里_営業店・新事務）_20090805_Ⅹ_課題と対応策_20121211 2" xfId="1644"/>
    <cellStyle name="_【20090323_参考資料】千里導入明細資料_ラック構成図_Catalyst直付け（新事務処理）" xfId="1645"/>
    <cellStyle name="_【20090323_参考資料】千里導入明細資料_ラック構成図_Catalyst直付け（新事務処理） 2" xfId="1646"/>
    <cellStyle name="_【20090323_参考資料】千里導入明細資料_ラック構成図_Catalyst直付け（新事務処理）_【20091207】千里導入明細資料_２１年度分（ネットワーク敷設）" xfId="1647"/>
    <cellStyle name="_【20090323_参考資料】千里導入明細資料_ラック構成図_Catalyst直付け（新事務処理）_【20091207】千里導入明細資料_２１年度分（ネットワーク敷設） 2" xfId="1648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" xfId="1649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 2" xfId="1650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" xfId="1651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 2" xfId="1652"/>
    <cellStyle name="_【20090323_参考資料】千里導入明細資料_ラック構成図_Catalyst直付け（新事務処理）_【20091207】千里導入明細資料_２１年度分（ネットワーク敷設）_Ⅹ_課題と対応策_20121211" xfId="1653"/>
    <cellStyle name="_【20090323_参考資料】千里導入明細資料_ラック構成図_Catalyst直付け（新事務処理）_【20091207】千里導入明細資料_２１年度分（ネットワーク敷設）_Ⅹ_課題と対応策_20121211 2" xfId="1654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" xfId="1655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 2" xfId="1656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" xfId="1657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 2" xfId="1658"/>
    <cellStyle name="_【20090323_参考資料】千里導入明細資料_ラック構成図_Catalyst直付け（新事務処理）_【20091225】千里導入明細資料_２２年度上期分（営業店ＡＰ－ＤＢ）" xfId="1659"/>
    <cellStyle name="_【20090323_参考資料】千里導入明細資料_ラック構成図_Catalyst直付け（新事務処理）_【20091225】千里導入明細資料_２２年度上期分（営業店ＡＰ－ＤＢ） 2" xfId="1660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" xfId="1661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 2" xfId="1662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" xfId="1663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 2" xfId="1664"/>
    <cellStyle name="_【20090323_参考資料】千里導入明細資料_ラック構成図_Catalyst直付け（新事務処理）_【20091225】千里導入明細資料_２２年度上期分（営業店ＡＰ－ＤＢ）_Ⅹ_課題と対応策_20121211" xfId="1665"/>
    <cellStyle name="_【20090323_参考資料】千里導入明細資料_ラック構成図_Catalyst直付け（新事務処理）_【20091225】千里導入明細資料_２２年度上期分（営業店ＡＰ－ＤＢ）_Ⅹ_課題と対応策_20121211 2" xfId="1666"/>
    <cellStyle name="_【20090323_参考資料】千里導入明細資料_ラック構成図_Catalyst直付け（新事務処理）_【20091225】千里導入明細資料_２２年度上期分_営業店DB" xfId="1667"/>
    <cellStyle name="_【20090323_参考資料】千里導入明細資料_ラック構成図_Catalyst直付け（新事務処理）_【20091225】千里導入明細資料_２２年度上期分_営業店DB 2" xfId="1668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" xfId="1669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 2" xfId="1670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" xfId="1671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 2" xfId="1672"/>
    <cellStyle name="_【20090323_参考資料】千里導入明細資料_ラック構成図_Catalyst直付け（新事務処理）_【20091225】千里導入明細資料_２２年度上期分_営業店DB_Ⅹ_課題と対応策_20121211" xfId="1673"/>
    <cellStyle name="_【20090323_参考資料】千里導入明細資料_ラック構成図_Catalyst直付け（新事務処理）_【20091225】千里導入明細資料_２２年度上期分_営業店DB_Ⅹ_課題と対応策_20121211 2" xfId="1674"/>
    <cellStyle name="_【20090323_参考資料】千里導入明細資料_ラック構成図_Catalyst直付け（新事務処理）_【20091225】千里導入明細資料_２２年度上期分_連携DB" xfId="1675"/>
    <cellStyle name="_【20090323_参考資料】千里導入明細資料_ラック構成図_Catalyst直付け（新事務処理）_【20091225】千里導入明細資料_２２年度上期分_連携DB 2" xfId="1676"/>
    <cellStyle name="_【20090323_参考資料】千里導入明細資料_ラック構成図_Catalyst直付け（新事務処理）_【20091225】千里導入明細資料_２２年度上期分_連携DB_【調整中】千里導入明細資料_２２年度上期分_fj_20100127" xfId="1677"/>
    <cellStyle name="_【20090323_参考資料】千里導入明細資料_ラック構成図_Catalyst直付け（新事務処理）_【20091225】千里導入明細資料_２２年度上期分_連携DB_【調整中】千里導入明細資料_２２年度上期分_fj_20100127 2" xfId="1678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" xfId="1679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 2" xfId="1680"/>
    <cellStyle name="_【20090323_参考資料】千里導入明細資料_ラック構成図_Catalyst直付け（新事務処理）_【20091225】千里導入明細資料_２２年度上期分_連携DB_Ⅹ_課題と対応策_20121211" xfId="1681"/>
    <cellStyle name="_【20090323_参考資料】千里導入明細資料_ラック構成図_Catalyst直付け（新事務処理）_【20091225】千里導入明細資料_２２年度上期分_連携DB_Ⅹ_課題と対応策_20121211 2" xfId="1682"/>
    <cellStyle name="_【20090323_参考資料】千里導入明細資料_ラック構成図_Catalyst直付け（新事務処理）_【作成中】千里センター機器配置図（2010年対応分）_20091221" xfId="1683"/>
    <cellStyle name="_【20090323_参考資料】千里導入明細資料_ラック構成図_Catalyst直付け（新事務処理）_【作成中】千里センター機器配置図（2010年対応分）_20091221 2" xfId="1684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" xfId="1685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 2" xfId="1686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" xfId="1687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 2" xfId="1688"/>
    <cellStyle name="_【20090323_参考資料】千里導入明細資料_ラック構成図_Catalyst直付け（新事務処理）_【作成中】千里センター機器配置図（2010年対応分）_20091221_Ⅹ_課題と対応策_20121211" xfId="1689"/>
    <cellStyle name="_【20090323_参考資料】千里導入明細資料_ラック構成図_Catalyst直付け（新事務処理）_【作成中】千里センター機器配置図（2010年対応分）_20091221_Ⅹ_課題と対応策_20121211 2" xfId="1690"/>
    <cellStyle name="_【20090323_参考資料】千里導入明細資料_ラック構成図_Catalyst直付け（新事務処理）_Ⅹ_課題と対応策_20121211" xfId="1691"/>
    <cellStyle name="_【20090323_参考資料】千里導入明細資料_ラック構成図_Catalyst直付け（新事務処理）_Ⅹ_課題と対応策_20121211 2" xfId="1692"/>
    <cellStyle name="_【20090323_参考資料】千里導入明細資料_ラック構成図_RX100Si-R削除(新事務処理)" xfId="1693"/>
    <cellStyle name="_【20090323_参考資料】千里導入明細資料_ラック構成図_RX100Si-R削除(新事務処理) 2" xfId="1694"/>
    <cellStyle name="_【20090323_参考資料】千里導入明細資料_ラック構成図_RX100Si-R削除(新事務処理)_【20091207】千里導入明細資料_２１年度分（ネットワーク敷設）" xfId="1695"/>
    <cellStyle name="_【20090323_参考資料】千里導入明細資料_ラック構成図_RX100Si-R削除(新事務処理)_【20091207】千里導入明細資料_２１年度分（ネットワーク敷設） 2" xfId="1696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" xfId="1697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 2" xfId="1698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" xfId="1699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 2" xfId="1700"/>
    <cellStyle name="_【20090323_参考資料】千里導入明細資料_ラック構成図_RX100Si-R削除(新事務処理)_【20091207】千里導入明細資料_２１年度分（ネットワーク敷設）_Ⅹ_課題と対応策_20121211" xfId="1701"/>
    <cellStyle name="_【20090323_参考資料】千里導入明細資料_ラック構成図_RX100Si-R削除(新事務処理)_【20091207】千里導入明細資料_２１年度分（ネットワーク敷設）_Ⅹ_課題と対応策_20121211 2" xfId="1702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" xfId="1703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 2" xfId="1704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" xfId="1705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 2" xfId="1706"/>
    <cellStyle name="_【20090323_参考資料】千里導入明細資料_ラック構成図_RX100Si-R削除(新事務処理)_【20091225】千里導入明細資料_２２年度上期分（営業店ＡＰ－ＤＢ）" xfId="1707"/>
    <cellStyle name="_【20090323_参考資料】千里導入明細資料_ラック構成図_RX100Si-R削除(新事務処理)_【20091225】千里導入明細資料_２２年度上期分（営業店ＡＰ－ＤＢ） 2" xfId="1708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" xfId="1709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 2" xfId="1710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" xfId="1711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 2" xfId="1712"/>
    <cellStyle name="_【20090323_参考資料】千里導入明細資料_ラック構成図_RX100Si-R削除(新事務処理)_【20091225】千里導入明細資料_２２年度上期分（営業店ＡＰ－ＤＢ）_Ⅹ_課題と対応策_20121211" xfId="1713"/>
    <cellStyle name="_【20090323_参考資料】千里導入明細資料_ラック構成図_RX100Si-R削除(新事務処理)_【20091225】千里導入明細資料_２２年度上期分（営業店ＡＰ－ＤＢ）_Ⅹ_課題と対応策_20121211 2" xfId="1714"/>
    <cellStyle name="_【20090323_参考資料】千里導入明細資料_ラック構成図_RX100Si-R削除(新事務処理)_【20091225】千里導入明細資料_２２年度上期分_営業店DB" xfId="1715"/>
    <cellStyle name="_【20090323_参考資料】千里導入明細資料_ラック構成図_RX100Si-R削除(新事務処理)_【20091225】千里導入明細資料_２２年度上期分_営業店DB 2" xfId="1716"/>
    <cellStyle name="_【20090323_参考資料】千里導入明細資料_ラック構成図_RX100Si-R削除(新事務処理)_【20091225】千里導入明細資料_２２年度上期分_営業店DB_【調整中】千里導入明細資料_２２年度上期分_fj_20100127" xfId="1717"/>
    <cellStyle name="_【20090323_参考資料】千里導入明細資料_ラック構成図_RX100Si-R削除(新事務処理)_【20091225】千里導入明細資料_２２年度上期分_営業店DB_【調整中】千里導入明細資料_２２年度上期分_fj_20100127 2" xfId="1718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" xfId="1719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 2" xfId="1720"/>
    <cellStyle name="_【20090323_参考資料】千里導入明細資料_ラック構成図_RX100Si-R削除(新事務処理)_【20091225】千里導入明細資料_２２年度上期分_営業店DB_Ⅹ_課題と対応策_20121211" xfId="1721"/>
    <cellStyle name="_【20090323_参考資料】千里導入明細資料_ラック構成図_RX100Si-R削除(新事務処理)_【20091225】千里導入明細資料_２２年度上期分_営業店DB_Ⅹ_課題と対応策_20121211 2" xfId="1722"/>
    <cellStyle name="_【20090323_参考資料】千里導入明細資料_ラック構成図_RX100Si-R削除(新事務処理)_【20091225】千里導入明細資料_２２年度上期分_連携DB" xfId="1723"/>
    <cellStyle name="_【20090323_参考資料】千里導入明細資料_ラック構成図_RX100Si-R削除(新事務処理)_【20091225】千里導入明細資料_２２年度上期分_連携DB 2" xfId="1724"/>
    <cellStyle name="_【20090323_参考資料】千里導入明細資料_ラック構成図_RX100Si-R削除(新事務処理)_【20091225】千里導入明細資料_２２年度上期分_連携DB_【調整中】千里導入明細資料_２２年度上期分_fj_20100127" xfId="1725"/>
    <cellStyle name="_【20090323_参考資料】千里導入明細資料_ラック構成図_RX100Si-R削除(新事務処理)_【20091225】千里導入明細資料_２２年度上期分_連携DB_【調整中】千里導入明細資料_２２年度上期分_fj_20100127 2" xfId="1726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" xfId="1727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 2" xfId="1728"/>
    <cellStyle name="_【20090323_参考資料】千里導入明細資料_ラック構成図_RX100Si-R削除(新事務処理)_【20091225】千里導入明細資料_２２年度上期分_連携DB_Ⅹ_課題と対応策_20121211" xfId="1729"/>
    <cellStyle name="_【20090323_参考資料】千里導入明細資料_ラック構成図_RX100Si-R削除(新事務処理)_【20091225】千里導入明細資料_２２年度上期分_連携DB_Ⅹ_課題と対応策_20121211 2" xfId="1730"/>
    <cellStyle name="_【20090323_参考資料】千里導入明細資料_ラック構成図_RX100Si-R削除(新事務処理)_【作成中】千里センター機器配置図（2010年対応分）_20091221" xfId="1731"/>
    <cellStyle name="_【20090323_参考資料】千里導入明細資料_ラック構成図_RX100Si-R削除(新事務処理)_【作成中】千里センター機器配置図（2010年対応分）_20091221 2" xfId="1732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" xfId="1733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 2" xfId="1734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" xfId="1735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 2" xfId="1736"/>
    <cellStyle name="_【20090323_参考資料】千里導入明細資料_ラック構成図_RX100Si-R削除(新事務処理)_【作成中】千里センター機器配置図（2010年対応分）_20091221_Ⅹ_課題と対応策_20121211" xfId="1737"/>
    <cellStyle name="_【20090323_参考資料】千里導入明細資料_ラック構成図_RX100Si-R削除(新事務処理)_【作成中】千里センター機器配置図（2010年対応分）_20091221_Ⅹ_課題と対応策_20121211 2" xfId="1738"/>
    <cellStyle name="_【20090323_参考資料】千里導入明細資料_ラック構成図_RX100Si-R削除(新事務処理)_Ⅹ_課題と対応策_20121211" xfId="1739"/>
    <cellStyle name="_【20090323_参考資料】千里導入明細資料_ラック構成図_RX100Si-R削除(新事務処理)_Ⅹ_課題と対応策_20121211 2" xfId="1740"/>
    <cellStyle name="_【20090323_参考資料】千里導入明細資料_千里導入明細資料_２２年度分（ネットワーク敷設）_fj" xfId="1741"/>
    <cellStyle name="_【20090323_参考資料】千里導入明細資料_千里導入明細資料_２２年度分（ネットワーク敷設）_fj 2" xfId="1742"/>
    <cellStyle name="_【20090323_参考資料】千里導入明細資料_千里導入明細資料_２２年度分（ネットワーク敷設）_fj_Ⅹ_課題と対応策_20121211" xfId="1743"/>
    <cellStyle name="_【20090323_参考資料】千里導入明細資料_千里導入明細資料_２２年度分（ネットワーク敷設）_fj_Ⅹ_課題と対応策_20121211 2" xfId="1744"/>
    <cellStyle name="_【20090522_精緻化中】千里導入明細資料_２１年度分" xfId="1745"/>
    <cellStyle name="_【20090522_精緻化中】千里導入明細資料_２１年度分 2" xfId="1746"/>
    <cellStyle name="_【20090522_精緻化中】千里導入明細資料_２１年度分_(自動機監視GW) 【20090602】千里導入明細資料_２１年度fj分" xfId="1747"/>
    <cellStyle name="_【20090522_精緻化中】千里導入明細資料_２１年度分_(自動機監視GW) 【20090602】千里導入明細資料_２１年度fj分 2" xfId="1748"/>
    <cellStyle name="_【20090522_精緻化中】千里導入明細資料_２１年度分_(自動機監視GW) 【20090602】千里導入明細資料_２１年度fj分_【20091218】千里導入明細資料_２１年度分（ネットワーク敷設）" xfId="1749"/>
    <cellStyle name="_【20090522_精緻化中】千里導入明細資料_２１年度分_(自動機監視GW) 【20090602】千里導入明細資料_２１年度fj分_【20091218】千里導入明細資料_２１年度分（ネットワーク敷設） 2" xfId="1750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" xfId="1751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 2" xfId="1752"/>
    <cellStyle name="_【20090522_精緻化中】千里導入明細資料_２１年度分_(自動機監視GW) 【20090602】千里導入明細資料_２１年度fj分_Ⅹ_課題と対応策_20121211" xfId="1753"/>
    <cellStyle name="_【20090522_精緻化中】千里導入明細資料_２１年度分_(自動機監視GW) 【20090602】千里導入明細資料_２１年度fj分_Ⅹ_課題と対応策_20121211 2" xfId="1754"/>
    <cellStyle name="_【20090522_精緻化中】千里導入明細資料_２１年度分_(自動機監視GW) 【20090602】千里導入明細資料_２１年度fj分_千里導入明細資料_２２年度分（ネットワーク敷設）_fj" xfId="1755"/>
    <cellStyle name="_【20090522_精緻化中】千里導入明細資料_２１年度分_(自動機監視GW) 【20090602】千里導入明細資料_２１年度fj分_千里導入明細資料_２２年度分（ネットワーク敷設）_fj 2" xfId="1756"/>
    <cellStyle name="_【20090522_精緻化中】千里導入明細資料_２１年度分_(自動機監視GW) 【20090602】千里導入明細資料_２１年度fj分_千里導入明細資料_２２年度分（ネットワーク敷設）_fj_Ⅹ_課題と対応策_20121211" xfId="1757"/>
    <cellStyle name="_【20090522_精緻化中】千里導入明細資料_２１年度分_(自動機監視GW) 【20090602】千里導入明細資料_２１年度fj分_千里導入明細資料_２２年度分（ネットワーク敷設）_fj_Ⅹ_課題と対応策_20121211 2" xfId="1758"/>
    <cellStyle name="_【20090522_精緻化中】千里導入明細資料_２１年度分_【20090715】千里導入明細資料_２１年度分（９月工事分）_fj" xfId="1759"/>
    <cellStyle name="_【20090522_精緻化中】千里導入明細資料_２１年度分_【20090715】千里導入明細資料_２１年度分（９月工事分）_fj 2" xfId="1760"/>
    <cellStyle name="_【20090522_精緻化中】千里導入明細資料_２１年度分_【20090715】千里導入明細資料_２１年度分（９月工事分）_fj_【20090721】千里導入明細資料_２１年度分" xfId="1761"/>
    <cellStyle name="_【20090522_精緻化中】千里導入明細資料_２１年度分_【20090715】千里導入明細資料_２１年度分（９月工事分）_fj_【20090721】千里導入明細資料_２１年度分 2" xfId="1762"/>
    <cellStyle name="_【20090522_精緻化中】千里導入明細資料_２１年度分_【20090715】千里導入明細資料_２１年度分（９月工事分）_fj_【20090721】千里導入明細資料_２１年度分（９月工事分）_ETERNUS追加" xfId="1763"/>
    <cellStyle name="_【20090522_精緻化中】千里導入明細資料_２１年度分_【20090715】千里導入明細資料_２１年度分（９月工事分）_fj_【20090721】千里導入明細資料_２１年度分（９月工事分）_ETERNUS追加 2" xfId="1764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1765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1766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1767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1768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1769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1770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1771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772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" xfId="1773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 2" xfId="1774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1775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1776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1777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1778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779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780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1781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1782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783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784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785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786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787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788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789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790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791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792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793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794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795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796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797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798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799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800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1801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1802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1803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1804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1805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1806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807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808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1809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1810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811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812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1813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1814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1815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1816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817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818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819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820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821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822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823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824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825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826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827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828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829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830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831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832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833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834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835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836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837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838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839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840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841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842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1843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1844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1845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1846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847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848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1849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1850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1851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1852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" xfId="1853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 2" xfId="1854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1855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1856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857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858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" xfId="1859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 2" xfId="1860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1861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1862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" xfId="1863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 2" xfId="1864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865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866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867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868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869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870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871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872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873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874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875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876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877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878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879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880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1881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1882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" xfId="1883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 2" xfId="1884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" xfId="1885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1886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" xfId="1887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 2" xfId="1888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1889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1890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" xfId="1891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 2" xfId="1892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1893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1894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" xfId="1895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 2" xfId="1896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" xfId="1897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 2" xfId="1898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1899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1900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901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902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903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904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905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906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907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908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1909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1910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911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912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913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914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915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916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1917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1918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919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920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921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922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923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924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" xfId="1925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1926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" xfId="1927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 2" xfId="1928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1929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1930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" xfId="1931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 2" xfId="1932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1933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1934"/>
    <cellStyle name="_【20090522_精緻化中】千里導入明細資料_２１年度分_【20090715】千里導入明細資料_２１年度分（９月工事分）_fj_【20090721】千里導入明細資料_２１年度分_Ⅹ_課題と対応策_20121211" xfId="1935"/>
    <cellStyle name="_【20090522_精緻化中】千里導入明細資料_２１年度分_【20090715】千里導入明細資料_２１年度分（９月工事分）_fj_【20090721】千里導入明細資料_２１年度分_Ⅹ_課題と対応策_20121211 2" xfId="1936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" xfId="1937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 2" xfId="1938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1939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1940"/>
    <cellStyle name="_【20090522_精緻化中】千里導入明細資料_２１年度分_【20090715】千里導入明細資料_２１年度分（９月工事分）_fj_【20090821】千里ラック搭載図（NW機器）" xfId="1941"/>
    <cellStyle name="_【20090522_精緻化中】千里導入明細資料_２１年度分_【20090715】千里導入明細資料_２１年度分（９月工事分）_fj_【20090821】千里ラック搭載図（NW機器） 2" xfId="1942"/>
    <cellStyle name="_【20090522_精緻化中】千里導入明細資料_２１年度分_【20090715】千里導入明細資料_２１年度分（９月工事分）_fj_【20090821】千里ラック搭載図（NW機器）_Ⅹ_課題と対応策_20121211" xfId="1943"/>
    <cellStyle name="_【20090522_精緻化中】千里導入明細資料_２１年度分_【20090715】千里導入明細資料_２１年度分（９月工事分）_fj_【20090821】千里ラック搭載図（NW機器）_Ⅹ_課題と対応策_20121211 2" xfId="1944"/>
    <cellStyle name="_【20090522_精緻化中】千里導入明細資料_２１年度分_【20090715】千里導入明細資料_２１年度分（９月工事分）_fj_【20091207】千里導入明細資料_２１年度分（ネットワーク敷設）" xfId="1945"/>
    <cellStyle name="_【20090522_精緻化中】千里導入明細資料_２１年度分_【20090715】千里導入明細資料_２１年度分（９月工事分）_fj_【20091207】千里導入明細資料_２１年度分（ネットワーク敷設） 2" xfId="1946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1947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1948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949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950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" xfId="1951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 2" xfId="1952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1953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1954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1955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956"/>
    <cellStyle name="_【20090522_精緻化中】千里導入明細資料_２１年度分_【20090715】千里導入明細資料_２１年度分（９月工事分）_fj_【20091225】千里導入明細資料_２２年度上期分（営業店ＡＰ－ＤＢ）" xfId="1957"/>
    <cellStyle name="_【20090522_精緻化中】千里導入明細資料_２１年度分_【20090715】千里導入明細資料_２１年度分（９月工事分）_fj_【20091225】千里導入明細資料_２２年度上期分（営業店ＡＰ－ＤＢ） 2" xfId="1958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1959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1960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961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962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" xfId="1963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 2" xfId="1964"/>
    <cellStyle name="_【20090522_精緻化中】千里導入明細資料_２１年度分_【20090715】千里導入明細資料_２１年度分（９月工事分）_fj_【20091225】千里導入明細資料_２２年度上期分_営業店DB" xfId="1965"/>
    <cellStyle name="_【20090522_精緻化中】千里導入明細資料_２１年度分_【20090715】千里導入明細資料_２１年度分（９月工事分）_fj_【20091225】千里導入明細資料_２２年度上期分_営業店DB 2" xfId="1966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" xfId="1967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 2" xfId="1968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1969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1970"/>
    <cellStyle name="_【20090522_精緻化中】千里導入明細資料_２１年度分_【20090715】千里導入明細資料_２１年度分（９月工事分）_fj_【20091225】千里導入明細資料_２２年度上期分_営業店DB_Ⅹ_課題と対応策_20121211" xfId="1971"/>
    <cellStyle name="_【20090522_精緻化中】千里導入明細資料_２１年度分_【20090715】千里導入明細資料_２１年度分（９月工事分）_fj_【20091225】千里導入明細資料_２２年度上期分_営業店DB_Ⅹ_課題と対応策_20121211 2" xfId="1972"/>
    <cellStyle name="_【20090522_精緻化中】千里導入明細資料_２１年度分_【20090715】千里導入明細資料_２１年度分（９月工事分）_fj_【20091225】千里導入明細資料_２２年度上期分_連携DB" xfId="1973"/>
    <cellStyle name="_【20090522_精緻化中】千里導入明細資料_２１年度分_【20090715】千里導入明細資料_２１年度分（９月工事分）_fj_【20091225】千里導入明細資料_２２年度上期分_連携DB 2" xfId="1974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" xfId="1975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 2" xfId="1976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1977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1978"/>
    <cellStyle name="_【20090522_精緻化中】千里導入明細資料_２１年度分_【20090715】千里導入明細資料_２１年度分（９月工事分）_fj_【20091225】千里導入明細資料_２２年度上期分_連携DB_Ⅹ_課題と対応策_20121211" xfId="1979"/>
    <cellStyle name="_【20090522_精緻化中】千里導入明細資料_２１年度分_【20090715】千里導入明細資料_２１年度分（９月工事分）_fj_【20091225】千里導入明細資料_２２年度上期分_連携DB_Ⅹ_課題と対応策_20121211 2" xfId="1980"/>
    <cellStyle name="_【20090522_精緻化中】千里導入明細資料_２１年度分_【20090715】千里導入明細資料_２１年度分（９月工事分）_fj_【作成中】千里センター機器配置図（2010年対応分）_20091221" xfId="1981"/>
    <cellStyle name="_【20090522_精緻化中】千里導入明細資料_２１年度分_【20090715】千里導入明細資料_２１年度分（９月工事分）_fj_【作成中】千里センター機器配置図（2010年対応分）_20091221 2" xfId="1982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1983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1984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1985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1986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" xfId="1987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 2" xfId="1988"/>
    <cellStyle name="_【20090522_精緻化中】千里導入明細資料_２１年度分_【20090715】千里導入明細資料_２１年度分（９月工事分）_fj_Ⅹ_課題と対応策_20121211" xfId="1989"/>
    <cellStyle name="_【20090522_精緻化中】千里導入明細資料_２１年度分_【20090715】千里導入明細資料_２１年度分（９月工事分）_fj_Ⅹ_課題と対応策_20121211 2" xfId="1990"/>
    <cellStyle name="_【20090522_精緻化中】千里導入明細資料_２１年度分_【20090715】千里導入明細資料_２１年度分（９月工事分）_fj_千里センター機器構築スケジュール（８月分）_20090731" xfId="1991"/>
    <cellStyle name="_【20090522_精緻化中】千里導入明細資料_２１年度分_【20090715】千里導入明細資料_２１年度分（９月工事分）_fj_千里センター機器構築スケジュール（８月分）_20090731 2" xfId="1992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" xfId="1993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1994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995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996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997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998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1999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000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" xfId="2001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 2" xfId="2002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003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004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005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006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007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008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" xfId="2009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 2" xfId="2010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011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012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013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014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015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016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017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018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019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020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021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022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023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024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025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026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027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028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" xfId="2029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 2" xfId="2030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031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032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" xfId="2033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 2" xfId="2034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035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036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" xfId="2037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 2" xfId="2038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039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040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" xfId="2041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 2" xfId="2042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043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044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045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046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047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048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049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050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051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052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053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054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055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056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057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058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059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060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061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062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063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064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065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066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067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068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069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070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071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072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" xfId="2073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074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075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076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" xfId="2077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 2" xfId="2078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079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080"/>
    <cellStyle name="_【20090522_精緻化中】千里導入明細資料_２１年度分_【20090715】千里導入明細資料_２１年度分（９月工事分）_fj_千里センター機器構築スケジュール（８月分）_20090731_Ⅹ_課題と対応策_20121211" xfId="2081"/>
    <cellStyle name="_【20090522_精緻化中】千里導入明細資料_２１年度分_【20090715】千里導入明細資料_２１年度分（９月工事分）_fj_千里センター機器構築スケジュール（８月分）_20090731_Ⅹ_課題と対応策_20121211 2" xfId="2082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" xfId="2083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084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085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086"/>
    <cellStyle name="_【20090522_精緻化中】千里導入明細資料_２１年度分_【20090724】千里導入明細資料_２１年度" xfId="2087"/>
    <cellStyle name="_【20090522_精緻化中】千里導入明細資料_２１年度分_【20090724】千里導入明細資料_２１年度 2" xfId="2088"/>
    <cellStyle name="_【20090522_精緻化中】千里導入明細資料_２１年度分_【20090724】千里導入明細資料_２１年度_【20091207】千里導入明細資料_２１年度分（ネットワーク敷設）" xfId="2089"/>
    <cellStyle name="_【20090522_精緻化中】千里導入明細資料_２１年度分_【20090724】千里導入明細資料_２１年度_【20091207】千里導入明細資料_２１年度分（ネットワーク敷設） 2" xfId="2090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" xfId="2091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 2" xfId="2092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093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094"/>
    <cellStyle name="_【20090522_精緻化中】千里導入明細資料_２１年度分_【20090724】千里導入明細資料_２１年度_【20091207】千里導入明細資料_２１年度分（ネットワーク敷設）_Ⅹ_課題と対応策_20121211" xfId="2095"/>
    <cellStyle name="_【20090522_精緻化中】千里導入明細資料_２１年度分_【20090724】千里導入明細資料_２１年度_【20091207】千里導入明細資料_２１年度分（ネットワーク敷設）_Ⅹ_課題と対応策_20121211 2" xfId="2096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" xfId="2097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 2" xfId="2098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099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100"/>
    <cellStyle name="_【20090522_精緻化中】千里導入明細資料_２１年度分_【20090724】千里導入明細資料_２１年度_【20091225】千里導入明細資料_２２年度上期分（営業店ＡＰ－ＤＢ）" xfId="2101"/>
    <cellStyle name="_【20090522_精緻化中】千里導入明細資料_２１年度分_【20090724】千里導入明細資料_２１年度_【20091225】千里導入明細資料_２２年度上期分（営業店ＡＰ－ＤＢ） 2" xfId="2102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" xfId="2103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 2" xfId="2104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105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106"/>
    <cellStyle name="_【20090522_精緻化中】千里導入明細資料_２１年度分_【20090724】千里導入明細資料_２１年度_【20091225】千里導入明細資料_２２年度上期分（営業店ＡＰ－ＤＢ）_Ⅹ_課題と対応策_20121211" xfId="2107"/>
    <cellStyle name="_【20090522_精緻化中】千里導入明細資料_２１年度分_【20090724】千里導入明細資料_２１年度_【20091225】千里導入明細資料_２２年度上期分（営業店ＡＰ－ＤＢ）_Ⅹ_課題と対応策_20121211 2" xfId="2108"/>
    <cellStyle name="_【20090522_精緻化中】千里導入明細資料_２１年度分_【20090724】千里導入明細資料_２１年度_【20091225】千里導入明細資料_２２年度上期分_営業店DB" xfId="2109"/>
    <cellStyle name="_【20090522_精緻化中】千里導入明細資料_２１年度分_【20090724】千里導入明細資料_２１年度_【20091225】千里導入明細資料_２２年度上期分_営業店DB 2" xfId="2110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" xfId="2111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 2" xfId="2112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113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114"/>
    <cellStyle name="_【20090522_精緻化中】千里導入明細資料_２１年度分_【20090724】千里導入明細資料_２１年度_【20091225】千里導入明細資料_２２年度上期分_営業店DB_Ⅹ_課題と対応策_20121211" xfId="2115"/>
    <cellStyle name="_【20090522_精緻化中】千里導入明細資料_２１年度分_【20090724】千里導入明細資料_２１年度_【20091225】千里導入明細資料_２２年度上期分_営業店DB_Ⅹ_課題と対応策_20121211 2" xfId="2116"/>
    <cellStyle name="_【20090522_精緻化中】千里導入明細資料_２１年度分_【20090724】千里導入明細資料_２１年度_【20091225】千里導入明細資料_２２年度上期分_連携DB" xfId="2117"/>
    <cellStyle name="_【20090522_精緻化中】千里導入明細資料_２１年度分_【20090724】千里導入明細資料_２１年度_【20091225】千里導入明細資料_２２年度上期分_連携DB 2" xfId="2118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" xfId="2119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 2" xfId="2120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121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122"/>
    <cellStyle name="_【20090522_精緻化中】千里導入明細資料_２１年度分_【20090724】千里導入明細資料_２１年度_【20091225】千里導入明細資料_２２年度上期分_連携DB_Ⅹ_課題と対応策_20121211" xfId="2123"/>
    <cellStyle name="_【20090522_精緻化中】千里導入明細資料_２１年度分_【20090724】千里導入明細資料_２１年度_【20091225】千里導入明細資料_２２年度上期分_連携DB_Ⅹ_課題と対応策_20121211 2" xfId="2124"/>
    <cellStyle name="_【20090522_精緻化中】千里導入明細資料_２１年度分_【20090724】千里導入明細資料_２１年度_【作成中】千里センター機器配置図（2010年対応分）_20091221" xfId="2125"/>
    <cellStyle name="_【20090522_精緻化中】千里導入明細資料_２１年度分_【20090724】千里導入明細資料_２１年度_【作成中】千里センター機器配置図（2010年対応分）_20091221 2" xfId="2126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" xfId="2127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 2" xfId="2128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129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130"/>
    <cellStyle name="_【20090522_精緻化中】千里導入明細資料_２１年度分_【20090724】千里導入明細資料_２１年度_【作成中】千里センター機器配置図（2010年対応分）_20091221_Ⅹ_課題と対応策_20121211" xfId="2131"/>
    <cellStyle name="_【20090522_精緻化中】千里導入明細資料_２１年度分_【20090724】千里導入明細資料_２１年度_【作成中】千里センター機器配置図（2010年対応分）_20091221_Ⅹ_課題と対応策_20121211 2" xfId="2132"/>
    <cellStyle name="_【20090522_精緻化中】千里導入明細資料_２１年度分_【20090724】千里導入明細資料_２１年度_Ⅹ_課題と対応策_20121211" xfId="2133"/>
    <cellStyle name="_【20090522_精緻化中】千里導入明細資料_２１年度分_【20090724】千里導入明細資料_２１年度_Ⅹ_課題と対応策_20121211 2" xfId="2134"/>
    <cellStyle name="_【20090522_精緻化中】千里導入明細資料_２１年度分_【20090724】千里導入明細資料_２１年度分（９月工事分）" xfId="2135"/>
    <cellStyle name="_【20090522_精緻化中】千里導入明細資料_２１年度分_【20090724】千里導入明細資料_２１年度分（９月工事分） 2" xfId="2136"/>
    <cellStyle name="_【20090522_精緻化中】千里導入明細資料_２１年度分_【20090724】千里導入明細資料_２１年度分（９月工事分）_【20091207】千里導入明細資料_２１年度分（ネットワーク敷設）" xfId="2137"/>
    <cellStyle name="_【20090522_精緻化中】千里導入明細資料_２１年度分_【20090724】千里導入明細資料_２１年度分（９月工事分）_【20091207】千里導入明細資料_２１年度分（ネットワーク敷設） 2" xfId="2138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139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140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141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142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" xfId="2143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 2" xfId="2144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145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146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147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148"/>
    <cellStyle name="_【20090522_精緻化中】千里導入明細資料_２１年度分_【20090724】千里導入明細資料_２１年度分（９月工事分）_【20091225】千里導入明細資料_２２年度上期分（営業店ＡＰ－ＤＢ）" xfId="2149"/>
    <cellStyle name="_【20090522_精緻化中】千里導入明細資料_２１年度分_【20090724】千里導入明細資料_２１年度分（９月工事分）_【20091225】千里導入明細資料_２２年度上期分（営業店ＡＰ－ＤＢ） 2" xfId="2150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151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152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153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154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" xfId="2155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 2" xfId="2156"/>
    <cellStyle name="_【20090522_精緻化中】千里導入明細資料_２１年度分_【20090724】千里導入明細資料_２１年度分（９月工事分）_【20091225】千里導入明細資料_２２年度上期分_営業店DB" xfId="2157"/>
    <cellStyle name="_【20090522_精緻化中】千里導入明細資料_２１年度分_【20090724】千里導入明細資料_２１年度分（９月工事分）_【20091225】千里導入明細資料_２２年度上期分_営業店DB 2" xfId="2158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" xfId="2159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 2" xfId="2160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161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162"/>
    <cellStyle name="_【20090522_精緻化中】千里導入明細資料_２１年度分_【20090724】千里導入明細資料_２１年度分（９月工事分）_【20091225】千里導入明細資料_２２年度上期分_営業店DB_Ⅹ_課題と対応策_20121211" xfId="2163"/>
    <cellStyle name="_【20090522_精緻化中】千里導入明細資料_２１年度分_【20090724】千里導入明細資料_２１年度分（９月工事分）_【20091225】千里導入明細資料_２２年度上期分_営業店DB_Ⅹ_課題と対応策_20121211 2" xfId="2164"/>
    <cellStyle name="_【20090522_精緻化中】千里導入明細資料_２１年度分_【20090724】千里導入明細資料_２１年度分（９月工事分）_【20091225】千里導入明細資料_２２年度上期分_連携DB" xfId="2165"/>
    <cellStyle name="_【20090522_精緻化中】千里導入明細資料_２１年度分_【20090724】千里導入明細資料_２１年度分（９月工事分）_【20091225】千里導入明細資料_２２年度上期分_連携DB 2" xfId="2166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" xfId="2167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 2" xfId="2168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169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170"/>
    <cellStyle name="_【20090522_精緻化中】千里導入明細資料_２１年度分_【20090724】千里導入明細資料_２１年度分（９月工事分）_【20091225】千里導入明細資料_２２年度上期分_連携DB_Ⅹ_課題と対応策_20121211" xfId="2171"/>
    <cellStyle name="_【20090522_精緻化中】千里導入明細資料_２１年度分_【20090724】千里導入明細資料_２１年度分（９月工事分）_【20091225】千里導入明細資料_２２年度上期分_連携DB_Ⅹ_課題と対応策_20121211 2" xfId="2172"/>
    <cellStyle name="_【20090522_精緻化中】千里導入明細資料_２１年度分_【20090724】千里導入明細資料_２１年度分（９月工事分）_【作成中】千里センター機器配置図（2010年対応分）_20091221" xfId="2173"/>
    <cellStyle name="_【20090522_精緻化中】千里導入明細資料_２１年度分_【20090724】千里導入明細資料_２１年度分（９月工事分）_【作成中】千里センター機器配置図（2010年対応分）_20091221 2" xfId="2174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175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176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177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178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" xfId="2179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 2" xfId="2180"/>
    <cellStyle name="_【20090522_精緻化中】千里導入明細資料_２１年度分_【20090724】千里導入明細資料_２１年度分（９月工事分）_Ⅹ_課題と対応策_20121211" xfId="2181"/>
    <cellStyle name="_【20090522_精緻化中】千里導入明細資料_２１年度分_【20090724】千里導入明細資料_２１年度分（９月工事分）_Ⅹ_課題と対応策_20121211 2" xfId="2182"/>
    <cellStyle name="_【20090522_精緻化中】千里導入明細資料_２１年度分_【20090731】千里導入明細資料_２１年度分（９月工事分）" xfId="2183"/>
    <cellStyle name="_【20090522_精緻化中】千里導入明細資料_２１年度分_【20090731】千里導入明細資料_２１年度分（９月工事分） 2" xfId="2184"/>
    <cellStyle name="_【20090522_精緻化中】千里導入明細資料_２１年度分_【20090731】千里導入明細資料_２１年度分（９月工事分）_【20090821】千里ラック搭載図（NW機器）" xfId="2185"/>
    <cellStyle name="_【20090522_精緻化中】千里導入明細資料_２１年度分_【20090731】千里導入明細資料_２１年度分（９月工事分）_【20090821】千里ラック搭載図（NW機器） 2" xfId="2186"/>
    <cellStyle name="_【20090522_精緻化中】千里導入明細資料_２１年度分_【20090731】千里導入明細資料_２１年度分（９月工事分）_【20090821】千里ラック搭載図（NW機器）_Ⅹ_課題と対応策_20121211" xfId="2187"/>
    <cellStyle name="_【20090522_精緻化中】千里導入明細資料_２１年度分_【20090731】千里導入明細資料_２１年度分（９月工事分）_【20090821】千里ラック搭載図（NW機器）_Ⅹ_課題と対応策_20121211 2" xfId="2188"/>
    <cellStyle name="_【20090522_精緻化中】千里導入明細資料_２１年度分_【20090731】千里導入明細資料_２１年度分（９月工事分）_Ⅹ_課題と対応策_20121211" xfId="2189"/>
    <cellStyle name="_【20090522_精緻化中】千里導入明細資料_２１年度分_【20090731】千里導入明細資料_２１年度分（９月工事分）_Ⅹ_課題と対応策_20121211 2" xfId="2190"/>
    <cellStyle name="_【20090522_精緻化中】千里導入明細資料_２１年度分_【20090807】千里導入明細資料" xfId="2191"/>
    <cellStyle name="_【20090522_精緻化中】千里導入明細資料_２１年度分_【20090807】千里導入明細資料 2" xfId="2192"/>
    <cellStyle name="_【20090522_精緻化中】千里導入明細資料_２１年度分_【20090807】千里導入明細資料_【20091207】千里導入明細資料_２１年度分（ネットワーク敷設）" xfId="2193"/>
    <cellStyle name="_【20090522_精緻化中】千里導入明細資料_２１年度分_【20090807】千里導入明細資料_【20091207】千里導入明細資料_２１年度分（ネットワーク敷設） 2" xfId="2194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" xfId="2195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 2" xfId="2196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197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198"/>
    <cellStyle name="_【20090522_精緻化中】千里導入明細資料_２１年度分_【20090807】千里導入明細資料_【20091207】千里導入明細資料_２１年度分（ネットワーク敷設）_Ⅹ_課題と対応策_20121211" xfId="2199"/>
    <cellStyle name="_【20090522_精緻化中】千里導入明細資料_２１年度分_【20090807】千里導入明細資料_【20091207】千里導入明細資料_２１年度分（ネットワーク敷設）_Ⅹ_課題と対応策_20121211 2" xfId="2200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" xfId="2201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 2" xfId="2202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203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204"/>
    <cellStyle name="_【20090522_精緻化中】千里導入明細資料_２１年度分_【20090807】千里導入明細資料_【20091225】千里導入明細資料_２２年度上期分（営業店ＡＰ－ＤＢ）" xfId="2205"/>
    <cellStyle name="_【20090522_精緻化中】千里導入明細資料_２１年度分_【20090807】千里導入明細資料_【20091225】千里導入明細資料_２２年度上期分（営業店ＡＰ－ＤＢ） 2" xfId="2206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" xfId="2207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 2" xfId="2208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209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210"/>
    <cellStyle name="_【20090522_精緻化中】千里導入明細資料_２１年度分_【20090807】千里導入明細資料_【20091225】千里導入明細資料_２２年度上期分（営業店ＡＰ－ＤＢ）_Ⅹ_課題と対応策_20121211" xfId="2211"/>
    <cellStyle name="_【20090522_精緻化中】千里導入明細資料_２１年度分_【20090807】千里導入明細資料_【20091225】千里導入明細資料_２２年度上期分（営業店ＡＰ－ＤＢ）_Ⅹ_課題と対応策_20121211 2" xfId="2212"/>
    <cellStyle name="_【20090522_精緻化中】千里導入明細資料_２１年度分_【20090807】千里導入明細資料_【20091225】千里導入明細資料_２２年度上期分_営業店DB" xfId="2213"/>
    <cellStyle name="_【20090522_精緻化中】千里導入明細資料_２１年度分_【20090807】千里導入明細資料_【20091225】千里導入明細資料_２２年度上期分_営業店DB 2" xfId="2214"/>
    <cellStyle name="_【20090522_精緻化中】千里導入明細資料_２１年度分_【20090807】千里導入明細資料_【20091225】千里導入明細資料_２２年度上期分_営業店DB_【調整中】千里導入明細資料_２２年度上期分_fj_20100127" xfId="2215"/>
    <cellStyle name="_【20090522_精緻化中】千里導入明細資料_２１年度分_【20090807】千里導入明細資料_【20091225】千里導入明細資料_２２年度上期分_営業店DB_【調整中】千里導入明細資料_２２年度上期分_fj_20100127 2" xfId="2216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" xfId="2217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 2" xfId="2218"/>
    <cellStyle name="_【20090522_精緻化中】千里導入明細資料_２１年度分_【20090807】千里導入明細資料_【20091225】千里導入明細資料_２２年度上期分_営業店DB_Ⅹ_課題と対応策_20121211" xfId="2219"/>
    <cellStyle name="_【20090522_精緻化中】千里導入明細資料_２１年度分_【20090807】千里導入明細資料_【20091225】千里導入明細資料_２２年度上期分_営業店DB_Ⅹ_課題と対応策_20121211 2" xfId="2220"/>
    <cellStyle name="_【20090522_精緻化中】千里導入明細資料_２１年度分_【20090807】千里導入明細資料_【20091225】千里導入明細資料_２２年度上期分_連携DB" xfId="2221"/>
    <cellStyle name="_【20090522_精緻化中】千里導入明細資料_２１年度分_【20090807】千里導入明細資料_【20091225】千里導入明細資料_２２年度上期分_連携DB 2" xfId="2222"/>
    <cellStyle name="_【20090522_精緻化中】千里導入明細資料_２１年度分_【20090807】千里導入明細資料_【20091225】千里導入明細資料_２２年度上期分_連携DB_【調整中】千里導入明細資料_２２年度上期分_fj_20100127" xfId="2223"/>
    <cellStyle name="_【20090522_精緻化中】千里導入明細資料_２１年度分_【20090807】千里導入明細資料_【20091225】千里導入明細資料_２２年度上期分_連携DB_【調整中】千里導入明細資料_２２年度上期分_fj_20100127 2" xfId="2224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" xfId="2225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 2" xfId="2226"/>
    <cellStyle name="_【20090522_精緻化中】千里導入明細資料_２１年度分_【20090807】千里導入明細資料_【20091225】千里導入明細資料_２２年度上期分_連携DB_Ⅹ_課題と対応策_20121211" xfId="2227"/>
    <cellStyle name="_【20090522_精緻化中】千里導入明細資料_２１年度分_【20090807】千里導入明細資料_【20091225】千里導入明細資料_２２年度上期分_連携DB_Ⅹ_課題と対応策_20121211 2" xfId="2228"/>
    <cellStyle name="_【20090522_精緻化中】千里導入明細資料_２１年度分_【20090807】千里導入明細資料_【作成中】千里センター機器配置図（2010年対応分）_20091221" xfId="2229"/>
    <cellStyle name="_【20090522_精緻化中】千里導入明細資料_２１年度分_【20090807】千里導入明細資料_【作成中】千里センター機器配置図（2010年対応分）_20091221 2" xfId="2230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" xfId="2231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 2" xfId="2232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" xfId="2233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 2" xfId="2234"/>
    <cellStyle name="_【20090522_精緻化中】千里導入明細資料_２１年度分_【20090807】千里導入明細資料_【作成中】千里センター機器配置図（2010年対応分）_20091221_Ⅹ_課題と対応策_20121211" xfId="2235"/>
    <cellStyle name="_【20090522_精緻化中】千里導入明細資料_２１年度分_【20090807】千里導入明細資料_【作成中】千里センター機器配置図（2010年対応分）_20091221_Ⅹ_課題と対応策_20121211 2" xfId="2236"/>
    <cellStyle name="_【20090522_精緻化中】千里導入明細資料_２１年度分_【20090807】千里導入明細資料_Ⅹ_課題と対応策_20121211" xfId="2237"/>
    <cellStyle name="_【20090522_精緻化中】千里導入明細資料_２１年度分_【20090807】千里導入明細資料_Ⅹ_課題と対応策_20121211 2" xfId="2238"/>
    <cellStyle name="_【20090522_精緻化中】千里導入明細資料_２１年度分_【20090814】千里導入明細資料_SDB追加" xfId="2239"/>
    <cellStyle name="_【20090522_精緻化中】千里導入明細資料_２１年度分_【20090814】千里導入明細資料_SDB追加 2" xfId="2240"/>
    <cellStyle name="_【20090522_精緻化中】千里導入明細資料_２１年度分_【20090814】千里導入明細資料_SDB追加_【20091207】千里導入明細資料_２１年度分（ネットワーク敷設）" xfId="2241"/>
    <cellStyle name="_【20090522_精緻化中】千里導入明細資料_２１年度分_【20090814】千里導入明細資料_SDB追加_【20091207】千里導入明細資料_２１年度分（ネットワーク敷設） 2" xfId="2242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" xfId="2243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 2" xfId="2244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2245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2246"/>
    <cellStyle name="_【20090522_精緻化中】千里導入明細資料_２１年度分_【20090814】千里導入明細資料_SDB追加_【20091207】千里導入明細資料_２１年度分（ネットワーク敷設）_Ⅹ_課題と対応策_20121211" xfId="2247"/>
    <cellStyle name="_【20090522_精緻化中】千里導入明細資料_２１年度分_【20090814】千里導入明細資料_SDB追加_【20091207】千里導入明細資料_２１年度分（ネットワーク敷設）_Ⅹ_課題と対応策_20121211 2" xfId="2248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" xfId="2249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 2" xfId="2250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2251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2252"/>
    <cellStyle name="_【20090522_精緻化中】千里導入明細資料_２１年度分_【20090814】千里導入明細資料_SDB追加_【20091225】千里導入明細資料_２２年度上期分（営業店ＡＰ－ＤＢ）" xfId="2253"/>
    <cellStyle name="_【20090522_精緻化中】千里導入明細資料_２１年度分_【20090814】千里導入明細資料_SDB追加_【20091225】千里導入明細資料_２２年度上期分（営業店ＡＰ－ＤＢ） 2" xfId="2254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" xfId="2255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 2" xfId="2256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2257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2258"/>
    <cellStyle name="_【20090522_精緻化中】千里導入明細資料_２１年度分_【20090814】千里導入明細資料_SDB追加_【20091225】千里導入明細資料_２２年度上期分（営業店ＡＰ－ＤＢ）_Ⅹ_課題と対応策_20121211" xfId="2259"/>
    <cellStyle name="_【20090522_精緻化中】千里導入明細資料_２１年度分_【20090814】千里導入明細資料_SDB追加_【20091225】千里導入明細資料_２２年度上期分（営業店ＡＰ－ＤＢ）_Ⅹ_課題と対応策_20121211 2" xfId="2260"/>
    <cellStyle name="_【20090522_精緻化中】千里導入明細資料_２１年度分_【20090814】千里導入明細資料_SDB追加_【20091225】千里導入明細資料_２２年度上期分_営業店DB" xfId="2261"/>
    <cellStyle name="_【20090522_精緻化中】千里導入明細資料_２１年度分_【20090814】千里導入明細資料_SDB追加_【20091225】千里導入明細資料_２２年度上期分_営業店DB 2" xfId="2262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" xfId="2263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 2" xfId="2264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" xfId="2265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2266"/>
    <cellStyle name="_【20090522_精緻化中】千里導入明細資料_２１年度分_【20090814】千里導入明細資料_SDB追加_【20091225】千里導入明細資料_２２年度上期分_営業店DB_Ⅹ_課題と対応策_20121211" xfId="2267"/>
    <cellStyle name="_【20090522_精緻化中】千里導入明細資料_２１年度分_【20090814】千里導入明細資料_SDB追加_【20091225】千里導入明細資料_２２年度上期分_営業店DB_Ⅹ_課題と対応策_20121211 2" xfId="2268"/>
    <cellStyle name="_【20090522_精緻化中】千里導入明細資料_２１年度分_【20090814】千里導入明細資料_SDB追加_【20091225】千里導入明細資料_２２年度上期分_連携DB" xfId="2269"/>
    <cellStyle name="_【20090522_精緻化中】千里導入明細資料_２１年度分_【20090814】千里導入明細資料_SDB追加_【20091225】千里導入明細資料_２２年度上期分_連携DB 2" xfId="2270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" xfId="2271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 2" xfId="2272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" xfId="2273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 2" xfId="2274"/>
    <cellStyle name="_【20090522_精緻化中】千里導入明細資料_２１年度分_【20090814】千里導入明細資料_SDB追加_【20091225】千里導入明細資料_２２年度上期分_連携DB_Ⅹ_課題と対応策_20121211" xfId="2275"/>
    <cellStyle name="_【20090522_精緻化中】千里導入明細資料_２１年度分_【20090814】千里導入明細資料_SDB追加_【20091225】千里導入明細資料_２２年度上期分_連携DB_Ⅹ_課題と対応策_20121211 2" xfId="2276"/>
    <cellStyle name="_【20090522_精緻化中】千里導入明細資料_２１年度分_【20090814】千里導入明細資料_SDB追加_【作成中】千里センター機器配置図（2010年対応分）_20091221" xfId="2277"/>
    <cellStyle name="_【20090522_精緻化中】千里導入明細資料_２１年度分_【20090814】千里導入明細資料_SDB追加_【作成中】千里センター機器配置図（2010年対応分）_20091221 2" xfId="2278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" xfId="2279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 2" xfId="2280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2281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2282"/>
    <cellStyle name="_【20090522_精緻化中】千里導入明細資料_２１年度分_【20090814】千里導入明細資料_SDB追加_【作成中】千里センター機器配置図（2010年対応分）_20091221_Ⅹ_課題と対応策_20121211" xfId="2283"/>
    <cellStyle name="_【20090522_精緻化中】千里導入明細資料_２１年度分_【20090814】千里導入明細資料_SDB追加_【作成中】千里センター機器配置図（2010年対応分）_20091221_Ⅹ_課題と対応策_20121211 2" xfId="2284"/>
    <cellStyle name="_【20090522_精緻化中】千里導入明細資料_２１年度分_【20090814】千里導入明細資料_SDB追加_Ⅹ_課題と対応策_20121211" xfId="2285"/>
    <cellStyle name="_【20090522_精緻化中】千里導入明細資料_２１年度分_【20090814】千里導入明細資料_SDB追加_Ⅹ_課題と対応策_20121211 2" xfId="2286"/>
    <cellStyle name="_【20090522_精緻化中】千里導入明細資料_２１年度分_【20090821】千里ラック搭載図（NW機器）" xfId="2287"/>
    <cellStyle name="_【20090522_精緻化中】千里導入明細資料_２１年度分_【20090821】千里ラック搭載図（NW機器） 2" xfId="2288"/>
    <cellStyle name="_【20090522_精緻化中】千里導入明細資料_２１年度分_【20090821】千里ラック搭載図（NW機器）_Ⅹ_課題と対応策_20121211" xfId="2289"/>
    <cellStyle name="_【20090522_精緻化中】千里導入明細資料_２１年度分_【20090821】千里ラック搭載図（NW機器）_Ⅹ_課題と対応策_20121211 2" xfId="2290"/>
    <cellStyle name="_【20090522_精緻化中】千里導入明細資料_２１年度分_【20091218】千里導入明細資料_２１年度分（ネットワーク敷設）" xfId="2291"/>
    <cellStyle name="_【20090522_精緻化中】千里導入明細資料_２１年度分_【20091218】千里導入明細資料_２１年度分（ネットワーク敷設） 2" xfId="2292"/>
    <cellStyle name="_【20090522_精緻化中】千里導入明細資料_２１年度分_【20091218】千里導入明細資料_２１年度分（ネットワーク敷設）_Ⅹ_課題と対応策_20121211" xfId="2293"/>
    <cellStyle name="_【20090522_精緻化中】千里導入明細資料_２１年度分_【20091218】千里導入明細資料_２１年度分（ネットワーク敷設）_Ⅹ_課題と対応策_20121211 2" xfId="2294"/>
    <cellStyle name="_【20090522_精緻化中】千里導入明細資料_２１年度分_【20091224】千里導入明細資料_２２年度上期分_営業店DB" xfId="2295"/>
    <cellStyle name="_【20090522_精緻化中】千里導入明細資料_２１年度分_【20091224】千里導入明細資料_２２年度上期分_営業店DB 2" xfId="2296"/>
    <cellStyle name="_【20090522_精緻化中】千里導入明細資料_２１年度分_【20091224】千里導入明細資料_２２年度上期分_営業店DB_【20091225】千里導入明細資料_２２年度上期分（営業店ＡＰ－ＤＢ）" xfId="2297"/>
    <cellStyle name="_【20090522_精緻化中】千里導入明細資料_２１年度分_【20091224】千里導入明細資料_２２年度上期分_営業店DB_【20091225】千里導入明細資料_２２年度上期分（営業店ＡＰ－ＤＢ） 2" xfId="2298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299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300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301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302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" xfId="2303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 2" xfId="2304"/>
    <cellStyle name="_【20090522_精緻化中】千里導入明細資料_２１年度分_【20091224】千里導入明細資料_２２年度上期分_営業店DB_【20091225】千里導入明細資料_２２年度上期分_営業店DB" xfId="2305"/>
    <cellStyle name="_【20090522_精緻化中】千里導入明細資料_２１年度分_【20091224】千里導入明細資料_２２年度上期分_営業店DB_【20091225】千里導入明細資料_２２年度上期分_営業店DB 2" xfId="2306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" xfId="2307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 2" xfId="2308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309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310"/>
    <cellStyle name="_【20090522_精緻化中】千里導入明細資料_２１年度分_【20091224】千里導入明細資料_２２年度上期分_営業店DB_【20091225】千里導入明細資料_２２年度上期分_営業店DB_Ⅹ_課題と対応策_20121211" xfId="2311"/>
    <cellStyle name="_【20090522_精緻化中】千里導入明細資料_２１年度分_【20091224】千里導入明細資料_２２年度上期分_営業店DB_【20091225】千里導入明細資料_２２年度上期分_営業店DB_Ⅹ_課題と対応策_20121211 2" xfId="2312"/>
    <cellStyle name="_【20090522_精緻化中】千里導入明細資料_２１年度分_【20091224】千里導入明細資料_２２年度上期分_営業店DB_Ⅹ_課題と対応策_20121211" xfId="2313"/>
    <cellStyle name="_【20090522_精緻化中】千里導入明細資料_２１年度分_【20091224】千里導入明細資料_２２年度上期分_営業店DB_Ⅹ_課題と対応策_20121211 2" xfId="2314"/>
    <cellStyle name="_【20090522_精緻化中】千里導入明細資料_２１年度分_【20091225】千里導入明細資料_２２年度上期分" xfId="2315"/>
    <cellStyle name="_【20090522_精緻化中】千里導入明細資料_２１年度分_【20091225】千里導入明細資料_２２年度上期分 2" xfId="2316"/>
    <cellStyle name="_【20090522_精緻化中】千里導入明細資料_２１年度分_【20091225】千里導入明細資料_２２年度上期分_Ⅹ_課題と対応策_20121211" xfId="2317"/>
    <cellStyle name="_【20090522_精緻化中】千里導入明細資料_２１年度分_【20091225】千里導入明細資料_２２年度上期分_Ⅹ_課題と対応策_20121211 2" xfId="2318"/>
    <cellStyle name="_【20090522_精緻化中】千里導入明細資料_２１年度分_【20091225】千里導入明細資料_２２年度上期分_営業店DB" xfId="2319"/>
    <cellStyle name="_【20090522_精緻化中】千里導入明細資料_２１年度分_【20091225】千里導入明細資料_２２年度上期分_営業店DB 2" xfId="2320"/>
    <cellStyle name="_【20090522_精緻化中】千里導入明細資料_２１年度分_【20091225】千里導入明細資料_２２年度上期分_営業店DB_Ⅹ_課題と対応策_20121211" xfId="2321"/>
    <cellStyle name="_【20090522_精緻化中】千里導入明細資料_２１年度分_【20091225】千里導入明細資料_２２年度上期分_営業店DB_Ⅹ_課題と対応策_20121211 2" xfId="2322"/>
    <cellStyle name="_【20090522_精緻化中】千里導入明細資料_２１年度分_【20091225】千里導入明細資料_２２年度上期分_連携DB" xfId="2323"/>
    <cellStyle name="_【20090522_精緻化中】千里導入明細資料_２１年度分_【20091225】千里導入明細資料_２２年度上期分_連携DB 2" xfId="2324"/>
    <cellStyle name="_【20090522_精緻化中】千里導入明細資料_２１年度分_【20091225】千里導入明細資料_２２年度上期分_連携DB_Ⅹ_課題と対応策_20121211" xfId="2325"/>
    <cellStyle name="_【20090522_精緻化中】千里導入明細資料_２１年度分_【20091225】千里導入明細資料_２２年度上期分_連携DB_Ⅹ_課題と対応策_20121211 2" xfId="2326"/>
    <cellStyle name="_【20090522_精緻化中】千里導入明細資料_２１年度分_【200912xx】千里導入明細資料_２２年度上期分" xfId="2327"/>
    <cellStyle name="_【20090522_精緻化中】千里導入明細資料_２１年度分_【200912xx】千里導入明細資料_２２年度上期分 2" xfId="2328"/>
    <cellStyle name="_【20090522_精緻化中】千里導入明細資料_２１年度分_【200912xx】千里導入明細資料_２２年度上期分（為替分）" xfId="2329"/>
    <cellStyle name="_【20090522_精緻化中】千里導入明細資料_２１年度分_【200912xx】千里導入明細資料_２２年度上期分（為替分） 2" xfId="2330"/>
    <cellStyle name="_【20090522_精緻化中】千里導入明細資料_２１年度分_【200912xx】千里導入明細資料_２２年度上期分（為替分）_Ⅹ_課題と対応策_20121211" xfId="2331"/>
    <cellStyle name="_【20090522_精緻化中】千里導入明細資料_２１年度分_【200912xx】千里導入明細資料_２２年度上期分（為替分）_Ⅹ_課題と対応策_20121211 2" xfId="2332"/>
    <cellStyle name="_【20090522_精緻化中】千里導入明細資料_２１年度分_【200912xx】千里導入明細資料_２２年度上期分_【20091225】千里導入明細資料_２２年度上期分（営業店ＡＰ－ＤＢ）" xfId="2333"/>
    <cellStyle name="_【20090522_精緻化中】千里導入明細資料_２１年度分_【200912xx】千里導入明細資料_２２年度上期分_【20091225】千里導入明細資料_２２年度上期分（営業店ＡＰ－ＤＢ） 2" xfId="2334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" xfId="2335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336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337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338"/>
    <cellStyle name="_【20090522_精緻化中】千里導入明細資料_２１年度分_【200912xx】千里導入明細資料_２２年度上期分_【20091225】千里導入明細資料_２２年度上期分（営業店ＡＰ－ＤＢ）_Ⅹ_課題と対応策_20121211" xfId="2339"/>
    <cellStyle name="_【20090522_精緻化中】千里導入明細資料_２１年度分_【200912xx】千里導入明細資料_２２年度上期分_【20091225】千里導入明細資料_２２年度上期分（営業店ＡＰ－ＤＢ）_Ⅹ_課題と対応策_20121211 2" xfId="2340"/>
    <cellStyle name="_【20090522_精緻化中】千里導入明細資料_２１年度分_【200912xx】千里導入明細資料_２２年度上期分_【20091225】千里導入明細資料_２２年度上期分_営業店DB" xfId="2341"/>
    <cellStyle name="_【20090522_精緻化中】千里導入明細資料_２１年度分_【200912xx】千里導入明細資料_２２年度上期分_【20091225】千里導入明細資料_２２年度上期分_営業店DB 2" xfId="2342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" xfId="2343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 2" xfId="2344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345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346"/>
    <cellStyle name="_【20090522_精緻化中】千里導入明細資料_２１年度分_【200912xx】千里導入明細資料_２２年度上期分_【20091225】千里導入明細資料_２２年度上期分_営業店DB_Ⅹ_課題と対応策_20121211" xfId="2347"/>
    <cellStyle name="_【20090522_精緻化中】千里導入明細資料_２１年度分_【200912xx】千里導入明細資料_２２年度上期分_【20091225】千里導入明細資料_２２年度上期分_営業店DB_Ⅹ_課題と対応策_20121211 2" xfId="2348"/>
    <cellStyle name="_【20090522_精緻化中】千里導入明細資料_２１年度分_【200912xx】千里導入明細資料_２２年度上期分_【20091225】千里導入明細資料_２２年度上期分_連携DB" xfId="2349"/>
    <cellStyle name="_【20090522_精緻化中】千里導入明細資料_２１年度分_【200912xx】千里導入明細資料_２２年度上期分_【20091225】千里導入明細資料_２２年度上期分_連携DB 2" xfId="2350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" xfId="2351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 2" xfId="2352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353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354"/>
    <cellStyle name="_【20090522_精緻化中】千里導入明細資料_２１年度分_【200912xx】千里導入明細資料_２２年度上期分_【20091225】千里導入明細資料_２２年度上期分_連携DB_Ⅹ_課題と対応策_20121211" xfId="2355"/>
    <cellStyle name="_【20090522_精緻化中】千里導入明細資料_２１年度分_【200912xx】千里導入明細資料_２２年度上期分_【20091225】千里導入明細資料_２２年度上期分_連携DB_Ⅹ_課題と対応策_20121211 2" xfId="2356"/>
    <cellStyle name="_【20090522_精緻化中】千里導入明細資料_２１年度分_【200912xx】千里導入明細資料_２２年度上期分_Ⅹ_課題と対応策_20121211" xfId="2357"/>
    <cellStyle name="_【20090522_精緻化中】千里導入明細資料_２１年度分_【200912xx】千里導入明細資料_２２年度上期分_Ⅹ_課題と対応策_20121211 2" xfId="2358"/>
    <cellStyle name="_【20090522_精緻化中】千里導入明細資料_２１年度分_【調整中】千里導入明細資料_２２年度上期分_fj_20100127" xfId="2359"/>
    <cellStyle name="_【20090522_精緻化中】千里導入明細資料_２１年度分_【調整中】千里導入明細資料_２２年度上期分_fj_20100127 2" xfId="2360"/>
    <cellStyle name="_【20090522_精緻化中】千里導入明細資料_２１年度分_【調整中】千里導入明細資料_２２年度上期分_fj_20100127_Ⅹ_課題と対応策_20121211" xfId="2361"/>
    <cellStyle name="_【20090522_精緻化中】千里導入明細資料_２１年度分_【調整中】千里導入明細資料_２２年度上期分_fj_20100127_Ⅹ_課題と対応策_20121211 2" xfId="2362"/>
    <cellStyle name="_【20090522_精緻化中】千里導入明細資料_２１年度分_①【20091225】千里導入明細資料_２２年度上期1分)" xfId="2363"/>
    <cellStyle name="_【20090522_精緻化中】千里導入明細資料_２１年度分_①【20091225】千里導入明細資料_２２年度上期1分) 2" xfId="2364"/>
    <cellStyle name="_【20090522_精緻化中】千里導入明細資料_２１年度分_①【20091225】千里導入明細資料_２２年度上期1分)_Ⅹ_課題と対応策_20121211" xfId="2365"/>
    <cellStyle name="_【20090522_精緻化中】千里導入明細資料_２１年度分_①【20091225】千里導入明細資料_２２年度上期1分)_Ⅹ_課題と対応策_20121211 2" xfId="2366"/>
    <cellStyle name="_【20090522_精緻化中】千里導入明細資料_２１年度分_Ⅹ_課題と対応策_20121211" xfId="2367"/>
    <cellStyle name="_【20090522_精緻化中】千里導入明細資料_２１年度分_Ⅹ_課題と対応策_20121211 2" xfId="2368"/>
    <cellStyle name="_【20090522_精緻化中】千里導入明細資料_２１年度分_ラック構成図（千里_営業店・新事務）_20090805" xfId="2369"/>
    <cellStyle name="_【20090522_精緻化中】千里導入明細資料_２１年度分_ラック構成図（千里_営業店・新事務）_20090805 2" xfId="2370"/>
    <cellStyle name="_【20090522_精緻化中】千里導入明細資料_２１年度分_ラック構成図（千里_営業店・新事務）_20090805_【20091207】千里導入明細資料_２１年度分（ネットワーク敷設）" xfId="2371"/>
    <cellStyle name="_【20090522_精緻化中】千里導入明細資料_２１年度分_ラック構成図（千里_営業店・新事務）_20090805_【20091207】千里導入明細資料_２１年度分（ネットワーク敷設） 2" xfId="2372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2373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2374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2375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2376"/>
    <cellStyle name="_【20090522_精緻化中】千里導入明細資料_２１年度分_ラック構成図（千里_営業店・新事務）_20090805_【20091207】千里導入明細資料_２１年度分（ネットワーク敷設）_Ⅹ_課題と対応策_20121211" xfId="2377"/>
    <cellStyle name="_【20090522_精緻化中】千里導入明細資料_２１年度分_ラック構成図（千里_営業店・新事務）_20090805_【20091207】千里導入明細資料_２１年度分（ネットワーク敷設）_Ⅹ_課題と対応策_20121211 2" xfId="2378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" xfId="2379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 2" xfId="2380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2381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2382"/>
    <cellStyle name="_【20090522_精緻化中】千里導入明細資料_２１年度分_ラック構成図（千里_営業店・新事務）_20090805_【20091225】千里導入明細資料_２２年度上期分（営業店ＡＰ－ＤＢ）" xfId="2383"/>
    <cellStyle name="_【20090522_精緻化中】千里導入明細資料_２１年度分_ラック構成図（千里_営業店・新事務）_20090805_【20091225】千里導入明細資料_２２年度上期分（営業店ＡＰ－ＤＢ） 2" xfId="2384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" xfId="2385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2386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2387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2388"/>
    <cellStyle name="_【20090522_精緻化中】千里導入明細資料_２１年度分_ラック構成図（千里_営業店・新事務）_20090805_【20091225】千里導入明細資料_２２年度上期分（営業店ＡＰ－ＤＢ）_Ⅹ_課題と対応策_20121211" xfId="2389"/>
    <cellStyle name="_【20090522_精緻化中】千里導入明細資料_２１年度分_ラック構成図（千里_営業店・新事務）_20090805_【20091225】千里導入明細資料_２２年度上期分（営業店ＡＰ－ＤＢ）_Ⅹ_課題と対応策_20121211 2" xfId="2390"/>
    <cellStyle name="_【20090522_精緻化中】千里導入明細資料_２１年度分_ラック構成図（千里_営業店・新事務）_20090805_【20091225】千里導入明細資料_２２年度上期分_営業店DB" xfId="2391"/>
    <cellStyle name="_【20090522_精緻化中】千里導入明細資料_２１年度分_ラック構成図（千里_営業店・新事務）_20090805_【20091225】千里導入明細資料_２２年度上期分_営業店DB 2" xfId="2392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" xfId="2393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 2" xfId="2394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2395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2396"/>
    <cellStyle name="_【20090522_精緻化中】千里導入明細資料_２１年度分_ラック構成図（千里_営業店・新事務）_20090805_【20091225】千里導入明細資料_２２年度上期分_営業店DB_Ⅹ_課題と対応策_20121211" xfId="2397"/>
    <cellStyle name="_【20090522_精緻化中】千里導入明細資料_２１年度分_ラック構成図（千里_営業店・新事務）_20090805_【20091225】千里導入明細資料_２２年度上期分_営業店DB_Ⅹ_課題と対応策_20121211 2" xfId="2398"/>
    <cellStyle name="_【20090522_精緻化中】千里導入明細資料_２１年度分_ラック構成図（千里_営業店・新事務）_20090805_【20091225】千里導入明細資料_２２年度上期分_連携DB" xfId="2399"/>
    <cellStyle name="_【20090522_精緻化中】千里導入明細資料_２１年度分_ラック構成図（千里_営業店・新事務）_20090805_【20091225】千里導入明細資料_２２年度上期分_連携DB 2" xfId="2400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" xfId="2401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 2" xfId="2402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2403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2404"/>
    <cellStyle name="_【20090522_精緻化中】千里導入明細資料_２１年度分_ラック構成図（千里_営業店・新事務）_20090805_【20091225】千里導入明細資料_２２年度上期分_連携DB_Ⅹ_課題と対応策_20121211" xfId="2405"/>
    <cellStyle name="_【20090522_精緻化中】千里導入明細資料_２１年度分_ラック構成図（千里_営業店・新事務）_20090805_【20091225】千里導入明細資料_２２年度上期分_連携DB_Ⅹ_課題と対応策_20121211 2" xfId="2406"/>
    <cellStyle name="_【20090522_精緻化中】千里導入明細資料_２１年度分_ラック構成図（千里_営業店・新事務）_20090805_【作成中】千里センター機器配置図（2010年対応分）_20091221" xfId="2407"/>
    <cellStyle name="_【20090522_精緻化中】千里導入明細資料_２１年度分_ラック構成図（千里_営業店・新事務）_20090805_【作成中】千里センター機器配置図（2010年対応分）_20091221 2" xfId="2408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" xfId="2409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 2" xfId="2410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2411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2412"/>
    <cellStyle name="_【20090522_精緻化中】千里導入明細資料_２１年度分_ラック構成図（千里_営業店・新事務）_20090805_【作成中】千里センター機器配置図（2010年対応分）_20091221_Ⅹ_課題と対応策_20121211" xfId="2413"/>
    <cellStyle name="_【20090522_精緻化中】千里導入明細資料_２１年度分_ラック構成図（千里_営業店・新事務）_20090805_【作成中】千里センター機器配置図（2010年対応分）_20091221_Ⅹ_課題と対応策_20121211 2" xfId="2414"/>
    <cellStyle name="_【20090522_精緻化中】千里導入明細資料_２１年度分_ラック構成図（千里_営業店・新事務）_20090805_Ⅹ_課題と対応策_20121211" xfId="2415"/>
    <cellStyle name="_【20090522_精緻化中】千里導入明細資料_２１年度分_ラック構成図（千里_営業店・新事務）_20090805_Ⅹ_課題と対応策_20121211 2" xfId="2416"/>
    <cellStyle name="_【20090522_精緻化中】千里導入明細資料_２１年度分_ラック構成図_Catalyst直付け（新事務処理）" xfId="2417"/>
    <cellStyle name="_【20090522_精緻化中】千里導入明細資料_２１年度分_ラック構成図_Catalyst直付け（新事務処理） 2" xfId="2418"/>
    <cellStyle name="_【20090522_精緻化中】千里導入明細資料_２１年度分_ラック構成図_Catalyst直付け（新事務処理）_【20091207】千里導入明細資料_２１年度分（ネットワーク敷設）" xfId="2419"/>
    <cellStyle name="_【20090522_精緻化中】千里導入明細資料_２１年度分_ラック構成図_Catalyst直付け（新事務処理）_【20091207】千里導入明細資料_２１年度分（ネットワーク敷設） 2" xfId="2420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" xfId="2421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2422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2423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2424"/>
    <cellStyle name="_【20090522_精緻化中】千里導入明細資料_２１年度分_ラック構成図_Catalyst直付け（新事務処理）_【20091207】千里導入明細資料_２１年度分（ネットワーク敷設）_Ⅹ_課題と対応策_20121211" xfId="2425"/>
    <cellStyle name="_【20090522_精緻化中】千里導入明細資料_２１年度分_ラック構成図_Catalyst直付け（新事務処理）_【20091207】千里導入明細資料_２１年度分（ネットワーク敷設）_Ⅹ_課題と対応策_20121211 2" xfId="2426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" xfId="2427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 2" xfId="2428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2429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2430"/>
    <cellStyle name="_【20090522_精緻化中】千里導入明細資料_２１年度分_ラック構成図_Catalyst直付け（新事務処理）_【20091225】千里導入明細資料_２２年度上期分（営業店ＡＰ－ＤＢ）" xfId="2431"/>
    <cellStyle name="_【20090522_精緻化中】千里導入明細資料_２１年度分_ラック構成図_Catalyst直付け（新事務処理）_【20091225】千里導入明細資料_２２年度上期分（営業店ＡＰ－ＤＢ） 2" xfId="2432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" xfId="2433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 2" xfId="2434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2435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2436"/>
    <cellStyle name="_【20090522_精緻化中】千里導入明細資料_２１年度分_ラック構成図_Catalyst直付け（新事務処理）_【20091225】千里導入明細資料_２２年度上期分（営業店ＡＰ－ＤＢ）_Ⅹ_課題と対応策_20121211" xfId="2437"/>
    <cellStyle name="_【20090522_精緻化中】千里導入明細資料_２１年度分_ラック構成図_Catalyst直付け（新事務処理）_【20091225】千里導入明細資料_２２年度上期分（営業店ＡＰ－ＤＢ）_Ⅹ_課題と対応策_20121211 2" xfId="2438"/>
    <cellStyle name="_【20090522_精緻化中】千里導入明細資料_２１年度分_ラック構成図_Catalyst直付け（新事務処理）_【20091225】千里導入明細資料_２２年度上期分_営業店DB" xfId="2439"/>
    <cellStyle name="_【20090522_精緻化中】千里導入明細資料_２１年度分_ラック構成図_Catalyst直付け（新事務処理）_【20091225】千里導入明細資料_２２年度上期分_営業店DB 2" xfId="2440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" xfId="2441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 2" xfId="2442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2443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2444"/>
    <cellStyle name="_【20090522_精緻化中】千里導入明細資料_２１年度分_ラック構成図_Catalyst直付け（新事務処理）_【20091225】千里導入明細資料_２２年度上期分_営業店DB_Ⅹ_課題と対応策_20121211" xfId="2445"/>
    <cellStyle name="_【20090522_精緻化中】千里導入明細資料_２１年度分_ラック構成図_Catalyst直付け（新事務処理）_【20091225】千里導入明細資料_２２年度上期分_営業店DB_Ⅹ_課題と対応策_20121211 2" xfId="2446"/>
    <cellStyle name="_【20090522_精緻化中】千里導入明細資料_２１年度分_ラック構成図_Catalyst直付け（新事務処理）_【20091225】千里導入明細資料_２２年度上期分_連携DB" xfId="2447"/>
    <cellStyle name="_【20090522_精緻化中】千里導入明細資料_２１年度分_ラック構成図_Catalyst直付け（新事務処理）_【20091225】千里導入明細資料_２２年度上期分_連携DB 2" xfId="2448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" xfId="2449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 2" xfId="2450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2451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2452"/>
    <cellStyle name="_【20090522_精緻化中】千里導入明細資料_２１年度分_ラック構成図_Catalyst直付け（新事務処理）_【20091225】千里導入明細資料_２２年度上期分_連携DB_Ⅹ_課題と対応策_20121211" xfId="2453"/>
    <cellStyle name="_【20090522_精緻化中】千里導入明細資料_２１年度分_ラック構成図_Catalyst直付け（新事務処理）_【20091225】千里導入明細資料_２２年度上期分_連携DB_Ⅹ_課題と対応策_20121211 2" xfId="2454"/>
    <cellStyle name="_【20090522_精緻化中】千里導入明細資料_２１年度分_ラック構成図_Catalyst直付け（新事務処理）_【作成中】千里センター機器配置図（2010年対応分）_20091221" xfId="2455"/>
    <cellStyle name="_【20090522_精緻化中】千里導入明細資料_２１年度分_ラック構成図_Catalyst直付け（新事務処理）_【作成中】千里センター機器配置図（2010年対応分）_20091221 2" xfId="2456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" xfId="2457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 2" xfId="2458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2459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2460"/>
    <cellStyle name="_【20090522_精緻化中】千里導入明細資料_２１年度分_ラック構成図_Catalyst直付け（新事務処理）_【作成中】千里センター機器配置図（2010年対応分）_20091221_Ⅹ_課題と対応策_20121211" xfId="2461"/>
    <cellStyle name="_【20090522_精緻化中】千里導入明細資料_２１年度分_ラック構成図_Catalyst直付け（新事務処理）_【作成中】千里センター機器配置図（2010年対応分）_20091221_Ⅹ_課題と対応策_20121211 2" xfId="2462"/>
    <cellStyle name="_【20090522_精緻化中】千里導入明細資料_２１年度分_ラック構成図_Catalyst直付け（新事務処理）_Ⅹ_課題と対応策_20121211" xfId="2463"/>
    <cellStyle name="_【20090522_精緻化中】千里導入明細資料_２１年度分_ラック構成図_Catalyst直付け（新事務処理）_Ⅹ_課題と対応策_20121211 2" xfId="2464"/>
    <cellStyle name="_【20090522_精緻化中】千里導入明細資料_２１年度分_ラック構成図_RX100Si-R削除(新事務処理)" xfId="2465"/>
    <cellStyle name="_【20090522_精緻化中】千里導入明細資料_２１年度分_ラック構成図_RX100Si-R削除(新事務処理) 2" xfId="2466"/>
    <cellStyle name="_【20090522_精緻化中】千里導入明細資料_２１年度分_ラック構成図_RX100Si-R削除(新事務処理)_【20091207】千里導入明細資料_２１年度分（ネットワーク敷設）" xfId="2467"/>
    <cellStyle name="_【20090522_精緻化中】千里導入明細資料_２１年度分_ラック構成図_RX100Si-R削除(新事務処理)_【20091207】千里導入明細資料_２１年度分（ネットワーク敷設） 2" xfId="2468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" xfId="2469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 2" xfId="2470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2471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2472"/>
    <cellStyle name="_【20090522_精緻化中】千里導入明細資料_２１年度分_ラック構成図_RX100Si-R削除(新事務処理)_【20091207】千里導入明細資料_２１年度分（ネットワーク敷設）_Ⅹ_課題と対応策_20121211" xfId="2473"/>
    <cellStyle name="_【20090522_精緻化中】千里導入明細資料_２１年度分_ラック構成図_RX100Si-R削除(新事務処理)_【20091207】千里導入明細資料_２１年度分（ネットワーク敷設）_Ⅹ_課題と対応策_20121211 2" xfId="2474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" xfId="2475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 2" xfId="2476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2477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2478"/>
    <cellStyle name="_【20090522_精緻化中】千里導入明細資料_２１年度分_ラック構成図_RX100Si-R削除(新事務処理)_【20091225】千里導入明細資料_２２年度上期分（営業店ＡＰ－ＤＢ）" xfId="2479"/>
    <cellStyle name="_【20090522_精緻化中】千里導入明細資料_２１年度分_ラック構成図_RX100Si-R削除(新事務処理)_【20091225】千里導入明細資料_２２年度上期分（営業店ＡＰ－ＤＢ） 2" xfId="2480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" xfId="2481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 2" xfId="2482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2483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2484"/>
    <cellStyle name="_【20090522_精緻化中】千里導入明細資料_２１年度分_ラック構成図_RX100Si-R削除(新事務処理)_【20091225】千里導入明細資料_２２年度上期分（営業店ＡＰ－ＤＢ）_Ⅹ_課題と対応策_20121211" xfId="2485"/>
    <cellStyle name="_【20090522_精緻化中】千里導入明細資料_２１年度分_ラック構成図_RX100Si-R削除(新事務処理)_【20091225】千里導入明細資料_２２年度上期分（営業店ＡＰ－ＤＢ）_Ⅹ_課題と対応策_20121211 2" xfId="2486"/>
    <cellStyle name="_【20090522_精緻化中】千里導入明細資料_２１年度分_ラック構成図_RX100Si-R削除(新事務処理)_【20091225】千里導入明細資料_２２年度上期分_営業店DB" xfId="2487"/>
    <cellStyle name="_【20090522_精緻化中】千里導入明細資料_２１年度分_ラック構成図_RX100Si-R削除(新事務処理)_【20091225】千里導入明細資料_２２年度上期分_営業店DB 2" xfId="2488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" xfId="2489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 2" xfId="2490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2491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2492"/>
    <cellStyle name="_【20090522_精緻化中】千里導入明細資料_２１年度分_ラック構成図_RX100Si-R削除(新事務処理)_【20091225】千里導入明細資料_２２年度上期分_営業店DB_Ⅹ_課題と対応策_20121211" xfId="2493"/>
    <cellStyle name="_【20090522_精緻化中】千里導入明細資料_２１年度分_ラック構成図_RX100Si-R削除(新事務処理)_【20091225】千里導入明細資料_２２年度上期分_営業店DB_Ⅹ_課題と対応策_20121211 2" xfId="2494"/>
    <cellStyle name="_【20090522_精緻化中】千里導入明細資料_２１年度分_ラック構成図_RX100Si-R削除(新事務処理)_【20091225】千里導入明細資料_２２年度上期分_連携DB" xfId="2495"/>
    <cellStyle name="_【20090522_精緻化中】千里導入明細資料_２１年度分_ラック構成図_RX100Si-R削除(新事務処理)_【20091225】千里導入明細資料_２２年度上期分_連携DB 2" xfId="2496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" xfId="2497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 2" xfId="2498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" xfId="2499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2500"/>
    <cellStyle name="_【20090522_精緻化中】千里導入明細資料_２１年度分_ラック構成図_RX100Si-R削除(新事務処理)_【20091225】千里導入明細資料_２２年度上期分_連携DB_Ⅹ_課題と対応策_20121211" xfId="2501"/>
    <cellStyle name="_【20090522_精緻化中】千里導入明細資料_２１年度分_ラック構成図_RX100Si-R削除(新事務処理)_【20091225】千里導入明細資料_２２年度上期分_連携DB_Ⅹ_課題と対応策_20121211 2" xfId="2502"/>
    <cellStyle name="_【20090522_精緻化中】千里導入明細資料_２１年度分_ラック構成図_RX100Si-R削除(新事務処理)_【作成中】千里センター機器配置図（2010年対応分）_20091221" xfId="2503"/>
    <cellStyle name="_【20090522_精緻化中】千里導入明細資料_２１年度分_ラック構成図_RX100Si-R削除(新事務処理)_【作成中】千里センター機器配置図（2010年対応分）_20091221 2" xfId="2504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" xfId="2505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 2" xfId="2506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2507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2508"/>
    <cellStyle name="_【20090522_精緻化中】千里導入明細資料_２１年度分_ラック構成図_RX100Si-R削除(新事務処理)_【作成中】千里センター機器配置図（2010年対応分）_20091221_Ⅹ_課題と対応策_20121211" xfId="2509"/>
    <cellStyle name="_【20090522_精緻化中】千里導入明細資料_２１年度分_ラック構成図_RX100Si-R削除(新事務処理)_【作成中】千里センター機器配置図（2010年対応分）_20091221_Ⅹ_課題と対応策_20121211 2" xfId="2510"/>
    <cellStyle name="_【20090522_精緻化中】千里導入明細資料_２１年度分_ラック構成図_RX100Si-R削除(新事務処理)_Ⅹ_課題と対応策_20121211" xfId="2511"/>
    <cellStyle name="_【20090522_精緻化中】千里導入明細資料_２１年度分_ラック構成図_RX100Si-R削除(新事務処理)_Ⅹ_課題と対応策_20121211 2" xfId="2512"/>
    <cellStyle name="_【20090522_精緻化中】千里導入明細資料_２１年度分_千里導入明細資料_２２年度分（ネットワーク敷設）_fj" xfId="2513"/>
    <cellStyle name="_【20090522_精緻化中】千里導入明細資料_２１年度分_千里導入明細資料_２２年度分（ネットワーク敷設）_fj 2" xfId="2514"/>
    <cellStyle name="_【20090522_精緻化中】千里導入明細資料_２１年度分_千里導入明細資料_２２年度分（ネットワーク敷設）_fj_Ⅹ_課題と対応策_20121211" xfId="2515"/>
    <cellStyle name="_【20090522_精緻化中】千里導入明細資料_２１年度分_千里導入明細資料_２２年度分（ネットワーク敷設）_fj_Ⅹ_課題と対応策_20121211 2" xfId="2516"/>
    <cellStyle name="_【20090608】千里導入明細資料_２１年度分" xfId="2517"/>
    <cellStyle name="_【20090608】千里導入明細資料_２１年度分 2" xfId="2518"/>
    <cellStyle name="_【20090608】千里導入明細資料_２１年度分（ＬＡＮケーブル）" xfId="2519"/>
    <cellStyle name="_【20090608】千里導入明細資料_２１年度分（ＬＡＮケーブル） 2" xfId="2520"/>
    <cellStyle name="_【20090608】千里導入明細資料_２１年度分（ＬＡＮケーブル）_【20091218】千里導入明細資料_２１年度分（ネットワーク敷設）" xfId="2521"/>
    <cellStyle name="_【20090608】千里導入明細資料_２１年度分（ＬＡＮケーブル）_【20091218】千里導入明細資料_２１年度分（ネットワーク敷設） 2" xfId="2522"/>
    <cellStyle name="_【20090608】千里導入明細資料_２１年度分（ＬＡＮケーブル）_【20091218】千里導入明細資料_２１年度分（ネットワーク敷設）_Ⅹ_課題と対応策_20121211" xfId="2523"/>
    <cellStyle name="_【20090608】千里導入明細資料_２１年度分（ＬＡＮケーブル）_【20091218】千里導入明細資料_２１年度分（ネットワーク敷設）_Ⅹ_課題と対応策_20121211 2" xfId="2524"/>
    <cellStyle name="_【20090608】千里導入明細資料_２１年度分（ＬＡＮケーブル）_Ⅹ_課題と対応策_20121211" xfId="2525"/>
    <cellStyle name="_【20090608】千里導入明細資料_２１年度分（ＬＡＮケーブル）_Ⅹ_課題と対応策_20121211 2" xfId="2526"/>
    <cellStyle name="_【20090608】千里導入明細資料_２１年度分（ＬＡＮケーブル）_千里導入明細資料_２２年度分（ネットワーク敷設）_fj" xfId="2527"/>
    <cellStyle name="_【20090608】千里導入明細資料_２１年度分（ＬＡＮケーブル）_千里導入明細資料_２２年度分（ネットワーク敷設）_fj 2" xfId="2528"/>
    <cellStyle name="_【20090608】千里導入明細資料_２１年度分（ＬＡＮケーブル）_千里導入明細資料_２２年度分（ネットワーク敷設）_fj_Ⅹ_課題と対応策_20121211" xfId="2529"/>
    <cellStyle name="_【20090608】千里導入明細資料_２１年度分（ＬＡＮケーブル）_千里導入明細資料_２２年度分（ネットワーク敷設）_fj_Ⅹ_課題と対応策_20121211 2" xfId="2530"/>
    <cellStyle name="_【20090608】千里導入明細資料_２１年度分_【20090715】千里導入明細資料_２１年度分（９月工事分）_fj" xfId="2531"/>
    <cellStyle name="_【20090608】千里導入明細資料_２１年度分_【20090715】千里導入明細資料_２１年度分（９月工事分）_fj 2" xfId="2532"/>
    <cellStyle name="_【20090608】千里導入明細資料_２１年度分_【20090715】千里導入明細資料_２１年度分（９月工事分）_fj_【20090721】千里導入明細資料_２１年度分" xfId="2533"/>
    <cellStyle name="_【20090608】千里導入明細資料_２１年度分_【20090715】千里導入明細資料_２１年度分（９月工事分）_fj_【20090721】千里導入明細資料_２１年度分 2" xfId="2534"/>
    <cellStyle name="_【20090608】千里導入明細資料_２１年度分_【20090715】千里導入明細資料_２１年度分（９月工事分）_fj_【20090721】千里導入明細資料_２１年度分（９月工事分）_ETERNUS追加" xfId="2535"/>
    <cellStyle name="_【20090608】千里導入明細資料_２１年度分_【20090715】千里導入明細資料_２１年度分（９月工事分）_fj_【20090721】千里導入明細資料_２１年度分（９月工事分）_ETERNUS追加 2" xfId="2536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2537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2538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539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540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541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542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543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544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" xfId="2545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 2" xfId="2546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2547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2548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2549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2550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551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552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2553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2554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555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556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557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558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559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560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561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562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563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564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565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66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67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68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69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70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71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72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2573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2574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2575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2576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2577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2578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579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580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2581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2582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583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584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2585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2586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2587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2588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589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590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591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592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593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594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595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596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597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598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599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600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601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602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603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604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605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606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607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608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609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610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611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612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613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614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2615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2616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2617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2618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2619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2620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2621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2622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2623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2624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" xfId="2625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 2" xfId="2626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2627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2628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2629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2630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" xfId="2631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 2" xfId="2632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2633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2634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" xfId="2635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 2" xfId="2636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2637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2638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639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640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641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642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2643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2644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2645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2646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2647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2648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649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650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2651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2652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2653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2654"/>
    <cellStyle name="_【20090608】千里導入明細資料_２１年度分_【20090715】千里導入明細資料_２１年度分（９月工事分）_fj_【20090721】千里導入明細資料_２１年度分_【20091225】千里導入明細資料_２２年度上期分" xfId="2655"/>
    <cellStyle name="_【20090608】千里導入明細資料_２１年度分_【20090715】千里導入明細資料_２１年度分（９月工事分）_fj_【20090721】千里導入明細資料_２１年度分_【20091225】千里導入明細資料_２２年度上期分 2" xfId="2656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" xfId="2657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2658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" xfId="2659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 2" xfId="2660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2661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2662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" xfId="2663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 2" xfId="2664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2665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2666"/>
    <cellStyle name="_【20090608】千里導入明細資料_２１年度分_【20090715】千里導入明細資料_２１年度分（９月工事分）_fj_【20090721】千里導入明細資料_２１年度分_【200912xx】千里導入明細資料_２２年度上期分" xfId="2667"/>
    <cellStyle name="_【20090608】千里導入明細資料_２１年度分_【20090715】千里導入明細資料_２１年度分（９月工事分）_fj_【20090721】千里導入明細資料_２１年度分_【200912xx】千里導入明細資料_２２年度上期分 2" xfId="2668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" xfId="2669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 2" xfId="2670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2671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2672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2673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2674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2675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676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677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678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2679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2680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2681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2682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2683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2684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685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686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2687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2688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2689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2690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2691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2692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693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694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2695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2696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" xfId="2697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2698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" xfId="2699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 2" xfId="2700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2701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2702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" xfId="2703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 2" xfId="2704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2705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2706"/>
    <cellStyle name="_【20090608】千里導入明細資料_２１年度分_【20090715】千里導入明細資料_２１年度分（９月工事分）_fj_【20090721】千里導入明細資料_２１年度分_Ⅹ_課題と対応策_20121211" xfId="2707"/>
    <cellStyle name="_【20090608】千里導入明細資料_２１年度分_【20090715】千里導入明細資料_２１年度分（９月工事分）_fj_【20090721】千里導入明細資料_２１年度分_Ⅹ_課題と対応策_20121211 2" xfId="2708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" xfId="2709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 2" xfId="2710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2711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2712"/>
    <cellStyle name="_【20090608】千里導入明細資料_２１年度分_【20090715】千里導入明細資料_２１年度分（９月工事分）_fj_【20090821】千里ラック搭載図（NW機器）" xfId="2713"/>
    <cellStyle name="_【20090608】千里導入明細資料_２１年度分_【20090715】千里導入明細資料_２１年度分（９月工事分）_fj_【20090821】千里ラック搭載図（NW機器） 2" xfId="2714"/>
    <cellStyle name="_【20090608】千里導入明細資料_２１年度分_【20090715】千里導入明細資料_２１年度分（９月工事分）_fj_【20090821】千里ラック搭載図（NW機器）_Ⅹ_課題と対応策_20121211" xfId="2715"/>
    <cellStyle name="_【20090608】千里導入明細資料_２１年度分_【20090715】千里導入明細資料_２１年度分（９月工事分）_fj_【20090821】千里ラック搭載図（NW機器）_Ⅹ_課題と対応策_20121211 2" xfId="2716"/>
    <cellStyle name="_【20090608】千里導入明細資料_２１年度分_【20090715】千里導入明細資料_２１年度分（９月工事分）_fj_【20091207】千里導入明細資料_２１年度分（ネットワーク敷設）" xfId="2717"/>
    <cellStyle name="_【20090608】千里導入明細資料_２１年度分_【20090715】千里導入明細資料_２１年度分（９月工事分）_fj_【20091207】千里導入明細資料_２１年度分（ネットワーク敷設） 2" xfId="2718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2719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2720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2721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2722"/>
    <cellStyle name="_【20090608】千里導入明細資料_２１年度分_【20090715】千里導入明細資料_２１年度分（９月工事分）_fj_【20091207】千里導入明細資料_２１年度分（ネットワーク敷設）_Ⅹ_課題と対応策_20121211" xfId="2723"/>
    <cellStyle name="_【20090608】千里導入明細資料_２１年度分_【20090715】千里導入明細資料_２１年度分（９月工事分）_fj_【20091207】千里導入明細資料_２１年度分（ネットワーク敷設）_Ⅹ_課題と対応策_20121211 2" xfId="2724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2725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2726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2727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2728"/>
    <cellStyle name="_【20090608】千里導入明細資料_２１年度分_【20090715】千里導入明細資料_２１年度分（９月工事分）_fj_【20091225】千里導入明細資料_２２年度上期分（営業店ＡＰ－ＤＢ）" xfId="2729"/>
    <cellStyle name="_【20090608】千里導入明細資料_２１年度分_【20090715】千里導入明細資料_２１年度分（９月工事分）_fj_【20091225】千里導入明細資料_２２年度上期分（営業店ＡＰ－ＤＢ） 2" xfId="2730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2731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2732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2733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2734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" xfId="2735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 2" xfId="2736"/>
    <cellStyle name="_【20090608】千里導入明細資料_２１年度分_【20090715】千里導入明細資料_２１年度分（９月工事分）_fj_【20091225】千里導入明細資料_２２年度上期分_営業店DB" xfId="2737"/>
    <cellStyle name="_【20090608】千里導入明細資料_２１年度分_【20090715】千里導入明細資料_２１年度分（９月工事分）_fj_【20091225】千里導入明細資料_２２年度上期分_営業店DB 2" xfId="2738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" xfId="2739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 2" xfId="2740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2741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2742"/>
    <cellStyle name="_【20090608】千里導入明細資料_２１年度分_【20090715】千里導入明細資料_２１年度分（９月工事分）_fj_【20091225】千里導入明細資料_２２年度上期分_営業店DB_Ⅹ_課題と対応策_20121211" xfId="2743"/>
    <cellStyle name="_【20090608】千里導入明細資料_２１年度分_【20090715】千里導入明細資料_２１年度分（９月工事分）_fj_【20091225】千里導入明細資料_２２年度上期分_営業店DB_Ⅹ_課題と対応策_20121211 2" xfId="2744"/>
    <cellStyle name="_【20090608】千里導入明細資料_２１年度分_【20090715】千里導入明細資料_２１年度分（９月工事分）_fj_【20091225】千里導入明細資料_２２年度上期分_連携DB" xfId="2745"/>
    <cellStyle name="_【20090608】千里導入明細資料_２１年度分_【20090715】千里導入明細資料_２１年度分（９月工事分）_fj_【20091225】千里導入明細資料_２２年度上期分_連携DB 2" xfId="2746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" xfId="2747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 2" xfId="2748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2749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2750"/>
    <cellStyle name="_【20090608】千里導入明細資料_２１年度分_【20090715】千里導入明細資料_２１年度分（９月工事分）_fj_【20091225】千里導入明細資料_２２年度上期分_連携DB_Ⅹ_課題と対応策_20121211" xfId="2751"/>
    <cellStyle name="_【20090608】千里導入明細資料_２１年度分_【20090715】千里導入明細資料_２１年度分（９月工事分）_fj_【20091225】千里導入明細資料_２２年度上期分_連携DB_Ⅹ_課題と対応策_20121211 2" xfId="2752"/>
    <cellStyle name="_【20090608】千里導入明細資料_２１年度分_【20090715】千里導入明細資料_２１年度分（９月工事分）_fj_【作成中】千里センター機器配置図（2010年対応分）_20091221" xfId="2753"/>
    <cellStyle name="_【20090608】千里導入明細資料_２１年度分_【20090715】千里導入明細資料_２１年度分（９月工事分）_fj_【作成中】千里センター機器配置図（2010年対応分）_20091221 2" xfId="2754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2755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2756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2757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2758"/>
    <cellStyle name="_【20090608】千里導入明細資料_２１年度分_【20090715】千里導入明細資料_２１年度分（９月工事分）_fj_【作成中】千里センター機器配置図（2010年対応分）_20091221_Ⅹ_課題と対応策_20121211" xfId="2759"/>
    <cellStyle name="_【20090608】千里導入明細資料_２１年度分_【20090715】千里導入明細資料_２１年度分（９月工事分）_fj_【作成中】千里センター機器配置図（2010年対応分）_20091221_Ⅹ_課題と対応策_20121211 2" xfId="2760"/>
    <cellStyle name="_【20090608】千里導入明細資料_２１年度分_【20090715】千里導入明細資料_２１年度分（９月工事分）_fj_Ⅹ_課題と対応策_20121211" xfId="2761"/>
    <cellStyle name="_【20090608】千里導入明細資料_２１年度分_【20090715】千里導入明細資料_２１年度分（９月工事分）_fj_Ⅹ_課題と対応策_20121211 2" xfId="2762"/>
    <cellStyle name="_【20090608】千里導入明細資料_２１年度分_【20090715】千里導入明細資料_２１年度分（９月工事分）_fj_千里センター機器構築スケジュール（８月分）_20090731" xfId="2763"/>
    <cellStyle name="_【20090608】千里導入明細資料_２１年度分_【20090715】千里導入明細資料_２１年度分（９月工事分）_fj_千里センター機器構築スケジュール（８月分）_20090731 2" xfId="2764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" xfId="2765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2766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2767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2768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2769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2770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2771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772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" xfId="2773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 2" xfId="2774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775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776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777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778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779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780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" xfId="2781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 2" xfId="2782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783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784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785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786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787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788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789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790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791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792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793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794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795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796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797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798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799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800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" xfId="2801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 2" xfId="2802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803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804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" xfId="2805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 2" xfId="2806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807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808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" xfId="2809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 2" xfId="2810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811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812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" xfId="2813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 2" xfId="2814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815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816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817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818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819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820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821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822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823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824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825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826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827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828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829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830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831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832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833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834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835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836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837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838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839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840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841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842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843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844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" xfId="2845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846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847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848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" xfId="2849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 2" xfId="2850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851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852"/>
    <cellStyle name="_【20090608】千里導入明細資料_２１年度分_【20090715】千里導入明細資料_２１年度分（９月工事分）_fj_千里センター機器構築スケジュール（８月分）_20090731_Ⅹ_課題と対応策_20121211" xfId="2853"/>
    <cellStyle name="_【20090608】千里導入明細資料_２１年度分_【20090715】千里導入明細資料_２１年度分（９月工事分）_fj_千里センター機器構築スケジュール（８月分）_20090731_Ⅹ_課題と対応策_20121211 2" xfId="2854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" xfId="2855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856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857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858"/>
    <cellStyle name="_【20090608】千里導入明細資料_２１年度分_【20090724】千里導入明細資料_２１年度" xfId="2859"/>
    <cellStyle name="_【20090608】千里導入明細資料_２１年度分_【20090724】千里導入明細資料_２１年度 2" xfId="2860"/>
    <cellStyle name="_【20090608】千里導入明細資料_２１年度分_【20090724】千里導入明細資料_２１年度_【20091207】千里導入明細資料_２１年度分（ネットワーク敷設）" xfId="2861"/>
    <cellStyle name="_【20090608】千里導入明細資料_２１年度分_【20090724】千里導入明細資料_２１年度_【20091207】千里導入明細資料_２１年度分（ネットワーク敷設） 2" xfId="2862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" xfId="2863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 2" xfId="2864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865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866"/>
    <cellStyle name="_【20090608】千里導入明細資料_２１年度分_【20090724】千里導入明細資料_２１年度_【20091207】千里導入明細資料_２１年度分（ネットワーク敷設）_Ⅹ_課題と対応策_20121211" xfId="2867"/>
    <cellStyle name="_【20090608】千里導入明細資料_２１年度分_【20090724】千里導入明細資料_２１年度_【20091207】千里導入明細資料_２１年度分（ネットワーク敷設）_Ⅹ_課題と対応策_20121211 2" xfId="2868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" xfId="2869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 2" xfId="2870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871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872"/>
    <cellStyle name="_【20090608】千里導入明細資料_２１年度分_【20090724】千里導入明細資料_２１年度_【20091225】千里導入明細資料_２２年度上期分（営業店ＡＰ－ＤＢ）" xfId="2873"/>
    <cellStyle name="_【20090608】千里導入明細資料_２１年度分_【20090724】千里導入明細資料_２１年度_【20091225】千里導入明細資料_２２年度上期分（営業店ＡＰ－ＤＢ） 2" xfId="2874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" xfId="2875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 2" xfId="2876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877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878"/>
    <cellStyle name="_【20090608】千里導入明細資料_２１年度分_【20090724】千里導入明細資料_２１年度_【20091225】千里導入明細資料_２２年度上期分（営業店ＡＰ－ＤＢ）_Ⅹ_課題と対応策_20121211" xfId="2879"/>
    <cellStyle name="_【20090608】千里導入明細資料_２１年度分_【20090724】千里導入明細資料_２１年度_【20091225】千里導入明細資料_２２年度上期分（営業店ＡＰ－ＤＢ）_Ⅹ_課題と対応策_20121211 2" xfId="2880"/>
    <cellStyle name="_【20090608】千里導入明細資料_２１年度分_【20090724】千里導入明細資料_２１年度_【20091225】千里導入明細資料_２２年度上期分_営業店DB" xfId="2881"/>
    <cellStyle name="_【20090608】千里導入明細資料_２１年度分_【20090724】千里導入明細資料_２１年度_【20091225】千里導入明細資料_２２年度上期分_営業店DB 2" xfId="2882"/>
    <cellStyle name="_【20090608】千里導入明細資料_２１年度分_【20090724】千里導入明細資料_２１年度_【20091225】千里導入明細資料_２２年度上期分_営業店DB_【調整中】千里導入明細資料_２２年度上期分_fj_20100127" xfId="2883"/>
    <cellStyle name="_【20090608】千里導入明細資料_２１年度分_【20090724】千里導入明細資料_２１年度_【20091225】千里導入明細資料_２２年度上期分_営業店DB_【調整中】千里導入明細資料_２２年度上期分_fj_20100127 2" xfId="2884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885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886"/>
    <cellStyle name="_【20090608】千里導入明細資料_２１年度分_【20090724】千里導入明細資料_２１年度_【20091225】千里導入明細資料_２２年度上期分_営業店DB_Ⅹ_課題と対応策_20121211" xfId="2887"/>
    <cellStyle name="_【20090608】千里導入明細資料_２１年度分_【20090724】千里導入明細資料_２１年度_【20091225】千里導入明細資料_２２年度上期分_営業店DB_Ⅹ_課題と対応策_20121211 2" xfId="2888"/>
    <cellStyle name="_【20090608】千里導入明細資料_２１年度分_【20090724】千里導入明細資料_２１年度_【20091225】千里導入明細資料_２２年度上期分_連携DB" xfId="2889"/>
    <cellStyle name="_【20090608】千里導入明細資料_２１年度分_【20090724】千里導入明細資料_２１年度_【20091225】千里導入明細資料_２２年度上期分_連携DB 2" xfId="2890"/>
    <cellStyle name="_【20090608】千里導入明細資料_２１年度分_【20090724】千里導入明細資料_２１年度_【20091225】千里導入明細資料_２２年度上期分_連携DB_【調整中】千里導入明細資料_２２年度上期分_fj_20100127" xfId="2891"/>
    <cellStyle name="_【20090608】千里導入明細資料_２１年度分_【20090724】千里導入明細資料_２１年度_【20091225】千里導入明細資料_２２年度上期分_連携DB_【調整中】千里導入明細資料_２２年度上期分_fj_20100127 2" xfId="2892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893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894"/>
    <cellStyle name="_【20090608】千里導入明細資料_２１年度分_【20090724】千里導入明細資料_２１年度_【20091225】千里導入明細資料_２２年度上期分_連携DB_Ⅹ_課題と対応策_20121211" xfId="2895"/>
    <cellStyle name="_【20090608】千里導入明細資料_２１年度分_【20090724】千里導入明細資料_２１年度_【20091225】千里導入明細資料_２２年度上期分_連携DB_Ⅹ_課題と対応策_20121211 2" xfId="2896"/>
    <cellStyle name="_【20090608】千里導入明細資料_２１年度分_【20090724】千里導入明細資料_２１年度_【作成中】千里センター機器配置図（2010年対応分）_20091221" xfId="2897"/>
    <cellStyle name="_【20090608】千里導入明細資料_２１年度分_【20090724】千里導入明細資料_２１年度_【作成中】千里センター機器配置図（2010年対応分）_20091221 2" xfId="2898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" xfId="2899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 2" xfId="2900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901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902"/>
    <cellStyle name="_【20090608】千里導入明細資料_２１年度分_【20090724】千里導入明細資料_２１年度_【作成中】千里センター機器配置図（2010年対応分）_20091221_Ⅹ_課題と対応策_20121211" xfId="2903"/>
    <cellStyle name="_【20090608】千里導入明細資料_２１年度分_【20090724】千里導入明細資料_２１年度_【作成中】千里センター機器配置図（2010年対応分）_20091221_Ⅹ_課題と対応策_20121211 2" xfId="2904"/>
    <cellStyle name="_【20090608】千里導入明細資料_２１年度分_【20090724】千里導入明細資料_２１年度_Ⅹ_課題と対応策_20121211" xfId="2905"/>
    <cellStyle name="_【20090608】千里導入明細資料_２１年度分_【20090724】千里導入明細資料_２１年度_Ⅹ_課題と対応策_20121211 2" xfId="2906"/>
    <cellStyle name="_【20090608】千里導入明細資料_２１年度分_【20090724】千里導入明細資料_２１年度分（９月工事分）" xfId="2907"/>
    <cellStyle name="_【20090608】千里導入明細資料_２１年度分_【20090724】千里導入明細資料_２１年度分（９月工事分） 2" xfId="2908"/>
    <cellStyle name="_【20090608】千里導入明細資料_２１年度分_【20090724】千里導入明細資料_２１年度分（９月工事分）_【20091207】千里導入明細資料_２１年度分（ネットワーク敷設）" xfId="2909"/>
    <cellStyle name="_【20090608】千里導入明細資料_２１年度分_【20090724】千里導入明細資料_２１年度分（９月工事分）_【20091207】千里導入明細資料_２１年度分（ネットワーク敷設） 2" xfId="2910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911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912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913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914"/>
    <cellStyle name="_【20090608】千里導入明細資料_２１年度分_【20090724】千里導入明細資料_２１年度分（９月工事分）_【20091207】千里導入明細資料_２１年度分（ネットワーク敷設）_Ⅹ_課題と対応策_20121211" xfId="2915"/>
    <cellStyle name="_【20090608】千里導入明細資料_２１年度分_【20090724】千里導入明細資料_２１年度分（９月工事分）_【20091207】千里導入明細資料_２１年度分（ネットワーク敷設）_Ⅹ_課題と対応策_20121211 2" xfId="2916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917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918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919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920"/>
    <cellStyle name="_【20090608】千里導入明細資料_２１年度分_【20090724】千里導入明細資料_２１年度分（９月工事分）_【20091225】千里導入明細資料_２２年度上期分（営業店ＡＰ－ＤＢ）" xfId="2921"/>
    <cellStyle name="_【20090608】千里導入明細資料_２１年度分_【20090724】千里導入明細資料_２１年度分（９月工事分）_【20091225】千里導入明細資料_２２年度上期分（営業店ＡＰ－ＤＢ） 2" xfId="2922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923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924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925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926"/>
    <cellStyle name="_【20090608】千里導入明細資料_２１年度分_【20090724】千里導入明細資料_２１年度分（９月工事分）_【20091225】千里導入明細資料_２２年度上期分（営業店ＡＰ－ＤＢ）_Ⅹ_課題と対応策_20121211" xfId="2927"/>
    <cellStyle name="_【20090608】千里導入明細資料_２１年度分_【20090724】千里導入明細資料_２１年度分（９月工事分）_【20091225】千里導入明細資料_２２年度上期分（営業店ＡＰ－ＤＢ）_Ⅹ_課題と対応策_20121211 2" xfId="2928"/>
    <cellStyle name="_【20090608】千里導入明細資料_２１年度分_【20090724】千里導入明細資料_２１年度分（９月工事分）_【20091225】千里導入明細資料_２２年度上期分_営業店DB" xfId="2929"/>
    <cellStyle name="_【20090608】千里導入明細資料_２１年度分_【20090724】千里導入明細資料_２１年度分（９月工事分）_【20091225】千里導入明細資料_２２年度上期分_営業店DB 2" xfId="2930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" xfId="2931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 2" xfId="2932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933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934"/>
    <cellStyle name="_【20090608】千里導入明細資料_２１年度分_【20090724】千里導入明細資料_２１年度分（９月工事分）_【20091225】千里導入明細資料_２２年度上期分_営業店DB_Ⅹ_課題と対応策_20121211" xfId="2935"/>
    <cellStyle name="_【20090608】千里導入明細資料_２１年度分_【20090724】千里導入明細資料_２１年度分（９月工事分）_【20091225】千里導入明細資料_２２年度上期分_営業店DB_Ⅹ_課題と対応策_20121211 2" xfId="2936"/>
    <cellStyle name="_【20090608】千里導入明細資料_２１年度分_【20090724】千里導入明細資料_２１年度分（９月工事分）_【20091225】千里導入明細資料_２２年度上期分_連携DB" xfId="2937"/>
    <cellStyle name="_【20090608】千里導入明細資料_２１年度分_【20090724】千里導入明細資料_２１年度分（９月工事分）_【20091225】千里導入明細資料_２２年度上期分_連携DB 2" xfId="2938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" xfId="2939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 2" xfId="2940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941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942"/>
    <cellStyle name="_【20090608】千里導入明細資料_２１年度分_【20090724】千里導入明細資料_２１年度分（９月工事分）_【20091225】千里導入明細資料_２２年度上期分_連携DB_Ⅹ_課題と対応策_20121211" xfId="2943"/>
    <cellStyle name="_【20090608】千里導入明細資料_２１年度分_【20090724】千里導入明細資料_２１年度分（９月工事分）_【20091225】千里導入明細資料_２２年度上期分_連携DB_Ⅹ_課題と対応策_20121211 2" xfId="2944"/>
    <cellStyle name="_【20090608】千里導入明細資料_２１年度分_【20090724】千里導入明細資料_２１年度分（９月工事分）_【作成中】千里センター機器配置図（2010年対応分）_20091221" xfId="2945"/>
    <cellStyle name="_【20090608】千里導入明細資料_２１年度分_【20090724】千里導入明細資料_２１年度分（９月工事分）_【作成中】千里センター機器配置図（2010年対応分）_20091221 2" xfId="2946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947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948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949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950"/>
    <cellStyle name="_【20090608】千里導入明細資料_２１年度分_【20090724】千里導入明細資料_２１年度分（９月工事分）_【作成中】千里センター機器配置図（2010年対応分）_20091221_Ⅹ_課題と対応策_20121211" xfId="2951"/>
    <cellStyle name="_【20090608】千里導入明細資料_２１年度分_【20090724】千里導入明細資料_２１年度分（９月工事分）_【作成中】千里センター機器配置図（2010年対応分）_20091221_Ⅹ_課題と対応策_20121211 2" xfId="2952"/>
    <cellStyle name="_【20090608】千里導入明細資料_２１年度分_【20090724】千里導入明細資料_２１年度分（９月工事分）_Ⅹ_課題と対応策_20121211" xfId="2953"/>
    <cellStyle name="_【20090608】千里導入明細資料_２１年度分_【20090724】千里導入明細資料_２１年度分（９月工事分）_Ⅹ_課題と対応策_20121211 2" xfId="2954"/>
    <cellStyle name="_【20090608】千里導入明細資料_２１年度分_【20090731】千里導入明細資料_２１年度分（９月工事分）" xfId="2955"/>
    <cellStyle name="_【20090608】千里導入明細資料_２１年度分_【20090731】千里導入明細資料_２１年度分（９月工事分） 2" xfId="2956"/>
    <cellStyle name="_【20090608】千里導入明細資料_２１年度分_【20090731】千里導入明細資料_２１年度分（９月工事分）_【20090821】千里ラック搭載図（NW機器）" xfId="2957"/>
    <cellStyle name="_【20090608】千里導入明細資料_２１年度分_【20090731】千里導入明細資料_２１年度分（９月工事分）_【20090821】千里ラック搭載図（NW機器） 2" xfId="2958"/>
    <cellStyle name="_【20090608】千里導入明細資料_２１年度分_【20090731】千里導入明細資料_２１年度分（９月工事分）_【20090821】千里ラック搭載図（NW機器）_Ⅹ_課題と対応策_20121211" xfId="2959"/>
    <cellStyle name="_【20090608】千里導入明細資料_２１年度分_【20090731】千里導入明細資料_２１年度分（９月工事分）_【20090821】千里ラック搭載図（NW機器）_Ⅹ_課題と対応策_20121211 2" xfId="2960"/>
    <cellStyle name="_【20090608】千里導入明細資料_２１年度分_【20090731】千里導入明細資料_２１年度分（９月工事分）_Ⅹ_課題と対応策_20121211" xfId="2961"/>
    <cellStyle name="_【20090608】千里導入明細資料_２１年度分_【20090731】千里導入明細資料_２１年度分（９月工事分）_Ⅹ_課題と対応策_20121211 2" xfId="2962"/>
    <cellStyle name="_【20090608】千里導入明細資料_２１年度分_【20090807】千里導入明細資料" xfId="2963"/>
    <cellStyle name="_【20090608】千里導入明細資料_２１年度分_【20090807】千里導入明細資料 2" xfId="2964"/>
    <cellStyle name="_【20090608】千里導入明細資料_２１年度分_【20090807】千里導入明細資料_【20091207】千里導入明細資料_２１年度分（ネットワーク敷設）" xfId="2965"/>
    <cellStyle name="_【20090608】千里導入明細資料_２１年度分_【20090807】千里導入明細資料_【20091207】千里導入明細資料_２１年度分（ネットワーク敷設） 2" xfId="2966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" xfId="2967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 2" xfId="2968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969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970"/>
    <cellStyle name="_【20090608】千里導入明細資料_２１年度分_【20090807】千里導入明細資料_【20091207】千里導入明細資料_２１年度分（ネットワーク敷設）_Ⅹ_課題と対応策_20121211" xfId="2971"/>
    <cellStyle name="_【20090608】千里導入明細資料_２１年度分_【20090807】千里導入明細資料_【20091207】千里導入明細資料_２１年度分（ネットワーク敷設）_Ⅹ_課題と対応策_20121211 2" xfId="2972"/>
    <cellStyle name="_【20090608】千里導入明細資料_２１年度分_【20090807】千里導入明細資料_【20091207】千里導入明細資料_２１年度分（ネットワーク敷設）_千里導入明細資料_２２年度分（ネットワーク敷設）_fj" xfId="2973"/>
    <cellStyle name="_【20090608】千里導入明細資料_２１年度分_【20090807】千里導入明細資料_【20091207】千里導入明細資料_２１年度分（ネットワーク敷設）_千里導入明細資料_２２年度分（ネットワーク敷設）_fj 2" xfId="2974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975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976"/>
    <cellStyle name="_【20090608】千里導入明細資料_２１年度分_【20090807】千里導入明細資料_【20091225】千里導入明細資料_２２年度上期分（営業店ＡＰ－ＤＢ）" xfId="2977"/>
    <cellStyle name="_【20090608】千里導入明細資料_２１年度分_【20090807】千里導入明細資料_【20091225】千里導入明細資料_２２年度上期分（営業店ＡＰ－ＤＢ） 2" xfId="2978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" xfId="2979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 2" xfId="2980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981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982"/>
    <cellStyle name="_【20090608】千里導入明細資料_２１年度分_【20090807】千里導入明細資料_【20091225】千里導入明細資料_２２年度上期分（営業店ＡＰ－ＤＢ）_Ⅹ_課題と対応策_20121211" xfId="2983"/>
    <cellStyle name="_【20090608】千里導入明細資料_２１年度分_【20090807】千里導入明細資料_【20091225】千里導入明細資料_２２年度上期分（営業店ＡＰ－ＤＢ）_Ⅹ_課題と対応策_20121211 2" xfId="2984"/>
    <cellStyle name="_【20090608】千里導入明細資料_２１年度分_【20090807】千里導入明細資料_【20091225】千里導入明細資料_２２年度上期分_営業店DB" xfId="2985"/>
    <cellStyle name="_【20090608】千里導入明細資料_２１年度分_【20090807】千里導入明細資料_【20091225】千里導入明細資料_２２年度上期分_営業店DB 2" xfId="2986"/>
    <cellStyle name="_【20090608】千里導入明細資料_２１年度分_【20090807】千里導入明細資料_【20091225】千里導入明細資料_２２年度上期分_営業店DB_【調整中】千里導入明細資料_２２年度上期分_fj_20100127" xfId="2987"/>
    <cellStyle name="_【20090608】千里導入明細資料_２１年度分_【20090807】千里導入明細資料_【20091225】千里導入明細資料_２２年度上期分_営業店DB_【調整中】千里導入明細資料_２２年度上期分_fj_20100127 2" xfId="2988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" xfId="2989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 2" xfId="2990"/>
    <cellStyle name="_【20090608】千里導入明細資料_２１年度分_【20090807】千里導入明細資料_【20091225】千里導入明細資料_２２年度上期分_営業店DB_Ⅹ_課題と対応策_20121211" xfId="2991"/>
    <cellStyle name="_【20090608】千里導入明細資料_２１年度分_【20090807】千里導入明細資料_【20091225】千里導入明細資料_２２年度上期分_営業店DB_Ⅹ_課題と対応策_20121211 2" xfId="2992"/>
    <cellStyle name="_【20090608】千里導入明細資料_２１年度分_【20090807】千里導入明細資料_【20091225】千里導入明細資料_２２年度上期分_連携DB" xfId="2993"/>
    <cellStyle name="_【20090608】千里導入明細資料_２１年度分_【20090807】千里導入明細資料_【20091225】千里導入明細資料_２２年度上期分_連携DB 2" xfId="2994"/>
    <cellStyle name="_【20090608】千里導入明細資料_２１年度分_【20090807】千里導入明細資料_【20091225】千里導入明細資料_２２年度上期分_連携DB_【調整中】千里導入明細資料_２２年度上期分_fj_20100127" xfId="2995"/>
    <cellStyle name="_【20090608】千里導入明細資料_２１年度分_【20090807】千里導入明細資料_【20091225】千里導入明細資料_２２年度上期分_連携DB_【調整中】千里導入明細資料_２２年度上期分_fj_20100127 2" xfId="2996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" xfId="2997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 2" xfId="2998"/>
    <cellStyle name="_【20090608】千里導入明細資料_２１年度分_【20090807】千里導入明細資料_【20091225】千里導入明細資料_２２年度上期分_連携DB_Ⅹ_課題と対応策_20121211" xfId="2999"/>
    <cellStyle name="_【20090608】千里導入明細資料_２１年度分_【20090807】千里導入明細資料_【20091225】千里導入明細資料_２２年度上期分_連携DB_Ⅹ_課題と対応策_20121211 2" xfId="3000"/>
    <cellStyle name="_【20090608】千里導入明細資料_２１年度分_【20090807】千里導入明細資料_【作成中】千里センター機器配置図（2010年対応分）_20091221" xfId="3001"/>
    <cellStyle name="_【20090608】千里導入明細資料_２１年度分_【20090807】千里導入明細資料_【作成中】千里センター機器配置図（2010年対応分）_20091221 2" xfId="3002"/>
    <cellStyle name="_【20090608】千里導入明細資料_２１年度分_【20090807】千里導入明細資料_【作成中】千里センター機器配置図（2010年対応分）_20091221_【調整中】千里導入明細資料_２２年度上期分_fj_20100127" xfId="3003"/>
    <cellStyle name="_【20090608】千里導入明細資料_２１年度分_【20090807】千里導入明細資料_【作成中】千里センター機器配置図（2010年対応分）_20091221_【調整中】千里導入明細資料_２２年度上期分_fj_20100127 2" xfId="3004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" xfId="3005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 2" xfId="3006"/>
    <cellStyle name="_【20090608】千里導入明細資料_２１年度分_【20090807】千里導入明細資料_【作成中】千里センター機器配置図（2010年対応分）_20091221_Ⅹ_課題と対応策_20121211" xfId="3007"/>
    <cellStyle name="_【20090608】千里導入明細資料_２１年度分_【20090807】千里導入明細資料_【作成中】千里センター機器配置図（2010年対応分）_20091221_Ⅹ_課題と対応策_20121211 2" xfId="3008"/>
    <cellStyle name="_【20090608】千里導入明細資料_２１年度分_【20090807】千里導入明細資料_Ⅹ_課題と対応策_20121211" xfId="3009"/>
    <cellStyle name="_【20090608】千里導入明細資料_２１年度分_【20090807】千里導入明細資料_Ⅹ_課題と対応策_20121211 2" xfId="3010"/>
    <cellStyle name="_【20090608】千里導入明細資料_２１年度分_【20090814】千里導入明細資料_SDB追加" xfId="3011"/>
    <cellStyle name="_【20090608】千里導入明細資料_２１年度分_【20090814】千里導入明細資料_SDB追加 2" xfId="3012"/>
    <cellStyle name="_【20090608】千里導入明細資料_２１年度分_【20090814】千里導入明細資料_SDB追加_【20091207】千里導入明細資料_２１年度分（ネットワーク敷設）" xfId="3013"/>
    <cellStyle name="_【20090608】千里導入明細資料_２１年度分_【20090814】千里導入明細資料_SDB追加_【20091207】千里導入明細資料_２１年度分（ネットワーク敷設） 2" xfId="3014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" xfId="3015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 2" xfId="3016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3017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3018"/>
    <cellStyle name="_【20090608】千里導入明細資料_２１年度分_【20090814】千里導入明細資料_SDB追加_【20091207】千里導入明細資料_２１年度分（ネットワーク敷設）_Ⅹ_課題と対応策_20121211" xfId="3019"/>
    <cellStyle name="_【20090608】千里導入明細資料_２１年度分_【20090814】千里導入明細資料_SDB追加_【20091207】千里導入明細資料_２１年度分（ネットワーク敷設）_Ⅹ_課題と対応策_20121211 2" xfId="3020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" xfId="3021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 2" xfId="3022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3023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3024"/>
    <cellStyle name="_【20090608】千里導入明細資料_２１年度分_【20090814】千里導入明細資料_SDB追加_【20091225】千里導入明細資料_２２年度上期分（営業店ＡＰ－ＤＢ）" xfId="3025"/>
    <cellStyle name="_【20090608】千里導入明細資料_２１年度分_【20090814】千里導入明細資料_SDB追加_【20091225】千里導入明細資料_２２年度上期分（営業店ＡＰ－ＤＢ） 2" xfId="3026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" xfId="3027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 2" xfId="3028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3029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3030"/>
    <cellStyle name="_【20090608】千里導入明細資料_２１年度分_【20090814】千里導入明細資料_SDB追加_【20091225】千里導入明細資料_２２年度上期分（営業店ＡＰ－ＤＢ）_Ⅹ_課題と対応策_20121211" xfId="3031"/>
    <cellStyle name="_【20090608】千里導入明細資料_２１年度分_【20090814】千里導入明細資料_SDB追加_【20091225】千里導入明細資料_２２年度上期分（営業店ＡＰ－ＤＢ）_Ⅹ_課題と対応策_20121211 2" xfId="3032"/>
    <cellStyle name="_【20090608】千里導入明細資料_２１年度分_【20090814】千里導入明細資料_SDB追加_【20091225】千里導入明細資料_２２年度上期分_営業店DB" xfId="3033"/>
    <cellStyle name="_【20090608】千里導入明細資料_２１年度分_【20090814】千里導入明細資料_SDB追加_【20091225】千里導入明細資料_２２年度上期分_営業店DB 2" xfId="3034"/>
    <cellStyle name="_【20090608】千里導入明細資料_２１年度分_【20090814】千里導入明細資料_SDB追加_【20091225】千里導入明細資料_２２年度上期分_営業店DB_【調整中】千里導入明細資料_２２年度上期分_fj_20100127" xfId="3035"/>
    <cellStyle name="_【20090608】千里導入明細資料_２１年度分_【20090814】千里導入明細資料_SDB追加_【20091225】千里導入明細資料_２２年度上期分_営業店DB_【調整中】千里導入明細資料_２２年度上期分_fj_20100127 2" xfId="3036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" xfId="3037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3038"/>
    <cellStyle name="_【20090608】千里導入明細資料_２１年度分_【20090814】千里導入明細資料_SDB追加_【20091225】千里導入明細資料_２２年度上期分_営業店DB_Ⅹ_課題と対応策_20121211" xfId="3039"/>
    <cellStyle name="_【20090608】千里導入明細資料_２１年度分_【20090814】千里導入明細資料_SDB追加_【20091225】千里導入明細資料_２２年度上期分_営業店DB_Ⅹ_課題と対応策_20121211 2" xfId="3040"/>
    <cellStyle name="_【20090608】千里導入明細資料_２１年度分_【20090814】千里導入明細資料_SDB追加_【20091225】千里導入明細資料_２２年度上期分_連携DB" xfId="3041"/>
    <cellStyle name="_【20090608】千里導入明細資料_２１年度分_【20090814】千里導入明細資料_SDB追加_【20091225】千里導入明細資料_２２年度上期分_連携DB 2" xfId="3042"/>
    <cellStyle name="_【20090608】千里導入明細資料_２１年度分_【20090814】千里導入明細資料_SDB追加_【20091225】千里導入明細資料_２２年度上期分_連携DB_【調整中】千里導入明細資料_２２年度上期分_fj_20100127" xfId="3043"/>
    <cellStyle name="_【20090608】千里導入明細資料_２１年度分_【20090814】千里導入明細資料_SDB追加_【20091225】千里導入明細資料_２２年度上期分_連携DB_【調整中】千里導入明細資料_２２年度上期分_fj_20100127 2" xfId="3044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" xfId="3045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 2" xfId="3046"/>
    <cellStyle name="_【20090608】千里導入明細資料_２１年度分_【20090814】千里導入明細資料_SDB追加_【20091225】千里導入明細資料_２２年度上期分_連携DB_Ⅹ_課題と対応策_20121211" xfId="3047"/>
    <cellStyle name="_【20090608】千里導入明細資料_２１年度分_【20090814】千里導入明細資料_SDB追加_【20091225】千里導入明細資料_２２年度上期分_連携DB_Ⅹ_課題と対応策_20121211 2" xfId="3048"/>
    <cellStyle name="_【20090608】千里導入明細資料_２１年度分_【20090814】千里導入明細資料_SDB追加_【作成中】千里センター機器配置図（2010年対応分）_20091221" xfId="3049"/>
    <cellStyle name="_【20090608】千里導入明細資料_２１年度分_【20090814】千里導入明細資料_SDB追加_【作成中】千里センター機器配置図（2010年対応分）_20091221 2" xfId="3050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" xfId="3051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 2" xfId="3052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3053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3054"/>
    <cellStyle name="_【20090608】千里導入明細資料_２１年度分_【20090814】千里導入明細資料_SDB追加_【作成中】千里センター機器配置図（2010年対応分）_20091221_Ⅹ_課題と対応策_20121211" xfId="3055"/>
    <cellStyle name="_【20090608】千里導入明細資料_２１年度分_【20090814】千里導入明細資料_SDB追加_【作成中】千里センター機器配置図（2010年対応分）_20091221_Ⅹ_課題と対応策_20121211 2" xfId="3056"/>
    <cellStyle name="_【20090608】千里導入明細資料_２１年度分_【20090814】千里導入明細資料_SDB追加_Ⅹ_課題と対応策_20121211" xfId="3057"/>
    <cellStyle name="_【20090608】千里導入明細資料_２１年度分_【20090814】千里導入明細資料_SDB追加_Ⅹ_課題と対応策_20121211 2" xfId="3058"/>
    <cellStyle name="_【20090608】千里導入明細資料_２１年度分_【20090821】千里ラック搭載図（NW機器）" xfId="3059"/>
    <cellStyle name="_【20090608】千里導入明細資料_２１年度分_【20090821】千里ラック搭載図（NW機器） 2" xfId="3060"/>
    <cellStyle name="_【20090608】千里導入明細資料_２１年度分_【20090821】千里ラック搭載図（NW機器）_Ⅹ_課題と対応策_20121211" xfId="3061"/>
    <cellStyle name="_【20090608】千里導入明細資料_２１年度分_【20090821】千里ラック搭載図（NW機器）_Ⅹ_課題と対応策_20121211 2" xfId="3062"/>
    <cellStyle name="_【20090608】千里導入明細資料_２１年度分_【20091218】千里導入明細資料_２１年度分（ネットワーク敷設）" xfId="3063"/>
    <cellStyle name="_【20090608】千里導入明細資料_２１年度分_【20091218】千里導入明細資料_２１年度分（ネットワーク敷設） 2" xfId="3064"/>
    <cellStyle name="_【20090608】千里導入明細資料_２１年度分_【20091218】千里導入明細資料_２１年度分（ネットワーク敷設）_Ⅹ_課題と対応策_20121211" xfId="3065"/>
    <cellStyle name="_【20090608】千里導入明細資料_２１年度分_【20091218】千里導入明細資料_２１年度分（ネットワーク敷設）_Ⅹ_課題と対応策_20121211 2" xfId="3066"/>
    <cellStyle name="_【20090608】千里導入明細資料_２１年度分_【20091224】千里導入明細資料_２２年度上期分_営業店DB" xfId="3067"/>
    <cellStyle name="_【20090608】千里導入明細資料_２１年度分_【20091224】千里導入明細資料_２２年度上期分_営業店DB 2" xfId="3068"/>
    <cellStyle name="_【20090608】千里導入明細資料_２１年度分_【20091224】千里導入明細資料_２２年度上期分_営業店DB_【20091225】千里導入明細資料_２２年度上期分（営業店ＡＰ－ＤＢ）" xfId="3069"/>
    <cellStyle name="_【20090608】千里導入明細資料_２１年度分_【20091224】千里導入明細資料_２２年度上期分_営業店DB_【20091225】千里導入明細資料_２２年度上期分（営業店ＡＰ－ＤＢ） 2" xfId="3070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071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072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073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074"/>
    <cellStyle name="_【20090608】千里導入明細資料_２１年度分_【20091224】千里導入明細資料_２２年度上期分_営業店DB_【20091225】千里導入明細資料_２２年度上期分（営業店ＡＰ－ＤＢ）_Ⅹ_課題と対応策_20121211" xfId="3075"/>
    <cellStyle name="_【20090608】千里導入明細資料_２１年度分_【20091224】千里導入明細資料_２２年度上期分_営業店DB_【20091225】千里導入明細資料_２２年度上期分（営業店ＡＰ－ＤＢ）_Ⅹ_課題と対応策_20121211 2" xfId="3076"/>
    <cellStyle name="_【20090608】千里導入明細資料_２１年度分_【20091224】千里導入明細資料_２２年度上期分_営業店DB_【20091225】千里導入明細資料_２２年度上期分_営業店DB" xfId="3077"/>
    <cellStyle name="_【20090608】千里導入明細資料_２１年度分_【20091224】千里導入明細資料_２２年度上期分_営業店DB_【20091225】千里導入明細資料_２２年度上期分_営業店DB 2" xfId="3078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" xfId="3079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 2" xfId="3080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081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082"/>
    <cellStyle name="_【20090608】千里導入明細資料_２１年度分_【20091224】千里導入明細資料_２２年度上期分_営業店DB_【20091225】千里導入明細資料_２２年度上期分_営業店DB_Ⅹ_課題と対応策_20121211" xfId="3083"/>
    <cellStyle name="_【20090608】千里導入明細資料_２１年度分_【20091224】千里導入明細資料_２２年度上期分_営業店DB_【20091225】千里導入明細資料_２２年度上期分_営業店DB_Ⅹ_課題と対応策_20121211 2" xfId="3084"/>
    <cellStyle name="_【20090608】千里導入明細資料_２１年度分_【20091224】千里導入明細資料_２２年度上期分_営業店DB_Ⅹ_課題と対応策_20121211" xfId="3085"/>
    <cellStyle name="_【20090608】千里導入明細資料_２１年度分_【20091224】千里導入明細資料_２２年度上期分_営業店DB_Ⅹ_課題と対応策_20121211 2" xfId="3086"/>
    <cellStyle name="_【20090608】千里導入明細資料_２１年度分_【20091225】千里導入明細資料_２２年度上期分" xfId="3087"/>
    <cellStyle name="_【20090608】千里導入明細資料_２１年度分_【20091225】千里導入明細資料_２２年度上期分 2" xfId="3088"/>
    <cellStyle name="_【20090608】千里導入明細資料_２１年度分_【20091225】千里導入明細資料_２２年度上期分_Ⅹ_課題と対応策_20121211" xfId="3089"/>
    <cellStyle name="_【20090608】千里導入明細資料_２１年度分_【20091225】千里導入明細資料_２２年度上期分_Ⅹ_課題と対応策_20121211 2" xfId="3090"/>
    <cellStyle name="_【20090608】千里導入明細資料_２１年度分_【20091225】千里導入明細資料_２２年度上期分_営業店DB" xfId="3091"/>
    <cellStyle name="_【20090608】千里導入明細資料_２１年度分_【20091225】千里導入明細資料_２２年度上期分_営業店DB 2" xfId="3092"/>
    <cellStyle name="_【20090608】千里導入明細資料_２１年度分_【20091225】千里導入明細資料_２２年度上期分_営業店DB_Ⅹ_課題と対応策_20121211" xfId="3093"/>
    <cellStyle name="_【20090608】千里導入明細資料_２１年度分_【20091225】千里導入明細資料_２２年度上期分_営業店DB_Ⅹ_課題と対応策_20121211 2" xfId="3094"/>
    <cellStyle name="_【20090608】千里導入明細資料_２１年度分_【20091225】千里導入明細資料_２２年度上期分_連携DB" xfId="3095"/>
    <cellStyle name="_【20090608】千里導入明細資料_２１年度分_【20091225】千里導入明細資料_２２年度上期分_連携DB 2" xfId="3096"/>
    <cellStyle name="_【20090608】千里導入明細資料_２１年度分_【20091225】千里導入明細資料_２２年度上期分_連携DB_Ⅹ_課題と対応策_20121211" xfId="3097"/>
    <cellStyle name="_【20090608】千里導入明細資料_２１年度分_【20091225】千里導入明細資料_２２年度上期分_連携DB_Ⅹ_課題と対応策_20121211 2" xfId="3098"/>
    <cellStyle name="_【20090608】千里導入明細資料_２１年度分_【200912xx】千里導入明細資料_２２年度上期分" xfId="3099"/>
    <cellStyle name="_【20090608】千里導入明細資料_２１年度分_【200912xx】千里導入明細資料_２２年度上期分 2" xfId="3100"/>
    <cellStyle name="_【20090608】千里導入明細資料_２１年度分_【200912xx】千里導入明細資料_２２年度上期分（為替分）" xfId="3101"/>
    <cellStyle name="_【20090608】千里導入明細資料_２１年度分_【200912xx】千里導入明細資料_２２年度上期分（為替分） 2" xfId="3102"/>
    <cellStyle name="_【20090608】千里導入明細資料_２１年度分_【200912xx】千里導入明細資料_２２年度上期分（為替分）_Ⅹ_課題と対応策_20121211" xfId="3103"/>
    <cellStyle name="_【20090608】千里導入明細資料_２１年度分_【200912xx】千里導入明細資料_２２年度上期分（為替分）_Ⅹ_課題と対応策_20121211 2" xfId="3104"/>
    <cellStyle name="_【20090608】千里導入明細資料_２１年度分_【200912xx】千里導入明細資料_２２年度上期分_【20091225】千里導入明細資料_２２年度上期分（営業店ＡＰ－ＤＢ）" xfId="3105"/>
    <cellStyle name="_【20090608】千里導入明細資料_２１年度分_【200912xx】千里導入明細資料_２２年度上期分_【20091225】千里導入明細資料_２２年度上期分（営業店ＡＰ－ＤＢ） 2" xfId="3106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" xfId="3107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108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109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110"/>
    <cellStyle name="_【20090608】千里導入明細資料_２１年度分_【200912xx】千里導入明細資料_２２年度上期分_【20091225】千里導入明細資料_２２年度上期分（営業店ＡＰ－ＤＢ）_Ⅹ_課題と対応策_20121211" xfId="3111"/>
    <cellStyle name="_【20090608】千里導入明細資料_２１年度分_【200912xx】千里導入明細資料_２２年度上期分_【20091225】千里導入明細資料_２２年度上期分（営業店ＡＰ－ＤＢ）_Ⅹ_課題と対応策_20121211 2" xfId="3112"/>
    <cellStyle name="_【20090608】千里導入明細資料_２１年度分_【200912xx】千里導入明細資料_２２年度上期分_【20091225】千里導入明細資料_２２年度上期分_営業店DB" xfId="3113"/>
    <cellStyle name="_【20090608】千里導入明細資料_２１年度分_【200912xx】千里導入明細資料_２２年度上期分_【20091225】千里導入明細資料_２２年度上期分_営業店DB 2" xfId="3114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" xfId="3115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 2" xfId="3116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117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118"/>
    <cellStyle name="_【20090608】千里導入明細資料_２１年度分_【200912xx】千里導入明細資料_２２年度上期分_【20091225】千里導入明細資料_２２年度上期分_営業店DB_Ⅹ_課題と対応策_20121211" xfId="3119"/>
    <cellStyle name="_【20090608】千里導入明細資料_２１年度分_【200912xx】千里導入明細資料_２２年度上期分_【20091225】千里導入明細資料_２２年度上期分_営業店DB_Ⅹ_課題と対応策_20121211 2" xfId="3120"/>
    <cellStyle name="_【20090608】千里導入明細資料_２１年度分_【200912xx】千里導入明細資料_２２年度上期分_【20091225】千里導入明細資料_２２年度上期分_連携DB" xfId="3121"/>
    <cellStyle name="_【20090608】千里導入明細資料_２１年度分_【200912xx】千里導入明細資料_２２年度上期分_【20091225】千里導入明細資料_２２年度上期分_連携DB 2" xfId="3122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" xfId="3123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 2" xfId="3124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125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126"/>
    <cellStyle name="_【20090608】千里導入明細資料_２１年度分_【200912xx】千里導入明細資料_２２年度上期分_【20091225】千里導入明細資料_２２年度上期分_連携DB_Ⅹ_課題と対応策_20121211" xfId="3127"/>
    <cellStyle name="_【20090608】千里導入明細資料_２１年度分_【200912xx】千里導入明細資料_２２年度上期分_【20091225】千里導入明細資料_２２年度上期分_連携DB_Ⅹ_課題と対応策_20121211 2" xfId="3128"/>
    <cellStyle name="_【20090608】千里導入明細資料_２１年度分_【200912xx】千里導入明細資料_２２年度上期分_Ⅹ_課題と対応策_20121211" xfId="3129"/>
    <cellStyle name="_【20090608】千里導入明細資料_２１年度分_【200912xx】千里導入明細資料_２２年度上期分_Ⅹ_課題と対応策_20121211 2" xfId="3130"/>
    <cellStyle name="_【20090608】千里導入明細資料_２１年度分_【調整中】千里導入明細資料_２２年度上期分_fj_20100127" xfId="3131"/>
    <cellStyle name="_【20090608】千里導入明細資料_２１年度分_【調整中】千里導入明細資料_２２年度上期分_fj_20100127 2" xfId="3132"/>
    <cellStyle name="_【20090608】千里導入明細資料_２１年度分_【調整中】千里導入明細資料_２２年度上期分_fj_20100127_Ⅹ_課題と対応策_20121211" xfId="3133"/>
    <cellStyle name="_【20090608】千里導入明細資料_２１年度分_【調整中】千里導入明細資料_２２年度上期分_fj_20100127_Ⅹ_課題と対応策_20121211 2" xfId="3134"/>
    <cellStyle name="_【20090608】千里導入明細資料_２１年度分_①【20091225】千里導入明細資料_２２年度上期1分)" xfId="3135"/>
    <cellStyle name="_【20090608】千里導入明細資料_２１年度分_①【20091225】千里導入明細資料_２２年度上期1分) 2" xfId="3136"/>
    <cellStyle name="_【20090608】千里導入明細資料_２１年度分_①【20091225】千里導入明細資料_２２年度上期1分)_Ⅹ_課題と対応策_20121211" xfId="3137"/>
    <cellStyle name="_【20090608】千里導入明細資料_２１年度分_①【20091225】千里導入明細資料_２２年度上期1分)_Ⅹ_課題と対応策_20121211 2" xfId="3138"/>
    <cellStyle name="_【20090608】千里導入明細資料_２１年度分_Ⅹ_課題と対応策_20121211" xfId="3139"/>
    <cellStyle name="_【20090608】千里導入明細資料_２１年度分_Ⅹ_課題と対応策_20121211 2" xfId="3140"/>
    <cellStyle name="_【20090608】千里導入明細資料_２１年度分_ラック構成図（千里_営業店・新事務）_20090805" xfId="3141"/>
    <cellStyle name="_【20090608】千里導入明細資料_２１年度分_ラック構成図（千里_営業店・新事務）_20090805 2" xfId="3142"/>
    <cellStyle name="_【20090608】千里導入明細資料_２１年度分_ラック構成図（千里_営業店・新事務）_20090805_【20091207】千里導入明細資料_２１年度分（ネットワーク敷設）" xfId="3143"/>
    <cellStyle name="_【20090608】千里導入明細資料_２１年度分_ラック構成図（千里_営業店・新事務）_20090805_【20091207】千里導入明細資料_２１年度分（ネットワーク敷設） 2" xfId="3144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3145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3146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3147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3148"/>
    <cellStyle name="_【20090608】千里導入明細資料_２１年度分_ラック構成図（千里_営業店・新事務）_20090805_【20091207】千里導入明細資料_２１年度分（ネットワーク敷設）_Ⅹ_課題と対応策_20121211" xfId="3149"/>
    <cellStyle name="_【20090608】千里導入明細資料_２１年度分_ラック構成図（千里_営業店・新事務）_20090805_【20091207】千里導入明細資料_２１年度分（ネットワーク敷設）_Ⅹ_課題と対応策_20121211 2" xfId="3150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" xfId="3151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 2" xfId="3152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3153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3154"/>
    <cellStyle name="_【20090608】千里導入明細資料_２１年度分_ラック構成図（千里_営業店・新事務）_20090805_【20091225】千里導入明細資料_２２年度上期分（営業店ＡＰ－ＤＢ）" xfId="3155"/>
    <cellStyle name="_【20090608】千里導入明細資料_２１年度分_ラック構成図（千里_営業店・新事務）_20090805_【20091225】千里導入明細資料_２２年度上期分（営業店ＡＰ－ＤＢ） 2" xfId="3156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" xfId="3157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3158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3159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3160"/>
    <cellStyle name="_【20090608】千里導入明細資料_２１年度分_ラック構成図（千里_営業店・新事務）_20090805_【20091225】千里導入明細資料_２２年度上期分（営業店ＡＰ－ＤＢ）_Ⅹ_課題と対応策_20121211" xfId="3161"/>
    <cellStyle name="_【20090608】千里導入明細資料_２１年度分_ラック構成図（千里_営業店・新事務）_20090805_【20091225】千里導入明細資料_２２年度上期分（営業店ＡＰ－ＤＢ）_Ⅹ_課題と対応策_20121211 2" xfId="3162"/>
    <cellStyle name="_【20090608】千里導入明細資料_２１年度分_ラック構成図（千里_営業店・新事務）_20090805_【20091225】千里導入明細資料_２２年度上期分_営業店DB" xfId="3163"/>
    <cellStyle name="_【20090608】千里導入明細資料_２１年度分_ラック構成図（千里_営業店・新事務）_20090805_【20091225】千里導入明細資料_２２年度上期分_営業店DB 2" xfId="3164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" xfId="3165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 2" xfId="3166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3167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3168"/>
    <cellStyle name="_【20090608】千里導入明細資料_２１年度分_ラック構成図（千里_営業店・新事務）_20090805_【20091225】千里導入明細資料_２２年度上期分_営業店DB_Ⅹ_課題と対応策_20121211" xfId="3169"/>
    <cellStyle name="_【20090608】千里導入明細資料_２１年度分_ラック構成図（千里_営業店・新事務）_20090805_【20091225】千里導入明細資料_２２年度上期分_営業店DB_Ⅹ_課題と対応策_20121211 2" xfId="3170"/>
    <cellStyle name="_【20090608】千里導入明細資料_２１年度分_ラック構成図（千里_営業店・新事務）_20090805_【20091225】千里導入明細資料_２２年度上期分_連携DB" xfId="3171"/>
    <cellStyle name="_【20090608】千里導入明細資料_２１年度分_ラック構成図（千里_営業店・新事務）_20090805_【20091225】千里導入明細資料_２２年度上期分_連携DB 2" xfId="3172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" xfId="3173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 2" xfId="3174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3175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3176"/>
    <cellStyle name="_【20090608】千里導入明細資料_２１年度分_ラック構成図（千里_営業店・新事務）_20090805_【20091225】千里導入明細資料_２２年度上期分_連携DB_Ⅹ_課題と対応策_20121211" xfId="3177"/>
    <cellStyle name="_【20090608】千里導入明細資料_２１年度分_ラック構成図（千里_営業店・新事務）_20090805_【20091225】千里導入明細資料_２２年度上期分_連携DB_Ⅹ_課題と対応策_20121211 2" xfId="3178"/>
    <cellStyle name="_【20090608】千里導入明細資料_２１年度分_ラック構成図（千里_営業店・新事務）_20090805_【作成中】千里センター機器配置図（2010年対応分）_20091221" xfId="3179"/>
    <cellStyle name="_【20090608】千里導入明細資料_２１年度分_ラック構成図（千里_営業店・新事務）_20090805_【作成中】千里センター機器配置図（2010年対応分）_20091221 2" xfId="3180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" xfId="3181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 2" xfId="3182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3183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3184"/>
    <cellStyle name="_【20090608】千里導入明細資料_２１年度分_ラック構成図（千里_営業店・新事務）_20090805_【作成中】千里センター機器配置図（2010年対応分）_20091221_Ⅹ_課題と対応策_20121211" xfId="3185"/>
    <cellStyle name="_【20090608】千里導入明細資料_２１年度分_ラック構成図（千里_営業店・新事務）_20090805_【作成中】千里センター機器配置図（2010年対応分）_20091221_Ⅹ_課題と対応策_20121211 2" xfId="3186"/>
    <cellStyle name="_【20090608】千里導入明細資料_２１年度分_ラック構成図（千里_営業店・新事務）_20090805_Ⅹ_課題と対応策_20121211" xfId="3187"/>
    <cellStyle name="_【20090608】千里導入明細資料_２１年度分_ラック構成図（千里_営業店・新事務）_20090805_Ⅹ_課題と対応策_20121211 2" xfId="3188"/>
    <cellStyle name="_【20090608】千里導入明細資料_２１年度分_ラック構成図_Catalyst直付け（新事務処理）" xfId="3189"/>
    <cellStyle name="_【20090608】千里導入明細資料_２１年度分_ラック構成図_Catalyst直付け（新事務処理） 2" xfId="3190"/>
    <cellStyle name="_【20090608】千里導入明細資料_２１年度分_ラック構成図_Catalyst直付け（新事務処理）_【20091207】千里導入明細資料_２１年度分（ネットワーク敷設）" xfId="3191"/>
    <cellStyle name="_【20090608】千里導入明細資料_２１年度分_ラック構成図_Catalyst直付け（新事務処理）_【20091207】千里導入明細資料_２１年度分（ネットワーク敷設） 2" xfId="3192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" xfId="3193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3194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3195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3196"/>
    <cellStyle name="_【20090608】千里導入明細資料_２１年度分_ラック構成図_Catalyst直付け（新事務処理）_【20091207】千里導入明細資料_２１年度分（ネットワーク敷設）_Ⅹ_課題と対応策_20121211" xfId="3197"/>
    <cellStyle name="_【20090608】千里導入明細資料_２１年度分_ラック構成図_Catalyst直付け（新事務処理）_【20091207】千里導入明細資料_２１年度分（ネットワーク敷設）_Ⅹ_課題と対応策_20121211 2" xfId="3198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" xfId="3199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 2" xfId="3200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3201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3202"/>
    <cellStyle name="_【20090608】千里導入明細資料_２１年度分_ラック構成図_Catalyst直付け（新事務処理）_【20091225】千里導入明細資料_２２年度上期分（営業店ＡＰ－ＤＢ）" xfId="3203"/>
    <cellStyle name="_【20090608】千里導入明細資料_２１年度分_ラック構成図_Catalyst直付け（新事務処理）_【20091225】千里導入明細資料_２２年度上期分（営業店ＡＰ－ＤＢ） 2" xfId="3204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" xfId="3205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 2" xfId="3206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3207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3208"/>
    <cellStyle name="_【20090608】千里導入明細資料_２１年度分_ラック構成図_Catalyst直付け（新事務処理）_【20091225】千里導入明細資料_２２年度上期分（営業店ＡＰ－ＤＢ）_Ⅹ_課題と対応策_20121211" xfId="3209"/>
    <cellStyle name="_【20090608】千里導入明細資料_２１年度分_ラック構成図_Catalyst直付け（新事務処理）_【20091225】千里導入明細資料_２２年度上期分（営業店ＡＰ－ＤＢ）_Ⅹ_課題と対応策_20121211 2" xfId="3210"/>
    <cellStyle name="_【20090608】千里導入明細資料_２１年度分_ラック構成図_Catalyst直付け（新事務処理）_【20091225】千里導入明細資料_２２年度上期分_営業店DB" xfId="3211"/>
    <cellStyle name="_【20090608】千里導入明細資料_２１年度分_ラック構成図_Catalyst直付け（新事務処理）_【20091225】千里導入明細資料_２２年度上期分_営業店DB 2" xfId="3212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" xfId="3213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 2" xfId="3214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3215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3216"/>
    <cellStyle name="_【20090608】千里導入明細資料_２１年度分_ラック構成図_Catalyst直付け（新事務処理）_【20091225】千里導入明細資料_２２年度上期分_営業店DB_Ⅹ_課題と対応策_20121211" xfId="3217"/>
    <cellStyle name="_【20090608】千里導入明細資料_２１年度分_ラック構成図_Catalyst直付け（新事務処理）_【20091225】千里導入明細資料_２２年度上期分_営業店DB_Ⅹ_課題と対応策_20121211 2" xfId="3218"/>
    <cellStyle name="_【20090608】千里導入明細資料_２１年度分_ラック構成図_Catalyst直付け（新事務処理）_【20091225】千里導入明細資料_２２年度上期分_連携DB" xfId="3219"/>
    <cellStyle name="_【20090608】千里導入明細資料_２１年度分_ラック構成図_Catalyst直付け（新事務処理）_【20091225】千里導入明細資料_２２年度上期分_連携DB 2" xfId="3220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" xfId="3221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 2" xfId="3222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3223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3224"/>
    <cellStyle name="_【20090608】千里導入明細資料_２１年度分_ラック構成図_Catalyst直付け（新事務処理）_【20091225】千里導入明細資料_２２年度上期分_連携DB_Ⅹ_課題と対応策_20121211" xfId="3225"/>
    <cellStyle name="_【20090608】千里導入明細資料_２１年度分_ラック構成図_Catalyst直付け（新事務処理）_【20091225】千里導入明細資料_２２年度上期分_連携DB_Ⅹ_課題と対応策_20121211 2" xfId="3226"/>
    <cellStyle name="_【20090608】千里導入明細資料_２１年度分_ラック構成図_Catalyst直付け（新事務処理）_【作成中】千里センター機器配置図（2010年対応分）_20091221" xfId="3227"/>
    <cellStyle name="_【20090608】千里導入明細資料_２１年度分_ラック構成図_Catalyst直付け（新事務処理）_【作成中】千里センター機器配置図（2010年対応分）_20091221 2" xfId="3228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" xfId="3229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 2" xfId="3230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3231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3232"/>
    <cellStyle name="_【20090608】千里導入明細資料_２１年度分_ラック構成図_Catalyst直付け（新事務処理）_【作成中】千里センター機器配置図（2010年対応分）_20091221_Ⅹ_課題と対応策_20121211" xfId="3233"/>
    <cellStyle name="_【20090608】千里導入明細資料_２１年度分_ラック構成図_Catalyst直付け（新事務処理）_【作成中】千里センター機器配置図（2010年対応分）_20091221_Ⅹ_課題と対応策_20121211 2" xfId="3234"/>
    <cellStyle name="_【20090608】千里導入明細資料_２１年度分_ラック構成図_Catalyst直付け（新事務処理）_Ⅹ_課題と対応策_20121211" xfId="3235"/>
    <cellStyle name="_【20090608】千里導入明細資料_２１年度分_ラック構成図_Catalyst直付け（新事務処理）_Ⅹ_課題と対応策_20121211 2" xfId="3236"/>
    <cellStyle name="_【20090608】千里導入明細資料_２１年度分_ラック構成図_RX100Si-R削除(新事務処理)" xfId="3237"/>
    <cellStyle name="_【20090608】千里導入明細資料_２１年度分_ラック構成図_RX100Si-R削除(新事務処理) 2" xfId="3238"/>
    <cellStyle name="_【20090608】千里導入明細資料_２１年度分_ラック構成図_RX100Si-R削除(新事務処理)_【20091207】千里導入明細資料_２１年度分（ネットワーク敷設）" xfId="3239"/>
    <cellStyle name="_【20090608】千里導入明細資料_２１年度分_ラック構成図_RX100Si-R削除(新事務処理)_【20091207】千里導入明細資料_２１年度分（ネットワーク敷設） 2" xfId="3240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" xfId="3241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 2" xfId="3242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3243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3244"/>
    <cellStyle name="_【20090608】千里導入明細資料_２１年度分_ラック構成図_RX100Si-R削除(新事務処理)_【20091207】千里導入明細資料_２１年度分（ネットワーク敷設）_Ⅹ_課題と対応策_20121211" xfId="3245"/>
    <cellStyle name="_【20090608】千里導入明細資料_２１年度分_ラック構成図_RX100Si-R削除(新事務処理)_【20091207】千里導入明細資料_２１年度分（ネットワーク敷設）_Ⅹ_課題と対応策_20121211 2" xfId="3246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" xfId="3247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 2" xfId="3248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3249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3250"/>
    <cellStyle name="_【20090608】千里導入明細資料_２１年度分_ラック構成図_RX100Si-R削除(新事務処理)_【20091225】千里導入明細資料_２２年度上期分（営業店ＡＰ－ＤＢ）" xfId="3251"/>
    <cellStyle name="_【20090608】千里導入明細資料_２１年度分_ラック構成図_RX100Si-R削除(新事務処理)_【20091225】千里導入明細資料_２２年度上期分（営業店ＡＰ－ＤＢ） 2" xfId="3252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" xfId="3253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 2" xfId="3254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3255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3256"/>
    <cellStyle name="_【20090608】千里導入明細資料_２１年度分_ラック構成図_RX100Si-R削除(新事務処理)_【20091225】千里導入明細資料_２２年度上期分（営業店ＡＰ－ＤＢ）_Ⅹ_課題と対応策_20121211" xfId="3257"/>
    <cellStyle name="_【20090608】千里導入明細資料_２１年度分_ラック構成図_RX100Si-R削除(新事務処理)_【20091225】千里導入明細資料_２２年度上期分（営業店ＡＰ－ＤＢ）_Ⅹ_課題と対応策_20121211 2" xfId="3258"/>
    <cellStyle name="_【20090608】千里導入明細資料_２１年度分_ラック構成図_RX100Si-R削除(新事務処理)_【20091225】千里導入明細資料_２２年度上期分_営業店DB" xfId="3259"/>
    <cellStyle name="_【20090608】千里導入明細資料_２１年度分_ラック構成図_RX100Si-R削除(新事務処理)_【20091225】千里導入明細資料_２２年度上期分_営業店DB 2" xfId="3260"/>
    <cellStyle name="_【20090608】千里導入明細資料_２１年度分_ラック構成図_RX100Si-R削除(新事務処理)_【20091225】千里導入明細資料_２２年度上期分_営業店DB_【調整中】千里導入明細資料_２２年度上期分_fj_20100127" xfId="3261"/>
    <cellStyle name="_【20090608】千里導入明細資料_２１年度分_ラック構成図_RX100Si-R削除(新事務処理)_【20091225】千里導入明細資料_２２年度上期分_営業店DB_【調整中】千里導入明細資料_２２年度上期分_fj_20100127 2" xfId="3262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3263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3264"/>
    <cellStyle name="_【20090608】千里導入明細資料_２１年度分_ラック構成図_RX100Si-R削除(新事務処理)_【20091225】千里導入明細資料_２２年度上期分_営業店DB_Ⅹ_課題と対応策_20121211" xfId="3265"/>
    <cellStyle name="_【20090608】千里導入明細資料_２１年度分_ラック構成図_RX100Si-R削除(新事務処理)_【20091225】千里導入明細資料_２２年度上期分_営業店DB_Ⅹ_課題と対応策_20121211 2" xfId="3266"/>
    <cellStyle name="_【20090608】千里導入明細資料_２１年度分_ラック構成図_RX100Si-R削除(新事務処理)_【20091225】千里導入明細資料_２２年度上期分_連携DB" xfId="3267"/>
    <cellStyle name="_【20090608】千里導入明細資料_２１年度分_ラック構成図_RX100Si-R削除(新事務処理)_【20091225】千里導入明細資料_２２年度上期分_連携DB 2" xfId="3268"/>
    <cellStyle name="_【20090608】千里導入明細資料_２１年度分_ラック構成図_RX100Si-R削除(新事務処理)_【20091225】千里導入明細資料_２２年度上期分_連携DB_【調整中】千里導入明細資料_２２年度上期分_fj_20100127" xfId="3269"/>
    <cellStyle name="_【20090608】千里導入明細資料_２１年度分_ラック構成図_RX100Si-R削除(新事務処理)_【20091225】千里導入明細資料_２２年度上期分_連携DB_【調整中】千里導入明細資料_２２年度上期分_fj_20100127 2" xfId="3270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" xfId="3271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3272"/>
    <cellStyle name="_【20090608】千里導入明細資料_２１年度分_ラック構成図_RX100Si-R削除(新事務処理)_【20091225】千里導入明細資料_２２年度上期分_連携DB_Ⅹ_課題と対応策_20121211" xfId="3273"/>
    <cellStyle name="_【20090608】千里導入明細資料_２１年度分_ラック構成図_RX100Si-R削除(新事務処理)_【20091225】千里導入明細資料_２２年度上期分_連携DB_Ⅹ_課題と対応策_20121211 2" xfId="3274"/>
    <cellStyle name="_【20090608】千里導入明細資料_２１年度分_ラック構成図_RX100Si-R削除(新事務処理)_【作成中】千里センター機器配置図（2010年対応分）_20091221" xfId="3275"/>
    <cellStyle name="_【20090608】千里導入明細資料_２１年度分_ラック構成図_RX100Si-R削除(新事務処理)_【作成中】千里センター機器配置図（2010年対応分）_20091221 2" xfId="3276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" xfId="3277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 2" xfId="3278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3279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3280"/>
    <cellStyle name="_【20090608】千里導入明細資料_２１年度分_ラック構成図_RX100Si-R削除(新事務処理)_【作成中】千里センター機器配置図（2010年対応分）_20091221_Ⅹ_課題と対応策_20121211" xfId="3281"/>
    <cellStyle name="_【20090608】千里導入明細資料_２１年度分_ラック構成図_RX100Si-R削除(新事務処理)_【作成中】千里センター機器配置図（2010年対応分）_20091221_Ⅹ_課題と対応策_20121211 2" xfId="3282"/>
    <cellStyle name="_【20090608】千里導入明細資料_２１年度分_ラック構成図_RX100Si-R削除(新事務処理)_Ⅹ_課題と対応策_20121211" xfId="3283"/>
    <cellStyle name="_【20090608】千里導入明細資料_２１年度分_ラック構成図_RX100Si-R削除(新事務処理)_Ⅹ_課題と対応策_20121211 2" xfId="3284"/>
    <cellStyle name="_【20090608】千里導入明細資料_２１年度分_千里導入明細資料_２２年度分（ネットワーク敷設）_fj" xfId="3285"/>
    <cellStyle name="_【20090608】千里導入明細資料_２１年度分_千里導入明細資料_２２年度分（ネットワーク敷設）_fj 2" xfId="3286"/>
    <cellStyle name="_【20090608】千里導入明細資料_２１年度分_千里導入明細資料_２２年度分（ネットワーク敷設）_fj_Ⅹ_課題と対応策_20121211" xfId="3287"/>
    <cellStyle name="_【20090608】千里導入明細資料_２１年度分_千里導入明細資料_２２年度分（ネットワーク敷設）_fj_Ⅹ_課題と対応策_20121211 2" xfId="3288"/>
    <cellStyle name="_【20090717】千里導入明細資料_２１年度分（９月工事分）" xfId="3289"/>
    <cellStyle name="_【20090717】千里導入明細資料_２１年度分（９月工事分） 2" xfId="3290"/>
    <cellStyle name="_【20090717】千里導入明細資料_２１年度分（９月工事分）_【20091218】千里導入明細資料_２１年度分（ネットワーク敷設）" xfId="3291"/>
    <cellStyle name="_【20090717】千里導入明細資料_２１年度分（９月工事分）_【20091218】千里導入明細資料_２１年度分（ネットワーク敷設） 2" xfId="3292"/>
    <cellStyle name="_【20090717】千里導入明細資料_２１年度分（９月工事分）_【20091218】千里導入明細資料_２１年度分（ネットワーク敷設）_Ⅹ_課題と対応策_20121211" xfId="3293"/>
    <cellStyle name="_【20090717】千里導入明細資料_２１年度分（９月工事分）_【20091218】千里導入明細資料_２１年度分（ネットワーク敷設）_Ⅹ_課題と対応策_20121211 2" xfId="3294"/>
    <cellStyle name="_【20090717】千里導入明細資料_２１年度分（９月工事分）_【20091224】千里導入明細資料_２２年度上期分_営業店DB" xfId="3295"/>
    <cellStyle name="_【20090717】千里導入明細資料_２１年度分（９月工事分）_【20091224】千里導入明細資料_２２年度上期分_営業店DB 2" xfId="3296"/>
    <cellStyle name="_【20090717】千里導入明細資料_２１年度分（９月工事分）_【20091224】千里導入明細資料_２２年度上期分_営業店DB_【20091225】千里導入明細資料_２２年度上期分（営業店ＡＰ－ＤＢ）" xfId="3297"/>
    <cellStyle name="_【20090717】千里導入明細資料_２１年度分（９月工事分）_【20091224】千里導入明細資料_２２年度上期分_営業店DB_【20091225】千里導入明細資料_２２年度上期分（営業店ＡＰ－ＤＢ） 2" xfId="3298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" xfId="3299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 2" xfId="3300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01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302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" xfId="3303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 2" xfId="3304"/>
    <cellStyle name="_【20090717】千里導入明細資料_２１年度分（９月工事分）_【20091224】千里導入明細資料_２２年度上期分_営業店DB_【20091225】千里導入明細資料_２２年度上期分_営業店DB" xfId="3305"/>
    <cellStyle name="_【20090717】千里導入明細資料_２１年度分（９月工事分）_【20091224】千里導入明細資料_２２年度上期分_営業店DB_【20091225】千里導入明細資料_２２年度上期分_営業店DB 2" xfId="3306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" xfId="3307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 2" xfId="3308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" xfId="3309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 2" xfId="3310"/>
    <cellStyle name="_【20090717】千里導入明細資料_２１年度分（９月工事分）_【20091224】千里導入明細資料_２２年度上期分_営業店DB_【20091225】千里導入明細資料_２２年度上期分_営業店DB_Ⅹ_課題と対応策_20121211" xfId="3311"/>
    <cellStyle name="_【20090717】千里導入明細資料_２１年度分（９月工事分）_【20091224】千里導入明細資料_２２年度上期分_営業店DB_【20091225】千里導入明細資料_２２年度上期分_営業店DB_Ⅹ_課題と対応策_20121211 2" xfId="3312"/>
    <cellStyle name="_【20090717】千里導入明細資料_２１年度分（９月工事分）_【20091224】千里導入明細資料_２２年度上期分_営業店DB_Ⅹ_課題と対応策_20121211" xfId="3313"/>
    <cellStyle name="_【20090717】千里導入明細資料_２１年度分（９月工事分）_【20091224】千里導入明細資料_２２年度上期分_営業店DB_Ⅹ_課題と対応策_20121211 2" xfId="3314"/>
    <cellStyle name="_【20090717】千里導入明細資料_２１年度分（９月工事分）_【20091225】千里導入明細資料_２２年度上期分" xfId="3315"/>
    <cellStyle name="_【20090717】千里導入明細資料_２１年度分（９月工事分）_【20091225】千里導入明細資料_２２年度上期分 2" xfId="3316"/>
    <cellStyle name="_【20090717】千里導入明細資料_２１年度分（９月工事分）_【20091225】千里導入明細資料_２２年度上期分_Ⅹ_課題と対応策_20121211" xfId="3317"/>
    <cellStyle name="_【20090717】千里導入明細資料_２１年度分（９月工事分）_【20091225】千里導入明細資料_２２年度上期分_Ⅹ_課題と対応策_20121211 2" xfId="3318"/>
    <cellStyle name="_【20090717】千里導入明細資料_２１年度分（９月工事分）_【20091225】千里導入明細資料_２２年度上期分_営業店DB" xfId="3319"/>
    <cellStyle name="_【20090717】千里導入明細資料_２１年度分（９月工事分）_【20091225】千里導入明細資料_２２年度上期分_営業店DB 2" xfId="3320"/>
    <cellStyle name="_【20090717】千里導入明細資料_２１年度分（９月工事分）_【20091225】千里導入明細資料_２２年度上期分_営業店DB_Ⅹ_課題と対応策_20121211" xfId="3321"/>
    <cellStyle name="_【20090717】千里導入明細資料_２１年度分（９月工事分）_【20091225】千里導入明細資料_２２年度上期分_営業店DB_Ⅹ_課題と対応策_20121211 2" xfId="3322"/>
    <cellStyle name="_【20090717】千里導入明細資料_２１年度分（９月工事分）_【20091225】千里導入明細資料_２２年度上期分_連携DB" xfId="3323"/>
    <cellStyle name="_【20090717】千里導入明細資料_２１年度分（９月工事分）_【20091225】千里導入明細資料_２２年度上期分_連携DB 2" xfId="3324"/>
    <cellStyle name="_【20090717】千里導入明細資料_２１年度分（９月工事分）_【20091225】千里導入明細資料_２２年度上期分_連携DB_Ⅹ_課題と対応策_20121211" xfId="3325"/>
    <cellStyle name="_【20090717】千里導入明細資料_２１年度分（９月工事分）_【20091225】千里導入明細資料_２２年度上期分_連携DB_Ⅹ_課題と対応策_20121211 2" xfId="3326"/>
    <cellStyle name="_【20090717】千里導入明細資料_２１年度分（９月工事分）_【200912xx】千里導入明細資料_２２年度上期分" xfId="3327"/>
    <cellStyle name="_【20090717】千里導入明細資料_２１年度分（９月工事分）_【200912xx】千里導入明細資料_２２年度上期分 2" xfId="3328"/>
    <cellStyle name="_【20090717】千里導入明細資料_２１年度分（９月工事分）_【200912xx】千里導入明細資料_２２年度上期分（為替分）" xfId="3329"/>
    <cellStyle name="_【20090717】千里導入明細資料_２１年度分（９月工事分）_【200912xx】千里導入明細資料_２２年度上期分（為替分） 2" xfId="3330"/>
    <cellStyle name="_【20090717】千里導入明細資料_２１年度分（９月工事分）_【200912xx】千里導入明細資料_２２年度上期分（為替分）_Ⅹ_課題と対応策_20121211" xfId="3331"/>
    <cellStyle name="_【20090717】千里導入明細資料_２１年度分（９月工事分）_【200912xx】千里導入明細資料_２２年度上期分（為替分）_Ⅹ_課題と対応策_20121211 2" xfId="3332"/>
    <cellStyle name="_【20090717】千里導入明細資料_２１年度分（９月工事分）_【200912xx】千里導入明細資料_２２年度上期分_【20091225】千里導入明細資料_２２年度上期分（営業店ＡＰ－ＤＢ）" xfId="3333"/>
    <cellStyle name="_【20090717】千里導入明細資料_２１年度分（９月工事分）_【200912xx】千里導入明細資料_２２年度上期分_【20091225】千里導入明細資料_２２年度上期分（営業店ＡＰ－ＤＢ） 2" xfId="3334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" xfId="3335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 2" xfId="3336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3337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3338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" xfId="3339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 2" xfId="3340"/>
    <cellStyle name="_【20090717】千里導入明細資料_２１年度分（９月工事分）_【200912xx】千里導入明細資料_２２年度上期分_【20091225】千里導入明細資料_２２年度上期分_営業店DB" xfId="3341"/>
    <cellStyle name="_【20090717】千里導入明細資料_２１年度分（９月工事分）_【200912xx】千里導入明細資料_２２年度上期分_【20091225】千里導入明細資料_２２年度上期分_営業店DB 2" xfId="3342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" xfId="3343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 2" xfId="3344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" xfId="3345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 2" xfId="3346"/>
    <cellStyle name="_【20090717】千里導入明細資料_２１年度分（９月工事分）_【200912xx】千里導入明細資料_２２年度上期分_【20091225】千里導入明細資料_２２年度上期分_営業店DB_Ⅹ_課題と対応策_20121211" xfId="3347"/>
    <cellStyle name="_【20090717】千里導入明細資料_２１年度分（９月工事分）_【200912xx】千里導入明細資料_２２年度上期分_【20091225】千里導入明細資料_２２年度上期分_営業店DB_Ⅹ_課題と対応策_20121211 2" xfId="3348"/>
    <cellStyle name="_【20090717】千里導入明細資料_２１年度分（９月工事分）_【200912xx】千里導入明細資料_２２年度上期分_【20091225】千里導入明細資料_２２年度上期分_連携DB" xfId="3349"/>
    <cellStyle name="_【20090717】千里導入明細資料_２１年度分（９月工事分）_【200912xx】千里導入明細資料_２２年度上期分_【20091225】千里導入明細資料_２２年度上期分_連携DB 2" xfId="3350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" xfId="3351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 2" xfId="3352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" xfId="3353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 2" xfId="3354"/>
    <cellStyle name="_【20090717】千里導入明細資料_２１年度分（９月工事分）_【200912xx】千里導入明細資料_２２年度上期分_【20091225】千里導入明細資料_２２年度上期分_連携DB_Ⅹ_課題と対応策_20121211" xfId="3355"/>
    <cellStyle name="_【20090717】千里導入明細資料_２１年度分（９月工事分）_【200912xx】千里導入明細資料_２２年度上期分_【20091225】千里導入明細資料_２２年度上期分_連携DB_Ⅹ_課題と対応策_20121211 2" xfId="3356"/>
    <cellStyle name="_【20090717】千里導入明細資料_２１年度分（９月工事分）_【200912xx】千里導入明細資料_２２年度上期分_Ⅹ_課題と対応策_20121211" xfId="3357"/>
    <cellStyle name="_【20090717】千里導入明細資料_２１年度分（９月工事分）_【200912xx】千里導入明細資料_２２年度上期分_Ⅹ_課題と対応策_20121211 2" xfId="3358"/>
    <cellStyle name="_【20090717】千里導入明細資料_２１年度分（９月工事分）_【調整中】千里導入明細資料_２２年度上期分_fj_20100127" xfId="3359"/>
    <cellStyle name="_【20090717】千里導入明細資料_２１年度分（９月工事分）_【調整中】千里導入明細資料_２２年度上期分_fj_20100127 2" xfId="3360"/>
    <cellStyle name="_【20090717】千里導入明細資料_２１年度分（９月工事分）_【調整中】千里導入明細資料_２２年度上期分_fj_20100127_Ⅹ_課題と対応策_20121211" xfId="3361"/>
    <cellStyle name="_【20090717】千里導入明細資料_２１年度分（９月工事分）_【調整中】千里導入明細資料_２２年度上期分_fj_20100127_Ⅹ_課題と対応策_20121211 2" xfId="3362"/>
    <cellStyle name="_【20090717】千里導入明細資料_２１年度分（９月工事分）_①【20091225】千里導入明細資料_２２年度上期1分)" xfId="3363"/>
    <cellStyle name="_【20090717】千里導入明細資料_２１年度分（９月工事分）_①【20091225】千里導入明細資料_２２年度上期1分) 2" xfId="3364"/>
    <cellStyle name="_【20090717】千里導入明細資料_２１年度分（９月工事分）_①【20091225】千里導入明細資料_２２年度上期1分)_Ⅹ_課題と対応策_20121211" xfId="3365"/>
    <cellStyle name="_【20090717】千里導入明細資料_２１年度分（９月工事分）_①【20091225】千里導入明細資料_２２年度上期1分)_Ⅹ_課題と対応策_20121211 2" xfId="3366"/>
    <cellStyle name="_【20090717】千里導入明細資料_２１年度分（９月工事分）_Ⅹ_課題と対応策_20121211" xfId="3367"/>
    <cellStyle name="_【20090717】千里導入明細資料_２１年度分（９月工事分）_Ⅹ_課題と対応策_20121211 2" xfId="3368"/>
    <cellStyle name="_【20090717】千里導入明細資料_２１年度分（９月工事分）_千里導入明細資料_２２年度分（ネットワーク敷設）_fj" xfId="3369"/>
    <cellStyle name="_【20090717】千里導入明細資料_２１年度分（９月工事分）_千里導入明細資料_２２年度分（ネットワーク敷設）_fj 2" xfId="3370"/>
    <cellStyle name="_【20090717】千里導入明細資料_２１年度分（９月工事分）_千里導入明細資料_２２年度分（ネットワーク敷設）_fj_Ⅹ_課題と対応策_20121211" xfId="3371"/>
    <cellStyle name="_【20090717】千里導入明細資料_２１年度分（９月工事分）_千里導入明細資料_２２年度分（ネットワーク敷設）_fj_Ⅹ_課題と対応策_20121211 2" xfId="3372"/>
    <cellStyle name="_【20090721】千里導入明細資料_２１年度分" xfId="3373"/>
    <cellStyle name="_【20090721】千里導入明細資料_２１年度分 2" xfId="3374"/>
    <cellStyle name="_【20090721】千里導入明細資料_２１年度分（９月工事分）_ETERNUS追加" xfId="3375"/>
    <cellStyle name="_【20090721】千里導入明細資料_２１年度分（９月工事分）_ETERNUS追加 2" xfId="3376"/>
    <cellStyle name="_【20090721】千里導入明細資料_２１年度分（９月工事分）_ETERNUS追加_【20090731】千里導入明細資料_２１年度分（９月工事分）" xfId="3377"/>
    <cellStyle name="_【20090721】千里導入明細資料_２１年度分（９月工事分）_ETERNUS追加_【20090731】千里導入明細資料_２１年度分（９月工事分） 2" xfId="3378"/>
    <cellStyle name="_【20090721】千里導入明細資料_２１年度分（９月工事分）_ETERNUS追加_【20090731】千里導入明細資料_２１年度分（９月工事分）_【20090821】千里ラック搭載図（NW機器）" xfId="3379"/>
    <cellStyle name="_【20090721】千里導入明細資料_２１年度分（９月工事分）_ETERNUS追加_【20090731】千里導入明細資料_２１年度分（９月工事分）_【20090821】千里ラック搭載図（NW機器） 2" xfId="3380"/>
    <cellStyle name="_【20090721】千里導入明細資料_２１年度分（９月工事分）_ETERNUS追加_【20090731】千里導入明細資料_２１年度分（９月工事分）_【20090821】千里ラック搭載図（NW機器）_Ⅹ_課題と対応策_20121211" xfId="3381"/>
    <cellStyle name="_【20090721】千里導入明細資料_２１年度分（９月工事分）_ETERNUS追加_【20090731】千里導入明細資料_２１年度分（９月工事分）_【20090821】千里ラック搭載図（NW機器）_Ⅹ_課題と対応策_20121211 2" xfId="3382"/>
    <cellStyle name="_【20090721】千里導入明細資料_２１年度分（９月工事分）_ETERNUS追加_【20090731】千里導入明細資料_２１年度分（９月工事分）_Ⅹ_課題と対応策_20121211" xfId="3383"/>
    <cellStyle name="_【20090721】千里導入明細資料_２１年度分（９月工事分）_ETERNUS追加_【20090731】千里導入明細資料_２１年度分（９月工事分）_Ⅹ_課題と対応策_20121211 2" xfId="3384"/>
    <cellStyle name="_【20090721】千里導入明細資料_２１年度分（９月工事分）_ETERNUS追加_【20090821】千里ラック搭載図（NW機器）" xfId="3385"/>
    <cellStyle name="_【20090721】千里導入明細資料_２１年度分（９月工事分）_ETERNUS追加_【20090821】千里ラック搭載図（NW機器） 2" xfId="3386"/>
    <cellStyle name="_【20090721】千里導入明細資料_２１年度分（９月工事分）_ETERNUS追加_【20090821】千里ラック搭載図（NW機器）_Ⅹ_課題と対応策_20121211" xfId="3387"/>
    <cellStyle name="_【20090721】千里導入明細資料_２１年度分（９月工事分）_ETERNUS追加_【20090821】千里ラック搭載図（NW機器）_Ⅹ_課題と対応策_20121211 2" xfId="3388"/>
    <cellStyle name="_【20090721】千里導入明細資料_２１年度分（９月工事分）_ETERNUS追加_【20091218】千里導入明細資料_２１年度分（ネットワーク敷設）" xfId="3389"/>
    <cellStyle name="_【20090721】千里導入明細資料_２１年度分（９月工事分）_ETERNUS追加_【20091218】千里導入明細資料_２１年度分（ネットワーク敷設） 2" xfId="3390"/>
    <cellStyle name="_【20090721】千里導入明細資料_２１年度分（９月工事分）_ETERNUS追加_【20091218】千里導入明細資料_２１年度分（ネットワーク敷設）_Ⅹ_課題と対応策_20121211" xfId="3391"/>
    <cellStyle name="_【20090721】千里導入明細資料_２１年度分（９月工事分）_ETERNUS追加_【20091218】千里導入明細資料_２１年度分（ネットワーク敷設）_Ⅹ_課題と対応策_20121211 2" xfId="3392"/>
    <cellStyle name="_【20090721】千里導入明細資料_２１年度分（９月工事分）_ETERNUS追加_【20091224】千里導入明細資料_２２年度上期分_営業店DB" xfId="3393"/>
    <cellStyle name="_【20090721】千里導入明細資料_２１年度分（９月工事分）_ETERNUS追加_【20091224】千里導入明細資料_２２年度上期分_営業店DB 2" xfId="3394"/>
    <cellStyle name="_【20090721】千里導入明細資料_２１年度分（９月工事分）_ETERNUS追加_【20091224】千里導入明細資料_２２年度上期分_営業店DB_【20091225】千里導入明細資料_２２年度上期分（営業店ＡＰ－ＤＢ）" xfId="3395"/>
    <cellStyle name="_【20090721】千里導入明細資料_２１年度分（９月工事分）_ETERNUS追加_【20091224】千里導入明細資料_２２年度上期分_営業店DB_【20091225】千里導入明細資料_２２年度上期分（営業店ＡＰ－ＤＢ） 2" xfId="3396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3397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3398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99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00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3401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3402"/>
    <cellStyle name="_【20090721】千里導入明細資料_２１年度分（９月工事分）_ETERNUS追加_【20091224】千里導入明細資料_２２年度上期分_営業店DB_【20091225】千里導入明細資料_２２年度上期分_営業店DB" xfId="3403"/>
    <cellStyle name="_【20090721】千里導入明細資料_２１年度分（９月工事分）_ETERNUS追加_【20091224】千里導入明細資料_２２年度上期分_営業店DB_【20091225】千里導入明細資料_２２年度上期分_営業店DB 2" xfId="3404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3405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3406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3407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3408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" xfId="3409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 2" xfId="3410"/>
    <cellStyle name="_【20090721】千里導入明細資料_２１年度分（９月工事分）_ETERNUS追加_【20091224】千里導入明細資料_２２年度上期分_営業店DB_Ⅹ_課題と対応策_20121211" xfId="3411"/>
    <cellStyle name="_【20090721】千里導入明細資料_２１年度分（９月工事分）_ETERNUS追加_【20091224】千里導入明細資料_２２年度上期分_営業店DB_Ⅹ_課題と対応策_20121211 2" xfId="3412"/>
    <cellStyle name="_【20090721】千里導入明細資料_２１年度分（９月工事分）_ETERNUS追加_【20091225】千里導入明細資料_２２年度上期分" xfId="3413"/>
    <cellStyle name="_【20090721】千里導入明細資料_２１年度分（９月工事分）_ETERNUS追加_【20091225】千里導入明細資料_２２年度上期分 2" xfId="3414"/>
    <cellStyle name="_【20090721】千里導入明細資料_２１年度分（９月工事分）_ETERNUS追加_【20091225】千里導入明細資料_２２年度上期分_Ⅹ_課題と対応策_20121211" xfId="3415"/>
    <cellStyle name="_【20090721】千里導入明細資料_２１年度分（９月工事分）_ETERNUS追加_【20091225】千里導入明細資料_２２年度上期分_Ⅹ_課題と対応策_20121211 2" xfId="3416"/>
    <cellStyle name="_【20090721】千里導入明細資料_２１年度分（９月工事分）_ETERNUS追加_【20091225】千里導入明細資料_２２年度上期分_営業店DB" xfId="3417"/>
    <cellStyle name="_【20090721】千里導入明細資料_２１年度分（９月工事分）_ETERNUS追加_【20091225】千里導入明細資料_２２年度上期分_営業店DB 2" xfId="3418"/>
    <cellStyle name="_【20090721】千里導入明細資料_２１年度分（９月工事分）_ETERNUS追加_【20091225】千里導入明細資料_２２年度上期分_営業店DB_Ⅹ_課題と対応策_20121211" xfId="3419"/>
    <cellStyle name="_【20090721】千里導入明細資料_２１年度分（９月工事分）_ETERNUS追加_【20091225】千里導入明細資料_２２年度上期分_営業店DB_Ⅹ_課題と対応策_20121211 2" xfId="3420"/>
    <cellStyle name="_【20090721】千里導入明細資料_２１年度分（９月工事分）_ETERNUS追加_【20091225】千里導入明細資料_２２年度上期分_連携DB" xfId="3421"/>
    <cellStyle name="_【20090721】千里導入明細資料_２１年度分（９月工事分）_ETERNUS追加_【20091225】千里導入明細資料_２２年度上期分_連携DB 2" xfId="3422"/>
    <cellStyle name="_【20090721】千里導入明細資料_２１年度分（９月工事分）_ETERNUS追加_【20091225】千里導入明細資料_２２年度上期分_連携DB_Ⅹ_課題と対応策_20121211" xfId="3423"/>
    <cellStyle name="_【20090721】千里導入明細資料_２１年度分（９月工事分）_ETERNUS追加_【20091225】千里導入明細資料_２２年度上期分_連携DB_Ⅹ_課題と対応策_20121211 2" xfId="3424"/>
    <cellStyle name="_【20090721】千里導入明細資料_２１年度分（９月工事分）_ETERNUS追加_【200912xx】千里導入明細資料_２２年度上期分" xfId="3425"/>
    <cellStyle name="_【20090721】千里導入明細資料_２１年度分（９月工事分）_ETERNUS追加_【200912xx】千里導入明細資料_２２年度上期分 2" xfId="3426"/>
    <cellStyle name="_【20090721】千里導入明細資料_２１年度分（９月工事分）_ETERNUS追加_【200912xx】千里導入明細資料_２２年度上期分（為替分）" xfId="3427"/>
    <cellStyle name="_【20090721】千里導入明細資料_２１年度分（９月工事分）_ETERNUS追加_【200912xx】千里導入明細資料_２２年度上期分（為替分） 2" xfId="3428"/>
    <cellStyle name="_【20090721】千里導入明細資料_２１年度分（９月工事分）_ETERNUS追加_【200912xx】千里導入明細資料_２２年度上期分（為替分）_Ⅹ_課題と対応策_20121211" xfId="3429"/>
    <cellStyle name="_【20090721】千里導入明細資料_２１年度分（９月工事分）_ETERNUS追加_【200912xx】千里導入明細資料_２２年度上期分（為替分）_Ⅹ_課題と対応策_20121211 2" xfId="3430"/>
    <cellStyle name="_【20090721】千里導入明細資料_２１年度分（９月工事分）_ETERNUS追加_【200912xx】千里導入明細資料_２２年度上期分_【20091225】千里導入明細資料_２２年度上期分（営業店ＡＰ－ＤＢ）" xfId="3431"/>
    <cellStyle name="_【20090721】千里導入明細資料_２１年度分（９月工事分）_ETERNUS追加_【200912xx】千里導入明細資料_２２年度上期分_【20091225】千里導入明細資料_２２年度上期分（営業店ＡＰ－ＤＢ） 2" xfId="3432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3433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3434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3435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3436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3437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3438"/>
    <cellStyle name="_【20090721】千里導入明細資料_２１年度分（９月工事分）_ETERNUS追加_【200912xx】千里導入明細資料_２２年度上期分_【20091225】千里導入明細資料_２２年度上期分_営業店DB" xfId="3439"/>
    <cellStyle name="_【20090721】千里導入明細資料_２１年度分（９月工事分）_ETERNUS追加_【200912xx】千里導入明細資料_２２年度上期分_【20091225】千里導入明細資料_２２年度上期分_営業店DB 2" xfId="3440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3441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3442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3443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3444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" xfId="3445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 2" xfId="3446"/>
    <cellStyle name="_【20090721】千里導入明細資料_２１年度分（９月工事分）_ETERNUS追加_【200912xx】千里導入明細資料_２２年度上期分_【20091225】千里導入明細資料_２２年度上期分_連携DB" xfId="3447"/>
    <cellStyle name="_【20090721】千里導入明細資料_２１年度分（９月工事分）_ETERNUS追加_【200912xx】千里導入明細資料_２２年度上期分_【20091225】千里導入明細資料_２２年度上期分_連携DB 2" xfId="3448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3449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3450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3451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3452"/>
    <cellStyle name="_【20090721】千里導入明細資料_２１年度分（９月工事分）_ETERNUS追加_【200912xx】千里導入明細資料_２２年度上期分_【20091225】千里導入明細資料_２２年度上期分_連携DB_Ⅹ_課題と対応策_20121211" xfId="3453"/>
    <cellStyle name="_【20090721】千里導入明細資料_２１年度分（９月工事分）_ETERNUS追加_【200912xx】千里導入明細資料_２２年度上期分_【20091225】千里導入明細資料_２２年度上期分_連携DB_Ⅹ_課題と対応策_20121211 2" xfId="3454"/>
    <cellStyle name="_【20090721】千里導入明細資料_２１年度分（９月工事分）_ETERNUS追加_【200912xx】千里導入明細資料_２２年度上期分_Ⅹ_課題と対応策_20121211" xfId="3455"/>
    <cellStyle name="_【20090721】千里導入明細資料_２１年度分（９月工事分）_ETERNUS追加_【200912xx】千里導入明細資料_２２年度上期分_Ⅹ_課題と対応策_20121211 2" xfId="3456"/>
    <cellStyle name="_【20090721】千里導入明細資料_２１年度分（９月工事分）_ETERNUS追加_【調整中】千里導入明細資料_２２年度上期分_fj_20100127" xfId="3457"/>
    <cellStyle name="_【20090721】千里導入明細資料_２１年度分（９月工事分）_ETERNUS追加_【調整中】千里導入明細資料_２２年度上期分_fj_20100127 2" xfId="3458"/>
    <cellStyle name="_【20090721】千里導入明細資料_２１年度分（９月工事分）_ETERNUS追加_【調整中】千里導入明細資料_２２年度上期分_fj_20100127_Ⅹ_課題と対応策_20121211" xfId="3459"/>
    <cellStyle name="_【20090721】千里導入明細資料_２１年度分（９月工事分）_ETERNUS追加_【調整中】千里導入明細資料_２２年度上期分_fj_20100127_Ⅹ_課題と対応策_20121211 2" xfId="3460"/>
    <cellStyle name="_【20090721】千里導入明細資料_２１年度分（９月工事分）_ETERNUS追加_①【20091225】千里導入明細資料_２２年度上期1分)" xfId="3461"/>
    <cellStyle name="_【20090721】千里導入明細資料_２１年度分（９月工事分）_ETERNUS追加_①【20091225】千里導入明細資料_２２年度上期1分) 2" xfId="3462"/>
    <cellStyle name="_【20090721】千里導入明細資料_２１年度分（９月工事分）_ETERNUS追加_①【20091225】千里導入明細資料_２２年度上期1分)_Ⅹ_課題と対応策_20121211" xfId="3463"/>
    <cellStyle name="_【20090721】千里導入明細資料_２１年度分（９月工事分）_ETERNUS追加_①【20091225】千里導入明細資料_２２年度上期1分)_Ⅹ_課題と対応策_20121211 2" xfId="3464"/>
    <cellStyle name="_【20090721】千里導入明細資料_２１年度分（９月工事分）_ETERNUS追加_Ⅹ_課題と対応策_20121211" xfId="3465"/>
    <cellStyle name="_【20090721】千里導入明細資料_２１年度分（９月工事分）_ETERNUS追加_Ⅹ_課題と対応策_20121211 2" xfId="3466"/>
    <cellStyle name="_【20090721】千里導入明細資料_２１年度分（９月工事分）_ETERNUS追加_千里導入明細資料_２２年度分（ネットワーク敷設）_fj" xfId="3467"/>
    <cellStyle name="_【20090721】千里導入明細資料_２１年度分（９月工事分）_ETERNUS追加_千里導入明細資料_２２年度分（ネットワーク敷設）_fj 2" xfId="3468"/>
    <cellStyle name="_【20090721】千里導入明細資料_２１年度分（９月工事分）_ETERNUS追加_千里導入明細資料_２２年度分（ネットワーク敷設）_fj_Ⅹ_課題と対応策_20121211" xfId="3469"/>
    <cellStyle name="_【20090721】千里導入明細資料_２１年度分（９月工事分）_ETERNUS追加_千里導入明細資料_２２年度分（ネットワーク敷設）_fj_Ⅹ_課題と対応策_20121211 2" xfId="3470"/>
    <cellStyle name="_【20090721】千里導入明細資料_２１年度分_【20091218】千里導入明細資料_２１年度分（ネットワーク敷設）" xfId="3471"/>
    <cellStyle name="_【20090721】千里導入明細資料_２１年度分_【20091218】千里導入明細資料_２１年度分（ネットワーク敷設） 2" xfId="3472"/>
    <cellStyle name="_【20090721】千里導入明細資料_２１年度分_【20091218】千里導入明細資料_２１年度分（ネットワーク敷設）_Ⅹ_課題と対応策_20121211" xfId="3473"/>
    <cellStyle name="_【20090721】千里導入明細資料_２１年度分_【20091218】千里導入明細資料_２１年度分（ネットワーク敷設）_Ⅹ_課題と対応策_20121211 2" xfId="3474"/>
    <cellStyle name="_【20090721】千里導入明細資料_２１年度分_【20091224】千里導入明細資料_２２年度上期分_営業店DB" xfId="3475"/>
    <cellStyle name="_【20090721】千里導入明細資料_２１年度分_【20091224】千里導入明細資料_２２年度上期分_営業店DB 2" xfId="3476"/>
    <cellStyle name="_【20090721】千里導入明細資料_２１年度分_【20091224】千里導入明細資料_２２年度上期分_営業店DB_【20091225】千里導入明細資料_２２年度上期分（営業店ＡＰ－ＤＢ）" xfId="3477"/>
    <cellStyle name="_【20090721】千里導入明細資料_２１年度分_【20091224】千里導入明細資料_２２年度上期分_営業店DB_【20091225】千里導入明細資料_２２年度上期分（営業店ＡＰ－ＤＢ） 2" xfId="3478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479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480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481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82"/>
    <cellStyle name="_【20090721】千里導入明細資料_２１年度分_【20091224】千里導入明細資料_２２年度上期分_営業店DB_【20091225】千里導入明細資料_２２年度上期分（営業店ＡＰ－ＤＢ）_Ⅹ_課題と対応策_20121211" xfId="3483"/>
    <cellStyle name="_【20090721】千里導入明細資料_２１年度分_【20091224】千里導入明細資料_２２年度上期分_営業店DB_【20091225】千里導入明細資料_２２年度上期分（営業店ＡＰ－ＤＢ）_Ⅹ_課題と対応策_20121211 2" xfId="3484"/>
    <cellStyle name="_【20090721】千里導入明細資料_２１年度分_【20091224】千里導入明細資料_２２年度上期分_営業店DB_【20091225】千里導入明細資料_２２年度上期分_営業店DB" xfId="3485"/>
    <cellStyle name="_【20090721】千里導入明細資料_２１年度分_【20091224】千里導入明細資料_２２年度上期分_営業店DB_【20091225】千里導入明細資料_２２年度上期分_営業店DB 2" xfId="3486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487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488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489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490"/>
    <cellStyle name="_【20090721】千里導入明細資料_２１年度分_【20091224】千里導入明細資料_２２年度上期分_営業店DB_【20091225】千里導入明細資料_２２年度上期分_営業店DB_Ⅹ_課題と対応策_20121211" xfId="3491"/>
    <cellStyle name="_【20090721】千里導入明細資料_２１年度分_【20091224】千里導入明細資料_２２年度上期分_営業店DB_【20091225】千里導入明細資料_２２年度上期分_営業店DB_Ⅹ_課題と対応策_20121211 2" xfId="3492"/>
    <cellStyle name="_【20090721】千里導入明細資料_２１年度分_【20091224】千里導入明細資料_２２年度上期分_営業店DB_Ⅹ_課題と対応策_20121211" xfId="3493"/>
    <cellStyle name="_【20090721】千里導入明細資料_２１年度分_【20091224】千里導入明細資料_２２年度上期分_営業店DB_Ⅹ_課題と対応策_20121211 2" xfId="3494"/>
    <cellStyle name="_【20090721】千里導入明細資料_２１年度分_【20091225】千里導入明細資料_２２年度上期分" xfId="3495"/>
    <cellStyle name="_【20090721】千里導入明細資料_２１年度分_【20091225】千里導入明細資料_２２年度上期分 2" xfId="3496"/>
    <cellStyle name="_【20090721】千里導入明細資料_２１年度分_【20091225】千里導入明細資料_２２年度上期分_Ⅹ_課題と対応策_20121211" xfId="3497"/>
    <cellStyle name="_【20090721】千里導入明細資料_２１年度分_【20091225】千里導入明細資料_２２年度上期分_Ⅹ_課題と対応策_20121211 2" xfId="3498"/>
    <cellStyle name="_【20090721】千里導入明細資料_２１年度分_【20091225】千里導入明細資料_２２年度上期分_営業店DB" xfId="3499"/>
    <cellStyle name="_【20090721】千里導入明細資料_２１年度分_【20091225】千里導入明細資料_２２年度上期分_営業店DB 2" xfId="3500"/>
    <cellStyle name="_【20090721】千里導入明細資料_２１年度分_【20091225】千里導入明細資料_２２年度上期分_営業店DB_Ⅹ_課題と対応策_20121211" xfId="3501"/>
    <cellStyle name="_【20090721】千里導入明細資料_２１年度分_【20091225】千里導入明細資料_２２年度上期分_営業店DB_Ⅹ_課題と対応策_20121211 2" xfId="3502"/>
    <cellStyle name="_【20090721】千里導入明細資料_２１年度分_【20091225】千里導入明細資料_２２年度上期分_連携DB" xfId="3503"/>
    <cellStyle name="_【20090721】千里導入明細資料_２１年度分_【20091225】千里導入明細資料_２２年度上期分_連携DB 2" xfId="3504"/>
    <cellStyle name="_【20090721】千里導入明細資料_２１年度分_【20091225】千里導入明細資料_２２年度上期分_連携DB_Ⅹ_課題と対応策_20121211" xfId="3505"/>
    <cellStyle name="_【20090721】千里導入明細資料_２１年度分_【20091225】千里導入明細資料_２２年度上期分_連携DB_Ⅹ_課題と対応策_20121211 2" xfId="3506"/>
    <cellStyle name="_【20090721】千里導入明細資料_２１年度分_【200912xx】千里導入明細資料_２２年度上期分" xfId="3507"/>
    <cellStyle name="_【20090721】千里導入明細資料_２１年度分_【200912xx】千里導入明細資料_２２年度上期分 2" xfId="3508"/>
    <cellStyle name="_【20090721】千里導入明細資料_２１年度分_【200912xx】千里導入明細資料_２２年度上期分（為替分）" xfId="3509"/>
    <cellStyle name="_【20090721】千里導入明細資料_２１年度分_【200912xx】千里導入明細資料_２２年度上期分（為替分） 2" xfId="3510"/>
    <cellStyle name="_【20090721】千里導入明細資料_２１年度分_【200912xx】千里導入明細資料_２２年度上期分（為替分）_Ⅹ_課題と対応策_20121211" xfId="3511"/>
    <cellStyle name="_【20090721】千里導入明細資料_２１年度分_【200912xx】千里導入明細資料_２２年度上期分（為替分）_Ⅹ_課題と対応策_20121211 2" xfId="3512"/>
    <cellStyle name="_【20090721】千里導入明細資料_２１年度分_【200912xx】千里導入明細資料_２２年度上期分_【20091225】千里導入明細資料_２２年度上期分（営業店ＡＰ－ＤＢ）" xfId="3513"/>
    <cellStyle name="_【20090721】千里導入明細資料_２１年度分_【200912xx】千里導入明細資料_２２年度上期分_【20091225】千里導入明細資料_２２年度上期分（営業店ＡＰ－ＤＢ） 2" xfId="3514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15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516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517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518"/>
    <cellStyle name="_【20090721】千里導入明細資料_２１年度分_【200912xx】千里導入明細資料_２２年度上期分_【20091225】千里導入明細資料_２２年度上期分（営業店ＡＰ－ＤＢ）_Ⅹ_課題と対応策_20121211" xfId="3519"/>
    <cellStyle name="_【20090721】千里導入明細資料_２１年度分_【200912xx】千里導入明細資料_２２年度上期分_【20091225】千里導入明細資料_２２年度上期分（営業店ＡＰ－ＤＢ）_Ⅹ_課題と対応策_20121211 2" xfId="3520"/>
    <cellStyle name="_【20090721】千里導入明細資料_２１年度分_【200912xx】千里導入明細資料_２２年度上期分_【20091225】千里導入明細資料_２２年度上期分_営業店DB" xfId="3521"/>
    <cellStyle name="_【20090721】千里導入明細資料_２１年度分_【200912xx】千里導入明細資料_２２年度上期分_【20091225】千里導入明細資料_２２年度上期分_営業店DB 2" xfId="3522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" xfId="3523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 2" xfId="3524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525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526"/>
    <cellStyle name="_【20090721】千里導入明細資料_２１年度分_【200912xx】千里導入明細資料_２２年度上期分_【20091225】千里導入明細資料_２２年度上期分_営業店DB_Ⅹ_課題と対応策_20121211" xfId="3527"/>
    <cellStyle name="_【20090721】千里導入明細資料_２１年度分_【200912xx】千里導入明細資料_２２年度上期分_【20091225】千里導入明細資料_２２年度上期分_営業店DB_Ⅹ_課題と対応策_20121211 2" xfId="3528"/>
    <cellStyle name="_【20090721】千里導入明細資料_２１年度分_【200912xx】千里導入明細資料_２２年度上期分_【20091225】千里導入明細資料_２２年度上期分_連携DB" xfId="3529"/>
    <cellStyle name="_【20090721】千里導入明細資料_２１年度分_【200912xx】千里導入明細資料_２２年度上期分_【20091225】千里導入明細資料_２２年度上期分_連携DB 2" xfId="3530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" xfId="3531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 2" xfId="3532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533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534"/>
    <cellStyle name="_【20090721】千里導入明細資料_２１年度分_【200912xx】千里導入明細資料_２２年度上期分_【20091225】千里導入明細資料_２２年度上期分_連携DB_Ⅹ_課題と対応策_20121211" xfId="3535"/>
    <cellStyle name="_【20090721】千里導入明細資料_２１年度分_【200912xx】千里導入明細資料_２２年度上期分_【20091225】千里導入明細資料_２２年度上期分_連携DB_Ⅹ_課題と対応策_20121211 2" xfId="3536"/>
    <cellStyle name="_【20090721】千里導入明細資料_２１年度分_【200912xx】千里導入明細資料_２２年度上期分_Ⅹ_課題と対応策_20121211" xfId="3537"/>
    <cellStyle name="_【20090721】千里導入明細資料_２１年度分_【200912xx】千里導入明細資料_２２年度上期分_Ⅹ_課題と対応策_20121211 2" xfId="3538"/>
    <cellStyle name="_【20090721】千里導入明細資料_２１年度分_【調整中】千里導入明細資料_２２年度上期分_fj_20100127" xfId="3539"/>
    <cellStyle name="_【20090721】千里導入明細資料_２１年度分_【調整中】千里導入明細資料_２２年度上期分_fj_20100127 2" xfId="3540"/>
    <cellStyle name="_【20090721】千里導入明細資料_２１年度分_【調整中】千里導入明細資料_２２年度上期分_fj_20100127_Ⅹ_課題と対応策_20121211" xfId="3541"/>
    <cellStyle name="_【20090721】千里導入明細資料_２１年度分_【調整中】千里導入明細資料_２２年度上期分_fj_20100127_Ⅹ_課題と対応策_20121211 2" xfId="3542"/>
    <cellStyle name="_【20090721】千里導入明細資料_２１年度分_①【20091225】千里導入明細資料_２２年度上期1分)" xfId="3543"/>
    <cellStyle name="_【20090721】千里導入明細資料_２１年度分_①【20091225】千里導入明細資料_２２年度上期1分) 2" xfId="3544"/>
    <cellStyle name="_【20090721】千里導入明細資料_２１年度分_①【20091225】千里導入明細資料_２２年度上期1分)_Ⅹ_課題と対応策_20121211" xfId="3545"/>
    <cellStyle name="_【20090721】千里導入明細資料_２１年度分_①【20091225】千里導入明細資料_２２年度上期1分)_Ⅹ_課題と対応策_20121211 2" xfId="3546"/>
    <cellStyle name="_【20090721】千里導入明細資料_２１年度分_Ⅹ_課題と対応策_20121211" xfId="3547"/>
    <cellStyle name="_【20090721】千里導入明細資料_２１年度分_Ⅹ_課題と対応策_20121211 2" xfId="3548"/>
    <cellStyle name="_【20090721】千里導入明細資料_２１年度分_千里導入明細資料_２２年度分（ネットワーク敷設）_fj" xfId="3549"/>
    <cellStyle name="_【20090721】千里導入明細資料_２１年度分_千里導入明細資料_２２年度分（ネットワーク敷設）_fj 2" xfId="3550"/>
    <cellStyle name="_【20090721】千里導入明細資料_２１年度分_千里導入明細資料_２２年度分（ネットワーク敷設）_fj_Ⅹ_課題と対応策_20121211" xfId="3551"/>
    <cellStyle name="_【20090721】千里導入明細資料_２１年度分_千里導入明細資料_２２年度分（ネットワーク敷設）_fj_Ⅹ_課題と対応策_20121211 2" xfId="3552"/>
    <cellStyle name="_【20090821】千里ラック搭載図（NW機器）" xfId="3553"/>
    <cellStyle name="_【20090821】千里ラック搭載図（NW機器） 2" xfId="3554"/>
    <cellStyle name="_【20090821】千里ラック搭載図（NW機器）_Ⅹ_課題と対応策_20121211" xfId="3555"/>
    <cellStyle name="_【20090821】千里ラック搭載図（NW機器）_Ⅹ_課題と対応策_20121211 2" xfId="3556"/>
    <cellStyle name="_【200909】ラック単位の電源仕様_ご参考" xfId="3557"/>
    <cellStyle name="_【200909】ラック単位の電源仕様_ご参考 2" xfId="3558"/>
    <cellStyle name="_【200909】ラック単位の電源仕様_ご参考_【20090821】千里ラック搭載図（NW機器）" xfId="3559"/>
    <cellStyle name="_【200909】ラック単位の電源仕様_ご参考_【20090821】千里ラック搭載図（NW機器） 2" xfId="3560"/>
    <cellStyle name="_【200909】ラック単位の電源仕様_ご参考_【20090821】千里ラック搭載図（NW機器）_Ⅹ_課題と対応策_20121211" xfId="3561"/>
    <cellStyle name="_【200909】ラック単位の電源仕様_ご参考_【20090821】千里ラック搭載図（NW機器）_Ⅹ_課題と対応策_20121211 2" xfId="3562"/>
    <cellStyle name="_【200909】ラック単位の電源仕様_ご参考_Ⅹ_課題と対応策_20121211" xfId="3563"/>
    <cellStyle name="_【200909】ラック単位の電源仕様_ご参考_Ⅹ_課題と対応策_20121211 2" xfId="3564"/>
    <cellStyle name="_【20091207】千里導入明細資料_２１年度分（ネットワーク敷設）" xfId="3565"/>
    <cellStyle name="_【20091207】千里導入明細資料_２１年度分（ネットワーク敷設） 2" xfId="3566"/>
    <cellStyle name="_【20091207】千里導入明細資料_２１年度分（ネットワーク敷設）_【20091218】千里導入明細資料_２１年度分（ネットワーク敷設）" xfId="3567"/>
    <cellStyle name="_【20091207】千里導入明細資料_２１年度分（ネットワーク敷設）_【20091218】千里導入明細資料_２１年度分（ネットワーク敷設） 2" xfId="3568"/>
    <cellStyle name="_【20091207】千里導入明細資料_２１年度分（ネットワーク敷設）_【20091218】千里導入明細資料_２１年度分（ネットワーク敷設）_Ⅹ_課題と対応策_20121211" xfId="3569"/>
    <cellStyle name="_【20091207】千里導入明細資料_２１年度分（ネットワーク敷設）_【20091218】千里導入明細資料_２１年度分（ネットワーク敷設）_Ⅹ_課題と対応策_20121211 2" xfId="3570"/>
    <cellStyle name="_【20091207】千里導入明細資料_２１年度分（ネットワーク敷設）_Ⅹ_課題と対応策_20121211" xfId="3571"/>
    <cellStyle name="_【20091207】千里導入明細資料_２１年度分（ネットワーク敷設）_Ⅹ_課題と対応策_20121211 2" xfId="3572"/>
    <cellStyle name="_【20091207】千里導入明細資料_２１年度分（ネットワーク敷設）_千里導入明細資料_２２年度分（ネットワーク敷設）_fj" xfId="3573"/>
    <cellStyle name="_【20091207】千里導入明細資料_２１年度分（ネットワーク敷設）_千里導入明細資料_２２年度分（ネットワーク敷設）_fj 2" xfId="3574"/>
    <cellStyle name="_【20091207】千里導入明細資料_２１年度分（ネットワーク敷設）_千里導入明細資料_２２年度分（ネットワーク敷設）_fj_Ⅹ_課題と対応策_20121211" xfId="3575"/>
    <cellStyle name="_【20091207】千里導入明細資料_２１年度分（ネットワーク敷設）_千里導入明細資料_２２年度分（ネットワーク敷設）_fj_Ⅹ_課題と対応策_20121211 2" xfId="3576"/>
    <cellStyle name="_【20091225】千里導入明細資料_２２年度上期分（営業店ＡＰ－ＤＢ）" xfId="3577"/>
    <cellStyle name="_【20091225】千里導入明細資料_２２年度上期分（営業店ＡＰ－ＤＢ） 2" xfId="3578"/>
    <cellStyle name="_【20091225】千里導入明細資料_２２年度上期分（営業店ＡＰ－ＤＢ）_【調整中】千里導入明細資料_２２年度上期分_fj_20100127" xfId="3579"/>
    <cellStyle name="_【20091225】千里導入明細資料_２２年度上期分（営業店ＡＰ－ＤＢ）_【調整中】千里導入明細資料_２２年度上期分_fj_20100127 2" xfId="3580"/>
    <cellStyle name="_【20091225】千里導入明細資料_２２年度上期分（営業店ＡＰ－ＤＢ）_【調整中】千里導入明細資料_２２年度上期分_fj_20100127_Ⅹ_課題と対応策_20121211" xfId="3581"/>
    <cellStyle name="_【20091225】千里導入明細資料_２２年度上期分（営業店ＡＰ－ＤＢ）_【調整中】千里導入明細資料_２２年度上期分_fj_20100127_Ⅹ_課題と対応策_20121211 2" xfId="3582"/>
    <cellStyle name="_【20091225】千里導入明細資料_２２年度上期分（営業店ＡＰ－ＤＢ）_Ⅹ_課題と対応策_20121211" xfId="3583"/>
    <cellStyle name="_【20091225】千里導入明細資料_２２年度上期分（営業店ＡＰ－ＤＢ）_Ⅹ_課題と対応策_20121211 2" xfId="3584"/>
    <cellStyle name="_【20091225】千里導入明細資料_２２年度上期分_営業店DB" xfId="3585"/>
    <cellStyle name="_【20091225】千里導入明細資料_２２年度上期分_営業店DB 2" xfId="3586"/>
    <cellStyle name="_【20091225】千里導入明細資料_２２年度上期分_営業店DB_【調整中】千里導入明細資料_２２年度上期分_fj_20100127" xfId="3587"/>
    <cellStyle name="_【20091225】千里導入明細資料_２２年度上期分_営業店DB_【調整中】千里導入明細資料_２２年度上期分_fj_20100127 2" xfId="3588"/>
    <cellStyle name="_【20091225】千里導入明細資料_２２年度上期分_営業店DB_【調整中】千里導入明細資料_２２年度上期分_fj_20100127_Ⅹ_課題と対応策_20121211" xfId="3589"/>
    <cellStyle name="_【20091225】千里導入明細資料_２２年度上期分_営業店DB_【調整中】千里導入明細資料_２２年度上期分_fj_20100127_Ⅹ_課題と対応策_20121211 2" xfId="3590"/>
    <cellStyle name="_【20091225】千里導入明細資料_２２年度上期分_営業店DB_Ⅹ_課題と対応策_20121211" xfId="3591"/>
    <cellStyle name="_【20091225】千里導入明細資料_２２年度上期分_営業店DB_Ⅹ_課題と対応策_20121211 2" xfId="3592"/>
    <cellStyle name="_【20091225】千里導入明細資料_２２年度上期分_連携DB" xfId="3593"/>
    <cellStyle name="_【20091225】千里導入明細資料_２２年度上期分_連携DB 2" xfId="3594"/>
    <cellStyle name="_【20091225】千里導入明細資料_２２年度上期分_連携DB_【調整中】千里導入明細資料_２２年度上期分_fj_20100127" xfId="3595"/>
    <cellStyle name="_【20091225】千里導入明細資料_２２年度上期分_連携DB_【調整中】千里導入明細資料_２２年度上期分_fj_20100127 2" xfId="3596"/>
    <cellStyle name="_【20091225】千里導入明細資料_２２年度上期分_連携DB_【調整中】千里導入明細資料_２２年度上期分_fj_20100127_Ⅹ_課題と対応策_20121211" xfId="3597"/>
    <cellStyle name="_【20091225】千里導入明細資料_２２年度上期分_連携DB_【調整中】千里導入明細資料_２２年度上期分_fj_20100127_Ⅹ_課題と対応策_20121211 2" xfId="3598"/>
    <cellStyle name="_【20091225】千里導入明細資料_２２年度上期分_連携DB_Ⅹ_課題と対応策_20121211" xfId="3599"/>
    <cellStyle name="_【20091225】千里導入明細資料_２２年度上期分_連携DB_Ⅹ_課題と対応策_20121211 2" xfId="3600"/>
    <cellStyle name="_【最新】導入明細表（自動機監視)(09.07.16)" xfId="3601"/>
    <cellStyle name="_【最新】導入明細表（自動機監視)(09.07.16) 2" xfId="3602"/>
    <cellStyle name="_【最新】導入明細表（自動機監視)(09.07.16)_【20090724】千里導入明細資料_２１年度" xfId="3603"/>
    <cellStyle name="_【最新】導入明細表（自動機監視)(09.07.16)_【20090724】千里導入明細資料_２１年度 2" xfId="3604"/>
    <cellStyle name="_【最新】導入明細表（自動機監視)(09.07.16)_【20090724】千里導入明細資料_２１年度_【20091207】千里導入明細資料_２１年度分（ネットワーク敷設）" xfId="3605"/>
    <cellStyle name="_【最新】導入明細表（自動機監視)(09.07.16)_【20090724】千里導入明細資料_２１年度_【20091207】千里導入明細資料_２１年度分（ネットワーク敷設） 2" xfId="3606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" xfId="3607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 2" xfId="3608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" xfId="3609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 2" xfId="3610"/>
    <cellStyle name="_【最新】導入明細表（自動機監視)(09.07.16)_【20090724】千里導入明細資料_２１年度_【20091207】千里導入明細資料_２１年度分（ネットワーク敷設）_Ⅹ_課題と対応策_20121211" xfId="3611"/>
    <cellStyle name="_【最新】導入明細表（自動機監視)(09.07.16)_【20090724】千里導入明細資料_２１年度_【20091207】千里導入明細資料_２１年度分（ネットワーク敷設）_Ⅹ_課題と対応策_20121211 2" xfId="3612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" xfId="3613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 2" xfId="3614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" xfId="3615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 2" xfId="3616"/>
    <cellStyle name="_【最新】導入明細表（自動機監視)(09.07.16)_【20090724】千里導入明細資料_２１年度_【20091225】千里導入明細資料_２２年度上期分（営業店ＡＰ－ＤＢ）" xfId="3617"/>
    <cellStyle name="_【最新】導入明細表（自動機監視)(09.07.16)_【20090724】千里導入明細資料_２１年度_【20091225】千里導入明細資料_２２年度上期分（営業店ＡＰ－ＤＢ） 2" xfId="3618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" xfId="3619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 2" xfId="3620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" xfId="3621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 2" xfId="3622"/>
    <cellStyle name="_【最新】導入明細表（自動機監視)(09.07.16)_【20090724】千里導入明細資料_２１年度_【20091225】千里導入明細資料_２２年度上期分（営業店ＡＰ－ＤＢ）_Ⅹ_課題と対応策_20121211" xfId="3623"/>
    <cellStyle name="_【最新】導入明細表（自動機監視)(09.07.16)_【20090724】千里導入明細資料_２１年度_【20091225】千里導入明細資料_２２年度上期分（営業店ＡＰ－ＤＢ）_Ⅹ_課題と対応策_20121211 2" xfId="3624"/>
    <cellStyle name="_【最新】導入明細表（自動機監視)(09.07.16)_【20090724】千里導入明細資料_２１年度_【20091225】千里導入明細資料_２２年度上期分_営業店DB" xfId="3625"/>
    <cellStyle name="_【最新】導入明細表（自動機監視)(09.07.16)_【20090724】千里導入明細資料_２１年度_【20091225】千里導入明細資料_２２年度上期分_営業店DB 2" xfId="3626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" xfId="3627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 2" xfId="3628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" xfId="3629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 2" xfId="3630"/>
    <cellStyle name="_【最新】導入明細表（自動機監視)(09.07.16)_【20090724】千里導入明細資料_２１年度_【20091225】千里導入明細資料_２２年度上期分_営業店DB_Ⅹ_課題と対応策_20121211" xfId="3631"/>
    <cellStyle name="_【最新】導入明細表（自動機監視)(09.07.16)_【20090724】千里導入明細資料_２１年度_【20091225】千里導入明細資料_２２年度上期分_営業店DB_Ⅹ_課題と対応策_20121211 2" xfId="3632"/>
    <cellStyle name="_【最新】導入明細表（自動機監視)(09.07.16)_【20090724】千里導入明細資料_２１年度_【20091225】千里導入明細資料_２２年度上期分_連携DB" xfId="3633"/>
    <cellStyle name="_【最新】導入明細表（自動機監視)(09.07.16)_【20090724】千里導入明細資料_２１年度_【20091225】千里導入明細資料_２２年度上期分_連携DB 2" xfId="3634"/>
    <cellStyle name="_【最新】導入明細表（自動機監視)(09.07.16)_【20090724】千里導入明細資料_２１年度_【20091225】千里導入明細資料_２２年度上期分_連携DB_【調整中】千里導入明細資料_２２年度上期分_fj_20100127" xfId="3635"/>
    <cellStyle name="_【最新】導入明細表（自動機監視)(09.07.16)_【20090724】千里導入明細資料_２１年度_【20091225】千里導入明細資料_２２年度上期分_連携DB_【調整中】千里導入明細資料_２２年度上期分_fj_20100127 2" xfId="3636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" xfId="3637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 2" xfId="3638"/>
    <cellStyle name="_【最新】導入明細表（自動機監視)(09.07.16)_【20090724】千里導入明細資料_２１年度_【20091225】千里導入明細資料_２２年度上期分_連携DB_Ⅹ_課題と対応策_20121211" xfId="3639"/>
    <cellStyle name="_【最新】導入明細表（自動機監視)(09.07.16)_【20090724】千里導入明細資料_２１年度_【20091225】千里導入明細資料_２２年度上期分_連携DB_Ⅹ_課題と対応策_20121211 2" xfId="3640"/>
    <cellStyle name="_【最新】導入明細表（自動機監視)(09.07.16)_【20090724】千里導入明細資料_２１年度_【作成中】千里センター機器配置図（2010年対応分）_20091221" xfId="3641"/>
    <cellStyle name="_【最新】導入明細表（自動機監視)(09.07.16)_【20090724】千里導入明細資料_２１年度_【作成中】千里センター機器配置図（2010年対応分）_20091221 2" xfId="3642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" xfId="3643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 2" xfId="3644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" xfId="3645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 2" xfId="3646"/>
    <cellStyle name="_【最新】導入明細表（自動機監視)(09.07.16)_【20090724】千里導入明細資料_２１年度_【作成中】千里センター機器配置図（2010年対応分）_20091221_Ⅹ_課題と対応策_20121211" xfId="3647"/>
    <cellStyle name="_【最新】導入明細表（自動機監視)(09.07.16)_【20090724】千里導入明細資料_２１年度_【作成中】千里センター機器配置図（2010年対応分）_20091221_Ⅹ_課題と対応策_20121211 2" xfId="3648"/>
    <cellStyle name="_【最新】導入明細表（自動機監視)(09.07.16)_【20090724】千里導入明細資料_２１年度_Ⅹ_課題と対応策_20121211" xfId="3649"/>
    <cellStyle name="_【最新】導入明細表（自動機監視)(09.07.16)_【20090724】千里導入明細資料_２１年度_Ⅹ_課題と対応策_20121211 2" xfId="3650"/>
    <cellStyle name="_【最新】導入明細表（自動機監視)(09.07.16)_【20090724】千里導入明細資料_２１年度分（９月工事分）" xfId="3651"/>
    <cellStyle name="_【最新】導入明細表（自動機監視)(09.07.16)_【20090724】千里導入明細資料_２１年度分（９月工事分） 2" xfId="3652"/>
    <cellStyle name="_【最新】導入明細表（自動機監視)(09.07.16)_【20090724】千里導入明細資料_２１年度分（９月工事分）_【20091207】千里導入明細資料_２１年度分（ネットワーク敷設）" xfId="3653"/>
    <cellStyle name="_【最新】導入明細表（自動機監視)(09.07.16)_【20090724】千里導入明細資料_２１年度分（９月工事分）_【20091207】千里導入明細資料_２１年度分（ネットワーク敷設） 2" xfId="3654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" xfId="3655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 2" xfId="3656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3657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3658"/>
    <cellStyle name="_【最新】導入明細表（自動機監視)(09.07.16)_【20090724】千里導入明細資料_２１年度分（９月工事分）_【20091207】千里導入明細資料_２１年度分（ネットワーク敷設）_Ⅹ_課題と対応策_20121211" xfId="3659"/>
    <cellStyle name="_【最新】導入明細表（自動機監視)(09.07.16)_【20090724】千里導入明細資料_２１年度分（９月工事分）_【20091207】千里導入明細資料_２１年度分（ネットワーク敷設）_Ⅹ_課題と対応策_20121211 2" xfId="3660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" xfId="3661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 2" xfId="3662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" xfId="3663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 2" xfId="3664"/>
    <cellStyle name="_【最新】導入明細表（自動機監視)(09.07.16)_【20090724】千里導入明細資料_２１年度分（９月工事分）_【20091225】千里導入明細資料_２２年度上期分（営業店ＡＰ－ＤＢ）" xfId="3665"/>
    <cellStyle name="_【最新】導入明細表（自動機監視)(09.07.16)_【20090724】千里導入明細資料_２１年度分（９月工事分）_【20091225】千里導入明細資料_２２年度上期分（営業店ＡＰ－ＤＢ） 2" xfId="3666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" xfId="3667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 2" xfId="3668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3669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3670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" xfId="3671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 2" xfId="3672"/>
    <cellStyle name="_【最新】導入明細表（自動機監視)(09.07.16)_【20090724】千里導入明細資料_２１年度分（９月工事分）_【20091225】千里導入明細資料_２２年度上期分_営業店DB" xfId="3673"/>
    <cellStyle name="_【最新】導入明細表（自動機監視)(09.07.16)_【20090724】千里導入明細資料_２１年度分（９月工事分）_【20091225】千里導入明細資料_２２年度上期分_営業店DB 2" xfId="3674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" xfId="3675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 2" xfId="3676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" xfId="3677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 2" xfId="3678"/>
    <cellStyle name="_【最新】導入明細表（自動機監視)(09.07.16)_【20090724】千里導入明細資料_２１年度分（９月工事分）_【20091225】千里導入明細資料_２２年度上期分_営業店DB_Ⅹ_課題と対応策_20121211" xfId="3679"/>
    <cellStyle name="_【最新】導入明細表（自動機監視)(09.07.16)_【20090724】千里導入明細資料_２１年度分（９月工事分）_【20091225】千里導入明細資料_２２年度上期分_営業店DB_Ⅹ_課題と対応策_20121211 2" xfId="3680"/>
    <cellStyle name="_【最新】導入明細表（自動機監視)(09.07.16)_【20090724】千里導入明細資料_２１年度分（９月工事分）_【20091225】千里導入明細資料_２２年度上期分_連携DB" xfId="3681"/>
    <cellStyle name="_【最新】導入明細表（自動機監視)(09.07.16)_【20090724】千里導入明細資料_２１年度分（９月工事分）_【20091225】千里導入明細資料_２２年度上期分_連携DB 2" xfId="3682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" xfId="3683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 2" xfId="3684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" xfId="3685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 2" xfId="3686"/>
    <cellStyle name="_【最新】導入明細表（自動機監視)(09.07.16)_【20090724】千里導入明細資料_２１年度分（９月工事分）_【20091225】千里導入明細資料_２２年度上期分_連携DB_Ⅹ_課題と対応策_20121211" xfId="3687"/>
    <cellStyle name="_【最新】導入明細表（自動機監視)(09.07.16)_【20090724】千里導入明細資料_２１年度分（９月工事分）_【20091225】千里導入明細資料_２２年度上期分_連携DB_Ⅹ_課題と対応策_20121211 2" xfId="3688"/>
    <cellStyle name="_【最新】導入明細表（自動機監視)(09.07.16)_【20090724】千里導入明細資料_２１年度分（９月工事分）_【作成中】千里センター機器配置図（2010年対応分）_20091221" xfId="3689"/>
    <cellStyle name="_【最新】導入明細表（自動機監視)(09.07.16)_【20090724】千里導入明細資料_２１年度分（９月工事分）_【作成中】千里センター機器配置図（2010年対応分）_20091221 2" xfId="3690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" xfId="3691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 2" xfId="3692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" xfId="3693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 2" xfId="3694"/>
    <cellStyle name="_【最新】導入明細表（自動機監視)(09.07.16)_【20090724】千里導入明細資料_２１年度分（９月工事分）_【作成中】千里センター機器配置図（2010年対応分）_20091221_Ⅹ_課題と対応策_20121211" xfId="3695"/>
    <cellStyle name="_【最新】導入明細表（自動機監視)(09.07.16)_【20090724】千里導入明細資料_２１年度分（９月工事分）_【作成中】千里センター機器配置図（2010年対応分）_20091221_Ⅹ_課題と対応策_20121211 2" xfId="3696"/>
    <cellStyle name="_【最新】導入明細表（自動機監視)(09.07.16)_【20090724】千里導入明細資料_２１年度分（９月工事分）_Ⅹ_課題と対応策_20121211" xfId="3697"/>
    <cellStyle name="_【最新】導入明細表（自動機監視)(09.07.16)_【20090724】千里導入明細資料_２１年度分（９月工事分）_Ⅹ_課題と対応策_20121211 2" xfId="3698"/>
    <cellStyle name="_【最新】導入明細表（自動機監視)(09.07.16)_【20090731】千里導入明細資料_２１年度分（９月工事分）" xfId="3699"/>
    <cellStyle name="_【最新】導入明細表（自動機監視)(09.07.16)_【20090731】千里導入明細資料_２１年度分（９月工事分） 2" xfId="3700"/>
    <cellStyle name="_【最新】導入明細表（自動機監視)(09.07.16)_【20090731】千里導入明細資料_２１年度分（９月工事分）_【20090821】千里ラック搭載図（NW機器）" xfId="3701"/>
    <cellStyle name="_【最新】導入明細表（自動機監視)(09.07.16)_【20090731】千里導入明細資料_２１年度分（９月工事分）_【20090821】千里ラック搭載図（NW機器） 2" xfId="3702"/>
    <cellStyle name="_【最新】導入明細表（自動機監視)(09.07.16)_【20090731】千里導入明細資料_２１年度分（９月工事分）_【20090821】千里ラック搭載図（NW機器）_Ⅹ_課題と対応策_20121211" xfId="3703"/>
    <cellStyle name="_【最新】導入明細表（自動機監視)(09.07.16)_【20090731】千里導入明細資料_２１年度分（９月工事分）_【20090821】千里ラック搭載図（NW機器）_Ⅹ_課題と対応策_20121211 2" xfId="3704"/>
    <cellStyle name="_【最新】導入明細表（自動機監視)(09.07.16)_【20090731】千里導入明細資料_２１年度分（９月工事分）_Ⅹ_課題と対応策_20121211" xfId="3705"/>
    <cellStyle name="_【最新】導入明細表（自動機監視)(09.07.16)_【20090731】千里導入明細資料_２１年度分（９月工事分）_Ⅹ_課題と対応策_20121211 2" xfId="3706"/>
    <cellStyle name="_【最新】導入明細表（自動機監視)(09.07.16)_【20090807】千里導入明細資料" xfId="3707"/>
    <cellStyle name="_【最新】導入明細表（自動機監視)(09.07.16)_【20090807】千里導入明細資料 2" xfId="3708"/>
    <cellStyle name="_【最新】導入明細表（自動機監視)(09.07.16)_【20090807】千里導入明細資料_【20091207】千里導入明細資料_２１年度分（ネットワーク敷設）" xfId="3709"/>
    <cellStyle name="_【最新】導入明細表（自動機監視)(09.07.16)_【20090807】千里導入明細資料_【20091207】千里導入明細資料_２１年度分（ネットワーク敷設） 2" xfId="3710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" xfId="3711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 2" xfId="3712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" xfId="3713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 2" xfId="3714"/>
    <cellStyle name="_【最新】導入明細表（自動機監視)(09.07.16)_【20090807】千里導入明細資料_【20091207】千里導入明細資料_２１年度分（ネットワーク敷設）_Ⅹ_課題と対応策_20121211" xfId="3715"/>
    <cellStyle name="_【最新】導入明細表（自動機監視)(09.07.16)_【20090807】千里導入明細資料_【20091207】千里導入明細資料_２１年度分（ネットワーク敷設）_Ⅹ_課題と対応策_20121211 2" xfId="3716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" xfId="3717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 2" xfId="3718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" xfId="3719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 2" xfId="3720"/>
    <cellStyle name="_【最新】導入明細表（自動機監視)(09.07.16)_【20090807】千里導入明細資料_【20091225】千里導入明細資料_２２年度上期分（営業店ＡＰ－ＤＢ）" xfId="3721"/>
    <cellStyle name="_【最新】導入明細表（自動機監視)(09.07.16)_【20090807】千里導入明細資料_【20091225】千里導入明細資料_２２年度上期分（営業店ＡＰ－ＤＢ） 2" xfId="3722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" xfId="3723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 2" xfId="3724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" xfId="3725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 2" xfId="3726"/>
    <cellStyle name="_【最新】導入明細表（自動機監視)(09.07.16)_【20090807】千里導入明細資料_【20091225】千里導入明細資料_２２年度上期分（営業店ＡＰ－ＤＢ）_Ⅹ_課題と対応策_20121211" xfId="3727"/>
    <cellStyle name="_【最新】導入明細表（自動機監視)(09.07.16)_【20090807】千里導入明細資料_【20091225】千里導入明細資料_２２年度上期分（営業店ＡＰ－ＤＢ）_Ⅹ_課題と対応策_20121211 2" xfId="3728"/>
    <cellStyle name="_【最新】導入明細表（自動機監視)(09.07.16)_【20090807】千里導入明細資料_【20091225】千里導入明細資料_２２年度上期分_営業店DB" xfId="3729"/>
    <cellStyle name="_【最新】導入明細表（自動機監視)(09.07.16)_【20090807】千里導入明細資料_【20091225】千里導入明細資料_２２年度上期分_営業店DB 2" xfId="3730"/>
    <cellStyle name="_【最新】導入明細表（自動機監視)(09.07.16)_【20090807】千里導入明細資料_【20091225】千里導入明細資料_２２年度上期分_営業店DB_【調整中】千里導入明細資料_２２年度上期分_fj_20100127" xfId="3731"/>
    <cellStyle name="_【最新】導入明細表（自動機監視)(09.07.16)_【20090807】千里導入明細資料_【20091225】千里導入明細資料_２２年度上期分_営業店DB_【調整中】千里導入明細資料_２２年度上期分_fj_20100127 2" xfId="3732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" xfId="3733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 2" xfId="3734"/>
    <cellStyle name="_【最新】導入明細表（自動機監視)(09.07.16)_【20090807】千里導入明細資料_【20091225】千里導入明細資料_２２年度上期分_営業店DB_Ⅹ_課題と対応策_20121211" xfId="3735"/>
    <cellStyle name="_【最新】導入明細表（自動機監視)(09.07.16)_【20090807】千里導入明細資料_【20091225】千里導入明細資料_２２年度上期分_営業店DB_Ⅹ_課題と対応策_20121211 2" xfId="3736"/>
    <cellStyle name="_【最新】導入明細表（自動機監視)(09.07.16)_【20090807】千里導入明細資料_【20091225】千里導入明細資料_２２年度上期分_連携DB" xfId="3737"/>
    <cellStyle name="_【最新】導入明細表（自動機監視)(09.07.16)_【20090807】千里導入明細資料_【20091225】千里導入明細資料_２２年度上期分_連携DB 2" xfId="3738"/>
    <cellStyle name="_【最新】導入明細表（自動機監視)(09.07.16)_【20090807】千里導入明細資料_【20091225】千里導入明細資料_２２年度上期分_連携DB_【調整中】千里導入明細資料_２２年度上期分_fj_20100127" xfId="3739"/>
    <cellStyle name="_【最新】導入明細表（自動機監視)(09.07.16)_【20090807】千里導入明細資料_【20091225】千里導入明細資料_２２年度上期分_連携DB_【調整中】千里導入明細資料_２２年度上期分_fj_20100127 2" xfId="3740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" xfId="3741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 2" xfId="3742"/>
    <cellStyle name="_【最新】導入明細表（自動機監視)(09.07.16)_【20090807】千里導入明細資料_【20091225】千里導入明細資料_２２年度上期分_連携DB_Ⅹ_課題と対応策_20121211" xfId="3743"/>
    <cellStyle name="_【最新】導入明細表（自動機監視)(09.07.16)_【20090807】千里導入明細資料_【20091225】千里導入明細資料_２２年度上期分_連携DB_Ⅹ_課題と対応策_20121211 2" xfId="3744"/>
    <cellStyle name="_【最新】導入明細表（自動機監視)(09.07.16)_【20090807】千里導入明細資料_【作成中】千里センター機器配置図（2010年対応分）_20091221" xfId="3745"/>
    <cellStyle name="_【最新】導入明細表（自動機監視)(09.07.16)_【20090807】千里導入明細資料_【作成中】千里センター機器配置図（2010年対応分）_20091221 2" xfId="3746"/>
    <cellStyle name="_【最新】導入明細表（自動機監視)(09.07.16)_【20090807】千里導入明細資料_【作成中】千里センター機器配置図（2010年対応分）_20091221_【調整中】千里導入明細資料_２２年度上期分_fj_20100127" xfId="3747"/>
    <cellStyle name="_【最新】導入明細表（自動機監視)(09.07.16)_【20090807】千里導入明細資料_【作成中】千里センター機器配置図（2010年対応分）_20091221_【調整中】千里導入明細資料_２２年度上期分_fj_20100127 2" xfId="3748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" xfId="3749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 2" xfId="3750"/>
    <cellStyle name="_【最新】導入明細表（自動機監視)(09.07.16)_【20090807】千里導入明細資料_【作成中】千里センター機器配置図（2010年対応分）_20091221_Ⅹ_課題と対応策_20121211" xfId="3751"/>
    <cellStyle name="_【最新】導入明細表（自動機監視)(09.07.16)_【20090807】千里導入明細資料_【作成中】千里センター機器配置図（2010年対応分）_20091221_Ⅹ_課題と対応策_20121211 2" xfId="3752"/>
    <cellStyle name="_【最新】導入明細表（自動機監視)(09.07.16)_【20090807】千里導入明細資料_Ⅹ_課題と対応策_20121211" xfId="3753"/>
    <cellStyle name="_【最新】導入明細表（自動機監視)(09.07.16)_【20090807】千里導入明細資料_Ⅹ_課題と対応策_20121211 2" xfId="3754"/>
    <cellStyle name="_【最新】導入明細表（自動機監視)(09.07.16)_【20090814】千里導入明細資料_SDB追加" xfId="3755"/>
    <cellStyle name="_【最新】導入明細表（自動機監視)(09.07.16)_【20090814】千里導入明細資料_SDB追加 2" xfId="3756"/>
    <cellStyle name="_【最新】導入明細表（自動機監視)(09.07.16)_【20090814】千里導入明細資料_SDB追加_【20091207】千里導入明細資料_２１年度分（ネットワーク敷設）" xfId="3757"/>
    <cellStyle name="_【最新】導入明細表（自動機監視)(09.07.16)_【20090814】千里導入明細資料_SDB追加_【20091207】千里導入明細資料_２１年度分（ネットワーク敷設） 2" xfId="3758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" xfId="3759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 2" xfId="3760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" xfId="3761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 2" xfId="3762"/>
    <cellStyle name="_【最新】導入明細表（自動機監視)(09.07.16)_【20090814】千里導入明細資料_SDB追加_【20091207】千里導入明細資料_２１年度分（ネットワーク敷設）_Ⅹ_課題と対応策_20121211" xfId="3763"/>
    <cellStyle name="_【最新】導入明細表（自動機監視)(09.07.16)_【20090814】千里導入明細資料_SDB追加_【20091207】千里導入明細資料_２１年度分（ネットワーク敷設）_Ⅹ_課題と対応策_20121211 2" xfId="3764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" xfId="3765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 2" xfId="3766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" xfId="3767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 2" xfId="3768"/>
    <cellStyle name="_【最新】導入明細表（自動機監視)(09.07.16)_【20090814】千里導入明細資料_SDB追加_【20091225】千里導入明細資料_２２年度上期分（営業店ＡＰ－ＤＢ）" xfId="3769"/>
    <cellStyle name="_【最新】導入明細表（自動機監視)(09.07.16)_【20090814】千里導入明細資料_SDB追加_【20091225】千里導入明細資料_２２年度上期分（営業店ＡＰ－ＤＢ） 2" xfId="3770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" xfId="3771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 2" xfId="3772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" xfId="3773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 2" xfId="3774"/>
    <cellStyle name="_【最新】導入明細表（自動機監視)(09.07.16)_【20090814】千里導入明細資料_SDB追加_【20091225】千里導入明細資料_２２年度上期分（営業店ＡＰ－ＤＢ）_Ⅹ_課題と対応策_20121211" xfId="3775"/>
    <cellStyle name="_【最新】導入明細表（自動機監視)(09.07.16)_【20090814】千里導入明細資料_SDB追加_【20091225】千里導入明細資料_２２年度上期分（営業店ＡＰ－ＤＢ）_Ⅹ_課題と対応策_20121211 2" xfId="3776"/>
    <cellStyle name="_【最新】導入明細表（自動機監視)(09.07.16)_【20090814】千里導入明細資料_SDB追加_【20091225】千里導入明細資料_２２年度上期分_営業店DB" xfId="3777"/>
    <cellStyle name="_【最新】導入明細表（自動機監視)(09.07.16)_【20090814】千里導入明細資料_SDB追加_【20091225】千里導入明細資料_２２年度上期分_営業店DB 2" xfId="3778"/>
    <cellStyle name="_【最新】導入明細表（自動機監視)(09.07.16)_【20090814】千里導入明細資料_SDB追加_【20091225】千里導入明細資料_２２年度上期分_営業店DB_【調整中】千里導入明細資料_２２年度上期分_fj_20100127" xfId="3779"/>
    <cellStyle name="_【最新】導入明細表（自動機監視)(09.07.16)_【20090814】千里導入明細資料_SDB追加_【20091225】千里導入明細資料_２２年度上期分_営業店DB_【調整中】千里導入明細資料_２２年度上期分_fj_20100127 2" xfId="3780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" xfId="3781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 2" xfId="3782"/>
    <cellStyle name="_【最新】導入明細表（自動機監視)(09.07.16)_【20090814】千里導入明細資料_SDB追加_【20091225】千里導入明細資料_２２年度上期分_営業店DB_Ⅹ_課題と対応策_20121211" xfId="3783"/>
    <cellStyle name="_【最新】導入明細表（自動機監視)(09.07.16)_【20090814】千里導入明細資料_SDB追加_【20091225】千里導入明細資料_２２年度上期分_営業店DB_Ⅹ_課題と対応策_20121211 2" xfId="3784"/>
    <cellStyle name="_【最新】導入明細表（自動機監視)(09.07.16)_【20090814】千里導入明細資料_SDB追加_【20091225】千里導入明細資料_２２年度上期分_連携DB" xfId="3785"/>
    <cellStyle name="_【最新】導入明細表（自動機監視)(09.07.16)_【20090814】千里導入明細資料_SDB追加_【20091225】千里導入明細資料_２２年度上期分_連携DB 2" xfId="3786"/>
    <cellStyle name="_【最新】導入明細表（自動機監視)(09.07.16)_【20090814】千里導入明細資料_SDB追加_【20091225】千里導入明細資料_２２年度上期分_連携DB_【調整中】千里導入明細資料_２２年度上期分_fj_20100127" xfId="3787"/>
    <cellStyle name="_【最新】導入明細表（自動機監視)(09.07.16)_【20090814】千里導入明細資料_SDB追加_【20091225】千里導入明細資料_２２年度上期分_連携DB_【調整中】千里導入明細資料_２２年度上期分_fj_20100127 2" xfId="3788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" xfId="3789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 2" xfId="3790"/>
    <cellStyle name="_【最新】導入明細表（自動機監視)(09.07.16)_【20090814】千里導入明細資料_SDB追加_【20091225】千里導入明細資料_２２年度上期分_連携DB_Ⅹ_課題と対応策_20121211" xfId="3791"/>
    <cellStyle name="_【最新】導入明細表（自動機監視)(09.07.16)_【20090814】千里導入明細資料_SDB追加_【20091225】千里導入明細資料_２２年度上期分_連携DB_Ⅹ_課題と対応策_20121211 2" xfId="3792"/>
    <cellStyle name="_【最新】導入明細表（自動機監視)(09.07.16)_【20090814】千里導入明細資料_SDB追加_【作成中】千里センター機器配置図（2010年対応分）_20091221" xfId="3793"/>
    <cellStyle name="_【最新】導入明細表（自動機監視)(09.07.16)_【20090814】千里導入明細資料_SDB追加_【作成中】千里センター機器配置図（2010年対応分）_20091221 2" xfId="3794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" xfId="3795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 2" xfId="3796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" xfId="3797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 2" xfId="3798"/>
    <cellStyle name="_【最新】導入明細表（自動機監視)(09.07.16)_【20090814】千里導入明細資料_SDB追加_【作成中】千里センター機器配置図（2010年対応分）_20091221_Ⅹ_課題と対応策_20121211" xfId="3799"/>
    <cellStyle name="_【最新】導入明細表（自動機監視)(09.07.16)_【20090814】千里導入明細資料_SDB追加_【作成中】千里センター機器配置図（2010年対応分）_20091221_Ⅹ_課題と対応策_20121211 2" xfId="3800"/>
    <cellStyle name="_【最新】導入明細表（自動機監視)(09.07.16)_【20090814】千里導入明細資料_SDB追加_Ⅹ_課題と対応策_20121211" xfId="3801"/>
    <cellStyle name="_【最新】導入明細表（自動機監視)(09.07.16)_【20090814】千里導入明細資料_SDB追加_Ⅹ_課題と対応策_20121211 2" xfId="3802"/>
    <cellStyle name="_【最新】導入明細表（自動機監視)(09.07.16)_【20090821】千里ラック搭載図（NW機器）" xfId="3803"/>
    <cellStyle name="_【最新】導入明細表（自動機監視)(09.07.16)_【20090821】千里ラック搭載図（NW機器） 2" xfId="3804"/>
    <cellStyle name="_【最新】導入明細表（自動機監視)(09.07.16)_【20090821】千里ラック搭載図（NW機器）_Ⅹ_課題と対応策_20121211" xfId="3805"/>
    <cellStyle name="_【最新】導入明細表（自動機監視)(09.07.16)_【20090821】千里ラック搭載図（NW機器）_Ⅹ_課題と対応策_20121211 2" xfId="3806"/>
    <cellStyle name="_【最新】導入明細表（自動機監視)(09.07.16)_【20091218】千里導入明細資料_２１年度分（ネットワーク敷設）" xfId="3807"/>
    <cellStyle name="_【最新】導入明細表（自動機監視)(09.07.16)_【20091218】千里導入明細資料_２１年度分（ネットワーク敷設） 2" xfId="3808"/>
    <cellStyle name="_【最新】導入明細表（自動機監視)(09.07.16)_【20091218】千里導入明細資料_２１年度分（ネットワーク敷設）_Ⅹ_課題と対応策_20121211" xfId="3809"/>
    <cellStyle name="_【最新】導入明細表（自動機監視)(09.07.16)_【20091218】千里導入明細資料_２１年度分（ネットワーク敷設）_Ⅹ_課題と対応策_20121211 2" xfId="3810"/>
    <cellStyle name="_【最新】導入明細表（自動機監視)(09.07.16)_【20091224】千里導入明細資料_２２年度上期分_営業店DB" xfId="3811"/>
    <cellStyle name="_【最新】導入明細表（自動機監視)(09.07.16)_【20091224】千里導入明細資料_２２年度上期分_営業店DB 2" xfId="3812"/>
    <cellStyle name="_【最新】導入明細表（自動機監視)(09.07.16)_【20091224】千里導入明細資料_２２年度上期分_営業店DB_【20091225】千里導入明細資料_２２年度上期分（営業店ＡＰ－ＤＢ）" xfId="3813"/>
    <cellStyle name="_【最新】導入明細表（自動機監視)(09.07.16)_【20091224】千里導入明細資料_２２年度上期分_営業店DB_【20091225】千里導入明細資料_２２年度上期分（営業店ＡＰ－ＤＢ） 2" xfId="3814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" xfId="3815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 2" xfId="3816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" xfId="3817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818"/>
    <cellStyle name="_【最新】導入明細表（自動機監視)(09.07.16)_【20091224】千里導入明細資料_２２年度上期分_営業店DB_【20091225】千里導入明細資料_２２年度上期分（営業店ＡＰ－ＤＢ）_Ⅹ_課題と対応策_20121211" xfId="3819"/>
    <cellStyle name="_【最新】導入明細表（自動機監視)(09.07.16)_【20091224】千里導入明細資料_２２年度上期分_営業店DB_【20091225】千里導入明細資料_２２年度上期分（営業店ＡＰ－ＤＢ）_Ⅹ_課題と対応策_20121211 2" xfId="3820"/>
    <cellStyle name="_【最新】導入明細表（自動機監視)(09.07.16)_【20091224】千里導入明細資料_２２年度上期分_営業店DB_【20091225】千里導入明細資料_２２年度上期分_営業店DB" xfId="3821"/>
    <cellStyle name="_【最新】導入明細表（自動機監視)(09.07.16)_【20091224】千里導入明細資料_２２年度上期分_営業店DB_【20091225】千里導入明細資料_２２年度上期分_営業店DB 2" xfId="3822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" xfId="3823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 2" xfId="3824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" xfId="3825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 2" xfId="3826"/>
    <cellStyle name="_【最新】導入明細表（自動機監視)(09.07.16)_【20091224】千里導入明細資料_２２年度上期分_営業店DB_【20091225】千里導入明細資料_２２年度上期分_営業店DB_Ⅹ_課題と対応策_20121211" xfId="3827"/>
    <cellStyle name="_【最新】導入明細表（自動機監視)(09.07.16)_【20091224】千里導入明細資料_２２年度上期分_営業店DB_【20091225】千里導入明細資料_２２年度上期分_営業店DB_Ⅹ_課題と対応策_20121211 2" xfId="3828"/>
    <cellStyle name="_【最新】導入明細表（自動機監視)(09.07.16)_【20091224】千里導入明細資料_２２年度上期分_営業店DB_Ⅹ_課題と対応策_20121211" xfId="3829"/>
    <cellStyle name="_【最新】導入明細表（自動機監視)(09.07.16)_【20091224】千里導入明細資料_２２年度上期分_営業店DB_Ⅹ_課題と対応策_20121211 2" xfId="3830"/>
    <cellStyle name="_【最新】導入明細表（自動機監視)(09.07.16)_【20091225】千里導入明細資料_２２年度上期分" xfId="3831"/>
    <cellStyle name="_【最新】導入明細表（自動機監視)(09.07.16)_【20091225】千里導入明細資料_２２年度上期分 2" xfId="3832"/>
    <cellStyle name="_【最新】導入明細表（自動機監視)(09.07.16)_【20091225】千里導入明細資料_２２年度上期分_Ⅹ_課題と対応策_20121211" xfId="3833"/>
    <cellStyle name="_【最新】導入明細表（自動機監視)(09.07.16)_【20091225】千里導入明細資料_２２年度上期分_Ⅹ_課題と対応策_20121211 2" xfId="3834"/>
    <cellStyle name="_【最新】導入明細表（自動機監視)(09.07.16)_【20091225】千里導入明細資料_２２年度上期分_営業店DB" xfId="3835"/>
    <cellStyle name="_【最新】導入明細表（自動機監視)(09.07.16)_【20091225】千里導入明細資料_２２年度上期分_営業店DB 2" xfId="3836"/>
    <cellStyle name="_【最新】導入明細表（自動機監視)(09.07.16)_【20091225】千里導入明細資料_２２年度上期分_営業店DB_Ⅹ_課題と対応策_20121211" xfId="3837"/>
    <cellStyle name="_【最新】導入明細表（自動機監視)(09.07.16)_【20091225】千里導入明細資料_２２年度上期分_営業店DB_Ⅹ_課題と対応策_20121211 2" xfId="3838"/>
    <cellStyle name="_【最新】導入明細表（自動機監視)(09.07.16)_【20091225】千里導入明細資料_２２年度上期分_連携DB" xfId="3839"/>
    <cellStyle name="_【最新】導入明細表（自動機監視)(09.07.16)_【20091225】千里導入明細資料_２２年度上期分_連携DB 2" xfId="3840"/>
    <cellStyle name="_【最新】導入明細表（自動機監視)(09.07.16)_【20091225】千里導入明細資料_２２年度上期分_連携DB_Ⅹ_課題と対応策_20121211" xfId="3841"/>
    <cellStyle name="_【最新】導入明細表（自動機監視)(09.07.16)_【20091225】千里導入明細資料_２２年度上期分_連携DB_Ⅹ_課題と対応策_20121211 2" xfId="3842"/>
    <cellStyle name="_【最新】導入明細表（自動機監視)(09.07.16)_【200912xx】千里導入明細資料_２２年度上期分" xfId="3843"/>
    <cellStyle name="_【最新】導入明細表（自動機監視)(09.07.16)_【200912xx】千里導入明細資料_２２年度上期分 2" xfId="3844"/>
    <cellStyle name="_【最新】導入明細表（自動機監視)(09.07.16)_【200912xx】千里導入明細資料_２２年度上期分（為替分）" xfId="3845"/>
    <cellStyle name="_【最新】導入明細表（自動機監視)(09.07.16)_【200912xx】千里導入明細資料_２２年度上期分（為替分） 2" xfId="3846"/>
    <cellStyle name="_【最新】導入明細表（自動機監視)(09.07.16)_【200912xx】千里導入明細資料_２２年度上期分（為替分）_Ⅹ_課題と対応策_20121211" xfId="3847"/>
    <cellStyle name="_【最新】導入明細表（自動機監視)(09.07.16)_【200912xx】千里導入明細資料_２２年度上期分（為替分）_Ⅹ_課題と対応策_20121211 2" xfId="3848"/>
    <cellStyle name="_【最新】導入明細表（自動機監視)(09.07.16)_【200912xx】千里導入明細資料_２２年度上期分_【20091225】千里導入明細資料_２２年度上期分（営業店ＡＰ－ＤＢ）" xfId="3849"/>
    <cellStyle name="_【最新】導入明細表（自動機監視)(09.07.16)_【200912xx】千里導入明細資料_２２年度上期分_【20091225】千里導入明細資料_２２年度上期分（営業店ＡＰ－ＤＢ） 2" xfId="3850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" xfId="3851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 2" xfId="3852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" xfId="3853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 2" xfId="3854"/>
    <cellStyle name="_【最新】導入明細表（自動機監視)(09.07.16)_【200912xx】千里導入明細資料_２２年度上期分_【20091225】千里導入明細資料_２２年度上期分（営業店ＡＰ－ＤＢ）_Ⅹ_課題と対応策_20121211" xfId="3855"/>
    <cellStyle name="_【最新】導入明細表（自動機監視)(09.07.16)_【200912xx】千里導入明細資料_２２年度上期分_【20091225】千里導入明細資料_２２年度上期分（営業店ＡＰ－ＤＢ）_Ⅹ_課題と対応策_20121211 2" xfId="3856"/>
    <cellStyle name="_【最新】導入明細表（自動機監視)(09.07.16)_【200912xx】千里導入明細資料_２２年度上期分_【20091225】千里導入明細資料_２２年度上期分_営業店DB" xfId="3857"/>
    <cellStyle name="_【最新】導入明細表（自動機監視)(09.07.16)_【200912xx】千里導入明細資料_２２年度上期分_【20091225】千里導入明細資料_２２年度上期分_営業店DB 2" xfId="3858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" xfId="3859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 2" xfId="3860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" xfId="3861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 2" xfId="3862"/>
    <cellStyle name="_【最新】導入明細表（自動機監視)(09.07.16)_【200912xx】千里導入明細資料_２２年度上期分_【20091225】千里導入明細資料_２２年度上期分_営業店DB_Ⅹ_課題と対応策_20121211" xfId="3863"/>
    <cellStyle name="_【最新】導入明細表（自動機監視)(09.07.16)_【200912xx】千里導入明細資料_２２年度上期分_【20091225】千里導入明細資料_２２年度上期分_営業店DB_Ⅹ_課題と対応策_20121211 2" xfId="3864"/>
    <cellStyle name="_【最新】導入明細表（自動機監視)(09.07.16)_【200912xx】千里導入明細資料_２２年度上期分_【20091225】千里導入明細資料_２２年度上期分_連携DB" xfId="3865"/>
    <cellStyle name="_【最新】導入明細表（自動機監視)(09.07.16)_【200912xx】千里導入明細資料_２２年度上期分_【20091225】千里導入明細資料_２２年度上期分_連携DB 2" xfId="3866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" xfId="3867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 2" xfId="3868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" xfId="3869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 2" xfId="3870"/>
    <cellStyle name="_【最新】導入明細表（自動機監視)(09.07.16)_【200912xx】千里導入明細資料_２２年度上期分_【20091225】千里導入明細資料_２２年度上期分_連携DB_Ⅹ_課題と対応策_20121211" xfId="3871"/>
    <cellStyle name="_【最新】導入明細表（自動機監視)(09.07.16)_【200912xx】千里導入明細資料_２２年度上期分_【20091225】千里導入明細資料_２２年度上期分_連携DB_Ⅹ_課題と対応策_20121211 2" xfId="3872"/>
    <cellStyle name="_【最新】導入明細表（自動機監視)(09.07.16)_【200912xx】千里導入明細資料_２２年度上期分_Ⅹ_課題と対応策_20121211" xfId="3873"/>
    <cellStyle name="_【最新】導入明細表（自動機監視)(09.07.16)_【200912xx】千里導入明細資料_２２年度上期分_Ⅹ_課題と対応策_20121211 2" xfId="3874"/>
    <cellStyle name="_【最新】導入明細表（自動機監視)(09.07.16)_【調整中】千里導入明細資料_２２年度上期分_fj_20100127" xfId="3875"/>
    <cellStyle name="_【最新】導入明細表（自動機監視)(09.07.16)_【調整中】千里導入明細資料_２２年度上期分_fj_20100127 2" xfId="3876"/>
    <cellStyle name="_【最新】導入明細表（自動機監視)(09.07.16)_【調整中】千里導入明細資料_２２年度上期分_fj_20100127_Ⅹ_課題と対応策_20121211" xfId="3877"/>
    <cellStyle name="_【最新】導入明細表（自動機監視)(09.07.16)_【調整中】千里導入明細資料_２２年度上期分_fj_20100127_Ⅹ_課題と対応策_20121211 2" xfId="3878"/>
    <cellStyle name="_【最新】導入明細表（自動機監視)(09.07.16)_①【20091225】千里導入明細資料_２２年度上期1分)" xfId="3879"/>
    <cellStyle name="_【最新】導入明細表（自動機監視)(09.07.16)_①【20091225】千里導入明細資料_２２年度上期1分) 2" xfId="3880"/>
    <cellStyle name="_【最新】導入明細表（自動機監視)(09.07.16)_①【20091225】千里導入明細資料_２２年度上期1分)_Ⅹ_課題と対応策_20121211" xfId="3881"/>
    <cellStyle name="_【最新】導入明細表（自動機監視)(09.07.16)_①【20091225】千里導入明細資料_２２年度上期1分)_Ⅹ_課題と対応策_20121211 2" xfId="3882"/>
    <cellStyle name="_【最新】導入明細表（自動機監視)(09.07.16)_Ⅹ_課題と対応策_20121211" xfId="3883"/>
    <cellStyle name="_【最新】導入明細表（自動機監視)(09.07.16)_Ⅹ_課題と対応策_20121211 2" xfId="3884"/>
    <cellStyle name="_【最新】導入明細表（自動機監視)(09.07.16)_ラック構成図（千里_営業店・新事務）_20090805" xfId="3885"/>
    <cellStyle name="_【最新】導入明細表（自動機監視)(09.07.16)_ラック構成図（千里_営業店・新事務）_20090805 2" xfId="3886"/>
    <cellStyle name="_【最新】導入明細表（自動機監視)(09.07.16)_ラック構成図（千里_営業店・新事務）_20090805_【20091207】千里導入明細資料_２１年度分（ネットワーク敷設）" xfId="3887"/>
    <cellStyle name="_【最新】導入明細表（自動機監視)(09.07.16)_ラック構成図（千里_営業店・新事務）_20090805_【20091207】千里導入明細資料_２１年度分（ネットワーク敷設） 2" xfId="3888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" xfId="3889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 2" xfId="3890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" xfId="3891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 2" xfId="3892"/>
    <cellStyle name="_【最新】導入明細表（自動機監視)(09.07.16)_ラック構成図（千里_営業店・新事務）_20090805_【20091207】千里導入明細資料_２１年度分（ネットワーク敷設）_Ⅹ_課題と対応策_20121211" xfId="3893"/>
    <cellStyle name="_【最新】導入明細表（自動機監視)(09.07.16)_ラック構成図（千里_営業店・新事務）_20090805_【20091207】千里導入明細資料_２１年度分（ネットワーク敷設）_Ⅹ_課題と対応策_20121211 2" xfId="3894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" xfId="3895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 2" xfId="3896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" xfId="3897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 2" xfId="3898"/>
    <cellStyle name="_【最新】導入明細表（自動機監視)(09.07.16)_ラック構成図（千里_営業店・新事務）_20090805_【20091225】千里導入明細資料_２２年度上期分（営業店ＡＰ－ＤＢ）" xfId="3899"/>
    <cellStyle name="_【最新】導入明細表（自動機監視)(09.07.16)_ラック構成図（千里_営業店・新事務）_20090805_【20091225】千里導入明細資料_２２年度上期分（営業店ＡＰ－ＤＢ） 2" xfId="3900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" xfId="3901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 2" xfId="3902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" xfId="3903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 2" xfId="3904"/>
    <cellStyle name="_【最新】導入明細表（自動機監視)(09.07.16)_ラック構成図（千里_営業店・新事務）_20090805_【20091225】千里導入明細資料_２２年度上期分（営業店ＡＰ－ＤＢ）_Ⅹ_課題と対応策_20121211" xfId="3905"/>
    <cellStyle name="_【最新】導入明細表（自動機監視)(09.07.16)_ラック構成図（千里_営業店・新事務）_20090805_【20091225】千里導入明細資料_２２年度上期分（営業店ＡＰ－ＤＢ）_Ⅹ_課題と対応策_20121211 2" xfId="3906"/>
    <cellStyle name="_【最新】導入明細表（自動機監視)(09.07.16)_ラック構成図（千里_営業店・新事務）_20090805_【20091225】千里導入明細資料_２２年度上期分_営業店DB" xfId="3907"/>
    <cellStyle name="_【最新】導入明細表（自動機監視)(09.07.16)_ラック構成図（千里_営業店・新事務）_20090805_【20091225】千里導入明細資料_２２年度上期分_営業店DB 2" xfId="3908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" xfId="3909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 2" xfId="3910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" xfId="3911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 2" xfId="3912"/>
    <cellStyle name="_【最新】導入明細表（自動機監視)(09.07.16)_ラック構成図（千里_営業店・新事務）_20090805_【20091225】千里導入明細資料_２２年度上期分_営業店DB_Ⅹ_課題と対応策_20121211" xfId="3913"/>
    <cellStyle name="_【最新】導入明細表（自動機監視)(09.07.16)_ラック構成図（千里_営業店・新事務）_20090805_【20091225】千里導入明細資料_２２年度上期分_営業店DB_Ⅹ_課題と対応策_20121211 2" xfId="3914"/>
    <cellStyle name="_【最新】導入明細表（自動機監視)(09.07.16)_ラック構成図（千里_営業店・新事務）_20090805_【20091225】千里導入明細資料_２２年度上期分_連携DB" xfId="3915"/>
    <cellStyle name="_【最新】導入明細表（自動機監視)(09.07.16)_ラック構成図（千里_営業店・新事務）_20090805_【20091225】千里導入明細資料_２２年度上期分_連携DB 2" xfId="3916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" xfId="3917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 2" xfId="3918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" xfId="3919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 2" xfId="3920"/>
    <cellStyle name="_【最新】導入明細表（自動機監視)(09.07.16)_ラック構成図（千里_営業店・新事務）_20090805_【20091225】千里導入明細資料_２２年度上期分_連携DB_Ⅹ_課題と対応策_20121211" xfId="3921"/>
    <cellStyle name="_【最新】導入明細表（自動機監視)(09.07.16)_ラック構成図（千里_営業店・新事務）_20090805_【20091225】千里導入明細資料_２２年度上期分_連携DB_Ⅹ_課題と対応策_20121211 2" xfId="3922"/>
    <cellStyle name="_【最新】導入明細表（自動機監視)(09.07.16)_ラック構成図（千里_営業店・新事務）_20090805_【作成中】千里センター機器配置図（2010年対応分）_20091221" xfId="3923"/>
    <cellStyle name="_【最新】導入明細表（自動機監視)(09.07.16)_ラック構成図（千里_営業店・新事務）_20090805_【作成中】千里センター機器配置図（2010年対応分）_20091221 2" xfId="3924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" xfId="3925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 2" xfId="3926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" xfId="3927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 2" xfId="3928"/>
    <cellStyle name="_【最新】導入明細表（自動機監視)(09.07.16)_ラック構成図（千里_営業店・新事務）_20090805_【作成中】千里センター機器配置図（2010年対応分）_20091221_Ⅹ_課題と対応策_20121211" xfId="3929"/>
    <cellStyle name="_【最新】導入明細表（自動機監視)(09.07.16)_ラック構成図（千里_営業店・新事務）_20090805_【作成中】千里センター機器配置図（2010年対応分）_20091221_Ⅹ_課題と対応策_20121211 2" xfId="3930"/>
    <cellStyle name="_【最新】導入明細表（自動機監視)(09.07.16)_ラック構成図（千里_営業店・新事務）_20090805_Ⅹ_課題と対応策_20121211" xfId="3931"/>
    <cellStyle name="_【最新】導入明細表（自動機監視)(09.07.16)_ラック構成図（千里_営業店・新事務）_20090805_Ⅹ_課題と対応策_20121211 2" xfId="3932"/>
    <cellStyle name="_【最新】導入明細表（自動機監視)(09.07.16)_ラック構成図_Catalyst直付け（新事務処理）" xfId="3933"/>
    <cellStyle name="_【最新】導入明細表（自動機監視)(09.07.16)_ラック構成図_Catalyst直付け（新事務処理） 2" xfId="3934"/>
    <cellStyle name="_【最新】導入明細表（自動機監視)(09.07.16)_ラック構成図_Catalyst直付け（新事務処理）_【20091207】千里導入明細資料_２１年度分（ネットワーク敷設）" xfId="3935"/>
    <cellStyle name="_【最新】導入明細表（自動機監視)(09.07.16)_ラック構成図_Catalyst直付け（新事務処理）_【20091207】千里導入明細資料_２１年度分（ネットワーク敷設） 2" xfId="3936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" xfId="3937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 2" xfId="3938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" xfId="3939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 2" xfId="3940"/>
    <cellStyle name="_【最新】導入明細表（自動機監視)(09.07.16)_ラック構成図_Catalyst直付け（新事務処理）_【20091207】千里導入明細資料_２１年度分（ネットワーク敷設）_Ⅹ_課題と対応策_20121211" xfId="3941"/>
    <cellStyle name="_【最新】導入明細表（自動機監視)(09.07.16)_ラック構成図_Catalyst直付け（新事務処理）_【20091207】千里導入明細資料_２１年度分（ネットワーク敷設）_Ⅹ_課題と対応策_20121211 2" xfId="3942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" xfId="3943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 2" xfId="3944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" xfId="3945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 2" xfId="3946"/>
    <cellStyle name="_【最新】導入明細表（自動機監視)(09.07.16)_ラック構成図_Catalyst直付け（新事務処理）_【20091225】千里導入明細資料_２２年度上期分（営業店ＡＰ－ＤＢ）" xfId="3947"/>
    <cellStyle name="_【最新】導入明細表（自動機監視)(09.07.16)_ラック構成図_Catalyst直付け（新事務処理）_【20091225】千里導入明細資料_２２年度上期分（営業店ＡＰ－ＤＢ） 2" xfId="3948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" xfId="3949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 2" xfId="3950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" xfId="3951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 2" xfId="3952"/>
    <cellStyle name="_【最新】導入明細表（自動機監視)(09.07.16)_ラック構成図_Catalyst直付け（新事務処理）_【20091225】千里導入明細資料_２２年度上期分（営業店ＡＰ－ＤＢ）_Ⅹ_課題と対応策_20121211" xfId="3953"/>
    <cellStyle name="_【最新】導入明細表（自動機監視)(09.07.16)_ラック構成図_Catalyst直付け（新事務処理）_【20091225】千里導入明細資料_２２年度上期分（営業店ＡＰ－ＤＢ）_Ⅹ_課題と対応策_20121211 2" xfId="3954"/>
    <cellStyle name="_【最新】導入明細表（自動機監視)(09.07.16)_ラック構成図_Catalyst直付け（新事務処理）_【20091225】千里導入明細資料_２２年度上期分_営業店DB" xfId="3955"/>
    <cellStyle name="_【最新】導入明細表（自動機監視)(09.07.16)_ラック構成図_Catalyst直付け（新事務処理）_【20091225】千里導入明細資料_２２年度上期分_営業店DB 2" xfId="3956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" xfId="3957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 2" xfId="3958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" xfId="3959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 2" xfId="3960"/>
    <cellStyle name="_【最新】導入明細表（自動機監視)(09.07.16)_ラック構成図_Catalyst直付け（新事務処理）_【20091225】千里導入明細資料_２２年度上期分_営業店DB_Ⅹ_課題と対応策_20121211" xfId="3961"/>
    <cellStyle name="_【最新】導入明細表（自動機監視)(09.07.16)_ラック構成図_Catalyst直付け（新事務処理）_【20091225】千里導入明細資料_２２年度上期分_営業店DB_Ⅹ_課題と対応策_20121211 2" xfId="3962"/>
    <cellStyle name="_【最新】導入明細表（自動機監視)(09.07.16)_ラック構成図_Catalyst直付け（新事務処理）_【20091225】千里導入明細資料_２２年度上期分_連携DB" xfId="3963"/>
    <cellStyle name="_【最新】導入明細表（自動機監視)(09.07.16)_ラック構成図_Catalyst直付け（新事務処理）_【20091225】千里導入明細資料_２２年度上期分_連携DB 2" xfId="3964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" xfId="3965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 2" xfId="3966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" xfId="3967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 2" xfId="3968"/>
    <cellStyle name="_【最新】導入明細表（自動機監視)(09.07.16)_ラック構成図_Catalyst直付け（新事務処理）_【20091225】千里導入明細資料_２２年度上期分_連携DB_Ⅹ_課題と対応策_20121211" xfId="3969"/>
    <cellStyle name="_【最新】導入明細表（自動機監視)(09.07.16)_ラック構成図_Catalyst直付け（新事務処理）_【20091225】千里導入明細資料_２２年度上期分_連携DB_Ⅹ_課題と対応策_20121211 2" xfId="3970"/>
    <cellStyle name="_【最新】導入明細表（自動機監視)(09.07.16)_ラック構成図_Catalyst直付け（新事務処理）_【作成中】千里センター機器配置図（2010年対応分）_20091221" xfId="3971"/>
    <cellStyle name="_【最新】導入明細表（自動機監視)(09.07.16)_ラック構成図_Catalyst直付け（新事務処理）_【作成中】千里センター機器配置図（2010年対応分）_20091221 2" xfId="3972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" xfId="3973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 2" xfId="3974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" xfId="3975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 2" xfId="3976"/>
    <cellStyle name="_【最新】導入明細表（自動機監視)(09.07.16)_ラック構成図_Catalyst直付け（新事務処理）_【作成中】千里センター機器配置図（2010年対応分）_20091221_Ⅹ_課題と対応策_20121211" xfId="3977"/>
    <cellStyle name="_【最新】導入明細表（自動機監視)(09.07.16)_ラック構成図_Catalyst直付け（新事務処理）_【作成中】千里センター機器配置図（2010年対応分）_20091221_Ⅹ_課題と対応策_20121211 2" xfId="3978"/>
    <cellStyle name="_【最新】導入明細表（自動機監視)(09.07.16)_ラック構成図_Catalyst直付け（新事務処理）_Ⅹ_課題と対応策_20121211" xfId="3979"/>
    <cellStyle name="_【最新】導入明細表（自動機監視)(09.07.16)_ラック構成図_Catalyst直付け（新事務処理）_Ⅹ_課題と対応策_20121211 2" xfId="3980"/>
    <cellStyle name="_【最新】導入明細表（自動機監視)(09.07.16)_ラック構成図_RX100Si-R削除(新事務処理)" xfId="3981"/>
    <cellStyle name="_【最新】導入明細表（自動機監視)(09.07.16)_ラック構成図_RX100Si-R削除(新事務処理) 2" xfId="3982"/>
    <cellStyle name="_【最新】導入明細表（自動機監視)(09.07.16)_ラック構成図_RX100Si-R削除(新事務処理)_【20091207】千里導入明細資料_２１年度分（ネットワーク敷設）" xfId="3983"/>
    <cellStyle name="_【最新】導入明細表（自動機監視)(09.07.16)_ラック構成図_RX100Si-R削除(新事務処理)_【20091207】千里導入明細資料_２１年度分（ネットワーク敷設） 2" xfId="3984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" xfId="3985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 2" xfId="3986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" xfId="3987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 2" xfId="3988"/>
    <cellStyle name="_【最新】導入明細表（自動機監視)(09.07.16)_ラック構成図_RX100Si-R削除(新事務処理)_【20091207】千里導入明細資料_２１年度分（ネットワーク敷設）_Ⅹ_課題と対応策_20121211" xfId="3989"/>
    <cellStyle name="_【最新】導入明細表（自動機監視)(09.07.16)_ラック構成図_RX100Si-R削除(新事務処理)_【20091207】千里導入明細資料_２１年度分（ネットワーク敷設）_Ⅹ_課題と対応策_20121211 2" xfId="3990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" xfId="3991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 2" xfId="3992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" xfId="3993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 2" xfId="3994"/>
    <cellStyle name="_【最新】導入明細表（自動機監視)(09.07.16)_ラック構成図_RX100Si-R削除(新事務処理)_【20091225】千里導入明細資料_２２年度上期分（営業店ＡＰ－ＤＢ）" xfId="3995"/>
    <cellStyle name="_【最新】導入明細表（自動機監視)(09.07.16)_ラック構成図_RX100Si-R削除(新事務処理)_【20091225】千里導入明細資料_２２年度上期分（営業店ＡＰ－ＤＢ） 2" xfId="3996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" xfId="3997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 2" xfId="3998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" xfId="3999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 2" xfId="4000"/>
    <cellStyle name="_【最新】導入明細表（自動機監視)(09.07.16)_ラック構成図_RX100Si-R削除(新事務処理)_【20091225】千里導入明細資料_２２年度上期分（営業店ＡＰ－ＤＢ）_Ⅹ_課題と対応策_20121211" xfId="4001"/>
    <cellStyle name="_【最新】導入明細表（自動機監視)(09.07.16)_ラック構成図_RX100Si-R削除(新事務処理)_【20091225】千里導入明細資料_２２年度上期分（営業店ＡＰ－ＤＢ）_Ⅹ_課題と対応策_20121211 2" xfId="4002"/>
    <cellStyle name="_【最新】導入明細表（自動機監視)(09.07.16)_ラック構成図_RX100Si-R削除(新事務処理)_【20091225】千里導入明細資料_２２年度上期分_営業店DB" xfId="4003"/>
    <cellStyle name="_【最新】導入明細表（自動機監視)(09.07.16)_ラック構成図_RX100Si-R削除(新事務処理)_【20091225】千里導入明細資料_２２年度上期分_営業店DB 2" xfId="4004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" xfId="4005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 2" xfId="4006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" xfId="4007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 2" xfId="4008"/>
    <cellStyle name="_【最新】導入明細表（自動機監視)(09.07.16)_ラック構成図_RX100Si-R削除(新事務処理)_【20091225】千里導入明細資料_２２年度上期分_営業店DB_Ⅹ_課題と対応策_20121211" xfId="4009"/>
    <cellStyle name="_【最新】導入明細表（自動機監視)(09.07.16)_ラック構成図_RX100Si-R削除(新事務処理)_【20091225】千里導入明細資料_２２年度上期分_営業店DB_Ⅹ_課題と対応策_20121211 2" xfId="4010"/>
    <cellStyle name="_【最新】導入明細表（自動機監視)(09.07.16)_ラック構成図_RX100Si-R削除(新事務処理)_【20091225】千里導入明細資料_２２年度上期分_連携DB" xfId="4011"/>
    <cellStyle name="_【最新】導入明細表（自動機監視)(09.07.16)_ラック構成図_RX100Si-R削除(新事務処理)_【20091225】千里導入明細資料_２２年度上期分_連携DB 2" xfId="4012"/>
    <cellStyle name="_【最新】導入明細表（自動機監視)(09.07.16)_ラック構成図_RX100Si-R削除(新事務処理)_【20091225】千里導入明細資料_２２年度上期分_連携DB_【調整中】千里導入明細資料_２２年度上期分_fj_20100127" xfId="4013"/>
    <cellStyle name="_【最新】導入明細表（自動機監視)(09.07.16)_ラック構成図_RX100Si-R削除(新事務処理)_【20091225】千里導入明細資料_２２年度上期分_連携DB_【調整中】千里導入明細資料_２２年度上期分_fj_20100127 2" xfId="4014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" xfId="4015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 2" xfId="4016"/>
    <cellStyle name="_【最新】導入明細表（自動機監視)(09.07.16)_ラック構成図_RX100Si-R削除(新事務処理)_【20091225】千里導入明細資料_２２年度上期分_連携DB_Ⅹ_課題と対応策_20121211" xfId="4017"/>
    <cellStyle name="_【最新】導入明細表（自動機監視)(09.07.16)_ラック構成図_RX100Si-R削除(新事務処理)_【20091225】千里導入明細資料_２２年度上期分_連携DB_Ⅹ_課題と対応策_20121211 2" xfId="4018"/>
    <cellStyle name="_【最新】導入明細表（自動機監視)(09.07.16)_ラック構成図_RX100Si-R削除(新事務処理)_【作成中】千里センター機器配置図（2010年対応分）_20091221" xfId="4019"/>
    <cellStyle name="_【最新】導入明細表（自動機監視)(09.07.16)_ラック構成図_RX100Si-R削除(新事務処理)_【作成中】千里センター機器配置図（2010年対応分）_20091221 2" xfId="4020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" xfId="4021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 2" xfId="4022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" xfId="4023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 2" xfId="4024"/>
    <cellStyle name="_【最新】導入明細表（自動機監視)(09.07.16)_ラック構成図_RX100Si-R削除(新事務処理)_【作成中】千里センター機器配置図（2010年対応分）_20091221_Ⅹ_課題と対応策_20121211" xfId="4025"/>
    <cellStyle name="_【最新】導入明細表（自動機監視)(09.07.16)_ラック構成図_RX100Si-R削除(新事務処理)_【作成中】千里センター機器配置図（2010年対応分）_20091221_Ⅹ_課題と対応策_20121211 2" xfId="4026"/>
    <cellStyle name="_【最新】導入明細表（自動機監視)(09.07.16)_ラック構成図_RX100Si-R削除(新事務処理)_Ⅹ_課題と対応策_20121211" xfId="4027"/>
    <cellStyle name="_【最新】導入明細表（自動機監視)(09.07.16)_ラック構成図_RX100Si-R削除(新事務処理)_Ⅹ_課題と対応策_20121211 2" xfId="4028"/>
    <cellStyle name="_【最新】導入明細表（自動機監視)(09.07.16)_千里導入明細資料_２２年度分（ネットワーク敷設）_fj" xfId="4029"/>
    <cellStyle name="_【最新】導入明細表（自動機監視)(09.07.16)_千里導入明細資料_２２年度分（ネットワーク敷設）_fj 2" xfId="4030"/>
    <cellStyle name="_【最新】導入明細表（自動機監視)(09.07.16)_千里導入明細資料_２２年度分（ネットワーク敷設）_fj_Ⅹ_課題と対応策_20121211" xfId="4031"/>
    <cellStyle name="_【最新】導入明細表（自動機監視)(09.07.16)_千里導入明細資料_２２年度分（ネットワーク敷設）_fj_Ⅹ_課題と対応策_20121211 2" xfId="4032"/>
    <cellStyle name="_【作成中】千里センター機器配置図（2010年対応分）_20091221" xfId="4033"/>
    <cellStyle name="_【作成中】千里センター機器配置図（2010年対応分）_20091221 2" xfId="4034"/>
    <cellStyle name="_【作成中】千里センター機器配置図（2010年対応分）_20091221_【調整中】千里導入明細資料_２２年度上期分_fj_20100127" xfId="4035"/>
    <cellStyle name="_【作成中】千里センター機器配置図（2010年対応分）_20091221_【調整中】千里導入明細資料_２２年度上期分_fj_20100127 2" xfId="4036"/>
    <cellStyle name="_【作成中】千里センター機器配置図（2010年対応分）_20091221_【調整中】千里導入明細資料_２２年度上期分_fj_20100127_Ⅹ_課題と対応策_20121211" xfId="4037"/>
    <cellStyle name="_【作成中】千里センター機器配置図（2010年対応分）_20091221_【調整中】千里導入明細資料_２２年度上期分_fj_20100127_Ⅹ_課題と対応策_20121211 2" xfId="4038"/>
    <cellStyle name="_【作成中】千里センター機器配置図（2010年対応分）_20091221_Ⅹ_課題と対応策_20121211" xfId="4039"/>
    <cellStyle name="_【作成中】千里センター機器配置図（2010年対応分）_20091221_Ⅹ_課題と対応策_20121211 2" xfId="4040"/>
    <cellStyle name="_0016F760構成表_0130" xfId="4041"/>
    <cellStyle name="_00517389_xSeries構成表0306" xfId="4042"/>
    <cellStyle name="_016_ARCserve導入パラメータ070106" xfId="4043"/>
    <cellStyle name="_021_RHEL3導入パラメータ070106" xfId="4044"/>
    <cellStyle name="_022_SLES9導入パラメータ070106" xfId="4045"/>
    <cellStyle name="_024_DB2導入パラメータ_Linux_070106" xfId="4046"/>
    <cellStyle name="_031_NetVault導入パラメータ070106" xfId="4047"/>
    <cellStyle name="_12.17現調立会報告書(0712C01-0066)エヌ・ティ・ティ・データ(りそな銀行) りそな銀行第2野村ビル" xfId="4048"/>
    <cellStyle name="_19インチラック実装図_深川090827【ソフィアサーバ加筆】.xls" xfId="4049"/>
    <cellStyle name="_19インチラック実装図_深川090827【ソフィアサーバ加筆】.xls 2" xfId="4050"/>
    <cellStyle name="_19インチラック実装図_深川090827【ソフィアサーバ加筆】.xls_【深川ギャザリア】ラック搭載図_091218" xfId="4051"/>
    <cellStyle name="_19インチラック実装図_深川090827【ソフィアサーバ加筆】.xls_【深川ギャザリア】ラック搭載図_091218 2" xfId="4052"/>
    <cellStyle name="_19インチラック実装図_深川090827【ソフィアサーバ加筆】.xls_【深川ギャザリア】ラック搭載図_091218_Ⅹ_課題と対応策_20121211" xfId="4053"/>
    <cellStyle name="_19インチラック実装図_深川090827【ソフィアサーバ加筆】.xls_【深川ギャザリア】ラック搭載図_091218_Ⅹ_課題と対応策_20121211 2" xfId="4054"/>
    <cellStyle name="_19インチラック実装図_深川090827【ソフィアサーバ加筆】.xls_【東京本社】L2SW台数_ラックマウント_091203" xfId="4055"/>
    <cellStyle name="_19インチラック実装図_深川090827【ソフィアサーバ加筆】.xls_【東京本社】L2SW台数_ラックマウント_091203 2" xfId="4056"/>
    <cellStyle name="_19インチラック実装図_深川090827【ソフィアサーバ加筆】.xls_【東京本社】L2SW台数_ラックマウント_091203_Ⅹ_課題と対応策_20121211" xfId="4057"/>
    <cellStyle name="_19インチラック実装図_深川090827【ソフィアサーバ加筆】.xls_【東京本社】L2SW台数_ラックマウント_091203_Ⅹ_課題と対応策_20121211 2" xfId="4058"/>
    <cellStyle name="_19インチラック実装図_深川090827【ソフィアサーバ加筆】.xls_100223_全フロア記入19イン  チラック実装図_100108　修正" xfId="4059"/>
    <cellStyle name="_19インチラック実装図_深川090827【ソフィアサーバ加筆】.xls_100223_全フロア記入19イン  チラック実装図_100108　修正 2" xfId="4060"/>
    <cellStyle name="_19インチラック実装図_深川090827【ソフィアサーバ加筆】.xls_100223_全フロア記入19イン  チラック実装図_100108　修正_Ⅹ_課題と対応策_20121211" xfId="4061"/>
    <cellStyle name="_19インチラック実装図_深川090827【ソフィアサーバ加筆】.xls_100223_全フロア記入19イン  チラック実装図_100108　修正_Ⅹ_課題と対応策_20121211 2" xfId="4062"/>
    <cellStyle name="_19インチラック実装図_深川090827【ソフィアサーバ加筆】.xls_100224_全フロア記入19インチラック実装図_1002_受領" xfId="4063"/>
    <cellStyle name="_19インチラック実装図_深川090827【ソフィアサーバ加筆】.xls_100224_全フロア記入19インチラック実装図_1002_受領 2" xfId="4064"/>
    <cellStyle name="_19インチラック実装図_深川090827【ソフィアサーバ加筆】.xls_100224_全フロア記入19インチラック実装図_1002_受領_Ⅹ_課題と対応策_20121211" xfId="4065"/>
    <cellStyle name="_19インチラック実装図_深川090827【ソフィアサーバ加筆】.xls_100224_全フロア記入19インチラック実装図_1002_受領_Ⅹ_課題と対応策_20121211 2" xfId="4066"/>
    <cellStyle name="_19インチラック実装図_深川090827【ソフィアサーバ加筆】.xls_19 インチラック実装図_深川090921" xfId="4067"/>
    <cellStyle name="_19インチラック実装図_深川090827【ソフィアサーバ加筆】.xls_19 インチラック実装図_深川090921 2" xfId="4068"/>
    <cellStyle name="_19インチラック実装図_深川090827【ソフィアサーバ加筆】.xls_19 インチラック実装図_深川090921_Ⅹ_課題と対応策_20121211" xfId="4069"/>
    <cellStyle name="_19インチラック実装図_深川090827【ソフィアサーバ加筆】.xls_19 インチラック実装図_深川090921_Ⅹ_課題と対応策_20121211 2" xfId="4070"/>
    <cellStyle name="_19インチラック実装図_深川090827【ソフィアサーバ加筆】.xls_19 インチラック実装図更新依頼" xfId="4071"/>
    <cellStyle name="_19インチラック実装図_深川090827【ソフィアサーバ加筆】.xls_19 インチラック実装図更新依頼 2" xfId="4072"/>
    <cellStyle name="_19インチラック実装図_深川090827【ソフィアサーバ加筆】.xls_19 インチラック実装図更新依頼_Ⅹ_課題と対応策_20121211" xfId="4073"/>
    <cellStyle name="_19インチラック実装図_深川090827【ソフィアサーバ加筆】.xls_19 インチラック実装図更新依頼_Ⅹ_課題と対応策_20121211 2" xfId="4074"/>
    <cellStyle name="_19インチラック実装図_深川090827【ソフィアサーバ加筆】.xls_19インチラック実装図_深川090921 (2)" xfId="4075"/>
    <cellStyle name="_19インチラック実装図_深川090827【ソフィアサーバ加筆】.xls_19インチラック実装図_深川090921 (2) 2" xfId="4076"/>
    <cellStyle name="_19インチラック実装図_深川090827【ソフィアサーバ加筆】.xls_19インチラック実装図_深川090921 (2)_Ⅹ_課題と対応策_20121211" xfId="4077"/>
    <cellStyle name="_19インチラック実装図_深川090827【ソフィアサーバ加筆】.xls_19インチラック実装図_深川090921 (2)_Ⅹ_課題と対応策_20121211 2" xfId="4078"/>
    <cellStyle name="_19インチラック実装図_深川090827【ソフィアサーバ加筆】.xls_19インチラック実装図_深川090921R2(栗原作成中)" xfId="4079"/>
    <cellStyle name="_19インチラック実装図_深川090827【ソフィアサーバ加筆】.xls_19インチラック実装図_深川090921R2(栗原作成中) 2" xfId="4080"/>
    <cellStyle name="_19インチラック実装図_深川090827【ソフィアサーバ加筆】.xls_19インチラック実装図_深川090921R2(栗原作成中)_Ⅹ_課題と対応策_20121211" xfId="4081"/>
    <cellStyle name="_19インチラック実装図_深川090827【ソフィアサーバ加筆】.xls_19インチラック実装図_深川090921R2(栗原作成中)_Ⅹ_課題と対応策_20121211 2" xfId="4082"/>
    <cellStyle name="_19インチラック実装図_深川090827【ソフィアサーバ加筆】.xls_2-5F記入19インチラック実装図_深川090924" xfId="4083"/>
    <cellStyle name="_19インチラック実装図_深川090827【ソフィアサーバ加筆】.xls_2-5F記入19インチラック実装図_深川090924 2" xfId="4084"/>
    <cellStyle name="_19インチラック実装図_深川090827【ソフィアサーバ加筆】.xls_2-5F記入19インチラック実装図_深川090924_Ⅹ_課題と対応策_20121211" xfId="4085"/>
    <cellStyle name="_19インチラック実装図_深川090827【ソフィアサーバ加筆】.xls_2-5F記入19インチラック実装図_深川090924_Ⅹ_課題と対応策_20121211 2" xfId="4086"/>
    <cellStyle name="_19インチラック実装図_深川090827【ソフィアサーバ加筆】.xls_2MRNW記入19インチラック実装図_深川091127" xfId="4087"/>
    <cellStyle name="_19インチラック実装図_深川090827【ソフィアサーバ加筆】.xls_2MRNW記入19インチラック実装図_深川091127 2" xfId="4088"/>
    <cellStyle name="_19インチラック実装図_深川090827【ソフィアサーバ加筆】.xls_2MRNW記入19インチラック実装図_深川091127_Ⅹ_課題と対応策_20121211" xfId="4089"/>
    <cellStyle name="_19インチラック実装図_深川090827【ソフィアサーバ加筆】.xls_2MRNW記入19インチラック実装図_深川091127_Ⅹ_課題と対応策_20121211 2" xfId="4090"/>
    <cellStyle name="_19インチラック実装図_深川090827【ソフィアサーバ加筆】.xls_3F_19インチラック実装図_深 川091225_ソフィア修正" xfId="4091"/>
    <cellStyle name="_19インチラック実装図_深川090827【ソフィアサーバ加筆】.xls_3F_19インチラック実装図_深 川091225_ソフィア修正 2" xfId="4092"/>
    <cellStyle name="_19インチラック実装図_深川090827【ソフィアサーバ加筆】.xls_3F_19インチラック実装図_深 川091225_ソフィア修正_Ⅹ_課題と対応策_20121211" xfId="4093"/>
    <cellStyle name="_19インチラック実装図_深川090827【ソフィアサーバ加筆】.xls_3F_19インチラック実装図_深 川091225_ソフィア修正_Ⅹ_課題と対応策_20121211 2" xfId="4094"/>
    <cellStyle name="_19インチラック実装図_深川090827【ソフィアサーバ加筆】.xls_Ⅹ_課題と対応策_20121211" xfId="4095"/>
    <cellStyle name="_19インチラック実装図_深川090827【ソフィアサーバ加筆】.xls_Ⅹ_課題と対応策_20121211 2" xfId="4096"/>
    <cellStyle name="_19インチラック実装図_深川090827【ソフィアサーバ加筆】.xls_D&amp;I サーバ室配線（ラック実装図_深川より抜粋）" xfId="4097"/>
    <cellStyle name="_19インチラック実装図_深川090827【ソフィアサーバ加筆】.xls_D&amp;I サーバ室配線（ラック実装図_深川より抜粋） 2" xfId="4098"/>
    <cellStyle name="_19インチラック実装図_深川090827【ソフィアサーバ加筆】.xls_D&amp;I サーバ室配線（ラック実装図_深川より抜粋）_Ⅹ_課題と対応策_20121211" xfId="4099"/>
    <cellStyle name="_19インチラック実装図_深川090827【ソフィアサーバ加筆】.xls_D&amp;I サーバ室配線（ラック実装図_深川より抜粋）_Ⅹ_課題と対応策_20121211 2" xfId="4100"/>
    <cellStyle name="_19インチラック実装図_深川090827【ソフィアサーバ加筆】.xls_MR_SV#B" xfId="4101"/>
    <cellStyle name="_19インチラック実装図_深川090827【ソフィアサーバ加筆】.xls_MR_SV#B 2" xfId="4102"/>
    <cellStyle name="_19インチラック実装図_深川090827【ソフィアサーバ加筆】.xls_MR_SV#B_Ⅹ_課題と対応策_20121211" xfId="4103"/>
    <cellStyle name="_19インチラック実装図_深川090827【ソフィアサーバ加筆】.xls_MR_SV#B_Ⅹ_課題と対応策_20121211 2" xfId="4104"/>
    <cellStyle name="_19インチラック実装図_深川090827【ソフィアサーバ加筆】.xls_MR内UTPﾊﾟｯﾁﾊﾟﾈﾙ物理構成図091218" xfId="4105"/>
    <cellStyle name="_19インチラック実装図_深川090827【ソフィアサーバ加筆】.xls_MR内UTPﾊﾟｯﾁﾊﾟﾈﾙ物理構成図091218 2" xfId="4106"/>
    <cellStyle name="_19インチラック実装図_深川090827【ソフィアサーバ加筆】.xls_MR内UTPﾊﾟｯﾁﾊﾟﾈﾙ物理構成図091218_Ⅹ_課題と対応策_20121211" xfId="4107"/>
    <cellStyle name="_19インチラック実装図_深川090827【ソフィアサーバ加筆】.xls_MR内UTPﾊﾟｯﾁﾊﾟﾈﾙ物理構成図091218_Ⅹ_課題と対応策_20121211 2" xfId="4108"/>
    <cellStyle name="_19インチラック実装図_深川090827【ソフィアサーバ加筆】.xls_コピー全フロア記入19インチラック実装図_深川091210作成中" xfId="4109"/>
    <cellStyle name="_19インチラック実装図_深川090827【ソフィアサーバ加筆】.xls_コピー全フロア記入19インチラック実装図_深川091210作成中 2" xfId="4110"/>
    <cellStyle name="_19インチラック実装図_深川090827【ソフィアサーバ加筆】.xls_コピー全フロア記入19インチラック実装図_深川091210作成中_Ⅹ_課題と対応策_20121211" xfId="4111"/>
    <cellStyle name="_19インチラック実装図_深川090827【ソフィアサーバ加筆】.xls_コピー全フロア記入19インチラック実装図_深川091210作成中_Ⅹ_課題と対応策_20121211 2" xfId="4112"/>
    <cellStyle name="_19インチラック実装図_深川090827【ソフィアサーバ加筆】.xls_ラック実装2FMR_３～５F（ラック実装図_深川より抜粋）" xfId="4113"/>
    <cellStyle name="_19インチラック実装図_深川090827【ソフィアサーバ加筆】.xls_ラック実装2FMR_３～５F（ラック実装図_深川より抜粋） 2" xfId="4114"/>
    <cellStyle name="_19インチラック実装図_深川090827【ソフィアサーバ加筆】.xls_ラック実装2FMR_３～５F（ラック実装図_深川より抜粋）_Ⅹ_課題と対応策_20121211" xfId="4115"/>
    <cellStyle name="_19インチラック実装図_深川090827【ソフィアサーバ加筆】.xls_ラック実装2FMR_３～５F（ラック実装図_深川より抜粋）_Ⅹ_課題と対応策_20121211 2" xfId="4116"/>
    <cellStyle name="_19インチラック実装図_深川090827【ソフィアサーバ加筆】.xls_深川DTSラックマウント" xfId="4117"/>
    <cellStyle name="_19インチラック実装図_深川090827【ソフィアサーバ加筆】.xls_深川DTSラックマウント 2" xfId="4118"/>
    <cellStyle name="_19インチラック実装図_深川090827【ソフィアサーバ加筆】.xls_深川DTSラックマウント_Ⅹ_課題と対応策_20121211" xfId="4119"/>
    <cellStyle name="_19インチラック実装図_深川090827【ソフィアサーバ加筆】.xls_深川DTSラックマウント_Ⅹ_課題と対応策_20121211 2" xfId="4120"/>
    <cellStyle name="_19インチラック実装図_深川090827【ソフィアサーバ加筆】.xls_深川TFX用FWラックマウント" xfId="4121"/>
    <cellStyle name="_19インチラック実装図_深川090827【ソフィアサーバ加筆】.xls_深川TFX用FWラックマウント 2" xfId="4122"/>
    <cellStyle name="_19インチラック実装図_深川090827【ソフィアサーバ加筆】.xls_深川TFX用FWラックマウント_Ⅹ_課題と対応策_20121211" xfId="4123"/>
    <cellStyle name="_19インチラック実装図_深川090827【ソフィアサーバ加筆】.xls_深川TFX用FWラックマウント_Ⅹ_課題と対応策_20121211 2" xfId="4124"/>
    <cellStyle name="_19インチラック実装図_深川090827【ソフィアサーバ加筆】.xls_全フロア記入19イン  チラック実装図_100118　修正1" xfId="4125"/>
    <cellStyle name="_19インチラック実装図_深川090827【ソフィアサーバ加筆】.xls_全フロア記入19イン  チラック実装図_100118　修正1 2" xfId="4126"/>
    <cellStyle name="_19インチラック実装図_深川090827【ソフィアサーバ加筆】.xls_全フロア記入19イン  チラック実装図_100118　修正1_Ⅹ_課題と対応策_20121211" xfId="4127"/>
    <cellStyle name="_19インチラック実装図_深川090827【ソフィアサーバ加筆】.xls_全フロア記入19イン  チラック実装図_100118　修正1_Ⅹ_課題と対応策_20121211 2" xfId="4128"/>
    <cellStyle name="_19インチラック実装図_深川090827【ソフィアサーバ加筆】.xls_全フロア記入19イン  チラック実装図_深 川091224_ソフィア修正" xfId="4129"/>
    <cellStyle name="_19インチラック実装図_深川090827【ソフィアサーバ加筆】.xls_全フロア記入19イン  チラック実装図_深 川091224_ソフィア修正 2" xfId="4130"/>
    <cellStyle name="_19インチラック実装図_深川090827【ソフィアサーバ加筆】.xls_全フロア記入19イン  チラック実装図_深 川091224_ソフィア修正_Ⅹ_課題と対応策_20121211" xfId="4131"/>
    <cellStyle name="_19インチラック実装図_深川090827【ソフィアサーバ加筆】.xls_全フロア記入19イン  チラック実装図_深 川091224_ソフィア修正_Ⅹ_課題と対応策_20121211 2" xfId="4132"/>
    <cellStyle name="_19インチラック実装図_深川090827【ソフィアサーバ加筆】.xls_全フロア記入19インチラック実装図_100120　修正 " xfId="4133"/>
    <cellStyle name="_19インチラック実装図_深川090827【ソフィアサーバ加筆】.xls_全フロア記入19インチラック実装図_100120　修正  2" xfId="4134"/>
    <cellStyle name="_19インチラック実装図_深川090827【ソフィアサーバ加筆】.xls_全フロア記入19インチラック実装図_100120　修正 _Ⅹ_課題と対応策_20121211" xfId="4135"/>
    <cellStyle name="_19インチラック実装図_深川090827【ソフィアサーバ加筆】.xls_全フロア記入19インチラック実装図_100120　修正 _Ⅹ_課題と対応策_20121211 2" xfId="4136"/>
    <cellStyle name="_19インチラック実装図_深川090827【ソフィアサーバ加筆】.xls_全フロア記入19インチラック実装図_100311修正" xfId="4137"/>
    <cellStyle name="_19インチラック実装図_深川090827【ソフィアサーバ加筆】.xls_全フロア記入19インチラック実装図_100311修正 2" xfId="4138"/>
    <cellStyle name="_19インチラック実装図_深川090827【ソフィアサーバ加筆】.xls_全フロア記入19インチラック実装図_100311修正_Ⅹ_課題と対応策_20121211" xfId="4139"/>
    <cellStyle name="_19インチラック実装図_深川090827【ソフィアサーバ加筆】.xls_全フロア記入19インチラック実装図_100311修正_Ⅹ_課題と対応策_20121211 2" xfId="4140"/>
    <cellStyle name="_19インチラック実装図_深川090827【ソフィアサーバ加筆】.xls_全フロア記入19インチラック実装図_1003145NTTC" xfId="4141"/>
    <cellStyle name="_19インチラック実装図_深川090827【ソフィアサーバ加筆】.xls_全フロア記入19インチラック実装図_1003145NTTC 2" xfId="4142"/>
    <cellStyle name="_19インチラック実装図_深川090827【ソフィアサーバ加筆】.xls_全フロア記入19インチラック実装図_1003145NTTC_Ⅹ_課題と対応策_20121211" xfId="4143"/>
    <cellStyle name="_19インチラック実装図_深川090827【ソフィアサーバ加筆】.xls_全フロア記入19インチラック実装図_1003145NTTC_Ⅹ_課題と対応策_20121211 2" xfId="4144"/>
    <cellStyle name="_19インチラック実装図_深川090827【ソフィアサーバ加筆】.xls_全フロア記入19インチラック実装図_1003145NTTCom修正" xfId="4145"/>
    <cellStyle name="_19インチラック実装図_深川090827【ソフィアサーバ加筆】.xls_全フロア記入19インチラック実装図_1003145NTTCom修正 2" xfId="4146"/>
    <cellStyle name="_19インチラック実装図_深川090827【ソフィアサーバ加筆】.xls_全フロア記入19インチラック実装図_1003145NTTCom修正_Ⅹ_課題と対応策_20121211" xfId="4147"/>
    <cellStyle name="_19インチラック実装図_深川090827【ソフィアサーバ加筆】.xls_全フロア記入19インチラック実装図_1003145NTTCom修正_Ⅹ_課題と対応策_20121211 2" xfId="4148"/>
    <cellStyle name="_19インチラック実装図_深川090827【ソフィアサーバ加筆】.xls_全フロア記入19インチラック実装図_100316 _修正" xfId="4149"/>
    <cellStyle name="_19インチラック実装図_深川090827【ソフィアサーバ加筆】.xls_全フロア記入19インチラック実装図_100316 _修正 2" xfId="4150"/>
    <cellStyle name="_19インチラック実装図_深川090827【ソフィアサーバ加筆】.xls_全フロア記入19インチラック実装図_100316 _修正_Ⅹ_課題と対応策_20121211" xfId="4151"/>
    <cellStyle name="_19インチラック実装図_深川090827【ソフィアサーバ加筆】.xls_全フロア記入19インチラック実装図_100316 _修正_Ⅹ_課題と対応策_20121211 2" xfId="4152"/>
    <cellStyle name="_19インチラック実装図_深川090827【ソフィアサーバ加筆】.xls_全フロア記入19インチラック実装図_100318_ソフィア修正" xfId="4153"/>
    <cellStyle name="_19インチラック実装図_深川090827【ソフィアサーバ加筆】.xls_全フロア記入19インチラック実装図_100318_ソフィア修正 2" xfId="4154"/>
    <cellStyle name="_19インチラック実装図_深川090827【ソフィアサーバ加筆】.xls_全フロア記入19インチラック実装図_100318_ソフィア修正_Ⅹ_課題と対応策_20121211" xfId="4155"/>
    <cellStyle name="_19インチラック実装図_深川090827【ソフィアサーバ加筆】.xls_全フロア記入19インチラック実装図_100318_ソフィア修正_Ⅹ_課題と対応策_20121211 2" xfId="4156"/>
    <cellStyle name="_19インチラック実装図_深川090827【ソフィアサーバ加筆】.xls_全フロア記入19インチラック実装図_20100310_修正" xfId="4157"/>
    <cellStyle name="_19インチラック実装図_深川090827【ソフィアサーバ加筆】.xls_全フロア記入19インチラック実装図_20100310_修正 2" xfId="4158"/>
    <cellStyle name="_19インチラック実装図_深川090827【ソフィアサーバ加筆】.xls_全フロア記入19インチラック実装図_20100310_修正_Ⅹ_課題と対応策_20121211" xfId="4159"/>
    <cellStyle name="_19インチラック実装図_深川090827【ソフィアサーバ加筆】.xls_全フロア記入19インチラック実装図_20100310_修正_Ⅹ_課題と対応策_20121211 2" xfId="4160"/>
    <cellStyle name="_19インチラック実装図_深川090827【ソフィアサーバ加筆】.xls_全フロア記入19インチラック実装図_深川091210作成中(ソフィア修正) (1)" xfId="4161"/>
    <cellStyle name="_19インチラック実装図_深川090827【ソフィアサーバ加筆】.xls_全フロア記入19インチラック実装図_深川091210作成中(ソフィア修正) (1) 2" xfId="4162"/>
    <cellStyle name="_19インチラック実装図_深川090827【ソフィアサーバ加筆】.xls_全フロア記入19インチラック実装図_深川091210作成中(ソフィア修正) (1)_Ⅹ_課題と対応策_20121211" xfId="4163"/>
    <cellStyle name="_19インチラック実装図_深川090827【ソフィアサーバ加筆】.xls_全フロア記入19インチラック実装図_深川091210作成中(ソフィア修正) (1)_Ⅹ_課題と対応策_20121211 2" xfId="4164"/>
    <cellStyle name="_19インチラック実装図_深川090827【ソフィアサーバ加筆】.xls_全フロア記入19インチラック実装図_深川100311" xfId="4165"/>
    <cellStyle name="_19インチラック実装図_深川090827【ソフィアサーバ加筆】.xls_全フロア記入19インチラック実装図_深川100311 2" xfId="4166"/>
    <cellStyle name="_19インチラック実装図_深川090827【ソフィアサーバ加筆】.xls_全フロア記入19インチラック実装図_深川100311_Ⅹ_課題と対応策_20121211" xfId="4167"/>
    <cellStyle name="_19インチラック実装図_深川090827【ソフィアサーバ加筆】.xls_全フロア記入19インチラック実装図_深川100311_Ⅹ_課題と対応策_20121211 2" xfId="4168"/>
    <cellStyle name="_20101201変更依頼：千里構内回線敷設要望書（統合監視）" xfId="4169"/>
    <cellStyle name="_20101201変更依頼：千里構内回線敷設要望書（統合監視） 2" xfId="4170"/>
    <cellStyle name="_20101201変更依頼：千里構内回線敷設要望書（統合監視）_Ⅹ_課題と対応策_20121211" xfId="4171"/>
    <cellStyle name="_20101201変更依頼：千里構内回線敷設要望書（統合監視）_Ⅹ_課題と対応策_20121211 2" xfId="4172"/>
    <cellStyle name="_4F設置場所" xfId="4173"/>
    <cellStyle name="_4F設置場所 2" xfId="4174"/>
    <cellStyle name="_4F設置場所_(自動機監視GW) 【20090602】千里導入明細資料_２１年度fj分" xfId="4175"/>
    <cellStyle name="_4F設置場所_(自動機監視GW) 【20090602】千里導入明細資料_２１年度fj分 2" xfId="4176"/>
    <cellStyle name="_4F設置場所_(自動機監視GW) 【20090602】千里導入明細資料_２１年度fj分_【20091218】千里導入明細資料_２１年度分（ネットワーク敷設）" xfId="4177"/>
    <cellStyle name="_4F設置場所_(自動機監視GW) 【20090602】千里導入明細資料_２１年度fj分_【20091218】千里導入明細資料_２１年度分（ネットワーク敷設） 2" xfId="4178"/>
    <cellStyle name="_4F設置場所_(自動機監視GW) 【20090602】千里導入明細資料_２１年度fj分_【20091218】千里導入明細資料_２１年度分（ネットワーク敷設）_Ⅹ_課題と対応策_20121211" xfId="4179"/>
    <cellStyle name="_4F設置場所_(自動機監視GW) 【20090602】千里導入明細資料_２１年度fj分_【20091218】千里導入明細資料_２１年度分（ネットワーク敷設）_Ⅹ_課題と対応策_20121211 2" xfId="4180"/>
    <cellStyle name="_4F設置場所_(自動機監視GW) 【20090602】千里導入明細資料_２１年度fj分_Ⅹ_課題と対応策_20121211" xfId="4181"/>
    <cellStyle name="_4F設置場所_(自動機監視GW) 【20090602】千里導入明細資料_２１年度fj分_Ⅹ_課題と対応策_20121211 2" xfId="4182"/>
    <cellStyle name="_4F設置場所_(自動機監視GW) 【20090602】千里導入明細資料_２１年度fj分_千里導入明細資料_２２年度分（ネットワーク敷設）_fj" xfId="4183"/>
    <cellStyle name="_4F設置場所_(自動機監視GW) 【20090602】千里導入明細資料_２１年度fj分_千里導入明細資料_２２年度分（ネットワーク敷設）_fj 2" xfId="4184"/>
    <cellStyle name="_4F設置場所_(自動機監視GW) 【20090602】千里導入明細資料_２１年度fj分_千里導入明細資料_２２年度分（ネットワーク敷設）_fj_Ⅹ_課題と対応策_20121211" xfId="4185"/>
    <cellStyle name="_4F設置場所_(自動機監視GW) 【20090602】千里導入明細資料_２１年度fj分_千里導入明細資料_２２年度分（ネットワーク敷設）_fj_Ⅹ_課題と対応策_20121211 2" xfId="4186"/>
    <cellStyle name="_4F設置場所_【20090715】千里導入明細資料_２１年度分（９月工事分）_fj" xfId="4187"/>
    <cellStyle name="_4F設置場所_【20090715】千里導入明細資料_２１年度分（９月工事分）_fj 2" xfId="4188"/>
    <cellStyle name="_4F設置場所_【20090715】千里導入明細資料_２１年度分（９月工事分）_fj_【20090721】千里導入明細資料_２１年度分" xfId="4189"/>
    <cellStyle name="_4F設置場所_【20090715】千里導入明細資料_２１年度分（９月工事分）_fj_【20090721】千里導入明細資料_２１年度分 2" xfId="4190"/>
    <cellStyle name="_4F設置場所_【20090715】千里導入明細資料_２１年度分（９月工事分）_fj_【20090721】千里導入明細資料_２１年度分（９月工事分）_ETERNUS追加" xfId="4191"/>
    <cellStyle name="_4F設置場所_【20090715】千里導入明細資料_２１年度分（９月工事分）_fj_【20090721】千里導入明細資料_２１年度分（９月工事分）_ETERNUS追加 2" xfId="4192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" xfId="4193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 2" xfId="4194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4195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4196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4197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4198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4199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4200"/>
    <cellStyle name="_4F設置場所_【20090715】千里導入明細資料_２１年度分（９月工事分）_fj_【20090721】千里導入明細資料_２１年度分（９月工事分）_ETERNUS追加_【20090821】千里ラック搭載図（NW機器）" xfId="4201"/>
    <cellStyle name="_4F設置場所_【20090715】千里導入明細資料_２１年度分（９月工事分）_fj_【20090721】千里導入明細資料_２１年度分（９月工事分）_ETERNUS追加_【20090821】千里ラック搭載図（NW機器） 2" xfId="4202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" xfId="4203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 2" xfId="4204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" xfId="4205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 2" xfId="4206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4207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4208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" xfId="4209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 2" xfId="4210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4211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4212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4213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4214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15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16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4217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4218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4219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4220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4221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4222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4223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4224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4225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4226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4227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4228"/>
    <cellStyle name="_4F設置場所_【20090715】千里導入明細資料_２１年度分（９月工事分）_fj_【20090721】千里導入明細資料_２１年度分（９月工事分）_ETERNUS追加_【20091225】千里導入明細資料_２２年度上期分" xfId="4229"/>
    <cellStyle name="_4F設置場所_【20090715】千里導入明細資料_２１年度分（９月工事分）_fj_【20090721】千里導入明細資料_２１年度分（９月工事分）_ETERNUS追加_【20091225】千里導入明細資料_２２年度上期分 2" xfId="4230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" xfId="4231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 2" xfId="4232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" xfId="4233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 2" xfId="4234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4235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4236"/>
    <cellStyle name="_4F設置場所_【20090715】千里導入明細資料_２１年度分（９月工事分）_fj_【20090721】千里導入明細資料_２１年度分（９月工事分）_ETERNUS追加_【20091225】千里導入明細資料_２２年度上期分_連携DB" xfId="4237"/>
    <cellStyle name="_4F設置場所_【20090715】千里導入明細資料_２１年度分（９月工事分）_fj_【20090721】千里導入明細資料_２１年度分（９月工事分）_ETERNUS追加_【20091225】千里導入明細資料_２２年度上期分_連携DB 2" xfId="4238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" xfId="4239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4240"/>
    <cellStyle name="_4F設置場所_【20090715】千里導入明細資料_２１年度分（９月工事分）_fj_【20090721】千里導入明細資料_２１年度分（９月工事分）_ETERNUS追加_【200912xx】千里導入明細資料_２２年度上期分" xfId="4241"/>
    <cellStyle name="_4F設置場所_【20090715】千里導入明細資料_２１年度分（９月工事分）_fj_【20090721】千里導入明細資料_２１年度分（９月工事分）_ETERNUS追加_【200912xx】千里導入明細資料_２２年度上期分 2" xfId="4242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" xfId="4243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 2" xfId="4244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4245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4246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4247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4248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4249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4250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4251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4252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4253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4254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4255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4256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4257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4258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4259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4260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4261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4262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4263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4264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4265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4266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4267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4268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4269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4270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" xfId="4271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 2" xfId="4272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" xfId="4273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 2" xfId="4274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4275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4276"/>
    <cellStyle name="_4F設置場所_【20090715】千里導入明細資料_２１年度分（９月工事分）_fj_【20090721】千里導入明細資料_２１年度分（９月工事分）_ETERNUS追加_①【20091225】千里導入明細資料_２２年度上期1分)" xfId="4277"/>
    <cellStyle name="_4F設置場所_【20090715】千里導入明細資料_２１年度分（９月工事分）_fj_【20090721】千里導入明細資料_２１年度分（９月工事分）_ETERNUS追加_①【20091225】千里導入明細資料_２２年度上期1分) 2" xfId="4278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" xfId="4279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 2" xfId="4280"/>
    <cellStyle name="_4F設置場所_【20090715】千里導入明細資料_２１年度分（９月工事分）_fj_【20090721】千里導入明細資料_２１年度分（９月工事分）_ETERNUS追加_Ⅹ_課題と対応策_20121211" xfId="4281"/>
    <cellStyle name="_4F設置場所_【20090715】千里導入明細資料_２１年度分（９月工事分）_fj_【20090721】千里導入明細資料_２１年度分（９月工事分）_ETERNUS追加_Ⅹ_課題と対応策_20121211 2" xfId="4282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" xfId="4283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 2" xfId="4284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4285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4286"/>
    <cellStyle name="_4F設置場所_【20090715】千里導入明細資料_２１年度分（９月工事分）_fj_【20090721】千里導入明細資料_２１年度分_【20091218】千里導入明細資料_２１年度分（ネットワーク敷設）" xfId="4287"/>
    <cellStyle name="_4F設置場所_【20090715】千里導入明細資料_２１年度分（９月工事分）_fj_【20090721】千里導入明細資料_２１年度分_【20091218】千里導入明細資料_２１年度分（ネットワーク敷設） 2" xfId="4288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" xfId="4289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 2" xfId="4290"/>
    <cellStyle name="_4F設置場所_【20090715】千里導入明細資料_２１年度分（９月工事分）_fj_【20090721】千里導入明細資料_２１年度分_【20091224】千里導入明細資料_２２年度上期分_営業店DB" xfId="4291"/>
    <cellStyle name="_4F設置場所_【20090715】千里導入明細資料_２１年度分（９月工事分）_fj_【20090721】千里導入明細資料_２１年度分_【20091224】千里導入明細資料_２２年度上期分_営業店DB 2" xfId="4292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4293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4294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4295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4296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97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98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4299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4300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4301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4302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4303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4304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4305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4306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4307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4308"/>
    <cellStyle name="_4F設置場所_【20090715】千里導入明細資料_２１年度分（９月工事分）_fj_【20090721】千里導入明細資料_２１年度分_【20091224】千里導入明細資料_２２年度上期分_営業店DB_Ⅹ_課題と対応策_20121211" xfId="4309"/>
    <cellStyle name="_4F設置場所_【20090715】千里導入明細資料_２１年度分（９月工事分）_fj_【20090721】千里導入明細資料_２１年度分_【20091224】千里導入明細資料_２２年度上期分_営業店DB_Ⅹ_課題と対応策_20121211 2" xfId="4310"/>
    <cellStyle name="_4F設置場所_【20090715】千里導入明細資料_２１年度分（９月工事分）_fj_【20090721】千里導入明細資料_２１年度分_【20091225】千里導入明細資料_２２年度上期分" xfId="4311"/>
    <cellStyle name="_4F設置場所_【20090715】千里導入明細資料_２１年度分（９月工事分）_fj_【20090721】千里導入明細資料_２１年度分_【20091225】千里導入明細資料_２２年度上期分 2" xfId="4312"/>
    <cellStyle name="_4F設置場所_【20090715】千里導入明細資料_２１年度分（９月工事分）_fj_【20090721】千里導入明細資料_２１年度分_【20091225】千里導入明細資料_２２年度上期分_Ⅹ_課題と対応策_20121211" xfId="4313"/>
    <cellStyle name="_4F設置場所_【20090715】千里導入明細資料_２１年度分（９月工事分）_fj_【20090721】千里導入明細資料_２１年度分_【20091225】千里導入明細資料_２２年度上期分_Ⅹ_課題と対応策_20121211 2" xfId="4314"/>
    <cellStyle name="_4F設置場所_【20090715】千里導入明細資料_２１年度分（９月工事分）_fj_【20090721】千里導入明細資料_２１年度分_【20091225】千里導入明細資料_２２年度上期分_営業店DB" xfId="4315"/>
    <cellStyle name="_4F設置場所_【20090715】千里導入明細資料_２１年度分（９月工事分）_fj_【20090721】千里導入明細資料_２１年度分_【20091225】千里導入明細資料_２２年度上期分_営業店DB 2" xfId="4316"/>
    <cellStyle name="_4F設置場所_【20090715】千里導入明細資料_２１年度分（９月工事分）_fj_【20090721】千里導入明細資料_２１年度分_【20091225】千里導入明細資料_２２年度上期分_営業店DB_Ⅹ_課題と対応策_20121211" xfId="4317"/>
    <cellStyle name="_4F設置場所_【20090715】千里導入明細資料_２１年度分（９月工事分）_fj_【20090721】千里導入明細資料_２１年度分_【20091225】千里導入明細資料_２２年度上期分_営業店DB_Ⅹ_課題と対応策_20121211 2" xfId="4318"/>
    <cellStyle name="_4F設置場所_【20090715】千里導入明細資料_２１年度分（９月工事分）_fj_【20090721】千里導入明細資料_２１年度分_【20091225】千里導入明細資料_２２年度上期分_連携DB" xfId="4319"/>
    <cellStyle name="_4F設置場所_【20090715】千里導入明細資料_２１年度分（９月工事分）_fj_【20090721】千里導入明細資料_２１年度分_【20091225】千里導入明細資料_２２年度上期分_連携DB 2" xfId="4320"/>
    <cellStyle name="_4F設置場所_【20090715】千里導入明細資料_２１年度分（９月工事分）_fj_【20090721】千里導入明細資料_２１年度分_【20091225】千里導入明細資料_２２年度上期分_連携DB_Ⅹ_課題と対応策_20121211" xfId="4321"/>
    <cellStyle name="_4F設置場所_【20090715】千里導入明細資料_２１年度分（９月工事分）_fj_【20090721】千里導入明細資料_２１年度分_【20091225】千里導入明細資料_２２年度上期分_連携DB_Ⅹ_課題と対応策_20121211 2" xfId="4322"/>
    <cellStyle name="_4F設置場所_【20090715】千里導入明細資料_２１年度分（９月工事分）_fj_【20090721】千里導入明細資料_２１年度分_【200912xx】千里導入明細資料_２２年度上期分" xfId="4323"/>
    <cellStyle name="_4F設置場所_【20090715】千里導入明細資料_２１年度分（９月工事分）_fj_【20090721】千里導入明細資料_２１年度分_【200912xx】千里導入明細資料_２２年度上期分 2" xfId="4324"/>
    <cellStyle name="_4F設置場所_【20090715】千里導入明細資料_２１年度分（９月工事分）_fj_【20090721】千里導入明細資料_２１年度分_【200912xx】千里導入明細資料_２２年度上期分（為替分）" xfId="4325"/>
    <cellStyle name="_4F設置場所_【20090715】千里導入明細資料_２１年度分（９月工事分）_fj_【20090721】千里導入明細資料_２１年度分_【200912xx】千里導入明細資料_２２年度上期分（為替分） 2" xfId="4326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" xfId="4327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 2" xfId="4328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4329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4330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4331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4332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4333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4334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4335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4336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" xfId="4337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 2" xfId="4338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4339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4340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4341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4342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4343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4344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" xfId="4345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 2" xfId="4346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4347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4348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4349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4350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4351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4352"/>
    <cellStyle name="_4F設置場所_【20090715】千里導入明細資料_２１年度分（９月工事分）_fj_【20090721】千里導入明細資料_２１年度分_【200912xx】千里導入明細資料_２２年度上期分_Ⅹ_課題と対応策_20121211" xfId="4353"/>
    <cellStyle name="_4F設置場所_【20090715】千里導入明細資料_２１年度分（９月工事分）_fj_【20090721】千里導入明細資料_２１年度分_【200912xx】千里導入明細資料_２２年度上期分_Ⅹ_課題と対応策_20121211 2" xfId="4354"/>
    <cellStyle name="_4F設置場所_【20090715】千里導入明細資料_２１年度分（９月工事分）_fj_【20090721】千里導入明細資料_２１年度分_【調整中】千里導入明細資料_２２年度上期分_fj_20100127" xfId="4355"/>
    <cellStyle name="_4F設置場所_【20090715】千里導入明細資料_２１年度分（９月工事分）_fj_【20090721】千里導入明細資料_２１年度分_【調整中】千里導入明細資料_２２年度上期分_fj_20100127 2" xfId="4356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" xfId="4357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 2" xfId="4358"/>
    <cellStyle name="_4F設置場所_【20090715】千里導入明細資料_２１年度分（９月工事分）_fj_【20090721】千里導入明細資料_２１年度分_①【20091225】千里導入明細資料_２２年度上期1分)" xfId="4359"/>
    <cellStyle name="_4F設置場所_【20090715】千里導入明細資料_２１年度分（９月工事分）_fj_【20090721】千里導入明細資料_２１年度分_①【20091225】千里導入明細資料_２２年度上期1分) 2" xfId="4360"/>
    <cellStyle name="_4F設置場所_【20090715】千里導入明細資料_２１年度分（９月工事分）_fj_【20090721】千里導入明細資料_２１年度分_①【20091225】千里導入明細資料_２２年度上期1分)_Ⅹ_課題と対応策_20121211" xfId="4361"/>
    <cellStyle name="_4F設置場所_【20090715】千里導入明細資料_２１年度分（９月工事分）_fj_【20090721】千里導入明細資料_２１年度分_①【20091225】千里導入明細資料_２２年度上期1分)_Ⅹ_課題と対応策_20121211 2" xfId="4362"/>
    <cellStyle name="_4F設置場所_【20090715】千里導入明細資料_２１年度分（９月工事分）_fj_【20090721】千里導入明細資料_２１年度分_Ⅹ_課題と対応策_20121211" xfId="4363"/>
    <cellStyle name="_4F設置場所_【20090715】千里導入明細資料_２１年度分（９月工事分）_fj_【20090721】千里導入明細資料_２１年度分_Ⅹ_課題と対応策_20121211 2" xfId="4364"/>
    <cellStyle name="_4F設置場所_【20090715】千里導入明細資料_２１年度分（９月工事分）_fj_【20090721】千里導入明細資料_２１年度分_千里導入明細資料_２２年度分（ネットワーク敷設）_fj" xfId="4365"/>
    <cellStyle name="_4F設置場所_【20090715】千里導入明細資料_２１年度分（９月工事分）_fj_【20090721】千里導入明細資料_２１年度分_千里導入明細資料_２２年度分（ネットワーク敷設）_fj 2" xfId="4366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" xfId="4367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 2" xfId="4368"/>
    <cellStyle name="_4F設置場所_【20090715】千里導入明細資料_２１年度分（９月工事分）_fj_【20090821】千里ラック搭載図（NW機器）" xfId="4369"/>
    <cellStyle name="_4F設置場所_【20090715】千里導入明細資料_２１年度分（９月工事分）_fj_【20090821】千里ラック搭載図（NW機器） 2" xfId="4370"/>
    <cellStyle name="_4F設置場所_【20090715】千里導入明細資料_２１年度分（９月工事分）_fj_【20090821】千里ラック搭載図（NW機器）_Ⅹ_課題と対応策_20121211" xfId="4371"/>
    <cellStyle name="_4F設置場所_【20090715】千里導入明細資料_２１年度分（９月工事分）_fj_【20090821】千里ラック搭載図（NW機器）_Ⅹ_課題と対応策_20121211 2" xfId="4372"/>
    <cellStyle name="_4F設置場所_【20090715】千里導入明細資料_２１年度分（９月工事分）_fj_【20091207】千里導入明細資料_２１年度分（ネットワーク敷設）" xfId="4373"/>
    <cellStyle name="_4F設置場所_【20090715】千里導入明細資料_２１年度分（９月工事分）_fj_【20091207】千里導入明細資料_２１年度分（ネットワーク敷設） 2" xfId="4374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" xfId="4375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 2" xfId="4376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377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378"/>
    <cellStyle name="_4F設置場所_【20090715】千里導入明細資料_２１年度分（９月工事分）_fj_【20091207】千里導入明細資料_２１年度分（ネットワーク敷設）_Ⅹ_課題と対応策_20121211" xfId="4379"/>
    <cellStyle name="_4F設置場所_【20090715】千里導入明細資料_２１年度分（９月工事分）_fj_【20091207】千里導入明細資料_２１年度分（ネットワーク敷設）_Ⅹ_課題と対応策_20121211 2" xfId="4380"/>
    <cellStyle name="_4F設置場所_【20090715】千里導入明細資料_２１年度分（９月工事分）_fj_【20091207】千里導入明細資料_２１年度分（ネットワーク敷設）_千里導入明細資料_２２年度分（ネットワーク敷設）_fj" xfId="4381"/>
    <cellStyle name="_4F設置場所_【20090715】千里導入明細資料_２１年度分（９月工事分）_fj_【20091207】千里導入明細資料_２１年度分（ネットワーク敷設）_千里導入明細資料_２２年度分（ネットワーク敷設）_fj 2" xfId="4382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" xfId="4383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384"/>
    <cellStyle name="_4F設置場所_【20090715】千里導入明細資料_２１年度分（９月工事分）_fj_【20091225】千里導入明細資料_２２年度上期分（営業店ＡＰ－ＤＢ）" xfId="4385"/>
    <cellStyle name="_4F設置場所_【20090715】千里導入明細資料_２１年度分（９月工事分）_fj_【20091225】千里導入明細資料_２２年度上期分（営業店ＡＰ－ＤＢ） 2" xfId="4386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" xfId="4387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 2" xfId="4388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389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390"/>
    <cellStyle name="_4F設置場所_【20090715】千里導入明細資料_２１年度分（９月工事分）_fj_【20091225】千里導入明細資料_２２年度上期分（営業店ＡＰ－ＤＢ）_Ⅹ_課題と対応策_20121211" xfId="4391"/>
    <cellStyle name="_4F設置場所_【20090715】千里導入明細資料_２１年度分（９月工事分）_fj_【20091225】千里導入明細資料_２２年度上期分（営業店ＡＰ－ＤＢ）_Ⅹ_課題と対応策_20121211 2" xfId="4392"/>
    <cellStyle name="_4F設置場所_【20090715】千里導入明細資料_２１年度分（９月工事分）_fj_【20091225】千里導入明細資料_２２年度上期分_営業店DB" xfId="4393"/>
    <cellStyle name="_4F設置場所_【20090715】千里導入明細資料_２１年度分（９月工事分）_fj_【20091225】千里導入明細資料_２２年度上期分_営業店DB 2" xfId="4394"/>
    <cellStyle name="_4F設置場所_【20090715】千里導入明細資料_２１年度分（９月工事分）_fj_【20091225】千里導入明細資料_２２年度上期分_営業店DB_【調整中】千里導入明細資料_２２年度上期分_fj_20100127" xfId="4395"/>
    <cellStyle name="_4F設置場所_【20090715】千里導入明細資料_２１年度分（９月工事分）_fj_【20091225】千里導入明細資料_２２年度上期分_営業店DB_【調整中】千里導入明細資料_２２年度上期分_fj_20100127 2" xfId="4396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" xfId="4397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 2" xfId="4398"/>
    <cellStyle name="_4F設置場所_【20090715】千里導入明細資料_２１年度分（９月工事分）_fj_【20091225】千里導入明細資料_２２年度上期分_営業店DB_Ⅹ_課題と対応策_20121211" xfId="4399"/>
    <cellStyle name="_4F設置場所_【20090715】千里導入明細資料_２１年度分（９月工事分）_fj_【20091225】千里導入明細資料_２２年度上期分_営業店DB_Ⅹ_課題と対応策_20121211 2" xfId="4400"/>
    <cellStyle name="_4F設置場所_【20090715】千里導入明細資料_２１年度分（９月工事分）_fj_【20091225】千里導入明細資料_２２年度上期分_連携DB" xfId="4401"/>
    <cellStyle name="_4F設置場所_【20090715】千里導入明細資料_２１年度分（９月工事分）_fj_【20091225】千里導入明細資料_２２年度上期分_連携DB 2" xfId="4402"/>
    <cellStyle name="_4F設置場所_【20090715】千里導入明細資料_２１年度分（９月工事分）_fj_【20091225】千里導入明細資料_２２年度上期分_連携DB_【調整中】千里導入明細資料_２２年度上期分_fj_20100127" xfId="4403"/>
    <cellStyle name="_4F設置場所_【20090715】千里導入明細資料_２１年度分（９月工事分）_fj_【20091225】千里導入明細資料_２２年度上期分_連携DB_【調整中】千里導入明細資料_２２年度上期分_fj_20100127 2" xfId="4404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" xfId="4405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 2" xfId="4406"/>
    <cellStyle name="_4F設置場所_【20090715】千里導入明細資料_２１年度分（９月工事分）_fj_【20091225】千里導入明細資料_２２年度上期分_連携DB_Ⅹ_課題と対応策_20121211" xfId="4407"/>
    <cellStyle name="_4F設置場所_【20090715】千里導入明細資料_２１年度分（９月工事分）_fj_【20091225】千里導入明細資料_２２年度上期分_連携DB_Ⅹ_課題と対応策_20121211 2" xfId="4408"/>
    <cellStyle name="_4F設置場所_【20090715】千里導入明細資料_２１年度分（９月工事分）_fj_【作成中】千里センター機器配置図（2010年対応分）_20091221" xfId="4409"/>
    <cellStyle name="_4F設置場所_【20090715】千里導入明細資料_２１年度分（９月工事分）_fj_【作成中】千里センター機器配置図（2010年対応分）_20091221 2" xfId="4410"/>
    <cellStyle name="_4F設置場所_【20090715】千里導入明細資料_２１年度分（９月工事分）_fj_【作成中】千里センター機器配置図（2010年対応分）_20091221_【調整中】千里導入明細資料_２２年度上期分_fj_20100127" xfId="4411"/>
    <cellStyle name="_4F設置場所_【20090715】千里導入明細資料_２１年度分（９月工事分）_fj_【作成中】千里センター機器配置図（2010年対応分）_20091221_【調整中】千里導入明細資料_２２年度上期分_fj_20100127 2" xfId="4412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" xfId="4413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 2" xfId="4414"/>
    <cellStyle name="_4F設置場所_【20090715】千里導入明細資料_２１年度分（９月工事分）_fj_【作成中】千里センター機器配置図（2010年対応分）_20091221_Ⅹ_課題と対応策_20121211" xfId="4415"/>
    <cellStyle name="_4F設置場所_【20090715】千里導入明細資料_２１年度分（９月工事分）_fj_【作成中】千里センター機器配置図（2010年対応分）_20091221_Ⅹ_課題と対応策_20121211 2" xfId="4416"/>
    <cellStyle name="_4F設置場所_【20090715】千里導入明細資料_２１年度分（９月工事分）_fj_Ⅹ_課題と対応策_20121211" xfId="4417"/>
    <cellStyle name="_4F設置場所_【20090715】千里導入明細資料_２１年度分（９月工事分）_fj_Ⅹ_課題と対応策_20121211 2" xfId="4418"/>
    <cellStyle name="_4F設置場所_【20090715】千里導入明細資料_２１年度分（９月工事分）_fj_千里センター機器構築スケジュール（８月分）_20090731" xfId="4419"/>
    <cellStyle name="_4F設置場所_【20090715】千里導入明細資料_２１年度分（９月工事分）_fj_千里センター機器構築スケジュール（８月分）_20090731 2" xfId="4420"/>
    <cellStyle name="_4F設置場所_【20090715】千里導入明細資料_２１年度分（９月工事分）_fj_千里センター機器構築スケジュール（８月分）_20090731_【20090731】千里導入明細資料_２１年度分（９月工事分）" xfId="4421"/>
    <cellStyle name="_4F設置場所_【20090715】千里導入明細資料_２１年度分（９月工事分）_fj_千里センター機器構築スケジュール（８月分）_20090731_【20090731】千里導入明細資料_２１年度分（９月工事分） 2" xfId="4422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423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424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425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426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" xfId="4427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 2" xfId="4428"/>
    <cellStyle name="_4F設置場所_【20090715】千里導入明細資料_２１年度分（９月工事分）_fj_千里センター機器構築スケジュール（８月分）_20090731_【20090821】千里ラック搭載図（NW機器）" xfId="4429"/>
    <cellStyle name="_4F設置場所_【20090715】千里導入明細資料_２１年度分（９月工事分）_fj_千里センター機器構築スケジュール（８月分）_20090731_【20090821】千里ラック搭載図（NW機器） 2" xfId="4430"/>
    <cellStyle name="_4F設置場所_【20090715】千里導入明細資料_２１年度分（９月工事分）_fj_千里センター機器構築スケジュール（８月分）_20090731_【20090821】千里ラック搭載図（NW機器）_Ⅹ_課題と対応策_20121211" xfId="4431"/>
    <cellStyle name="_4F設置場所_【20090715】千里導入明細資料_２１年度分（９月工事分）_fj_千里センター機器構築スケジュール（８月分）_20090731_【20090821】千里ラック搭載図（NW機器）_Ⅹ_課題と対応策_20121211 2" xfId="4432"/>
    <cellStyle name="_4F設置場所_【20090715】千里導入明細資料_２１年度分（９月工事分）_fj_千里センター機器構築スケジュール（８月分）_20090731_【20091218】千里導入明細資料_２１年度分（ネットワーク敷設）" xfId="4433"/>
    <cellStyle name="_4F設置場所_【20090715】千里導入明細資料_２１年度分（９月工事分）_fj_千里センター機器構築スケジュール（８月分）_20090731_【20091218】千里導入明細資料_２１年度分（ネットワーク敷設） 2" xfId="4434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" xfId="4435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436"/>
    <cellStyle name="_4F設置場所_【20090715】千里導入明細資料_２１年度分（９月工事分）_fj_千里センター機器構築スケジュール（８月分）_20090731_【20091224】千里導入明細資料_２２年度上期分_営業店DB" xfId="4437"/>
    <cellStyle name="_4F設置場所_【20090715】千里導入明細資料_２１年度分（９月工事分）_fj_千里センター機器構築スケジュール（８月分）_20090731_【20091224】千里導入明細資料_２２年度上期分_営業店DB 2" xfId="4438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439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440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441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442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443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444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445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446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447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448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449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450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451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452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453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454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" xfId="4455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 2" xfId="4456"/>
    <cellStyle name="_4F設置場所_【20090715】千里導入明細資料_２１年度分（９月工事分）_fj_千里センター機器構築スケジュール（８月分）_20090731_【20091225】千里導入明細資料_２２年度上期分" xfId="4457"/>
    <cellStyle name="_4F設置場所_【20090715】千里導入明細資料_２１年度分（９月工事分）_fj_千里センター機器構築スケジュール（８月分）_20090731_【20091225】千里導入明細資料_２２年度上期分 2" xfId="4458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" xfId="4459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 2" xfId="4460"/>
    <cellStyle name="_4F設置場所_【20090715】千里導入明細資料_２１年度分（９月工事分）_fj_千里センター機器構築スケジュール（８月分）_20090731_【20091225】千里導入明細資料_２２年度上期分_営業店DB" xfId="4461"/>
    <cellStyle name="_4F設置場所_【20090715】千里導入明細資料_２１年度分（９月工事分）_fj_千里センター機器構築スケジュール（８月分）_20090731_【20091225】千里導入明細資料_２２年度上期分_営業店DB 2" xfId="4462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" xfId="4463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 2" xfId="4464"/>
    <cellStyle name="_4F設置場所_【20090715】千里導入明細資料_２１年度分（９月工事分）_fj_千里センター機器構築スケジュール（８月分）_20090731_【20091225】千里導入明細資料_２２年度上期分_連携DB" xfId="4465"/>
    <cellStyle name="_4F設置場所_【20090715】千里導入明細資料_２１年度分（９月工事分）_fj_千里センター機器構築スケジュール（８月分）_20090731_【20091225】千里導入明細資料_２２年度上期分_連携DB 2" xfId="4466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" xfId="4467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 2" xfId="4468"/>
    <cellStyle name="_4F設置場所_【20090715】千里導入明細資料_２１年度分（９月工事分）_fj_千里センター機器構築スケジュール（８月分）_20090731_【200912xx】千里導入明細資料_２２年度上期分" xfId="4469"/>
    <cellStyle name="_4F設置場所_【20090715】千里導入明細資料_２１年度分（９月工事分）_fj_千里センター機器構築スケジュール（８月分）_20090731_【200912xx】千里導入明細資料_２２年度上期分 2" xfId="4470"/>
    <cellStyle name="_4F設置場所_【20090715】千里導入明細資料_２１年度分（９月工事分）_fj_千里センター機器構築スケジュール（８月分）_20090731_【200912xx】千里導入明細資料_２２年度上期分（為替分）" xfId="4471"/>
    <cellStyle name="_4F設置場所_【20090715】千里導入明細資料_２１年度分（９月工事分）_fj_千里センター機器構築スケジュール（８月分）_20090731_【200912xx】千里導入明細資料_２２年度上期分（為替分） 2" xfId="4472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" xfId="4473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 2" xfId="4474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4475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4476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4477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4478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4479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4480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4481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4482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4483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4484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4485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4486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4487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4488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4489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4490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4491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4492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4493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4494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4495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4496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4497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4498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" xfId="4499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 2" xfId="4500"/>
    <cellStyle name="_4F設置場所_【20090715】千里導入明細資料_２１年度分（９月工事分）_fj_千里センター機器構築スケジュール（８月分）_20090731_【調整中】千里導入明細資料_２２年度上期分_fj_20100127" xfId="4501"/>
    <cellStyle name="_4F設置場所_【20090715】千里導入明細資料_２１年度分（９月工事分）_fj_千里センター機器構築スケジュール（８月分）_20090731_【調整中】千里導入明細資料_２２年度上期分_fj_20100127 2" xfId="4502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" xfId="4503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 2" xfId="4504"/>
    <cellStyle name="_4F設置場所_【20090715】千里導入明細資料_２１年度分（９月工事分）_fj_千里センター機器構築スケジュール（８月分）_20090731_①【20091225】千里導入明細資料_２２年度上期1分)" xfId="4505"/>
    <cellStyle name="_4F設置場所_【20090715】千里導入明細資料_２１年度分（９月工事分）_fj_千里センター機器構築スケジュール（８月分）_20090731_①【20091225】千里導入明細資料_２２年度上期1分) 2" xfId="4506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" xfId="4507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 2" xfId="4508"/>
    <cellStyle name="_4F設置場所_【20090715】千里導入明細資料_２１年度分（９月工事分）_fj_千里センター機器構築スケジュール（８月分）_20090731_Ⅹ_課題と対応策_20121211" xfId="4509"/>
    <cellStyle name="_4F設置場所_【20090715】千里導入明細資料_２１年度分（９月工事分）_fj_千里センター機器構築スケジュール（８月分）_20090731_Ⅹ_課題と対応策_20121211 2" xfId="4510"/>
    <cellStyle name="_4F設置場所_【20090715】千里導入明細資料_２１年度分（９月工事分）_fj_千里センター機器構築スケジュール（８月分）_20090731_千里導入明細資料_２２年度分（ネットワーク敷設）_fj" xfId="4511"/>
    <cellStyle name="_4F設置場所_【20090715】千里導入明細資料_２１年度分（９月工事分）_fj_千里センター機器構築スケジュール（８月分）_20090731_千里導入明細資料_２２年度分（ネットワーク敷設）_fj 2" xfId="4512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" xfId="4513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 2" xfId="4514"/>
    <cellStyle name="_4F設置場所_【20090724】千里導入明細資料_２１年度" xfId="4515"/>
    <cellStyle name="_4F設置場所_【20090724】千里導入明細資料_２１年度 2" xfId="4516"/>
    <cellStyle name="_4F設置場所_【20090724】千里導入明細資料_２１年度_【20091207】千里導入明細資料_２１年度分（ネットワーク敷設）" xfId="4517"/>
    <cellStyle name="_4F設置場所_【20090724】千里導入明細資料_２１年度_【20091207】千里導入明細資料_２１年度分（ネットワーク敷設） 2" xfId="4518"/>
    <cellStyle name="_4F設置場所_【20090724】千里導入明細資料_２１年度_【20091207】千里導入明細資料_２１年度分（ネットワーク敷設）_【20091218】千里導入明細資料_２１年度分（ネットワーク敷設）" xfId="4519"/>
    <cellStyle name="_4F設置場所_【20090724】千里導入明細資料_２１年度_【20091207】千里導入明細資料_２１年度分（ネットワーク敷設）_【20091218】千里導入明細資料_２１年度分（ネットワーク敷設） 2" xfId="4520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" xfId="4521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 2" xfId="4522"/>
    <cellStyle name="_4F設置場所_【20090724】千里導入明細資料_２１年度_【20091207】千里導入明細資料_２１年度分（ネットワーク敷設）_Ⅹ_課題と対応策_20121211" xfId="4523"/>
    <cellStyle name="_4F設置場所_【20090724】千里導入明細資料_２１年度_【20091207】千里導入明細資料_２１年度分（ネットワーク敷設）_Ⅹ_課題と対応策_20121211 2" xfId="4524"/>
    <cellStyle name="_4F設置場所_【20090724】千里導入明細資料_２１年度_【20091207】千里導入明細資料_２１年度分（ネットワーク敷設）_千里導入明細資料_２２年度分（ネットワーク敷設）_fj" xfId="4525"/>
    <cellStyle name="_4F設置場所_【20090724】千里導入明細資料_２１年度_【20091207】千里導入明細資料_２１年度分（ネットワーク敷設）_千里導入明細資料_２２年度分（ネットワーク敷設）_fj 2" xfId="4526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" xfId="4527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 2" xfId="4528"/>
    <cellStyle name="_4F設置場所_【20090724】千里導入明細資料_２１年度_【20091225】千里導入明細資料_２２年度上期分（営業店ＡＰ－ＤＢ）" xfId="4529"/>
    <cellStyle name="_4F設置場所_【20090724】千里導入明細資料_２１年度_【20091225】千里導入明細資料_２２年度上期分（営業店ＡＰ－ＤＢ） 2" xfId="4530"/>
    <cellStyle name="_4F設置場所_【20090724】千里導入明細資料_２１年度_【20091225】千里導入明細資料_２２年度上期分（営業店ＡＰ－ＤＢ）_【調整中】千里導入明細資料_２２年度上期分_fj_20100127" xfId="4531"/>
    <cellStyle name="_4F設置場所_【20090724】千里導入明細資料_２１年度_【20091225】千里導入明細資料_２２年度上期分（営業店ＡＰ－ＤＢ）_【調整中】千里導入明細資料_２２年度上期分_fj_20100127 2" xfId="4532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" xfId="4533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 2" xfId="4534"/>
    <cellStyle name="_4F設置場所_【20090724】千里導入明細資料_２１年度_【20091225】千里導入明細資料_２２年度上期分（営業店ＡＰ－ＤＢ）_Ⅹ_課題と対応策_20121211" xfId="4535"/>
    <cellStyle name="_4F設置場所_【20090724】千里導入明細資料_２１年度_【20091225】千里導入明細資料_２２年度上期分（営業店ＡＰ－ＤＢ）_Ⅹ_課題と対応策_20121211 2" xfId="4536"/>
    <cellStyle name="_4F設置場所_【20090724】千里導入明細資料_２１年度_【20091225】千里導入明細資料_２２年度上期分_営業店DB" xfId="4537"/>
    <cellStyle name="_4F設置場所_【20090724】千里導入明細資料_２１年度_【20091225】千里導入明細資料_２２年度上期分_営業店DB 2" xfId="4538"/>
    <cellStyle name="_4F設置場所_【20090724】千里導入明細資料_２１年度_【20091225】千里導入明細資料_２２年度上期分_営業店DB_【調整中】千里導入明細資料_２２年度上期分_fj_20100127" xfId="4539"/>
    <cellStyle name="_4F設置場所_【20090724】千里導入明細資料_２１年度_【20091225】千里導入明細資料_２２年度上期分_営業店DB_【調整中】千里導入明細資料_２２年度上期分_fj_20100127 2" xfId="4540"/>
    <cellStyle name="_4F設置場所_【20090724】千里導入明細資料_２１年度_【20091225】千里導入明細資料_２２年度上期分_営業店DB_【調整中】千里導入明細資料_２２年度上期分_fj_20100127_Ⅹ_課題と対応策_20121211" xfId="4541"/>
    <cellStyle name="_4F設置場所_【20090724】千里導入明細資料_２１年度_【20091225】千里導入明細資料_２２年度上期分_営業店DB_【調整中】千里導入明細資料_２２年度上期分_fj_20100127_Ⅹ_課題と対応策_20121211 2" xfId="4542"/>
    <cellStyle name="_4F設置場所_【20090724】千里導入明細資料_２１年度_【20091225】千里導入明細資料_２２年度上期分_営業店DB_Ⅹ_課題と対応策_20121211" xfId="4543"/>
    <cellStyle name="_4F設置場所_【20090724】千里導入明細資料_２１年度_【20091225】千里導入明細資料_２２年度上期分_営業店DB_Ⅹ_課題と対応策_20121211 2" xfId="4544"/>
    <cellStyle name="_4F設置場所_【20090724】千里導入明細資料_２１年度_【20091225】千里導入明細資料_２２年度上期分_連携DB" xfId="4545"/>
    <cellStyle name="_4F設置場所_【20090724】千里導入明細資料_２１年度_【20091225】千里導入明細資料_２２年度上期分_連携DB 2" xfId="4546"/>
    <cellStyle name="_4F設置場所_【20090724】千里導入明細資料_２１年度_【20091225】千里導入明細資料_２２年度上期分_連携DB_【調整中】千里導入明細資料_２２年度上期分_fj_20100127" xfId="4547"/>
    <cellStyle name="_4F設置場所_【20090724】千里導入明細資料_２１年度_【20091225】千里導入明細資料_２２年度上期分_連携DB_【調整中】千里導入明細資料_２２年度上期分_fj_20100127 2" xfId="4548"/>
    <cellStyle name="_4F設置場所_【20090724】千里導入明細資料_２１年度_【20091225】千里導入明細資料_２２年度上期分_連携DB_【調整中】千里導入明細資料_２２年度上期分_fj_20100127_Ⅹ_課題と対応策_20121211" xfId="4549"/>
    <cellStyle name="_4F設置場所_【20090724】千里導入明細資料_２１年度_【20091225】千里導入明細資料_２２年度上期分_連携DB_【調整中】千里導入明細資料_２２年度上期分_fj_20100127_Ⅹ_課題と対応策_20121211 2" xfId="4550"/>
    <cellStyle name="_4F設置場所_【20090724】千里導入明細資料_２１年度_【20091225】千里導入明細資料_２２年度上期分_連携DB_Ⅹ_課題と対応策_20121211" xfId="4551"/>
    <cellStyle name="_4F設置場所_【20090724】千里導入明細資料_２１年度_【20091225】千里導入明細資料_２２年度上期分_連携DB_Ⅹ_課題と対応策_20121211 2" xfId="4552"/>
    <cellStyle name="_4F設置場所_【20090724】千里導入明細資料_２１年度_【作成中】千里センター機器配置図（2010年対応分）_20091221" xfId="4553"/>
    <cellStyle name="_4F設置場所_【20090724】千里導入明細資料_２１年度_【作成中】千里センター機器配置図（2010年対応分）_20091221 2" xfId="4554"/>
    <cellStyle name="_4F設置場所_【20090724】千里導入明細資料_２１年度_【作成中】千里センター機器配置図（2010年対応分）_20091221_【調整中】千里導入明細資料_２２年度上期分_fj_20100127" xfId="4555"/>
    <cellStyle name="_4F設置場所_【20090724】千里導入明細資料_２１年度_【作成中】千里センター機器配置図（2010年対応分）_20091221_【調整中】千里導入明細資料_２２年度上期分_fj_20100127 2" xfId="4556"/>
    <cellStyle name="_4F設置場所_【20090724】千里導入明細資料_２１年度_【作成中】千里センター機器配置図（2010年対応分）_20091221_【調整中】千里導入明細資料_２２年度上期分_fj_20100127_Ⅹ_課題と対応策_20121211" xfId="4557"/>
    <cellStyle name="_4F設置場所_【20090724】千里導入明細資料_２１年度_【作成中】千里センター機器配置図（2010年対応分）_20091221_【調整中】千里導入明細資料_２２年度上期分_fj_20100127_Ⅹ_課題と対応策_20121211 2" xfId="4558"/>
    <cellStyle name="_4F設置場所_【20090724】千里導入明細資料_２１年度_【作成中】千里センター機器配置図（2010年対応分）_20091221_Ⅹ_課題と対応策_20121211" xfId="4559"/>
    <cellStyle name="_4F設置場所_【20090724】千里導入明細資料_２１年度_【作成中】千里センター機器配置図（2010年対応分）_20091221_Ⅹ_課題と対応策_20121211 2" xfId="4560"/>
    <cellStyle name="_4F設置場所_【20090724】千里導入明細資料_２１年度_Ⅹ_課題と対応策_20121211" xfId="4561"/>
    <cellStyle name="_4F設置場所_【20090724】千里導入明細資料_２１年度_Ⅹ_課題と対応策_20121211 2" xfId="4562"/>
    <cellStyle name="_4F設置場所_【20090724】千里導入明細資料_２１年度分（９月工事分）" xfId="4563"/>
    <cellStyle name="_4F設置場所_【20090724】千里導入明細資料_２１年度分（９月工事分） 2" xfId="4564"/>
    <cellStyle name="_4F設置場所_【20090724】千里導入明細資料_２１年度分（９月工事分）_【20091207】千里導入明細資料_２１年度分（ネットワーク敷設）" xfId="4565"/>
    <cellStyle name="_4F設置場所_【20090724】千里導入明細資料_２１年度分（９月工事分）_【20091207】千里導入明細資料_２１年度分（ネットワーク敷設） 2" xfId="4566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" xfId="4567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 2" xfId="4568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4569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4570"/>
    <cellStyle name="_4F設置場所_【20090724】千里導入明細資料_２１年度分（９月工事分）_【20091207】千里導入明細資料_２１年度分（ネットワーク敷設）_Ⅹ_課題と対応策_20121211" xfId="4571"/>
    <cellStyle name="_4F設置場所_【20090724】千里導入明細資料_２１年度分（９月工事分）_【20091207】千里導入明細資料_２１年度分（ネットワーク敷設）_Ⅹ_課題と対応策_20121211 2" xfId="4572"/>
    <cellStyle name="_4F設置場所_【20090724】千里導入明細資料_２１年度分（９月工事分）_【20091207】千里導入明細資料_２１年度分（ネットワーク敷設）_千里導入明細資料_２２年度分（ネットワーク敷設）_fj" xfId="4573"/>
    <cellStyle name="_4F設置場所_【20090724】千里導入明細資料_２１年度分（９月工事分）_【20091207】千里導入明細資料_２１年度分（ネットワーク敷設）_千里導入明細資料_２２年度分（ネットワーク敷設）_fj 2" xfId="4574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" xfId="4575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 2" xfId="4576"/>
    <cellStyle name="_4F設置場所_【20090724】千里導入明細資料_２１年度分（９月工事分）_【20091225】千里導入明細資料_２２年度上期分（営業店ＡＰ－ＤＢ）" xfId="4577"/>
    <cellStyle name="_4F設置場所_【20090724】千里導入明細資料_２１年度分（９月工事分）_【20091225】千里導入明細資料_２２年度上期分（営業店ＡＰ－ＤＢ） 2" xfId="4578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" xfId="4579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 2" xfId="4580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4581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4582"/>
    <cellStyle name="_4F設置場所_【20090724】千里導入明細資料_２１年度分（９月工事分）_【20091225】千里導入明細資料_２２年度上期分（営業店ＡＰ－ＤＢ）_Ⅹ_課題と対応策_20121211" xfId="4583"/>
    <cellStyle name="_4F設置場所_【20090724】千里導入明細資料_２１年度分（９月工事分）_【20091225】千里導入明細資料_２２年度上期分（営業店ＡＰ－ＤＢ）_Ⅹ_課題と対応策_20121211 2" xfId="4584"/>
    <cellStyle name="_4F設置場所_【20090724】千里導入明細資料_２１年度分（９月工事分）_【20091225】千里導入明細資料_２２年度上期分_営業店DB" xfId="4585"/>
    <cellStyle name="_4F設置場所_【20090724】千里導入明細資料_２１年度分（９月工事分）_【20091225】千里導入明細資料_２２年度上期分_営業店DB 2" xfId="4586"/>
    <cellStyle name="_4F設置場所_【20090724】千里導入明細資料_２１年度分（９月工事分）_【20091225】千里導入明細資料_２２年度上期分_営業店DB_【調整中】千里導入明細資料_２２年度上期分_fj_20100127" xfId="4587"/>
    <cellStyle name="_4F設置場所_【20090724】千里導入明細資料_２１年度分（９月工事分）_【20091225】千里導入明細資料_２２年度上期分_営業店DB_【調整中】千里導入明細資料_２２年度上期分_fj_20100127 2" xfId="4588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" xfId="4589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 2" xfId="4590"/>
    <cellStyle name="_4F設置場所_【20090724】千里導入明細資料_２１年度分（９月工事分）_【20091225】千里導入明細資料_２２年度上期分_営業店DB_Ⅹ_課題と対応策_20121211" xfId="4591"/>
    <cellStyle name="_4F設置場所_【20090724】千里導入明細資料_２１年度分（９月工事分）_【20091225】千里導入明細資料_２２年度上期分_営業店DB_Ⅹ_課題と対応策_20121211 2" xfId="4592"/>
    <cellStyle name="_4F設置場所_【20090724】千里導入明細資料_２１年度分（９月工事分）_【20091225】千里導入明細資料_２２年度上期分_連携DB" xfId="4593"/>
    <cellStyle name="_4F設置場所_【20090724】千里導入明細資料_２１年度分（９月工事分）_【20091225】千里導入明細資料_２２年度上期分_連携DB 2" xfId="4594"/>
    <cellStyle name="_4F設置場所_【20090724】千里導入明細資料_２１年度分（９月工事分）_【20091225】千里導入明細資料_２２年度上期分_連携DB_【調整中】千里導入明細資料_２２年度上期分_fj_20100127" xfId="4595"/>
    <cellStyle name="_4F設置場所_【20090724】千里導入明細資料_２１年度分（９月工事分）_【20091225】千里導入明細資料_２２年度上期分_連携DB_【調整中】千里導入明細資料_２２年度上期分_fj_20100127 2" xfId="4596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" xfId="4597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 2" xfId="4598"/>
    <cellStyle name="_4F設置場所_【20090724】千里導入明細資料_２１年度分（９月工事分）_【20091225】千里導入明細資料_２２年度上期分_連携DB_Ⅹ_課題と対応策_20121211" xfId="4599"/>
    <cellStyle name="_4F設置場所_【20090724】千里導入明細資料_２１年度分（９月工事分）_【20091225】千里導入明細資料_２２年度上期分_連携DB_Ⅹ_課題と対応策_20121211 2" xfId="4600"/>
    <cellStyle name="_4F設置場所_【20090724】千里導入明細資料_２１年度分（９月工事分）_【作成中】千里センター機器配置図（2010年対応分）_20091221" xfId="4601"/>
    <cellStyle name="_4F設置場所_【20090724】千里導入明細資料_２１年度分（９月工事分）_【作成中】千里センター機器配置図（2010年対応分）_20091221 2" xfId="4602"/>
    <cellStyle name="_4F設置場所_【20090724】千里導入明細資料_２１年度分（９月工事分）_【作成中】千里センター機器配置図（2010年対応分）_20091221_【調整中】千里導入明細資料_２２年度上期分_fj_20100127" xfId="4603"/>
    <cellStyle name="_4F設置場所_【20090724】千里導入明細資料_２１年度分（９月工事分）_【作成中】千里センター機器配置図（2010年対応分）_20091221_【調整中】千里導入明細資料_２２年度上期分_fj_20100127 2" xfId="4604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" xfId="4605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 2" xfId="4606"/>
    <cellStyle name="_4F設置場所_【20090724】千里導入明細資料_２１年度分（９月工事分）_【作成中】千里センター機器配置図（2010年対応分）_20091221_Ⅹ_課題と対応策_20121211" xfId="4607"/>
    <cellStyle name="_4F設置場所_【20090724】千里導入明細資料_２１年度分（９月工事分）_【作成中】千里センター機器配置図（2010年対応分）_20091221_Ⅹ_課題と対応策_20121211 2" xfId="4608"/>
    <cellStyle name="_4F設置場所_【20090724】千里導入明細資料_２１年度分（９月工事分）_Ⅹ_課題と対応策_20121211" xfId="4609"/>
    <cellStyle name="_4F設置場所_【20090724】千里導入明細資料_２１年度分（９月工事分）_Ⅹ_課題と対応策_20121211 2" xfId="4610"/>
    <cellStyle name="_4F設置場所_【20090731】千里導入明細資料_２１年度分（９月工事分）" xfId="4611"/>
    <cellStyle name="_4F設置場所_【20090731】千里導入明細資料_２１年度分（９月工事分） 2" xfId="4612"/>
    <cellStyle name="_4F設置場所_【20090731】千里導入明細資料_２１年度分（９月工事分）_【20090821】千里ラック搭載図（NW機器）" xfId="4613"/>
    <cellStyle name="_4F設置場所_【20090731】千里導入明細資料_２１年度分（９月工事分）_【20090821】千里ラック搭載図（NW機器） 2" xfId="4614"/>
    <cellStyle name="_4F設置場所_【20090731】千里導入明細資料_２１年度分（９月工事分）_【20090821】千里ラック搭載図（NW機器）_Ⅹ_課題と対応策_20121211" xfId="4615"/>
    <cellStyle name="_4F設置場所_【20090731】千里導入明細資料_２１年度分（９月工事分）_【20090821】千里ラック搭載図（NW機器）_Ⅹ_課題と対応策_20121211 2" xfId="4616"/>
    <cellStyle name="_4F設置場所_【20090731】千里導入明細資料_２１年度分（９月工事分）_Ⅹ_課題と対応策_20121211" xfId="4617"/>
    <cellStyle name="_4F設置場所_【20090731】千里導入明細資料_２１年度分（９月工事分）_Ⅹ_課題と対応策_20121211 2" xfId="4618"/>
    <cellStyle name="_4F設置場所_【20090807】千里導入明細資料" xfId="4619"/>
    <cellStyle name="_4F設置場所_【20090807】千里導入明細資料 2" xfId="4620"/>
    <cellStyle name="_4F設置場所_【20090807】千里導入明細資料_【20091207】千里導入明細資料_２１年度分（ネットワーク敷設）" xfId="4621"/>
    <cellStyle name="_4F設置場所_【20090807】千里導入明細資料_【20091207】千里導入明細資料_２１年度分（ネットワーク敷設） 2" xfId="4622"/>
    <cellStyle name="_4F設置場所_【20090807】千里導入明細資料_【20091207】千里導入明細資料_２１年度分（ネットワーク敷設）_【20091218】千里導入明細資料_２１年度分（ネットワーク敷設）" xfId="4623"/>
    <cellStyle name="_4F設置場所_【20090807】千里導入明細資料_【20091207】千里導入明細資料_２１年度分（ネットワーク敷設）_【20091218】千里導入明細資料_２１年度分（ネットワーク敷設） 2" xfId="4624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" xfId="4625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 2" xfId="4626"/>
    <cellStyle name="_4F設置場所_【20090807】千里導入明細資料_【20091207】千里導入明細資料_２１年度分（ネットワーク敷設）_Ⅹ_課題と対応策_20121211" xfId="4627"/>
    <cellStyle name="_4F設置場所_【20090807】千里導入明細資料_【20091207】千里導入明細資料_２１年度分（ネットワーク敷設）_Ⅹ_課題と対応策_20121211 2" xfId="4628"/>
    <cellStyle name="_4F設置場所_【20090807】千里導入明細資料_【20091207】千里導入明細資料_２１年度分（ネットワーク敷設）_千里導入明細資料_２２年度分（ネットワーク敷設）_fj" xfId="4629"/>
    <cellStyle name="_4F設置場所_【20090807】千里導入明細資料_【20091207】千里導入明細資料_２１年度分（ネットワーク敷設）_千里導入明細資料_２２年度分（ネットワーク敷設）_fj 2" xfId="4630"/>
    <cellStyle name="_4F設置場所_【20090807】千里導入明細資料_【20091207】千里導入明細資料_２１年度分（ネットワーク敷設）_千里導入明細資料_２２年度分（ネットワーク敷設）_fj_Ⅹ_課題と対応策_20121211" xfId="4631"/>
    <cellStyle name="_4F設置場所_【20090807】千里導入明細資料_【20091207】千里導入明細資料_２１年度分（ネットワーク敷設）_千里導入明細資料_２２年度分（ネットワーク敷設）_fj_Ⅹ_課題と対応策_20121211 2" xfId="4632"/>
    <cellStyle name="_4F設置場所_【20090807】千里導入明細資料_【20091225】千里導入明細資料_２２年度上期分（営業店ＡＰ－ＤＢ）" xfId="4633"/>
    <cellStyle name="_4F設置場所_【20090807】千里導入明細資料_【20091225】千里導入明細資料_２２年度上期分（営業店ＡＰ－ＤＢ） 2" xfId="4634"/>
    <cellStyle name="_4F設置場所_【20090807】千里導入明細資料_【20091225】千里導入明細資料_２２年度上期分（営業店ＡＰ－ＤＢ）_【調整中】千里導入明細資料_２２年度上期分_fj_20100127" xfId="4635"/>
    <cellStyle name="_4F設置場所_【20090807】千里導入明細資料_【20091225】千里導入明細資料_２２年度上期分（営業店ＡＰ－ＤＢ）_【調整中】千里導入明細資料_２２年度上期分_fj_20100127 2" xfId="4636"/>
    <cellStyle name="_4F設置場所_【20090807】千里導入明細資料_【20091225】千里導入明細資料_２２年度上期分（営業店ＡＰ－ＤＢ）_【調整中】千里導入明細資料_２２年度上期分_fj_20100127_Ⅹ_課題と対応策_20121211" xfId="4637"/>
    <cellStyle name="_4F設置場所_【20090807】千里導入明細資料_【20091225】千里導入明細資料_２２年度上期分（営業店ＡＰ－ＤＢ）_【調整中】千里導入明細資料_２２年度上期分_fj_20100127_Ⅹ_課題と対応策_20121211 2" xfId="4638"/>
    <cellStyle name="_4F設置場所_【20090807】千里導入明細資料_【20091225】千里導入明細資料_２２年度上期分（営業店ＡＰ－ＤＢ）_Ⅹ_課題と対応策_20121211" xfId="4639"/>
    <cellStyle name="_4F設置場所_【20090807】千里導入明細資料_【20091225】千里導入明細資料_２２年度上期分（営業店ＡＰ－ＤＢ）_Ⅹ_課題と対応策_20121211 2" xfId="4640"/>
    <cellStyle name="_4F設置場所_【20090807】千里導入明細資料_【20091225】千里導入明細資料_２２年度上期分_営業店DB" xfId="4641"/>
    <cellStyle name="_4F設置場所_【20090807】千里導入明細資料_【20091225】千里導入明細資料_２２年度上期分_営業店DB 2" xfId="4642"/>
    <cellStyle name="_4F設置場所_【20090807】千里導入明細資料_【20091225】千里導入明細資料_２２年度上期分_営業店DB_【調整中】千里導入明細資料_２２年度上期分_fj_20100127" xfId="4643"/>
    <cellStyle name="_4F設置場所_【20090807】千里導入明細資料_【20091225】千里導入明細資料_２２年度上期分_営業店DB_【調整中】千里導入明細資料_２２年度上期分_fj_20100127 2" xfId="4644"/>
    <cellStyle name="_4F設置場所_【20090807】千里導入明細資料_【20091225】千里導入明細資料_２２年度上期分_営業店DB_【調整中】千里導入明細資料_２２年度上期分_fj_20100127_Ⅹ_課題と対応策_20121211" xfId="4645"/>
    <cellStyle name="_4F設置場所_【20090807】千里導入明細資料_【20091225】千里導入明細資料_２２年度上期分_営業店DB_【調整中】千里導入明細資料_２２年度上期分_fj_20100127_Ⅹ_課題と対応策_20121211 2" xfId="4646"/>
    <cellStyle name="_4F設置場所_【20090807】千里導入明細資料_【20091225】千里導入明細資料_２２年度上期分_営業店DB_Ⅹ_課題と対応策_20121211" xfId="4647"/>
    <cellStyle name="_4F設置場所_【20090807】千里導入明細資料_【20091225】千里導入明細資料_２２年度上期分_営業店DB_Ⅹ_課題と対応策_20121211 2" xfId="4648"/>
    <cellStyle name="_4F設置場所_【20090807】千里導入明細資料_【20091225】千里導入明細資料_２２年度上期分_連携DB" xfId="4649"/>
    <cellStyle name="_4F設置場所_【20090807】千里導入明細資料_【20091225】千里導入明細資料_２２年度上期分_連携DB 2" xfId="4650"/>
    <cellStyle name="_4F設置場所_【20090807】千里導入明細資料_【20091225】千里導入明細資料_２２年度上期分_連携DB_【調整中】千里導入明細資料_２２年度上期分_fj_20100127" xfId="4651"/>
    <cellStyle name="_4F設置場所_【20090807】千里導入明細資料_【20091225】千里導入明細資料_２２年度上期分_連携DB_【調整中】千里導入明細資料_２２年度上期分_fj_20100127 2" xfId="4652"/>
    <cellStyle name="_4F設置場所_【20090807】千里導入明細資料_【20091225】千里導入明細資料_２２年度上期分_連携DB_【調整中】千里導入明細資料_２２年度上期分_fj_20100127_Ⅹ_課題と対応策_20121211" xfId="4653"/>
    <cellStyle name="_4F設置場所_【20090807】千里導入明細資料_【20091225】千里導入明細資料_２２年度上期分_連携DB_【調整中】千里導入明細資料_２２年度上期分_fj_20100127_Ⅹ_課題と対応策_20121211 2" xfId="4654"/>
    <cellStyle name="_4F設置場所_【20090807】千里導入明細資料_【20091225】千里導入明細資料_２２年度上期分_連携DB_Ⅹ_課題と対応策_20121211" xfId="4655"/>
    <cellStyle name="_4F設置場所_【20090807】千里導入明細資料_【20091225】千里導入明細資料_２２年度上期分_連携DB_Ⅹ_課題と対応策_20121211 2" xfId="4656"/>
    <cellStyle name="_4F設置場所_【20090807】千里導入明細資料_【作成中】千里センター機器配置図（2010年対応分）_20091221" xfId="4657"/>
    <cellStyle name="_4F設置場所_【20090807】千里導入明細資料_【作成中】千里センター機器配置図（2010年対応分）_20091221 2" xfId="4658"/>
    <cellStyle name="_4F設置場所_【20090807】千里導入明細資料_【作成中】千里センター機器配置図（2010年対応分）_20091221_【調整中】千里導入明細資料_２２年度上期分_fj_20100127" xfId="4659"/>
    <cellStyle name="_4F設置場所_【20090807】千里導入明細資料_【作成中】千里センター機器配置図（2010年対応分）_20091221_【調整中】千里導入明細資料_２２年度上期分_fj_20100127 2" xfId="4660"/>
    <cellStyle name="_4F設置場所_【20090807】千里導入明細資料_【作成中】千里センター機器配置図（2010年対応分）_20091221_【調整中】千里導入明細資料_２２年度上期分_fj_20100127_Ⅹ_課題と対応策_20121211" xfId="4661"/>
    <cellStyle name="_4F設置場所_【20090807】千里導入明細資料_【作成中】千里センター機器配置図（2010年対応分）_20091221_【調整中】千里導入明細資料_２２年度上期分_fj_20100127_Ⅹ_課題と対応策_20121211 2" xfId="4662"/>
    <cellStyle name="_4F設置場所_【20090807】千里導入明細資料_【作成中】千里センター機器配置図（2010年対応分）_20091221_Ⅹ_課題と対応策_20121211" xfId="4663"/>
    <cellStyle name="_4F設置場所_【20090807】千里導入明細資料_【作成中】千里センター機器配置図（2010年対応分）_20091221_Ⅹ_課題と対応策_20121211 2" xfId="4664"/>
    <cellStyle name="_4F設置場所_【20090807】千里導入明細資料_Ⅹ_課題と対応策_20121211" xfId="4665"/>
    <cellStyle name="_4F設置場所_【20090807】千里導入明細資料_Ⅹ_課題と対応策_20121211 2" xfId="4666"/>
    <cellStyle name="_4F設置場所_【20090814】千里導入明細資料_SDB追加" xfId="4667"/>
    <cellStyle name="_4F設置場所_【20090814】千里導入明細資料_SDB追加 2" xfId="4668"/>
    <cellStyle name="_4F設置場所_【20090814】千里導入明細資料_SDB追加_【20091207】千里導入明細資料_２１年度分（ネットワーク敷設）" xfId="4669"/>
    <cellStyle name="_4F設置場所_【20090814】千里導入明細資料_SDB追加_【20091207】千里導入明細資料_２１年度分（ネットワーク敷設） 2" xfId="4670"/>
    <cellStyle name="_4F設置場所_【20090814】千里導入明細資料_SDB追加_【20091207】千里導入明細資料_２１年度分（ネットワーク敷設）_【20091218】千里導入明細資料_２１年度分（ネットワーク敷設）" xfId="4671"/>
    <cellStyle name="_4F設置場所_【20090814】千里導入明細資料_SDB追加_【20091207】千里導入明細資料_２１年度分（ネットワーク敷設）_【20091218】千里導入明細資料_２１年度分（ネットワーク敷設） 2" xfId="4672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" xfId="4673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 2" xfId="4674"/>
    <cellStyle name="_4F設置場所_【20090814】千里導入明細資料_SDB追加_【20091207】千里導入明細資料_２１年度分（ネットワーク敷設）_Ⅹ_課題と対応策_20121211" xfId="4675"/>
    <cellStyle name="_4F設置場所_【20090814】千里導入明細資料_SDB追加_【20091207】千里導入明細資料_２１年度分（ネットワーク敷設）_Ⅹ_課題と対応策_20121211 2" xfId="4676"/>
    <cellStyle name="_4F設置場所_【20090814】千里導入明細資料_SDB追加_【20091207】千里導入明細資料_２１年度分（ネットワーク敷設）_千里導入明細資料_２２年度分（ネットワーク敷設）_fj" xfId="4677"/>
    <cellStyle name="_4F設置場所_【20090814】千里導入明細資料_SDB追加_【20091207】千里導入明細資料_２１年度分（ネットワーク敷設）_千里導入明細資料_２２年度分（ネットワーク敷設）_fj 2" xfId="4678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" xfId="4679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 2" xfId="4680"/>
    <cellStyle name="_4F設置場所_【20090814】千里導入明細資料_SDB追加_【20091225】千里導入明細資料_２２年度上期分（営業店ＡＰ－ＤＢ）" xfId="4681"/>
    <cellStyle name="_4F設置場所_【20090814】千里導入明細資料_SDB追加_【20091225】千里導入明細資料_２２年度上期分（営業店ＡＰ－ＤＢ） 2" xfId="4682"/>
    <cellStyle name="_4F設置場所_【20090814】千里導入明細資料_SDB追加_【20091225】千里導入明細資料_２２年度上期分（営業店ＡＰ－ＤＢ）_【調整中】千里導入明細資料_２２年度上期分_fj_20100127" xfId="4683"/>
    <cellStyle name="_4F設置場所_【20090814】千里導入明細資料_SDB追加_【20091225】千里導入明細資料_２２年度上期分（営業店ＡＰ－ＤＢ）_【調整中】千里導入明細資料_２２年度上期分_fj_20100127 2" xfId="4684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" xfId="4685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 2" xfId="4686"/>
    <cellStyle name="_4F設置場所_【20090814】千里導入明細資料_SDB追加_【20091225】千里導入明細資料_２２年度上期分（営業店ＡＰ－ＤＢ）_Ⅹ_課題と対応策_20121211" xfId="4687"/>
    <cellStyle name="_4F設置場所_【20090814】千里導入明細資料_SDB追加_【20091225】千里導入明細資料_２２年度上期分（営業店ＡＰ－ＤＢ）_Ⅹ_課題と対応策_20121211 2" xfId="4688"/>
    <cellStyle name="_4F設置場所_【20090814】千里導入明細資料_SDB追加_【20091225】千里導入明細資料_２２年度上期分_営業店DB" xfId="4689"/>
    <cellStyle name="_4F設置場所_【20090814】千里導入明細資料_SDB追加_【20091225】千里導入明細資料_２２年度上期分_営業店DB 2" xfId="4690"/>
    <cellStyle name="_4F設置場所_【20090814】千里導入明細資料_SDB追加_【20091225】千里導入明細資料_２２年度上期分_営業店DB_【調整中】千里導入明細資料_２２年度上期分_fj_20100127" xfId="4691"/>
    <cellStyle name="_4F設置場所_【20090814】千里導入明細資料_SDB追加_【20091225】千里導入明細資料_２２年度上期分_営業店DB_【調整中】千里導入明細資料_２２年度上期分_fj_20100127 2" xfId="4692"/>
    <cellStyle name="_4F設置場所_【20090814】千里導入明細資料_SDB追加_【20091225】千里導入明細資料_２２年度上期分_営業店DB_【調整中】千里導入明細資料_２２年度上期分_fj_20100127_Ⅹ_課題と対応策_20121211" xfId="4693"/>
    <cellStyle name="_4F設置場所_【20090814】千里導入明細資料_SDB追加_【20091225】千里導入明細資料_２２年度上期分_営業店DB_【調整中】千里導入明細資料_２２年度上期分_fj_20100127_Ⅹ_課題と対応策_20121211 2" xfId="4694"/>
    <cellStyle name="_4F設置場所_【20090814】千里導入明細資料_SDB追加_【20091225】千里導入明細資料_２２年度上期分_営業店DB_Ⅹ_課題と対応策_20121211" xfId="4695"/>
    <cellStyle name="_4F設置場所_【20090814】千里導入明細資料_SDB追加_【20091225】千里導入明細資料_２２年度上期分_営業店DB_Ⅹ_課題と対応策_20121211 2" xfId="4696"/>
    <cellStyle name="_4F設置場所_【20090814】千里導入明細資料_SDB追加_【20091225】千里導入明細資料_２２年度上期分_連携DB" xfId="4697"/>
    <cellStyle name="_4F設置場所_【20090814】千里導入明細資料_SDB追加_【20091225】千里導入明細資料_２２年度上期分_連携DB 2" xfId="4698"/>
    <cellStyle name="_4F設置場所_【20090814】千里導入明細資料_SDB追加_【20091225】千里導入明細資料_２２年度上期分_連携DB_【調整中】千里導入明細資料_２２年度上期分_fj_20100127" xfId="4699"/>
    <cellStyle name="_4F設置場所_【20090814】千里導入明細資料_SDB追加_【20091225】千里導入明細資料_２２年度上期分_連携DB_【調整中】千里導入明細資料_２２年度上期分_fj_20100127 2" xfId="4700"/>
    <cellStyle name="_4F設置場所_【20090814】千里導入明細資料_SDB追加_【20091225】千里導入明細資料_２２年度上期分_連携DB_【調整中】千里導入明細資料_２２年度上期分_fj_20100127_Ⅹ_課題と対応策_20121211" xfId="4701"/>
    <cellStyle name="_4F設置場所_【20090814】千里導入明細資料_SDB追加_【20091225】千里導入明細資料_２２年度上期分_連携DB_【調整中】千里導入明細資料_２２年度上期分_fj_20100127_Ⅹ_課題と対応策_20121211 2" xfId="4702"/>
    <cellStyle name="_4F設置場所_【20090814】千里導入明細資料_SDB追加_【20091225】千里導入明細資料_２２年度上期分_連携DB_Ⅹ_課題と対応策_20121211" xfId="4703"/>
    <cellStyle name="_4F設置場所_【20090814】千里導入明細資料_SDB追加_【20091225】千里導入明細資料_２２年度上期分_連携DB_Ⅹ_課題と対応策_20121211 2" xfId="4704"/>
    <cellStyle name="_4F設置場所_【20090814】千里導入明細資料_SDB追加_【作成中】千里センター機器配置図（2010年対応分）_20091221" xfId="4705"/>
    <cellStyle name="_4F設置場所_【20090814】千里導入明細資料_SDB追加_【作成中】千里センター機器配置図（2010年対応分）_20091221 2" xfId="4706"/>
    <cellStyle name="_4F設置場所_【20090814】千里導入明細資料_SDB追加_【作成中】千里センター機器配置図（2010年対応分）_20091221_【調整中】千里導入明細資料_２２年度上期分_fj_20100127" xfId="4707"/>
    <cellStyle name="_4F設置場所_【20090814】千里導入明細資料_SDB追加_【作成中】千里センター機器配置図（2010年対応分）_20091221_【調整中】千里導入明細資料_２２年度上期分_fj_20100127 2" xfId="4708"/>
    <cellStyle name="_4F設置場所_【20090814】千里導入明細資料_SDB追加_【作成中】千里センター機器配置図（2010年対応分）_20091221_【調整中】千里導入明細資料_２２年度上期分_fj_20100127_Ⅹ_課題と対応策_20121211" xfId="4709"/>
    <cellStyle name="_4F設置場所_【20090814】千里導入明細資料_SDB追加_【作成中】千里センター機器配置図（2010年対応分）_20091221_【調整中】千里導入明細資料_２２年度上期分_fj_20100127_Ⅹ_課題と対応策_20121211 2" xfId="4710"/>
    <cellStyle name="_4F設置場所_【20090814】千里導入明細資料_SDB追加_【作成中】千里センター機器配置図（2010年対応分）_20091221_Ⅹ_課題と対応策_20121211" xfId="4711"/>
    <cellStyle name="_4F設置場所_【20090814】千里導入明細資料_SDB追加_【作成中】千里センター機器配置図（2010年対応分）_20091221_Ⅹ_課題と対応策_20121211 2" xfId="4712"/>
    <cellStyle name="_4F設置場所_【20090814】千里導入明細資料_SDB追加_Ⅹ_課題と対応策_20121211" xfId="4713"/>
    <cellStyle name="_4F設置場所_【20090814】千里導入明細資料_SDB追加_Ⅹ_課題と対応策_20121211 2" xfId="4714"/>
    <cellStyle name="_4F設置場所_【20090821】千里ラック搭載図（NW機器）" xfId="4715"/>
    <cellStyle name="_4F設置場所_【20090821】千里ラック搭載図（NW機器） 2" xfId="4716"/>
    <cellStyle name="_4F設置場所_【20090821】千里ラック搭載図（NW機器）_Ⅹ_課題と対応策_20121211" xfId="4717"/>
    <cellStyle name="_4F設置場所_【20090821】千里ラック搭載図（NW機器）_Ⅹ_課題と対応策_20121211 2" xfId="4718"/>
    <cellStyle name="_4F設置場所_【20091218】千里導入明細資料_２１年度分（ネットワーク敷設）" xfId="4719"/>
    <cellStyle name="_4F設置場所_【20091218】千里導入明細資料_２１年度分（ネットワーク敷設） 2" xfId="4720"/>
    <cellStyle name="_4F設置場所_【20091218】千里導入明細資料_２１年度分（ネットワーク敷設）_Ⅹ_課題と対応策_20121211" xfId="4721"/>
    <cellStyle name="_4F設置場所_【20091218】千里導入明細資料_２１年度分（ネットワーク敷設）_Ⅹ_課題と対応策_20121211 2" xfId="4722"/>
    <cellStyle name="_4F設置場所_【20091224】千里導入明細資料_２２年度上期分_営業店DB" xfId="4723"/>
    <cellStyle name="_4F設置場所_【20091224】千里導入明細資料_２２年度上期分_営業店DB 2" xfId="4724"/>
    <cellStyle name="_4F設置場所_【20091224】千里導入明細資料_２２年度上期分_営業店DB_【20091225】千里導入明細資料_２２年度上期分（営業店ＡＰ－ＤＢ）" xfId="4725"/>
    <cellStyle name="_4F設置場所_【20091224】千里導入明細資料_２２年度上期分_営業店DB_【20091225】千里導入明細資料_２２年度上期分（営業店ＡＰ－ＤＢ） 2" xfId="4726"/>
    <cellStyle name="_4F設置場所_【20091224】千里導入明細資料_２２年度上期分_営業店DB_【20091225】千里導入明細資料_２２年度上期分（営業店ＡＰ－ＤＢ）_【調整中】千里導入明細資料_２２年度上期分_fj_20100127" xfId="4727"/>
    <cellStyle name="_4F設置場所_【20091224】千里導入明細資料_２２年度上期分_営業店DB_【20091225】千里導入明細資料_２２年度上期分（営業店ＡＰ－ＤＢ）_【調整中】千里導入明細資料_２２年度上期分_fj_20100127 2" xfId="4728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29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30"/>
    <cellStyle name="_4F設置場所_【20091224】千里導入明細資料_２２年度上期分_営業店DB_【20091225】千里導入明細資料_２２年度上期分（営業店ＡＰ－ＤＢ）_Ⅹ_課題と対応策_20121211" xfId="4731"/>
    <cellStyle name="_4F設置場所_【20091224】千里導入明細資料_２２年度上期分_営業店DB_【20091225】千里導入明細資料_２２年度上期分（営業店ＡＰ－ＤＢ）_Ⅹ_課題と対応策_20121211 2" xfId="4732"/>
    <cellStyle name="_4F設置場所_【20091224】千里導入明細資料_２２年度上期分_営業店DB_【20091225】千里導入明細資料_２２年度上期分_営業店DB" xfId="4733"/>
    <cellStyle name="_4F設置場所_【20091224】千里導入明細資料_２２年度上期分_営業店DB_【20091225】千里導入明細資料_２２年度上期分_営業店DB 2" xfId="4734"/>
    <cellStyle name="_4F設置場所_【20091224】千里導入明細資料_２２年度上期分_営業店DB_【20091225】千里導入明細資料_２２年度上期分_営業店DB_【調整中】千里導入明細資料_２２年度上期分_fj_20100127" xfId="4735"/>
    <cellStyle name="_4F設置場所_【20091224】千里導入明細資料_２２年度上期分_営業店DB_【20091225】千里導入明細資料_２２年度上期分_営業店DB_【調整中】千里導入明細資料_２２年度上期分_fj_20100127 2" xfId="4736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" xfId="4737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 2" xfId="4738"/>
    <cellStyle name="_4F設置場所_【20091224】千里導入明細資料_２２年度上期分_営業店DB_【20091225】千里導入明細資料_２２年度上期分_営業店DB_Ⅹ_課題と対応策_20121211" xfId="4739"/>
    <cellStyle name="_4F設置場所_【20091224】千里導入明細資料_２２年度上期分_営業店DB_【20091225】千里導入明細資料_２２年度上期分_営業店DB_Ⅹ_課題と対応策_20121211 2" xfId="4740"/>
    <cellStyle name="_4F設置場所_【20091224】千里導入明細資料_２２年度上期分_営業店DB_Ⅹ_課題と対応策_20121211" xfId="4741"/>
    <cellStyle name="_4F設置場所_【20091224】千里導入明細資料_２２年度上期分_営業店DB_Ⅹ_課題と対応策_20121211 2" xfId="4742"/>
    <cellStyle name="_4F設置場所_【20091225】千里導入明細資料_２２年度上期分" xfId="4743"/>
    <cellStyle name="_4F設置場所_【20091225】千里導入明細資料_２２年度上期分 2" xfId="4744"/>
    <cellStyle name="_4F設置場所_【20091225】千里導入明細資料_２２年度上期分_Ⅹ_課題と対応策_20121211" xfId="4745"/>
    <cellStyle name="_4F設置場所_【20091225】千里導入明細資料_２２年度上期分_Ⅹ_課題と対応策_20121211 2" xfId="4746"/>
    <cellStyle name="_4F設置場所_【20091225】千里導入明細資料_２２年度上期分_営業店DB" xfId="4747"/>
    <cellStyle name="_4F設置場所_【20091225】千里導入明細資料_２２年度上期分_営業店DB 2" xfId="4748"/>
    <cellStyle name="_4F設置場所_【20091225】千里導入明細資料_２２年度上期分_営業店DB_Ⅹ_課題と対応策_20121211" xfId="4749"/>
    <cellStyle name="_4F設置場所_【20091225】千里導入明細資料_２２年度上期分_営業店DB_Ⅹ_課題と対応策_20121211 2" xfId="4750"/>
    <cellStyle name="_4F設置場所_【20091225】千里導入明細資料_２２年度上期分_連携DB" xfId="4751"/>
    <cellStyle name="_4F設置場所_【20091225】千里導入明細資料_２２年度上期分_連携DB 2" xfId="4752"/>
    <cellStyle name="_4F設置場所_【20091225】千里導入明細資料_２２年度上期分_連携DB_Ⅹ_課題と対応策_20121211" xfId="4753"/>
    <cellStyle name="_4F設置場所_【20091225】千里導入明細資料_２２年度上期分_連携DB_Ⅹ_課題と対応策_20121211 2" xfId="4754"/>
    <cellStyle name="_4F設置場所_【200912xx】千里導入明細資料_２２年度上期分" xfId="4755"/>
    <cellStyle name="_4F設置場所_【200912xx】千里導入明細資料_２２年度上期分 2" xfId="4756"/>
    <cellStyle name="_4F設置場所_【200912xx】千里導入明細資料_２２年度上期分（為替分）" xfId="4757"/>
    <cellStyle name="_4F設置場所_【200912xx】千里導入明細資料_２２年度上期分（為替分） 2" xfId="4758"/>
    <cellStyle name="_4F設置場所_【200912xx】千里導入明細資料_２２年度上期分（為替分）_Ⅹ_課題と対応策_20121211" xfId="4759"/>
    <cellStyle name="_4F設置場所_【200912xx】千里導入明細資料_２２年度上期分（為替分）_Ⅹ_課題と対応策_20121211 2" xfId="4760"/>
    <cellStyle name="_4F設置場所_【200912xx】千里導入明細資料_２２年度上期分_【20091225】千里導入明細資料_２２年度上期分（営業店ＡＰ－ＤＢ）" xfId="4761"/>
    <cellStyle name="_4F設置場所_【200912xx】千里導入明細資料_２２年度上期分_【20091225】千里導入明細資料_２２年度上期分（営業店ＡＰ－ＤＢ） 2" xfId="4762"/>
    <cellStyle name="_4F設置場所_【200912xx】千里導入明細資料_２２年度上期分_【20091225】千里導入明細資料_２２年度上期分（営業店ＡＰ－ＤＢ）_【調整中】千里導入明細資料_２２年度上期分_fj_20100127" xfId="4763"/>
    <cellStyle name="_4F設置場所_【200912xx】千里導入明細資料_２２年度上期分_【20091225】千里導入明細資料_２２年度上期分（営業店ＡＰ－ＤＢ）_【調整中】千里導入明細資料_２２年度上期分_fj_20100127 2" xfId="4764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" xfId="4765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 2" xfId="4766"/>
    <cellStyle name="_4F設置場所_【200912xx】千里導入明細資料_２２年度上期分_【20091225】千里導入明細資料_２２年度上期分（営業店ＡＰ－ＤＢ）_Ⅹ_課題と対応策_20121211" xfId="4767"/>
    <cellStyle name="_4F設置場所_【200912xx】千里導入明細資料_２２年度上期分_【20091225】千里導入明細資料_２２年度上期分（営業店ＡＰ－ＤＢ）_Ⅹ_課題と対応策_20121211 2" xfId="4768"/>
    <cellStyle name="_4F設置場所_【200912xx】千里導入明細資料_２２年度上期分_【20091225】千里導入明細資料_２２年度上期分_営業店DB" xfId="4769"/>
    <cellStyle name="_4F設置場所_【200912xx】千里導入明細資料_２２年度上期分_【20091225】千里導入明細資料_２２年度上期分_営業店DB 2" xfId="4770"/>
    <cellStyle name="_4F設置場所_【200912xx】千里導入明細資料_２２年度上期分_【20091225】千里導入明細資料_２２年度上期分_営業店DB_【調整中】千里導入明細資料_２２年度上期分_fj_20100127" xfId="4771"/>
    <cellStyle name="_4F設置場所_【200912xx】千里導入明細資料_２２年度上期分_【20091225】千里導入明細資料_２２年度上期分_営業店DB_【調整中】千里導入明細資料_２２年度上期分_fj_20100127 2" xfId="4772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" xfId="4773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 2" xfId="4774"/>
    <cellStyle name="_4F設置場所_【200912xx】千里導入明細資料_２２年度上期分_【20091225】千里導入明細資料_２２年度上期分_営業店DB_Ⅹ_課題と対応策_20121211" xfId="4775"/>
    <cellStyle name="_4F設置場所_【200912xx】千里導入明細資料_２２年度上期分_【20091225】千里導入明細資料_２２年度上期分_営業店DB_Ⅹ_課題と対応策_20121211 2" xfId="4776"/>
    <cellStyle name="_4F設置場所_【200912xx】千里導入明細資料_２２年度上期分_【20091225】千里導入明細資料_２２年度上期分_連携DB" xfId="4777"/>
    <cellStyle name="_4F設置場所_【200912xx】千里導入明細資料_２２年度上期分_【20091225】千里導入明細資料_２２年度上期分_連携DB 2" xfId="4778"/>
    <cellStyle name="_4F設置場所_【200912xx】千里導入明細資料_２２年度上期分_【20091225】千里導入明細資料_２２年度上期分_連携DB_【調整中】千里導入明細資料_２２年度上期分_fj_20100127" xfId="4779"/>
    <cellStyle name="_4F設置場所_【200912xx】千里導入明細資料_２２年度上期分_【20091225】千里導入明細資料_２２年度上期分_連携DB_【調整中】千里導入明細資料_２２年度上期分_fj_20100127 2" xfId="4780"/>
    <cellStyle name="_4F設置場所_【200912xx】千里導入明細資料_２２年度上期分_【20091225】千里導入明細資料_２２年度上期分_連携DB_【調整中】千里導入明細資料_２２年度上期分_fj_20100127_Ⅹ_課題と対応策_20121211" xfId="4781"/>
    <cellStyle name="_4F設置場所_【200912xx】千里導入明細資料_２２年度上期分_【20091225】千里導入明細資料_２２年度上期分_連携DB_【調整中】千里導入明細資料_２２年度上期分_fj_20100127_Ⅹ_課題と対応策_20121211 2" xfId="4782"/>
    <cellStyle name="_4F設置場所_【200912xx】千里導入明細資料_２２年度上期分_【20091225】千里導入明細資料_２２年度上期分_連携DB_Ⅹ_課題と対応策_20121211" xfId="4783"/>
    <cellStyle name="_4F設置場所_【200912xx】千里導入明細資料_２２年度上期分_【20091225】千里導入明細資料_２２年度上期分_連携DB_Ⅹ_課題と対応策_20121211 2" xfId="4784"/>
    <cellStyle name="_4F設置場所_【200912xx】千里導入明細資料_２２年度上期分_Ⅹ_課題と対応策_20121211" xfId="4785"/>
    <cellStyle name="_4F設置場所_【200912xx】千里導入明細資料_２２年度上期分_Ⅹ_課題と対応策_20121211 2" xfId="4786"/>
    <cellStyle name="_4F設置場所_【調整中】千里導入明細資料_２２年度上期分_fj_20100127" xfId="4787"/>
    <cellStyle name="_4F設置場所_【調整中】千里導入明細資料_２２年度上期分_fj_20100127 2" xfId="4788"/>
    <cellStyle name="_4F設置場所_【調整中】千里導入明細資料_２２年度上期分_fj_20100127_Ⅹ_課題と対応策_20121211" xfId="4789"/>
    <cellStyle name="_4F設置場所_【調整中】千里導入明細資料_２２年度上期分_fj_20100127_Ⅹ_課題と対応策_20121211 2" xfId="4790"/>
    <cellStyle name="_4F設置場所_①【20091225】千里導入明細資料_２２年度上期1分)" xfId="4791"/>
    <cellStyle name="_4F設置場所_①【20091225】千里導入明細資料_２２年度上期1分) 2" xfId="4792"/>
    <cellStyle name="_4F設置場所_①【20091225】千里導入明細資料_２２年度上期1分)_Ⅹ_課題と対応策_20121211" xfId="4793"/>
    <cellStyle name="_4F設置場所_①【20091225】千里導入明細資料_２２年度上期1分)_Ⅹ_課題と対応策_20121211 2" xfId="4794"/>
    <cellStyle name="_4F設置場所_Ⅹ_課題と対応策_20121211" xfId="4795"/>
    <cellStyle name="_4F設置場所_Ⅹ_課題と対応策_20121211 2" xfId="4796"/>
    <cellStyle name="_4F設置場所_ラック構成図（千里_営業店・新事務）_20090805" xfId="4797"/>
    <cellStyle name="_4F設置場所_ラック構成図（千里_営業店・新事務）_20090805 2" xfId="4798"/>
    <cellStyle name="_4F設置場所_ラック構成図（千里_営業店・新事務）_20090805_【20091207】千里導入明細資料_２１年度分（ネットワーク敷設）" xfId="4799"/>
    <cellStyle name="_4F設置場所_ラック構成図（千里_営業店・新事務）_20090805_【20091207】千里導入明細資料_２１年度分（ネットワーク敷設） 2" xfId="4800"/>
    <cellStyle name="_4F設置場所_ラック構成図（千里_営業店・新事務）_20090805_【20091207】千里導入明細資料_２１年度分（ネットワーク敷設）_【20091218】千里導入明細資料_２１年度分（ネットワーク敷設）" xfId="4801"/>
    <cellStyle name="_4F設置場所_ラック構成図（千里_営業店・新事務）_20090805_【20091207】千里導入明細資料_２１年度分（ネットワーク敷設）_【20091218】千里導入明細資料_２１年度分（ネットワーク敷設） 2" xfId="4802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" xfId="4803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 2" xfId="4804"/>
    <cellStyle name="_4F設置場所_ラック構成図（千里_営業店・新事務）_20090805_【20091207】千里導入明細資料_２１年度分（ネットワーク敷設）_Ⅹ_課題と対応策_20121211" xfId="4805"/>
    <cellStyle name="_4F設置場所_ラック構成図（千里_営業店・新事務）_20090805_【20091207】千里導入明細資料_２１年度分（ネットワーク敷設）_Ⅹ_課題と対応策_20121211 2" xfId="4806"/>
    <cellStyle name="_4F設置場所_ラック構成図（千里_営業店・新事務）_20090805_【20091207】千里導入明細資料_２１年度分（ネットワーク敷設）_千里導入明細資料_２２年度分（ネットワーク敷設）_fj" xfId="4807"/>
    <cellStyle name="_4F設置場所_ラック構成図（千里_営業店・新事務）_20090805_【20091207】千里導入明細資料_２１年度分（ネットワーク敷設）_千里導入明細資料_２２年度分（ネットワーク敷設）_fj 2" xfId="4808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" xfId="4809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 2" xfId="4810"/>
    <cellStyle name="_4F設置場所_ラック構成図（千里_営業店・新事務）_20090805_【20091225】千里導入明細資料_２２年度上期分（営業店ＡＰ－ＤＢ）" xfId="4811"/>
    <cellStyle name="_4F設置場所_ラック構成図（千里_営業店・新事務）_20090805_【20091225】千里導入明細資料_２２年度上期分（営業店ＡＰ－ＤＢ） 2" xfId="4812"/>
    <cellStyle name="_4F設置場所_ラック構成図（千里_営業店・新事務）_20090805_【20091225】千里導入明細資料_２２年度上期分（営業店ＡＰ－ＤＢ）_【調整中】千里導入明細資料_２２年度上期分_fj_20100127" xfId="4813"/>
    <cellStyle name="_4F設置場所_ラック構成図（千里_営業店・新事務）_20090805_【20091225】千里導入明細資料_２２年度上期分（営業店ＡＰ－ＤＢ）_【調整中】千里導入明細資料_２２年度上期分_fj_20100127 2" xfId="4814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" xfId="4815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 2" xfId="4816"/>
    <cellStyle name="_4F設置場所_ラック構成図（千里_営業店・新事務）_20090805_【20091225】千里導入明細資料_２２年度上期分（営業店ＡＰ－ＤＢ）_Ⅹ_課題と対応策_20121211" xfId="4817"/>
    <cellStyle name="_4F設置場所_ラック構成図（千里_営業店・新事務）_20090805_【20091225】千里導入明細資料_２２年度上期分（営業店ＡＰ－ＤＢ）_Ⅹ_課題と対応策_20121211 2" xfId="4818"/>
    <cellStyle name="_4F設置場所_ラック構成図（千里_営業店・新事務）_20090805_【20091225】千里導入明細資料_２２年度上期分_営業店DB" xfId="4819"/>
    <cellStyle name="_4F設置場所_ラック構成図（千里_営業店・新事務）_20090805_【20091225】千里導入明細資料_２２年度上期分_営業店DB 2" xfId="4820"/>
    <cellStyle name="_4F設置場所_ラック構成図（千里_営業店・新事務）_20090805_【20091225】千里導入明細資料_２２年度上期分_営業店DB_【調整中】千里導入明細資料_２２年度上期分_fj_20100127" xfId="4821"/>
    <cellStyle name="_4F設置場所_ラック構成図（千里_営業店・新事務）_20090805_【20091225】千里導入明細資料_２２年度上期分_営業店DB_【調整中】千里導入明細資料_２２年度上期分_fj_20100127 2" xfId="4822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" xfId="4823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 2" xfId="4824"/>
    <cellStyle name="_4F設置場所_ラック構成図（千里_営業店・新事務）_20090805_【20091225】千里導入明細資料_２２年度上期分_営業店DB_Ⅹ_課題と対応策_20121211" xfId="4825"/>
    <cellStyle name="_4F設置場所_ラック構成図（千里_営業店・新事務）_20090805_【20091225】千里導入明細資料_２２年度上期分_営業店DB_Ⅹ_課題と対応策_20121211 2" xfId="4826"/>
    <cellStyle name="_4F設置場所_ラック構成図（千里_営業店・新事務）_20090805_【20091225】千里導入明細資料_２２年度上期分_連携DB" xfId="4827"/>
    <cellStyle name="_4F設置場所_ラック構成図（千里_営業店・新事務）_20090805_【20091225】千里導入明細資料_２２年度上期分_連携DB 2" xfId="4828"/>
    <cellStyle name="_4F設置場所_ラック構成図（千里_営業店・新事務）_20090805_【20091225】千里導入明細資料_２２年度上期分_連携DB_【調整中】千里導入明細資料_２２年度上期分_fj_20100127" xfId="4829"/>
    <cellStyle name="_4F設置場所_ラック構成図（千里_営業店・新事務）_20090805_【20091225】千里導入明細資料_２２年度上期分_連携DB_【調整中】千里導入明細資料_２２年度上期分_fj_20100127 2" xfId="4830"/>
    <cellStyle name="_4F設置場所_ラック構成図（千里_営業店・新事務）_20090805_【20091225】千里導入明細資料_２２年度上期分_連携DB_【調整中】千里導入明細資料_２２年度上期分_fj_20100127_Ⅹ_課題と対応策_20121211" xfId="4831"/>
    <cellStyle name="_4F設置場所_ラック構成図（千里_営業店・新事務）_20090805_【20091225】千里導入明細資料_２２年度上期分_連携DB_【調整中】千里導入明細資料_２２年度上期分_fj_20100127_Ⅹ_課題と対応策_20121211 2" xfId="4832"/>
    <cellStyle name="_4F設置場所_ラック構成図（千里_営業店・新事務）_20090805_【20091225】千里導入明細資料_２２年度上期分_連携DB_Ⅹ_課題と対応策_20121211" xfId="4833"/>
    <cellStyle name="_4F設置場所_ラック構成図（千里_営業店・新事務）_20090805_【20091225】千里導入明細資料_２２年度上期分_連携DB_Ⅹ_課題と対応策_20121211 2" xfId="4834"/>
    <cellStyle name="_4F設置場所_ラック構成図（千里_営業店・新事務）_20090805_【作成中】千里センター機器配置図（2010年対応分）_20091221" xfId="4835"/>
    <cellStyle name="_4F設置場所_ラック構成図（千里_営業店・新事務）_20090805_【作成中】千里センター機器配置図（2010年対応分）_20091221 2" xfId="4836"/>
    <cellStyle name="_4F設置場所_ラック構成図（千里_営業店・新事務）_20090805_【作成中】千里センター機器配置図（2010年対応分）_20091221_【調整中】千里導入明細資料_２２年度上期分_fj_20100127" xfId="4837"/>
    <cellStyle name="_4F設置場所_ラック構成図（千里_営業店・新事務）_20090805_【作成中】千里センター機器配置図（2010年対応分）_20091221_【調整中】千里導入明細資料_２２年度上期分_fj_20100127 2" xfId="4838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" xfId="4839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 2" xfId="4840"/>
    <cellStyle name="_4F設置場所_ラック構成図（千里_営業店・新事務）_20090805_【作成中】千里センター機器配置図（2010年対応分）_20091221_Ⅹ_課題と対応策_20121211" xfId="4841"/>
    <cellStyle name="_4F設置場所_ラック構成図（千里_営業店・新事務）_20090805_【作成中】千里センター機器配置図（2010年対応分）_20091221_Ⅹ_課題と対応策_20121211 2" xfId="4842"/>
    <cellStyle name="_4F設置場所_ラック構成図（千里_営業店・新事務）_20090805_Ⅹ_課題と対応策_20121211" xfId="4843"/>
    <cellStyle name="_4F設置場所_ラック構成図（千里_営業店・新事務）_20090805_Ⅹ_課題と対応策_20121211 2" xfId="4844"/>
    <cellStyle name="_4F設置場所_ラック構成図_Catalyst直付け（新事務処理）" xfId="4845"/>
    <cellStyle name="_4F設置場所_ラック構成図_Catalyst直付け（新事務処理） 2" xfId="4846"/>
    <cellStyle name="_4F設置場所_ラック構成図_Catalyst直付け（新事務処理）_【20091207】千里導入明細資料_２１年度分（ネットワーク敷設）" xfId="4847"/>
    <cellStyle name="_4F設置場所_ラック構成図_Catalyst直付け（新事務処理）_【20091207】千里導入明細資料_２１年度分（ネットワーク敷設） 2" xfId="4848"/>
    <cellStyle name="_4F設置場所_ラック構成図_Catalyst直付け（新事務処理）_【20091207】千里導入明細資料_２１年度分（ネットワーク敷設）_【20091218】千里導入明細資料_２１年度分（ネットワーク敷設）" xfId="4849"/>
    <cellStyle name="_4F設置場所_ラック構成図_Catalyst直付け（新事務処理）_【20091207】千里導入明細資料_２１年度分（ネットワーク敷設）_【20091218】千里導入明細資料_２１年度分（ネットワーク敷設） 2" xfId="4850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" xfId="4851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 2" xfId="4852"/>
    <cellStyle name="_4F設置場所_ラック構成図_Catalyst直付け（新事務処理）_【20091207】千里導入明細資料_２１年度分（ネットワーク敷設）_Ⅹ_課題と対応策_20121211" xfId="4853"/>
    <cellStyle name="_4F設置場所_ラック構成図_Catalyst直付け（新事務処理）_【20091207】千里導入明細資料_２１年度分（ネットワーク敷設）_Ⅹ_課題と対応策_20121211 2" xfId="4854"/>
    <cellStyle name="_4F設置場所_ラック構成図_Catalyst直付け（新事務処理）_【20091207】千里導入明細資料_２１年度分（ネットワーク敷設）_千里導入明細資料_２２年度分（ネットワーク敷設）_fj" xfId="4855"/>
    <cellStyle name="_4F設置場所_ラック構成図_Catalyst直付け（新事務処理）_【20091207】千里導入明細資料_２１年度分（ネットワーク敷設）_千里導入明細資料_２２年度分（ネットワーク敷設）_fj 2" xfId="4856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" xfId="4857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 2" xfId="4858"/>
    <cellStyle name="_4F設置場所_ラック構成図_Catalyst直付け（新事務処理）_【20091225】千里導入明細資料_２２年度上期分（営業店ＡＰ－ＤＢ）" xfId="4859"/>
    <cellStyle name="_4F設置場所_ラック構成図_Catalyst直付け（新事務処理）_【20091225】千里導入明細資料_２２年度上期分（営業店ＡＰ－ＤＢ） 2" xfId="4860"/>
    <cellStyle name="_4F設置場所_ラック構成図_Catalyst直付け（新事務処理）_【20091225】千里導入明細資料_２２年度上期分（営業店ＡＰ－ＤＢ）_【調整中】千里導入明細資料_２２年度上期分_fj_20100127" xfId="4861"/>
    <cellStyle name="_4F設置場所_ラック構成図_Catalyst直付け（新事務処理）_【20091225】千里導入明細資料_２２年度上期分（営業店ＡＰ－ＤＢ）_【調整中】千里導入明細資料_２２年度上期分_fj_20100127 2" xfId="4862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" xfId="4863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 2" xfId="4864"/>
    <cellStyle name="_4F設置場所_ラック構成図_Catalyst直付け（新事務処理）_【20091225】千里導入明細資料_２２年度上期分（営業店ＡＰ－ＤＢ）_Ⅹ_課題と対応策_20121211" xfId="4865"/>
    <cellStyle name="_4F設置場所_ラック構成図_Catalyst直付け（新事務処理）_【20091225】千里導入明細資料_２２年度上期分（営業店ＡＰ－ＤＢ）_Ⅹ_課題と対応策_20121211 2" xfId="4866"/>
    <cellStyle name="_4F設置場所_ラック構成図_Catalyst直付け（新事務処理）_【20091225】千里導入明細資料_２２年度上期分_営業店DB" xfId="4867"/>
    <cellStyle name="_4F設置場所_ラック構成図_Catalyst直付け（新事務処理）_【20091225】千里導入明細資料_２２年度上期分_営業店DB 2" xfId="4868"/>
    <cellStyle name="_4F設置場所_ラック構成図_Catalyst直付け（新事務処理）_【20091225】千里導入明細資料_２２年度上期分_営業店DB_【調整中】千里導入明細資料_２２年度上期分_fj_20100127" xfId="4869"/>
    <cellStyle name="_4F設置場所_ラック構成図_Catalyst直付け（新事務処理）_【20091225】千里導入明細資料_２２年度上期分_営業店DB_【調整中】千里導入明細資料_２２年度上期分_fj_20100127 2" xfId="4870"/>
    <cellStyle name="_4F設置場所_ラック構成図_Catalyst直付け（新事務処理）_【20091225】千里導入明細資料_２２年度上期分_営業店DB_【調整中】千里導入明細資料_２２年度上期分_fj_20100127_Ⅹ_課題と対応策_20121211" xfId="4871"/>
    <cellStyle name="_4F設置場所_ラック構成図_Catalyst直付け（新事務処理）_【20091225】千里導入明細資料_２２年度上期分_営業店DB_【調整中】千里導入明細資料_２２年度上期分_fj_20100127_Ⅹ_課題と対応策_20121211 2" xfId="4872"/>
    <cellStyle name="_4F設置場所_ラック構成図_Catalyst直付け（新事務処理）_【20091225】千里導入明細資料_２２年度上期分_営業店DB_Ⅹ_課題と対応策_20121211" xfId="4873"/>
    <cellStyle name="_4F設置場所_ラック構成図_Catalyst直付け（新事務処理）_【20091225】千里導入明細資料_２２年度上期分_営業店DB_Ⅹ_課題と対応策_20121211 2" xfId="4874"/>
    <cellStyle name="_4F設置場所_ラック構成図_Catalyst直付け（新事務処理）_【20091225】千里導入明細資料_２２年度上期分_連携DB" xfId="4875"/>
    <cellStyle name="_4F設置場所_ラック構成図_Catalyst直付け（新事務処理）_【20091225】千里導入明細資料_２２年度上期分_連携DB 2" xfId="4876"/>
    <cellStyle name="_4F設置場所_ラック構成図_Catalyst直付け（新事務処理）_【20091225】千里導入明細資料_２２年度上期分_連携DB_【調整中】千里導入明細資料_２２年度上期分_fj_20100127" xfId="4877"/>
    <cellStyle name="_4F設置場所_ラック構成図_Catalyst直付け（新事務処理）_【20091225】千里導入明細資料_２２年度上期分_連携DB_【調整中】千里導入明細資料_２２年度上期分_fj_20100127 2" xfId="4878"/>
    <cellStyle name="_4F設置場所_ラック構成図_Catalyst直付け（新事務処理）_【20091225】千里導入明細資料_２２年度上期分_連携DB_【調整中】千里導入明細資料_２２年度上期分_fj_20100127_Ⅹ_課題と対応策_20121211" xfId="4879"/>
    <cellStyle name="_4F設置場所_ラック構成図_Catalyst直付け（新事務処理）_【20091225】千里導入明細資料_２２年度上期分_連携DB_【調整中】千里導入明細資料_２２年度上期分_fj_20100127_Ⅹ_課題と対応策_20121211 2" xfId="4880"/>
    <cellStyle name="_4F設置場所_ラック構成図_Catalyst直付け（新事務処理）_【20091225】千里導入明細資料_２２年度上期分_連携DB_Ⅹ_課題と対応策_20121211" xfId="4881"/>
    <cellStyle name="_4F設置場所_ラック構成図_Catalyst直付け（新事務処理）_【20091225】千里導入明細資料_２２年度上期分_連携DB_Ⅹ_課題と対応策_20121211 2" xfId="4882"/>
    <cellStyle name="_4F設置場所_ラック構成図_Catalyst直付け（新事務処理）_【作成中】千里センター機器配置図（2010年対応分）_20091221" xfId="4883"/>
    <cellStyle name="_4F設置場所_ラック構成図_Catalyst直付け（新事務処理）_【作成中】千里センター機器配置図（2010年対応分）_20091221 2" xfId="4884"/>
    <cellStyle name="_4F設置場所_ラック構成図_Catalyst直付け（新事務処理）_【作成中】千里センター機器配置図（2010年対応分）_20091221_【調整中】千里導入明細資料_２２年度上期分_fj_20100127" xfId="4885"/>
    <cellStyle name="_4F設置場所_ラック構成図_Catalyst直付け（新事務処理）_【作成中】千里センター機器配置図（2010年対応分）_20091221_【調整中】千里導入明細資料_２２年度上期分_fj_20100127 2" xfId="4886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" xfId="4887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 2" xfId="4888"/>
    <cellStyle name="_4F設置場所_ラック構成図_Catalyst直付け（新事務処理）_【作成中】千里センター機器配置図（2010年対応分）_20091221_Ⅹ_課題と対応策_20121211" xfId="4889"/>
    <cellStyle name="_4F設置場所_ラック構成図_Catalyst直付け（新事務処理）_【作成中】千里センター機器配置図（2010年対応分）_20091221_Ⅹ_課題と対応策_20121211 2" xfId="4890"/>
    <cellStyle name="_4F設置場所_ラック構成図_Catalyst直付け（新事務処理）_Ⅹ_課題と対応策_20121211" xfId="4891"/>
    <cellStyle name="_4F設置場所_ラック構成図_Catalyst直付け（新事務処理）_Ⅹ_課題と対応策_20121211 2" xfId="4892"/>
    <cellStyle name="_4F設置場所_ラック構成図_RX100Si-R削除(新事務処理)" xfId="4893"/>
    <cellStyle name="_4F設置場所_ラック構成図_RX100Si-R削除(新事務処理) 2" xfId="4894"/>
    <cellStyle name="_4F設置場所_ラック構成図_RX100Si-R削除(新事務処理)_【20091207】千里導入明細資料_２１年度分（ネットワーク敷設）" xfId="4895"/>
    <cellStyle name="_4F設置場所_ラック構成図_RX100Si-R削除(新事務処理)_【20091207】千里導入明細資料_２１年度分（ネットワーク敷設） 2" xfId="4896"/>
    <cellStyle name="_4F設置場所_ラック構成図_RX100Si-R削除(新事務処理)_【20091207】千里導入明細資料_２１年度分（ネットワーク敷設）_【20091218】千里導入明細資料_２１年度分（ネットワーク敷設）" xfId="4897"/>
    <cellStyle name="_4F設置場所_ラック構成図_RX100Si-R削除(新事務処理)_【20091207】千里導入明細資料_２１年度分（ネットワーク敷設）_【20091218】千里導入明細資料_２１年度分（ネットワーク敷設） 2" xfId="4898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" xfId="4899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 2" xfId="4900"/>
    <cellStyle name="_4F設置場所_ラック構成図_RX100Si-R削除(新事務処理)_【20091207】千里導入明細資料_２１年度分（ネットワーク敷設）_Ⅹ_課題と対応策_20121211" xfId="4901"/>
    <cellStyle name="_4F設置場所_ラック構成図_RX100Si-R削除(新事務処理)_【20091207】千里導入明細資料_２１年度分（ネットワーク敷設）_Ⅹ_課題と対応策_20121211 2" xfId="4902"/>
    <cellStyle name="_4F設置場所_ラック構成図_RX100Si-R削除(新事務処理)_【20091207】千里導入明細資料_２１年度分（ネットワーク敷設）_千里導入明細資料_２２年度分（ネットワーク敷設）_fj" xfId="4903"/>
    <cellStyle name="_4F設置場所_ラック構成図_RX100Si-R削除(新事務処理)_【20091207】千里導入明細資料_２１年度分（ネットワーク敷設）_千里導入明細資料_２２年度分（ネットワーク敷設）_fj 2" xfId="4904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" xfId="4905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 2" xfId="4906"/>
    <cellStyle name="_4F設置場所_ラック構成図_RX100Si-R削除(新事務処理)_【20091225】千里導入明細資料_２２年度上期分（営業店ＡＰ－ＤＢ）" xfId="4907"/>
    <cellStyle name="_4F設置場所_ラック構成図_RX100Si-R削除(新事務処理)_【20091225】千里導入明細資料_２２年度上期分（営業店ＡＰ－ＤＢ） 2" xfId="4908"/>
    <cellStyle name="_4F設置場所_ラック構成図_RX100Si-R削除(新事務処理)_【20091225】千里導入明細資料_２２年度上期分（営業店ＡＰ－ＤＢ）_【調整中】千里導入明細資料_２２年度上期分_fj_20100127" xfId="4909"/>
    <cellStyle name="_4F設置場所_ラック構成図_RX100Si-R削除(新事務処理)_【20091225】千里導入明細資料_２２年度上期分（営業店ＡＰ－ＤＢ）_【調整中】千里導入明細資料_２２年度上期分_fj_20100127 2" xfId="4910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" xfId="4911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 2" xfId="4912"/>
    <cellStyle name="_4F設置場所_ラック構成図_RX100Si-R削除(新事務処理)_【20091225】千里導入明細資料_２２年度上期分（営業店ＡＰ－ＤＢ）_Ⅹ_課題と対応策_20121211" xfId="4913"/>
    <cellStyle name="_4F設置場所_ラック構成図_RX100Si-R削除(新事務処理)_【20091225】千里導入明細資料_２２年度上期分（営業店ＡＰ－ＤＢ）_Ⅹ_課題と対応策_20121211 2" xfId="4914"/>
    <cellStyle name="_4F設置場所_ラック構成図_RX100Si-R削除(新事務処理)_【20091225】千里導入明細資料_２２年度上期分_営業店DB" xfId="4915"/>
    <cellStyle name="_4F設置場所_ラック構成図_RX100Si-R削除(新事務処理)_【20091225】千里導入明細資料_２２年度上期分_営業店DB 2" xfId="4916"/>
    <cellStyle name="_4F設置場所_ラック構成図_RX100Si-R削除(新事務処理)_【20091225】千里導入明細資料_２２年度上期分_営業店DB_【調整中】千里導入明細資料_２２年度上期分_fj_20100127" xfId="4917"/>
    <cellStyle name="_4F設置場所_ラック構成図_RX100Si-R削除(新事務処理)_【20091225】千里導入明細資料_２２年度上期分_営業店DB_【調整中】千里導入明細資料_２２年度上期分_fj_20100127 2" xfId="4918"/>
    <cellStyle name="_4F設置場所_ラック構成図_RX100Si-R削除(新事務処理)_【20091225】千里導入明細資料_２２年度上期分_営業店DB_【調整中】千里導入明細資料_２２年度上期分_fj_20100127_Ⅹ_課題と対応策_20121211" xfId="4919"/>
    <cellStyle name="_4F設置場所_ラック構成図_RX100Si-R削除(新事務処理)_【20091225】千里導入明細資料_２２年度上期分_営業店DB_【調整中】千里導入明細資料_２２年度上期分_fj_20100127_Ⅹ_課題と対応策_20121211 2" xfId="4920"/>
    <cellStyle name="_4F設置場所_ラック構成図_RX100Si-R削除(新事務処理)_【20091225】千里導入明細資料_２２年度上期分_営業店DB_Ⅹ_課題と対応策_20121211" xfId="4921"/>
    <cellStyle name="_4F設置場所_ラック構成図_RX100Si-R削除(新事務処理)_【20091225】千里導入明細資料_２２年度上期分_営業店DB_Ⅹ_課題と対応策_20121211 2" xfId="4922"/>
    <cellStyle name="_4F設置場所_ラック構成図_RX100Si-R削除(新事務処理)_【20091225】千里導入明細資料_２２年度上期分_連携DB" xfId="4923"/>
    <cellStyle name="_4F設置場所_ラック構成図_RX100Si-R削除(新事務処理)_【20091225】千里導入明細資料_２２年度上期分_連携DB 2" xfId="4924"/>
    <cellStyle name="_4F設置場所_ラック構成図_RX100Si-R削除(新事務処理)_【20091225】千里導入明細資料_２２年度上期分_連携DB_【調整中】千里導入明細資料_２２年度上期分_fj_20100127" xfId="4925"/>
    <cellStyle name="_4F設置場所_ラック構成図_RX100Si-R削除(新事務処理)_【20091225】千里導入明細資料_２２年度上期分_連携DB_【調整中】千里導入明細資料_２２年度上期分_fj_20100127 2" xfId="4926"/>
    <cellStyle name="_4F設置場所_ラック構成図_RX100Si-R削除(新事務処理)_【20091225】千里導入明細資料_２２年度上期分_連携DB_【調整中】千里導入明細資料_２２年度上期分_fj_20100127_Ⅹ_課題と対応策_20121211" xfId="4927"/>
    <cellStyle name="_4F設置場所_ラック構成図_RX100Si-R削除(新事務処理)_【20091225】千里導入明細資料_２２年度上期分_連携DB_【調整中】千里導入明細資料_２２年度上期分_fj_20100127_Ⅹ_課題と対応策_20121211 2" xfId="4928"/>
    <cellStyle name="_4F設置場所_ラック構成図_RX100Si-R削除(新事務処理)_【20091225】千里導入明細資料_２２年度上期分_連携DB_Ⅹ_課題と対応策_20121211" xfId="4929"/>
    <cellStyle name="_4F設置場所_ラック構成図_RX100Si-R削除(新事務処理)_【20091225】千里導入明細資料_２２年度上期分_連携DB_Ⅹ_課題と対応策_20121211 2" xfId="4930"/>
    <cellStyle name="_4F設置場所_ラック構成図_RX100Si-R削除(新事務処理)_【作成中】千里センター機器配置図（2010年対応分）_20091221" xfId="4931"/>
    <cellStyle name="_4F設置場所_ラック構成図_RX100Si-R削除(新事務処理)_【作成中】千里センター機器配置図（2010年対応分）_20091221 2" xfId="4932"/>
    <cellStyle name="_4F設置場所_ラック構成図_RX100Si-R削除(新事務処理)_【作成中】千里センター機器配置図（2010年対応分）_20091221_【調整中】千里導入明細資料_２２年度上期分_fj_20100127" xfId="4933"/>
    <cellStyle name="_4F設置場所_ラック構成図_RX100Si-R削除(新事務処理)_【作成中】千里センター機器配置図（2010年対応分）_20091221_【調整中】千里導入明細資料_２２年度上期分_fj_20100127 2" xfId="4934"/>
    <cellStyle name="_4F設置場所_ラック構成図_RX100Si-R削除(新事務処理)_【作成中】千里センター機器配置図（2010年対応分）_20091221_【調整中】千里導入明細資料_２２年度上期分_fj_20100127_Ⅹ_課題と対応策_20121211" xfId="4935"/>
    <cellStyle name="_4F設置場所_ラック構成図_RX100Si-R削除(新事務処理)_【作成中】千里センター機器配置図（2010年対応分）_20091221_【調整中】千里導入明細資料_２２年度上期分_fj_20100127_Ⅹ_課題と対応策_20121211 2" xfId="4936"/>
    <cellStyle name="_4F設置場所_ラック構成図_RX100Si-R削除(新事務処理)_【作成中】千里センター機器配置図（2010年対応分）_20091221_Ⅹ_課題と対応策_20121211" xfId="4937"/>
    <cellStyle name="_4F設置場所_ラック構成図_RX100Si-R削除(新事務処理)_【作成中】千里センター機器配置図（2010年対応分）_20091221_Ⅹ_課題と対応策_20121211 2" xfId="4938"/>
    <cellStyle name="_4F設置場所_ラック構成図_RX100Si-R削除(新事務処理)_Ⅹ_課題と対応策_20121211" xfId="4939"/>
    <cellStyle name="_4F設置場所_ラック構成図_RX100Si-R削除(新事務処理)_Ⅹ_課題と対応策_20121211 2" xfId="4940"/>
    <cellStyle name="_4F設置場所_千里導入明細資料_２２年度分（ネットワーク敷設）_fj" xfId="4941"/>
    <cellStyle name="_4F設置場所_千里導入明細資料_２２年度分（ネットワーク敷設）_fj 2" xfId="4942"/>
    <cellStyle name="_4F設置場所_千里導入明細資料_２２年度分（ネットワーク敷設）_fj_Ⅹ_課題と対応策_20121211" xfId="4943"/>
    <cellStyle name="_4F設置場所_千里導入明細資料_２２年度分（ネットワーク敷設）_fj_Ⅹ_課題と対応策_20121211 2" xfId="4944"/>
    <cellStyle name="_BestwayKO見積り依頼書(フル構成)" xfId="4945"/>
    <cellStyle name="_Bestway信託見積もり依頼書_再見積り" xfId="4946"/>
    <cellStyle name="_FACTSETシステム更改_要件定義兼外部設計_20100816_01版" xfId="4947"/>
    <cellStyle name="_FACTSETシステム更改_要件定義兼外部設計_20100816_01版 2" xfId="4948"/>
    <cellStyle name="_FACTSETシステム更改_要件定義兼外部設計_20100816_01版_Ⅹ_課題と対応策_20121211" xfId="4949"/>
    <cellStyle name="_FACTSETシステム更改_要件定義兼外部設計_20100816_01版_Ⅹ_課題と対応策_20121211 2" xfId="4950"/>
    <cellStyle name="_w2k3ヒアリングシート_20060519" xfId="4951"/>
    <cellStyle name="_基盤設計書_tmp（根岸編集） 20060519" xfId="4952"/>
    <cellStyle name="_三菱UFJ信託銀行様お見積り20071214" xfId="4953"/>
    <cellStyle name="_資源配付更改費用サマリ_20090311b" xfId="4954"/>
    <cellStyle name="_千里センター機器構築スケジュール（８月分）_20090731" xfId="4955"/>
    <cellStyle name="_千里センター機器構築スケジュール（８月分）_20090731 2" xfId="4956"/>
    <cellStyle name="_千里センター機器構築スケジュール（８月分）_20090731_【20090731】千里導入明細資料_２１年度分（９月工事分）" xfId="4957"/>
    <cellStyle name="_千里センター機器構築スケジュール（８月分）_20090731_【20090731】千里導入明細資料_２１年度分（９月工事分） 2" xfId="4958"/>
    <cellStyle name="_千里センター機器構築スケジュール（８月分）_20090731_【20090731】千里導入明細資料_２１年度分（９月工事分）_【20090821】千里ラック搭載図（NW機器）" xfId="4959"/>
    <cellStyle name="_千里センター機器構築スケジュール（８月分）_20090731_【20090731】千里導入明細資料_２１年度分（９月工事分）_【20090821】千里ラック搭載図（NW機器） 2" xfId="4960"/>
    <cellStyle name="_千里センター機器構築スケジュール（８月分）_20090731_【20090731】千里導入明細資料_２１年度分（９月工事分）_【20090821】千里ラック搭載図（NW機器）_Ⅹ_課題と対応策_20121211" xfId="4961"/>
    <cellStyle name="_千里センター機器構築スケジュール（８月分）_20090731_【20090731】千里導入明細資料_２１年度分（９月工事分）_【20090821】千里ラック搭載図（NW機器）_Ⅹ_課題と対応策_20121211 2" xfId="4962"/>
    <cellStyle name="_千里センター機器構築スケジュール（８月分）_20090731_【20090731】千里導入明細資料_２１年度分（９月工事分）_Ⅹ_課題と対応策_20121211" xfId="4963"/>
    <cellStyle name="_千里センター機器構築スケジュール（８月分）_20090731_【20090731】千里導入明細資料_２１年度分（９月工事分）_Ⅹ_課題と対応策_20121211 2" xfId="4964"/>
    <cellStyle name="_千里センター機器構築スケジュール（８月分）_20090731_【20090821】千里ラック搭載図（NW機器）" xfId="4965"/>
    <cellStyle name="_千里センター機器構築スケジュール（８月分）_20090731_【20090821】千里ラック搭載図（NW機器） 2" xfId="4966"/>
    <cellStyle name="_千里センター機器構築スケジュール（８月分）_20090731_【20090821】千里ラック搭載図（NW機器）_Ⅹ_課題と対応策_20121211" xfId="4967"/>
    <cellStyle name="_千里センター機器構築スケジュール（８月分）_20090731_【20090821】千里ラック搭載図（NW機器）_Ⅹ_課題と対応策_20121211 2" xfId="4968"/>
    <cellStyle name="_千里センター機器構築スケジュール（８月分）_20090731_【20091218】千里導入明細資料_２１年度分（ネットワーク敷設）" xfId="4969"/>
    <cellStyle name="_千里センター機器構築スケジュール（８月分）_20090731_【20091218】千里導入明細資料_２１年度分（ネットワーク敷設） 2" xfId="4970"/>
    <cellStyle name="_千里センター機器構築スケジュール（８月分）_20090731_【20091218】千里導入明細資料_２１年度分（ネットワーク敷設）_Ⅹ_課題と対応策_20121211" xfId="4971"/>
    <cellStyle name="_千里センター機器構築スケジュール（８月分）_20090731_【20091218】千里導入明細資料_２１年度分（ネットワーク敷設）_Ⅹ_課題と対応策_20121211 2" xfId="4972"/>
    <cellStyle name="_千里センター機器構築スケジュール（８月分）_20090731_【20091224】千里導入明細資料_２２年度上期分_営業店DB" xfId="4973"/>
    <cellStyle name="_千里センター機器構築スケジュール（８月分）_20090731_【20091224】千里導入明細資料_２２年度上期分_営業店DB 2" xfId="4974"/>
    <cellStyle name="_千里センター機器構築スケジュール（８月分）_20090731_【20091224】千里導入明細資料_２２年度上期分_営業店DB_【20091225】千里導入明細資料_２２年度上期分（営業店ＡＰ－ＤＢ）" xfId="4975"/>
    <cellStyle name="_千里センター機器構築スケジュール（８月分）_20090731_【20091224】千里導入明細資料_２２年度上期分_営業店DB_【20091225】千里導入明細資料_２２年度上期分（営業店ＡＰ－ＤＢ） 2" xfId="4976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977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978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979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980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" xfId="4981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982"/>
    <cellStyle name="_千里センター機器構築スケジュール（８月分）_20090731_【20091224】千里導入明細資料_２２年度上期分_営業店DB_【20091225】千里導入明細資料_２２年度上期分_営業店DB" xfId="4983"/>
    <cellStyle name="_千里センター機器構築スケジュール（８月分）_20090731_【20091224】千里導入明細資料_２２年度上期分_営業店DB_【20091225】千里導入明細資料_２２年度上期分_営業店DB 2" xfId="4984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985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986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987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988"/>
    <cellStyle name="_千里センター機器構築スケジュール（８月分）_20090731_【20091224】千里導入明細資料_２２年度上期分_営業店DB_【20091225】千里導入明細資料_２２年度上期分_営業店DB_Ⅹ_課題と対応策_20121211" xfId="4989"/>
    <cellStyle name="_千里センター機器構築スケジュール（８月分）_20090731_【20091224】千里導入明細資料_２２年度上期分_営業店DB_【20091225】千里導入明細資料_２２年度上期分_営業店DB_Ⅹ_課題と対応策_20121211 2" xfId="4990"/>
    <cellStyle name="_千里センター機器構築スケジュール（８月分）_20090731_【20091224】千里導入明細資料_２２年度上期分_営業店DB_Ⅹ_課題と対応策_20121211" xfId="4991"/>
    <cellStyle name="_千里センター機器構築スケジュール（８月分）_20090731_【20091224】千里導入明細資料_２２年度上期分_営業店DB_Ⅹ_課題と対応策_20121211 2" xfId="4992"/>
    <cellStyle name="_千里センター機器構築スケジュール（８月分）_20090731_【20091225】千里導入明細資料_２２年度上期分" xfId="4993"/>
    <cellStyle name="_千里センター機器構築スケジュール（８月分）_20090731_【20091225】千里導入明細資料_２２年度上期分 2" xfId="4994"/>
    <cellStyle name="_千里センター機器構築スケジュール（８月分）_20090731_【20091225】千里導入明細資料_２２年度上期分_Ⅹ_課題と対応策_20121211" xfId="4995"/>
    <cellStyle name="_千里センター機器構築スケジュール（８月分）_20090731_【20091225】千里導入明細資料_２２年度上期分_Ⅹ_課題と対応策_20121211 2" xfId="4996"/>
    <cellStyle name="_千里センター機器構築スケジュール（８月分）_20090731_【20091225】千里導入明細資料_２２年度上期分_営業店DB" xfId="4997"/>
    <cellStyle name="_千里センター機器構築スケジュール（８月分）_20090731_【20091225】千里導入明細資料_２２年度上期分_営業店DB 2" xfId="4998"/>
    <cellStyle name="_千里センター機器構築スケジュール（８月分）_20090731_【20091225】千里導入明細資料_２２年度上期分_営業店DB_Ⅹ_課題と対応策_20121211" xfId="4999"/>
    <cellStyle name="_千里センター機器構築スケジュール（８月分）_20090731_【20091225】千里導入明細資料_２２年度上期分_営業店DB_Ⅹ_課題と対応策_20121211 2" xfId="5000"/>
    <cellStyle name="_千里センター機器構築スケジュール（８月分）_20090731_【20091225】千里導入明細資料_２２年度上期分_連携DB" xfId="5001"/>
    <cellStyle name="_千里センター機器構築スケジュール（８月分）_20090731_【20091225】千里導入明細資料_２２年度上期分_連携DB 2" xfId="5002"/>
    <cellStyle name="_千里センター機器構築スケジュール（８月分）_20090731_【20091225】千里導入明細資料_２２年度上期分_連携DB_Ⅹ_課題と対応策_20121211" xfId="5003"/>
    <cellStyle name="_千里センター機器構築スケジュール（８月分）_20090731_【20091225】千里導入明細資料_２２年度上期分_連携DB_Ⅹ_課題と対応策_20121211 2" xfId="5004"/>
    <cellStyle name="_千里センター機器構築スケジュール（８月分）_20090731_【200912xx】千里導入明細資料_２２年度上期分" xfId="5005"/>
    <cellStyle name="_千里センター機器構築スケジュール（８月分）_20090731_【200912xx】千里導入明細資料_２２年度上期分 2" xfId="5006"/>
    <cellStyle name="_千里センター機器構築スケジュール（８月分）_20090731_【200912xx】千里導入明細資料_２２年度上期分（為替分）" xfId="5007"/>
    <cellStyle name="_千里センター機器構築スケジュール（８月分）_20090731_【200912xx】千里導入明細資料_２２年度上期分（為替分） 2" xfId="5008"/>
    <cellStyle name="_千里センター機器構築スケジュール（８月分）_20090731_【200912xx】千里導入明細資料_２２年度上期分（為替分）_Ⅹ_課題と対応策_20121211" xfId="5009"/>
    <cellStyle name="_千里センター機器構築スケジュール（８月分）_20090731_【200912xx】千里導入明細資料_２２年度上期分（為替分）_Ⅹ_課題と対応策_20121211 2" xfId="5010"/>
    <cellStyle name="_千里センター機器構築スケジュール（８月分）_20090731_【200912xx】千里導入明細資料_２２年度上期分_【20091225】千里導入明細資料_２２年度上期分（営業店ＡＰ－ＤＢ）" xfId="5011"/>
    <cellStyle name="_千里センター機器構築スケジュール（８月分）_20090731_【200912xx】千里導入明細資料_２２年度上期分_【20091225】千里導入明細資料_２２年度上期分（営業店ＡＰ－ＤＢ） 2" xfId="5012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13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14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15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16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" xfId="5017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 2" xfId="5018"/>
    <cellStyle name="_千里センター機器構築スケジュール（８月分）_20090731_【200912xx】千里導入明細資料_２２年度上期分_【20091225】千里導入明細資料_２２年度上期分_営業店DB" xfId="5019"/>
    <cellStyle name="_千里センター機器構築スケジュール（８月分）_20090731_【200912xx】千里導入明細資料_２２年度上期分_【20091225】千里導入明細資料_２２年度上期分_営業店DB 2" xfId="5020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021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022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023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024"/>
    <cellStyle name="_千里センター機器構築スケジュール（８月分）_20090731_【200912xx】千里導入明細資料_２２年度上期分_【20091225】千里導入明細資料_２２年度上期分_営業店DB_Ⅹ_課題と対応策_20121211" xfId="5025"/>
    <cellStyle name="_千里センター機器構築スケジュール（８月分）_20090731_【200912xx】千里導入明細資料_２２年度上期分_【20091225】千里導入明細資料_２２年度上期分_営業店DB_Ⅹ_課題と対応策_20121211 2" xfId="5026"/>
    <cellStyle name="_千里センター機器構築スケジュール（８月分）_20090731_【200912xx】千里導入明細資料_２２年度上期分_【20091225】千里導入明細資料_２２年度上期分_連携DB" xfId="5027"/>
    <cellStyle name="_千里センター機器構築スケジュール（８月分）_20090731_【200912xx】千里導入明細資料_２２年度上期分_【20091225】千里導入明細資料_２２年度上期分_連携DB 2" xfId="5028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029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030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031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032"/>
    <cellStyle name="_千里センター機器構築スケジュール（８月分）_20090731_【200912xx】千里導入明細資料_２２年度上期分_【20091225】千里導入明細資料_２２年度上期分_連携DB_Ⅹ_課題と対応策_20121211" xfId="5033"/>
    <cellStyle name="_千里センター機器構築スケジュール（８月分）_20090731_【200912xx】千里導入明細資料_２２年度上期分_【20091225】千里導入明細資料_２２年度上期分_連携DB_Ⅹ_課題と対応策_20121211 2" xfId="5034"/>
    <cellStyle name="_千里センター機器構築スケジュール（８月分）_20090731_【200912xx】千里導入明細資料_２２年度上期分_Ⅹ_課題と対応策_20121211" xfId="5035"/>
    <cellStyle name="_千里センター機器構築スケジュール（８月分）_20090731_【200912xx】千里導入明細資料_２２年度上期分_Ⅹ_課題と対応策_20121211 2" xfId="5036"/>
    <cellStyle name="_千里センター機器構築スケジュール（８月分）_20090731_【調整中】千里導入明細資料_２２年度上期分_fj_20100127" xfId="5037"/>
    <cellStyle name="_千里センター機器構築スケジュール（８月分）_20090731_【調整中】千里導入明細資料_２２年度上期分_fj_20100127 2" xfId="5038"/>
    <cellStyle name="_千里センター機器構築スケジュール（８月分）_20090731_【調整中】千里導入明細資料_２２年度上期分_fj_20100127_Ⅹ_課題と対応策_20121211" xfId="5039"/>
    <cellStyle name="_千里センター機器構築スケジュール（８月分）_20090731_【調整中】千里導入明細資料_２２年度上期分_fj_20100127_Ⅹ_課題と対応策_20121211 2" xfId="5040"/>
    <cellStyle name="_千里センター機器構築スケジュール（８月分）_20090731_①【20091225】千里導入明細資料_２２年度上期1分)" xfId="5041"/>
    <cellStyle name="_千里センター機器構築スケジュール（８月分）_20090731_①【20091225】千里導入明細資料_２２年度上期1分) 2" xfId="5042"/>
    <cellStyle name="_千里センター機器構築スケジュール（８月分）_20090731_①【20091225】千里導入明細資料_２２年度上期1分)_Ⅹ_課題と対応策_20121211" xfId="5043"/>
    <cellStyle name="_千里センター機器構築スケジュール（８月分）_20090731_①【20091225】千里導入明細資料_２２年度上期1分)_Ⅹ_課題と対応策_20121211 2" xfId="5044"/>
    <cellStyle name="_千里センター機器構築スケジュール（８月分）_20090731_Ⅹ_課題と対応策_20121211" xfId="5045"/>
    <cellStyle name="_千里センター機器構築スケジュール（８月分）_20090731_Ⅹ_課題と対応策_20121211 2" xfId="5046"/>
    <cellStyle name="_千里センター機器構築スケジュール（８月分）_20090731_千里導入明細資料_２２年度分（ネットワーク敷設）_fj" xfId="5047"/>
    <cellStyle name="_千里センター機器構築スケジュール（８月分）_20090731_千里導入明細資料_２２年度分（ネットワーク敷設）_fj 2" xfId="5048"/>
    <cellStyle name="_千里センター機器構築スケジュール（８月分）_20090731_千里導入明細資料_２２年度分（ネットワーク敷設）_fj_Ⅹ_課題と対応策_20121211" xfId="5049"/>
    <cellStyle name="_千里センター機器構築スケジュール（８月分）_20090731_千里導入明細資料_２２年度分（ネットワーク敷設）_fj_Ⅹ_課題と対応策_20121211 2" xfId="5050"/>
    <cellStyle name="_他社ｿﾌﾄｳｪｱ使用条件確認依頼書ﾌﾞﾗﾝｸ(購買）" xfId="5051"/>
    <cellStyle name="_電源" xfId="5052"/>
    <cellStyle name="_与信審査支援システム再見積依頼書一式" xfId="5053"/>
    <cellStyle name="_与信審査支援システム再見積依頼書一式_2" xfId="5054"/>
    <cellStyle name="_与信審査支援システム再見積依頼書一式_KO_20070323_disk2t" xfId="5055"/>
    <cellStyle name="_与信審査支援システム再見積依頼書一式_KO_20070516" xfId="5056"/>
    <cellStyle name="_与信審査支援システム発注依頼書一式_4" xfId="5057"/>
    <cellStyle name="&lt;H&gt;罫無" xfId="5058"/>
    <cellStyle name="&lt;H&gt;罫有" xfId="5059"/>
    <cellStyle name="•W?_Ach-0020.XLS" xfId="5060"/>
    <cellStyle name="•W€_?–?”•\" xfId="5061"/>
    <cellStyle name="\|IEEnCp[N" xfId="5062"/>
    <cellStyle name="\¦ÏÝÌnCp[N" xfId="5063"/>
    <cellStyle name="nCp[N" xfId="5064"/>
    <cellStyle name="W_il®j" xfId="5065"/>
    <cellStyle name="Wdl" xfId="5066"/>
    <cellStyle name="0" xfId="5067"/>
    <cellStyle name="0 2" xfId="5068"/>
    <cellStyle name="0 3" xfId="5069"/>
    <cellStyle name="0%" xfId="5070"/>
    <cellStyle name="0,0_x000d__x000a_NA_x000d__x000a_" xfId="2"/>
    <cellStyle name="0,0_x000d__x000a_NA_x000d__x000a_ 2" xfId="5071"/>
    <cellStyle name="0,0_x000d__x000a_NA_x000d__x000a_ 2 2" xfId="5072"/>
    <cellStyle name="0,0_x000d__x000a_NA_x000d__x000a_ 3" xfId="5073"/>
    <cellStyle name="0,0_x000d__x000a_NA_x000d__x000a_ 4" xfId="5074"/>
    <cellStyle name="0.0" xfId="5075"/>
    <cellStyle name="0.0%" xfId="5076"/>
    <cellStyle name="0.00%" xfId="5077"/>
    <cellStyle name="00" xfId="5078"/>
    <cellStyle name="0000" xfId="3"/>
    <cellStyle name="１" xfId="5079"/>
    <cellStyle name="１_PJ管理フォームテンプレート" xfId="5080"/>
    <cellStyle name="10p,表組,m" xfId="5081"/>
    <cellStyle name="10p,表組,m 2" xfId="5082"/>
    <cellStyle name="10p,表組,m 2 2" xfId="5083"/>
    <cellStyle name="10p,表組,m 2 3" xfId="5084"/>
    <cellStyle name="10p,表組,m 2 4" xfId="5085"/>
    <cellStyle name="10p,表組,m 3" xfId="5086"/>
    <cellStyle name="10p,表組,m 4" xfId="5087"/>
    <cellStyle name="10p,表組,m 5" xfId="5088"/>
    <cellStyle name="11.5" xfId="5089"/>
    <cellStyle name="11.5 2" xfId="5090"/>
    <cellStyle name="11.5 2 2" xfId="5091"/>
    <cellStyle name="11.5 2 3" xfId="5092"/>
    <cellStyle name="11.5 2 4" xfId="5093"/>
    <cellStyle name="11.5 3" xfId="5094"/>
    <cellStyle name="11.5 4" xfId="5095"/>
    <cellStyle name="11.5 5" xfId="5096"/>
    <cellStyle name="２" xfId="5097"/>
    <cellStyle name="２ 2" xfId="5098"/>
    <cellStyle name="２ 2 2" xfId="5099"/>
    <cellStyle name="２ 2 2 2" xfId="5100"/>
    <cellStyle name="２ 2 2 2 2" xfId="5101"/>
    <cellStyle name="２ 2 2 3" xfId="5102"/>
    <cellStyle name="２ 2 2 3 2" xfId="5103"/>
    <cellStyle name="２ 2 3" xfId="5104"/>
    <cellStyle name="２ 2 3 2" xfId="5105"/>
    <cellStyle name="２ 2 4" xfId="5106"/>
    <cellStyle name="２ 2 4 2" xfId="5107"/>
    <cellStyle name="２ 3" xfId="5108"/>
    <cellStyle name="２ 3 2" xfId="5109"/>
    <cellStyle name="２ 4" xfId="5110"/>
    <cellStyle name="２ 4 2" xfId="5111"/>
    <cellStyle name="20% - Accent1" xfId="5112"/>
    <cellStyle name="20% - Accent2" xfId="5113"/>
    <cellStyle name="20% - Accent3" xfId="5114"/>
    <cellStyle name="20% - Accent4" xfId="5115"/>
    <cellStyle name="20% - Accent5" xfId="5116"/>
    <cellStyle name="20% - Accent6" xfId="5117"/>
    <cellStyle name="20% - アクセント 1 2" xfId="5118"/>
    <cellStyle name="20% - アクセント 1 2 2" xfId="5119"/>
    <cellStyle name="20% - アクセント 1 2 2 2" xfId="5120"/>
    <cellStyle name="20% - アクセント 1 2 3" xfId="5121"/>
    <cellStyle name="20% - アクセント 1 3" xfId="5122"/>
    <cellStyle name="20% - アクセント 1 3 2" xfId="5123"/>
    <cellStyle name="20% - アクセント 1 4" xfId="5124"/>
    <cellStyle name="20% - アクセント 1 5" xfId="5125"/>
    <cellStyle name="20% - アクセント 2 2" xfId="5126"/>
    <cellStyle name="20% - アクセント 2 2 2" xfId="5127"/>
    <cellStyle name="20% - アクセント 2 2 2 2" xfId="5128"/>
    <cellStyle name="20% - アクセント 2 2 3" xfId="5129"/>
    <cellStyle name="20% - アクセント 2 3" xfId="5130"/>
    <cellStyle name="20% - アクセント 2 3 2" xfId="5131"/>
    <cellStyle name="20% - アクセント 2 4" xfId="5132"/>
    <cellStyle name="20% - アクセント 2 5" xfId="5133"/>
    <cellStyle name="20% - アクセント 3 2" xfId="5134"/>
    <cellStyle name="20% - アクセント 3 2 2" xfId="5135"/>
    <cellStyle name="20% - アクセント 3 2 2 2" xfId="5136"/>
    <cellStyle name="20% - アクセント 3 2 3" xfId="5137"/>
    <cellStyle name="20% - アクセント 3 3" xfId="5138"/>
    <cellStyle name="20% - アクセント 3 3 2" xfId="5139"/>
    <cellStyle name="20% - アクセント 3 4" xfId="5140"/>
    <cellStyle name="20% - アクセント 3 5" xfId="5141"/>
    <cellStyle name="20% - アクセント 4 2" xfId="5142"/>
    <cellStyle name="20% - アクセント 4 2 2" xfId="5143"/>
    <cellStyle name="20% - アクセント 4 2 2 2" xfId="5144"/>
    <cellStyle name="20% - アクセント 4 2 3" xfId="5145"/>
    <cellStyle name="20% - アクセント 4 3" xfId="5146"/>
    <cellStyle name="20% - アクセント 4 3 2" xfId="5147"/>
    <cellStyle name="20% - アクセント 4 4" xfId="5148"/>
    <cellStyle name="20% - アクセント 4 5" xfId="5149"/>
    <cellStyle name="20% - アクセント 5 2" xfId="5150"/>
    <cellStyle name="20% - アクセント 5 2 2" xfId="5151"/>
    <cellStyle name="20% - アクセント 5 2 2 2" xfId="5152"/>
    <cellStyle name="20% - アクセント 5 2 3" xfId="5153"/>
    <cellStyle name="20% - アクセント 5 3" xfId="5154"/>
    <cellStyle name="20% - アクセント 5 3 2" xfId="5155"/>
    <cellStyle name="20% - アクセント 5 4" xfId="5156"/>
    <cellStyle name="20% - アクセント 5 5" xfId="5157"/>
    <cellStyle name="20% - アクセント 6 2" xfId="5158"/>
    <cellStyle name="20% - アクセント 6 2 2" xfId="5159"/>
    <cellStyle name="20% - アクセント 6 2 2 2" xfId="5160"/>
    <cellStyle name="20% - アクセント 6 2 3" xfId="5161"/>
    <cellStyle name="20% - アクセント 6 3" xfId="5162"/>
    <cellStyle name="20% - アクセント 6 3 2" xfId="5163"/>
    <cellStyle name="20% - アクセント 6 4" xfId="5164"/>
    <cellStyle name="20% - アクセント 6 5" xfId="5165"/>
    <cellStyle name="24" xfId="5166"/>
    <cellStyle name="40% - Accent1" xfId="5167"/>
    <cellStyle name="40% - Accent2" xfId="5168"/>
    <cellStyle name="40% - Accent3" xfId="5169"/>
    <cellStyle name="40% - Accent4" xfId="5170"/>
    <cellStyle name="40% - Accent5" xfId="5171"/>
    <cellStyle name="40% - Accent6" xfId="5172"/>
    <cellStyle name="40% - アクセント 1 2" xfId="5173"/>
    <cellStyle name="40% - アクセント 1 2 2" xfId="5174"/>
    <cellStyle name="40% - アクセント 1 2 2 2" xfId="5175"/>
    <cellStyle name="40% - アクセント 1 2 3" xfId="5176"/>
    <cellStyle name="40% - アクセント 1 3" xfId="5177"/>
    <cellStyle name="40% - アクセント 1 3 2" xfId="5178"/>
    <cellStyle name="40% - アクセント 1 4" xfId="5179"/>
    <cellStyle name="40% - アクセント 1 5" xfId="5180"/>
    <cellStyle name="40% - アクセント 2 2" xfId="5181"/>
    <cellStyle name="40% - アクセント 2 2 2" xfId="5182"/>
    <cellStyle name="40% - アクセント 2 2 2 2" xfId="5183"/>
    <cellStyle name="40% - アクセント 2 2 3" xfId="5184"/>
    <cellStyle name="40% - アクセント 2 3" xfId="5185"/>
    <cellStyle name="40% - アクセント 2 3 2" xfId="5186"/>
    <cellStyle name="40% - アクセント 2 4" xfId="5187"/>
    <cellStyle name="40% - アクセント 2 5" xfId="5188"/>
    <cellStyle name="40% - アクセント 3 2" xfId="5189"/>
    <cellStyle name="40% - アクセント 3 2 2" xfId="5190"/>
    <cellStyle name="40% - アクセント 3 2 2 2" xfId="5191"/>
    <cellStyle name="40% - アクセント 3 2 3" xfId="5192"/>
    <cellStyle name="40% - アクセント 3 3" xfId="5193"/>
    <cellStyle name="40% - アクセント 3 3 2" xfId="5194"/>
    <cellStyle name="40% - アクセント 3 4" xfId="5195"/>
    <cellStyle name="40% - アクセント 3 5" xfId="5196"/>
    <cellStyle name="40% - アクセント 4 2" xfId="5197"/>
    <cellStyle name="40% - アクセント 4 2 2" xfId="5198"/>
    <cellStyle name="40% - アクセント 4 2 2 2" xfId="5199"/>
    <cellStyle name="40% - アクセント 4 2 3" xfId="5200"/>
    <cellStyle name="40% - アクセント 4 3" xfId="5201"/>
    <cellStyle name="40% - アクセント 4 3 2" xfId="5202"/>
    <cellStyle name="40% - アクセント 4 4" xfId="5203"/>
    <cellStyle name="40% - アクセント 4 5" xfId="5204"/>
    <cellStyle name="40% - アクセント 5 2" xfId="5205"/>
    <cellStyle name="40% - アクセント 5 2 2" xfId="5206"/>
    <cellStyle name="40% - アクセント 5 2 2 2" xfId="5207"/>
    <cellStyle name="40% - アクセント 5 2 3" xfId="5208"/>
    <cellStyle name="40% - アクセント 5 3" xfId="5209"/>
    <cellStyle name="40% - アクセント 5 3 2" xfId="5210"/>
    <cellStyle name="40% - アクセント 5 4" xfId="5211"/>
    <cellStyle name="40% - アクセント 5 5" xfId="5212"/>
    <cellStyle name="40% - アクセント 6 2" xfId="5213"/>
    <cellStyle name="40% - アクセント 6 2 2" xfId="5214"/>
    <cellStyle name="40% - アクセント 6 2 2 2" xfId="5215"/>
    <cellStyle name="40% - アクセント 6 2 3" xfId="5216"/>
    <cellStyle name="40% - アクセント 6 3" xfId="5217"/>
    <cellStyle name="40% - アクセント 6 3 2" xfId="5218"/>
    <cellStyle name="40% - アクセント 6 4" xfId="5219"/>
    <cellStyle name="40% - アクセント 6 5" xfId="5220"/>
    <cellStyle name="60% - Accent1" xfId="5221"/>
    <cellStyle name="60% - Accent2" xfId="5222"/>
    <cellStyle name="60% - Accent3" xfId="5223"/>
    <cellStyle name="60% - Accent4" xfId="5224"/>
    <cellStyle name="60% - Accent5" xfId="5225"/>
    <cellStyle name="60% - Accent6" xfId="5226"/>
    <cellStyle name="60% - アクセント 1 2" xfId="5227"/>
    <cellStyle name="60% - アクセント 1 2 2" xfId="5228"/>
    <cellStyle name="60% - アクセント 1 3" xfId="5229"/>
    <cellStyle name="60% - アクセント 1 4" xfId="5230"/>
    <cellStyle name="60% - アクセント 2 2" xfId="5231"/>
    <cellStyle name="60% - アクセント 2 2 2" xfId="5232"/>
    <cellStyle name="60% - アクセント 2 3" xfId="5233"/>
    <cellStyle name="60% - アクセント 2 4" xfId="5234"/>
    <cellStyle name="60% - アクセント 3 2" xfId="5235"/>
    <cellStyle name="60% - アクセント 3 2 2" xfId="5236"/>
    <cellStyle name="60% - アクセント 3 3" xfId="5237"/>
    <cellStyle name="60% - アクセント 3 4" xfId="5238"/>
    <cellStyle name="60% - アクセント 4 2" xfId="5239"/>
    <cellStyle name="60% - アクセント 4 2 2" xfId="5240"/>
    <cellStyle name="60% - アクセント 4 3" xfId="5241"/>
    <cellStyle name="60% - アクセント 4 4" xfId="5242"/>
    <cellStyle name="60% - アクセント 5 2" xfId="5243"/>
    <cellStyle name="60% - アクセント 5 2 2" xfId="5244"/>
    <cellStyle name="60% - アクセント 5 3" xfId="5245"/>
    <cellStyle name="60% - アクセント 5 4" xfId="5246"/>
    <cellStyle name="60% - アクセント 6 2" xfId="5247"/>
    <cellStyle name="60% - アクセント 6 2 2" xfId="5248"/>
    <cellStyle name="60% - アクセント 6 3" xfId="5249"/>
    <cellStyle name="60% - アクセント 6 4" xfId="5250"/>
    <cellStyle name="7" xfId="4"/>
    <cellStyle name="a" xfId="5251"/>
    <cellStyle name="a 2" xfId="5252"/>
    <cellStyle name="a 3" xfId="5253"/>
    <cellStyle name="a 4" xfId="5254"/>
    <cellStyle name="Accent1" xfId="5255"/>
    <cellStyle name="Accent2" xfId="5256"/>
    <cellStyle name="Accent3" xfId="5257"/>
    <cellStyle name="Accent4" xfId="5258"/>
    <cellStyle name="Accent5" xfId="5259"/>
    <cellStyle name="Accent6" xfId="5260"/>
    <cellStyle name="After Cutover" xfId="5261"/>
    <cellStyle name="After Cutover 2" xfId="5262"/>
    <cellStyle name="ando" xfId="5263"/>
    <cellStyle name="ANS標準" xfId="5264"/>
    <cellStyle name="ANS標準 2" xfId="5265"/>
    <cellStyle name="ANS標準 3" xfId="5266"/>
    <cellStyle name="ANS標準 4" xfId="5267"/>
    <cellStyle name="args.style" xfId="5268"/>
    <cellStyle name="Bad" xfId="5269"/>
    <cellStyle name="ＢＢＢ" xfId="5270"/>
    <cellStyle name="ＢＢＢ 2" xfId="5271"/>
    <cellStyle name="ＢＢＢ 2 2" xfId="5272"/>
    <cellStyle name="ＢＢＢ 2 2 2" xfId="5273"/>
    <cellStyle name="ＢＢＢ 2 2 3" xfId="5274"/>
    <cellStyle name="ＢＢＢ 2 3" xfId="5275"/>
    <cellStyle name="ＢＢＢ 2 4" xfId="5276"/>
    <cellStyle name="ＢＢＢ 3" xfId="5277"/>
    <cellStyle name="ＢＢＢ 4" xfId="5278"/>
    <cellStyle name="Body" xfId="5"/>
    <cellStyle name="Border" xfId="5279"/>
    <cellStyle name="Border 2" xfId="5280"/>
    <cellStyle name="Border 3" xfId="5281"/>
    <cellStyle name="Border 4" xfId="5282"/>
    <cellStyle name="Border 5" xfId="5283"/>
    <cellStyle name="Border 6" xfId="5284"/>
    <cellStyle name="Calc Currency (0)" xfId="6"/>
    <cellStyle name="Calc Currency (2)" xfId="5285"/>
    <cellStyle name="Calc Currency (2) 2" xfId="5286"/>
    <cellStyle name="Calc Percent (0)" xfId="5287"/>
    <cellStyle name="Calc Percent (0) 2" xfId="5288"/>
    <cellStyle name="Calc Percent (1)" xfId="5289"/>
    <cellStyle name="Calc Percent (1) 2" xfId="5290"/>
    <cellStyle name="Calc Percent (2)" xfId="5291"/>
    <cellStyle name="Calc Percent (2) 2" xfId="5292"/>
    <cellStyle name="Calc Units (0)" xfId="5293"/>
    <cellStyle name="Calc Units (0) 2" xfId="5294"/>
    <cellStyle name="Calc Units (1)" xfId="5295"/>
    <cellStyle name="Calc Units (1) 2" xfId="5296"/>
    <cellStyle name="Calc Units (2)" xfId="5297"/>
    <cellStyle name="Calc Units (2) 2" xfId="5298"/>
    <cellStyle name="Calculation" xfId="5299"/>
    <cellStyle name="Calculation 2" xfId="5300"/>
    <cellStyle name="Calculation 3" xfId="5301"/>
    <cellStyle name="Calculation 4" xfId="5302"/>
    <cellStyle name="Calculation 5" xfId="5303"/>
    <cellStyle name="CALENDAR" xfId="5304"/>
    <cellStyle name="Check Cell" xfId="5305"/>
    <cellStyle name="Col Heads" xfId="5306"/>
    <cellStyle name="Comma [0]" xfId="5307"/>
    <cellStyle name="Comma [00]" xfId="5308"/>
    <cellStyle name="Comma [00] 2" xfId="5309"/>
    <cellStyle name="Comma,0" xfId="5310"/>
    <cellStyle name="Comma,1" xfId="5311"/>
    <cellStyle name="Comma,2" xfId="5312"/>
    <cellStyle name="Comma_#6 Temps &amp; Contractors" xfId="5313"/>
    <cellStyle name="Comma0" xfId="5314"/>
    <cellStyle name="Copied" xfId="5315"/>
    <cellStyle name="Currency [0]" xfId="5316"/>
    <cellStyle name="Currency [00]" xfId="5317"/>
    <cellStyle name="Currency [00] 2" xfId="5318"/>
    <cellStyle name="Currency,0" xfId="5319"/>
    <cellStyle name="Currency,2" xfId="5320"/>
    <cellStyle name="Currency_#6 Temps &amp; Contractors" xfId="5321"/>
    <cellStyle name="Currency0" xfId="5322"/>
    <cellStyle name="Current Live" xfId="5323"/>
    <cellStyle name="Current Live 2" xfId="5324"/>
    <cellStyle name="Date" xfId="5325"/>
    <cellStyle name="Date Short" xfId="5326"/>
    <cellStyle name="DDD" xfId="7"/>
    <cellStyle name="development" xfId="5327"/>
    <cellStyle name="development 2" xfId="5328"/>
    <cellStyle name="discount" xfId="5329"/>
    <cellStyle name="ENG/GEN" xfId="5330"/>
    <cellStyle name="ENG/GEN7pt" xfId="5331"/>
    <cellStyle name="ENG/WAKU" xfId="5332"/>
    <cellStyle name="ENG/WAKU7pt" xfId="5333"/>
    <cellStyle name="ENG/WAKU-AMI" xfId="5334"/>
    <cellStyle name="Enter Currency (0)" xfId="5335"/>
    <cellStyle name="Enter Currency (0) 2" xfId="5336"/>
    <cellStyle name="Enter Currency (2)" xfId="5337"/>
    <cellStyle name="Enter Currency (2) 2" xfId="5338"/>
    <cellStyle name="Enter Units (0)" xfId="5339"/>
    <cellStyle name="Enter Units (0) 2" xfId="5340"/>
    <cellStyle name="Enter Units (1)" xfId="5341"/>
    <cellStyle name="Enter Units (1) 2" xfId="5342"/>
    <cellStyle name="Enter Units (2)" xfId="5343"/>
    <cellStyle name="Enter Units (2) 2" xfId="5344"/>
    <cellStyle name="Entered" xfId="5345"/>
    <cellStyle name="entry" xfId="8"/>
    <cellStyle name="Explanatory Text" xfId="5346"/>
    <cellStyle name="Followed Hyperlink" xfId="5347"/>
    <cellStyle name="Followed Hyperlink 2" xfId="5348"/>
    <cellStyle name="GBS Files" xfId="5349"/>
    <cellStyle name="Good" xfId="5350"/>
    <cellStyle name="Grey" xfId="9"/>
    <cellStyle name="gs]_x000d__x000a_UNDELETE.DLL=A:\DOS\MSTOOLS.DLL_x000d__x000a_Window=25,17,550,300, , ,2_x000d__x000a_dir1=0,0,640,174,-1,-1,1,0,201,1814,231,B:\*" xfId="5351"/>
    <cellStyle name="Head 1" xfId="10"/>
    <cellStyle name="Head 1 2" xfId="5352"/>
    <cellStyle name="Head 1 3" xfId="5353"/>
    <cellStyle name="Head 1 4" xfId="5354"/>
    <cellStyle name="Header1" xfId="11"/>
    <cellStyle name="Header2" xfId="12"/>
    <cellStyle name="Header2 2" xfId="5355"/>
    <cellStyle name="Header2 2 2" xfId="5356"/>
    <cellStyle name="Header2 2 3" xfId="5357"/>
    <cellStyle name="Header2 2 4" xfId="5358"/>
    <cellStyle name="Header2 3" xfId="5359"/>
    <cellStyle name="Header2 4" xfId="5360"/>
    <cellStyle name="Header2 5" xfId="5361"/>
    <cellStyle name="Heading" xfId="5362"/>
    <cellStyle name="Heading 1" xfId="5363"/>
    <cellStyle name="Heading 2" xfId="5364"/>
    <cellStyle name="Heading 3" xfId="5365"/>
    <cellStyle name="Heading 4" xfId="5366"/>
    <cellStyle name="HEADINGS" xfId="5367"/>
    <cellStyle name="HEADINGSTOP" xfId="5368"/>
    <cellStyle name="Hyperlink" xfId="5369"/>
    <cellStyle name="Hyperlink 2" xfId="5370"/>
    <cellStyle name="I" xfId="5371"/>
    <cellStyle name="IBM(401K)" xfId="13"/>
    <cellStyle name="Input" xfId="5372"/>
    <cellStyle name="Input [yellow]" xfId="14"/>
    <cellStyle name="Input [yellow] 2" xfId="5373"/>
    <cellStyle name="Input [yellow] 3" xfId="5374"/>
    <cellStyle name="Input [yellow] 4" xfId="5375"/>
    <cellStyle name="Input 2" xfId="5376"/>
    <cellStyle name="Input 3" xfId="5377"/>
    <cellStyle name="Input 4" xfId="5378"/>
    <cellStyle name="Input 5" xfId="5379"/>
    <cellStyle name="Intermediate" xfId="5380"/>
    <cellStyle name="Introduction" xfId="5381"/>
    <cellStyle name="ITA" xfId="5382"/>
    <cellStyle name="ITA 2" xfId="5383"/>
    <cellStyle name="ITB1" xfId="5384"/>
    <cellStyle name="ITB1 2" xfId="5385"/>
    <cellStyle name="ITB22" xfId="5386"/>
    <cellStyle name="ITB22 2" xfId="5387"/>
    <cellStyle name="IT計画書 (1)" xfId="5388"/>
    <cellStyle name="J401K" xfId="15"/>
    <cellStyle name="JOB(かっこ付)" xfId="5389"/>
    <cellStyle name="JOB囲" xfId="5390"/>
    <cellStyle name="JOB囲み" xfId="5391"/>
    <cellStyle name="JOB一般" xfId="5392"/>
    <cellStyle name="JOB左下" xfId="5393"/>
    <cellStyle name="JOB左上" xfId="5394"/>
    <cellStyle name="JOB標準" xfId="5395"/>
    <cellStyle name="JOB網" xfId="5396"/>
    <cellStyle name="L1" xfId="5397"/>
    <cellStyle name="L2" xfId="5398"/>
    <cellStyle name="Legato CPL Master Cover" xfId="5399"/>
    <cellStyle name="Link Currency (0)" xfId="5400"/>
    <cellStyle name="Link Currency (0) 2" xfId="5401"/>
    <cellStyle name="Link Currency (2)" xfId="5402"/>
    <cellStyle name="Link Currency (2) 2" xfId="5403"/>
    <cellStyle name="Link Units (0)" xfId="5404"/>
    <cellStyle name="Link Units (0) 2" xfId="5405"/>
    <cellStyle name="Link Units (1)" xfId="5406"/>
    <cellStyle name="Link Units (1) 2" xfId="5407"/>
    <cellStyle name="Link Units (2)" xfId="5408"/>
    <cellStyle name="Link Units (2) 2" xfId="5409"/>
    <cellStyle name="Linked Cell" xfId="5410"/>
    <cellStyle name="manual" xfId="5411"/>
    <cellStyle name="manual 2" xfId="5412"/>
    <cellStyle name="manual 3" xfId="5413"/>
    <cellStyle name="manual 4" xfId="5414"/>
    <cellStyle name="Millares [0]_BRASIL (2)" xfId="5415"/>
    <cellStyle name="Millares_5670-t123" xfId="5416"/>
    <cellStyle name="Milliers [0]_!!!GO" xfId="5417"/>
    <cellStyle name="Milliers_!!!GO" xfId="5418"/>
    <cellStyle name="Moneda [0]_BRASIL (2)" xfId="5419"/>
    <cellStyle name="Moneda_5670-t123" xfId="5420"/>
    <cellStyle name="Mon騁aire [0]_!!!GO" xfId="5421"/>
    <cellStyle name="Mon騁aire_!!!GO" xfId="5422"/>
    <cellStyle name="ms明朝9" xfId="5423"/>
    <cellStyle name="MyStyle" xfId="5424"/>
    <cellStyle name="N_x000c_｡ﾚ_x0012_宇_x0008_｡ﾘ_x0012_宇_x0006_]X_x001f_ﾋ_x001f_ﾃ" xfId="16"/>
    <cellStyle name="Neutral" xfId="5425"/>
    <cellStyle name="no dec" xfId="17"/>
    <cellStyle name="No/ENG" xfId="5426"/>
    <cellStyle name="Normal - Style1" xfId="18"/>
    <cellStyle name="Normal - Style1 2" xfId="19"/>
    <cellStyle name="Normal - Style1 2 2" xfId="5427"/>
    <cellStyle name="Normal - Style1 2 3" xfId="5428"/>
    <cellStyle name="Normal - Style1 3" xfId="5429"/>
    <cellStyle name="Normal_# 41-Market &amp;Trends" xfId="5430"/>
    <cellStyle name="Normale_LSCO0697" xfId="5431"/>
    <cellStyle name="Note" xfId="5432"/>
    <cellStyle name="Note 2" xfId="5433"/>
    <cellStyle name="Note 2 2" xfId="5434"/>
    <cellStyle name="Note 2 3" xfId="5435"/>
    <cellStyle name="Note 2 4" xfId="5436"/>
    <cellStyle name="Note 2 5" xfId="5437"/>
    <cellStyle name="Note 3" xfId="5438"/>
    <cellStyle name="Note 4" xfId="5439"/>
    <cellStyle name="Note 5" xfId="5440"/>
    <cellStyle name="Note 6" xfId="5441"/>
    <cellStyle name="nozawa" xfId="5442"/>
    <cellStyle name="Oasis" xfId="5443"/>
    <cellStyle name="Oasis 2" xfId="5444"/>
    <cellStyle name="Oasis 3" xfId="5445"/>
    <cellStyle name="Oasis 4" xfId="5446"/>
    <cellStyle name="Œ…‹æØ‚è [0.00]_laroux" xfId="5447"/>
    <cellStyle name="Œ…‹æØ‚è_laroux" xfId="5448"/>
    <cellStyle name="oft Excel]_x000a__x000a_Options5=1155_x000a__x000a_Pos=-12,9,1048,771_x000a__x000a_MRUFuncs=345,205,221,1,65,28,37,24,3,36_x000a__x000a_StickyPtX=574_x000a__x000a_StickyPtY=45" xfId="5449"/>
    <cellStyle name="oft Excel]_x000d__x000a_Options5=1155_x000d__x000a_Pos=-12,9,1048,771_x000d__x000a_MRUFuncs=345,205,221,1,65,28,37,24,3,36_x000d__x000a_StickyPtX=574_x000d__x000a_StickyPtY=45" xfId="5450"/>
    <cellStyle name="oft Excel]_x000d__x000a_Options5=1667_x000d__x000a_Options3=0_x000d__x000a_Basics=1_x000d__x000a_USER=アサヒ_x000d__x000a_CBTLOCATION=A:\MSOFFICE\EXCEL5\EXCELCBT_x000d__x000a_Pos=5,14,628" xfId="5451"/>
    <cellStyle name="Option" xfId="5452"/>
    <cellStyle name="Output" xfId="5453"/>
    <cellStyle name="Output 2" xfId="5454"/>
    <cellStyle name="Output 3" xfId="5455"/>
    <cellStyle name="Output 4" xfId="5456"/>
    <cellStyle name="Output 5" xfId="5457"/>
    <cellStyle name="per.style" xfId="5458"/>
    <cellStyle name="Percent (0)" xfId="5459"/>
    <cellStyle name="Percent [0]" xfId="5460"/>
    <cellStyle name="Percent [0] 2" xfId="5461"/>
    <cellStyle name="Percent [00]" xfId="5462"/>
    <cellStyle name="Percent [00] 2" xfId="5463"/>
    <cellStyle name="Percent [2]" xfId="20"/>
    <cellStyle name="Percent_#6 Temps &amp; Contractors" xfId="5464"/>
    <cellStyle name="Period" xfId="5465"/>
    <cellStyle name="PrePop Currency (0)" xfId="5466"/>
    <cellStyle name="PrePop Currency (0) 2" xfId="5467"/>
    <cellStyle name="PrePop Currency (2)" xfId="5468"/>
    <cellStyle name="PrePop Currency (2) 2" xfId="5469"/>
    <cellStyle name="PrePop Units (0)" xfId="5470"/>
    <cellStyle name="PrePop Units (0) 2" xfId="5471"/>
    <cellStyle name="PrePop Units (1)" xfId="5472"/>
    <cellStyle name="PrePop Units (1) 2" xfId="5473"/>
    <cellStyle name="PrePop Units (2)" xfId="5474"/>
    <cellStyle name="PrePop Units (2) 2" xfId="5475"/>
    <cellStyle name="price" xfId="21"/>
    <cellStyle name="Prices" xfId="5476"/>
    <cellStyle name="pricing" xfId="5477"/>
    <cellStyle name="PSChar" xfId="22"/>
    <cellStyle name="PSDate" xfId="5478"/>
    <cellStyle name="PSDec" xfId="5479"/>
    <cellStyle name="PSHeading" xfId="23"/>
    <cellStyle name="PSInt" xfId="5480"/>
    <cellStyle name="PSSpacer" xfId="5481"/>
    <cellStyle name="R1" xfId="5482"/>
    <cellStyle name="R2" xfId="5483"/>
    <cellStyle name="red" xfId="5484"/>
    <cellStyle name="regstoresfromspecstores" xfId="5485"/>
    <cellStyle name="revised" xfId="24"/>
    <cellStyle name="RevList" xfId="5486"/>
    <cellStyle name="section" xfId="25"/>
    <cellStyle name="SHADEDSTORES" xfId="5487"/>
    <cellStyle name="SHADEDSTORES 2" xfId="5488"/>
    <cellStyle name="SHADEDSTORES 3" xfId="5489"/>
    <cellStyle name="SHADEDSTORES 4" xfId="5490"/>
    <cellStyle name="specstores" xfId="5491"/>
    <cellStyle name="standard" xfId="5492"/>
    <cellStyle name="Style 28" xfId="5493"/>
    <cellStyle name="subhead" xfId="26"/>
    <cellStyle name="Subtotal" xfId="5494"/>
    <cellStyle name="TC_Comment" xfId="5495"/>
    <cellStyle name="Text Indent A" xfId="5496"/>
    <cellStyle name="Text Indent B" xfId="5497"/>
    <cellStyle name="Text Indent B 2" xfId="5498"/>
    <cellStyle name="Text Indent C" xfId="5499"/>
    <cellStyle name="Text Indent C 2" xfId="5500"/>
    <cellStyle name="Tickmark" xfId="5501"/>
    <cellStyle name="title" xfId="27"/>
    <cellStyle name="todo" xfId="5502"/>
    <cellStyle name="Total" xfId="5503"/>
    <cellStyle name="umeda" xfId="5504"/>
    <cellStyle name="V2" xfId="5505"/>
    <cellStyle name="Warning Text" xfId="5506"/>
    <cellStyle name="アクセント 1 2" xfId="5507"/>
    <cellStyle name="アクセント 1 2 2" xfId="5508"/>
    <cellStyle name="アクセント 1 3" xfId="5509"/>
    <cellStyle name="アクセント 1 4" xfId="5510"/>
    <cellStyle name="アクセント 2 2" xfId="5511"/>
    <cellStyle name="アクセント 2 2 2" xfId="5512"/>
    <cellStyle name="アクセント 2 3" xfId="5513"/>
    <cellStyle name="アクセント 2 4" xfId="5514"/>
    <cellStyle name="アクセント 3 2" xfId="5515"/>
    <cellStyle name="アクセント 3 2 2" xfId="5516"/>
    <cellStyle name="アクセント 3 3" xfId="5517"/>
    <cellStyle name="アクセント 3 4" xfId="5518"/>
    <cellStyle name="アクセント 4 2" xfId="5519"/>
    <cellStyle name="アクセント 4 2 2" xfId="5520"/>
    <cellStyle name="アクセント 4 3" xfId="5521"/>
    <cellStyle name="アクセント 4 4" xfId="5522"/>
    <cellStyle name="アクセント 5 2" xfId="5523"/>
    <cellStyle name="アクセント 5 2 2" xfId="5524"/>
    <cellStyle name="アクセント 5 3" xfId="5525"/>
    <cellStyle name="アクセント 5 4" xfId="5526"/>
    <cellStyle name="アクセント 6 2" xfId="5527"/>
    <cellStyle name="アクセント 6 2 2" xfId="5528"/>
    <cellStyle name="アクセント 6 3" xfId="5529"/>
    <cellStyle name="アクセント 6 4" xfId="5530"/>
    <cellStyle name="あさひ" xfId="5531"/>
    <cellStyle name="あさひ 2" xfId="5532"/>
    <cellStyle name="あさひ 3" xfId="5533"/>
    <cellStyle name="あさひ 4" xfId="5534"/>
    <cellStyle name="あさひＤＢ" xfId="5535"/>
    <cellStyle name="ｳ｣ｹ訐laroux" xfId="28"/>
    <cellStyle name="ｳ｣ｹ訐PERSONAL" xfId="29"/>
    <cellStyle name="ｳ｣ｹ訐ﾓｲｼ" xfId="30"/>
    <cellStyle name="ｳ｣ｹ訐ﾗ､ﾂ昉・" xfId="31"/>
    <cellStyle name="ゴシック8pt" xfId="5536"/>
    <cellStyle name="ｻﾒ[0]_laroux" xfId="32"/>
    <cellStyle name="ｻﾒ_1000A UNIX" xfId="33"/>
    <cellStyle name="スタイル 1" xfId="34"/>
    <cellStyle name="スタイル 1 2" xfId="5537"/>
    <cellStyle name="スタイル 1 2 2" xfId="5538"/>
    <cellStyle name="スタイル 1 3" xfId="5539"/>
    <cellStyle name="スタイル 1 4" xfId="5540"/>
    <cellStyle name="センター" xfId="5541"/>
    <cellStyle name="タイトル 2" xfId="5542"/>
    <cellStyle name="タイトル 2 2" xfId="5543"/>
    <cellStyle name="タイトル 3" xfId="5544"/>
    <cellStyle name="タイトル 4" xfId="5545"/>
    <cellStyle name="チェック セル 2" xfId="5546"/>
    <cellStyle name="チェック セル 2 2" xfId="5547"/>
    <cellStyle name="チェック セル 3" xfId="5548"/>
    <cellStyle name="チェック セル 4" xfId="5549"/>
    <cellStyle name="どちらでもない 2" xfId="5550"/>
    <cellStyle name="どちらでもない 2 2" xfId="5551"/>
    <cellStyle name="どちらでもない 3" xfId="5552"/>
    <cellStyle name="どちらでもない 4" xfId="5553"/>
    <cellStyle name="なし" xfId="35"/>
    <cellStyle name="なし 2" xfId="5554"/>
    <cellStyle name="ﾇｧﾎｻ[0]_laroux" xfId="36"/>
    <cellStyle name="ﾇｧﾎｻ_laroux" xfId="37"/>
    <cellStyle name="ﾇｧﾎｻｷﾖｸ0]_PERSONAL" xfId="38"/>
    <cellStyle name="ﾇｧﾎｻｷﾖｸPERSONAL" xfId="39"/>
    <cellStyle name="パーセント 2" xfId="5555"/>
    <cellStyle name="パーセント 3" xfId="5556"/>
    <cellStyle name="パーセント()" xfId="5557"/>
    <cellStyle name="パーセント(0.00)" xfId="5558"/>
    <cellStyle name="パーセント[0.00]" xfId="5559"/>
    <cellStyle name="ハイパーリンク 2" xfId="5560"/>
    <cellStyle name="ﾋﾟﾘｵﾄﾞ" xfId="5561"/>
    <cellStyle name="ﾋﾟﾘｵﾄﾞ右" xfId="5562"/>
    <cellStyle name="ヘッダ" xfId="5563"/>
    <cellStyle name="ヘッダ 2" xfId="5564"/>
    <cellStyle name="ヘッダ 3" xfId="5565"/>
    <cellStyle name="ヘッダ 4" xfId="5566"/>
    <cellStyle name="メモ 2" xfId="5567"/>
    <cellStyle name="メモ 2 2" xfId="5568"/>
    <cellStyle name="メモ 2 2 2" xfId="5569"/>
    <cellStyle name="メモ 2 2 3" xfId="5570"/>
    <cellStyle name="メモ 2 2 4" xfId="5571"/>
    <cellStyle name="メモ 2 2 5" xfId="5572"/>
    <cellStyle name="メモ 2 3" xfId="5573"/>
    <cellStyle name="メモ 2 3 2" xfId="5574"/>
    <cellStyle name="メモ 2 3 3" xfId="5575"/>
    <cellStyle name="メモ 2 3 4" xfId="5576"/>
    <cellStyle name="メモ 2 3 5" xfId="5577"/>
    <cellStyle name="メモ 2 4" xfId="5578"/>
    <cellStyle name="メモ 2 5" xfId="5579"/>
    <cellStyle name="メモ 2 6" xfId="5580"/>
    <cellStyle name="メモ 2 7" xfId="5581"/>
    <cellStyle name="メモ 2 8" xfId="5582"/>
    <cellStyle name="メモ 3" xfId="5583"/>
    <cellStyle name="メモ 3 2" xfId="5584"/>
    <cellStyle name="メモ 3 2 2" xfId="5585"/>
    <cellStyle name="メモ 3 2 3" xfId="5586"/>
    <cellStyle name="メモ 3 2 4" xfId="5587"/>
    <cellStyle name="メモ 3 2 5" xfId="5588"/>
    <cellStyle name="メモ 3 3" xfId="5589"/>
    <cellStyle name="メモ 3 4" xfId="5590"/>
    <cellStyle name="メモ 3 5" xfId="5591"/>
    <cellStyle name="メモ 3 6" xfId="5592"/>
    <cellStyle name="メモ 4" xfId="5593"/>
    <cellStyle name="メモ 4 2" xfId="5594"/>
    <cellStyle name="メモ 4 2 2" xfId="5595"/>
    <cellStyle name="メモ 4 2 3" xfId="5596"/>
    <cellStyle name="メモ 4 2 4" xfId="5597"/>
    <cellStyle name="メモ 4 2 5" xfId="5598"/>
    <cellStyle name="メモ 4 3" xfId="5599"/>
    <cellStyle name="メモ 4 4" xfId="5600"/>
    <cellStyle name="メモ 4 5" xfId="5601"/>
    <cellStyle name="メモ 4 6" xfId="5602"/>
    <cellStyle name="メモ 5" xfId="5603"/>
    <cellStyle name="メモ 5 2" xfId="5604"/>
    <cellStyle name="メモ 5 3" xfId="5605"/>
    <cellStyle name="メモ 5 4" xfId="5606"/>
    <cellStyle name="メモ 5 5" xfId="5607"/>
    <cellStyle name="リンク セル 2" xfId="5608"/>
    <cellStyle name="リンク セル 2 2" xfId="5609"/>
    <cellStyle name="リンク セル 3" xfId="5610"/>
    <cellStyle name="リンク セル 4" xfId="5611"/>
    <cellStyle name="るるるー" xfId="5612"/>
    <cellStyle name="・'_x000c_・・・V_x0001_ｳ_x0018_ﾘ0_x0007__x0001__x0001_" xfId="40"/>
    <cellStyle name="・'_x000c_・・・V_x0001_ｳ_x0018_ﾘ0_x0007__x0001__x0001_?_x0003_ｯ?(_x0002_!&gt; ???&quot;M??ﾎ_x0004__x0006__x001e_??????????????ﾍ!ﾋ??????????           ?????           ????*ｪ?_x000d__x0002_ｪｨ_x000a__x0002_ｪｪ1_x0002_ｪ・ｪｪ・_x0002_ｪあ*ｪ_x0002_ｪあｨ_x000a_ｪ?_x0002_ｪあｪ_x0002_ｪ_x001f__x0002_ｪがｪｪ・_x0002_ｪｨ_x000a_ｪｪｪ?逗・ｪｪAｪｪｪ_x000f__x0002_ｪｪ針ｪｪ・_x0002_ｪｪ､_x001a_ｪｪﾃ・ｪｪ・ｪｪ_▲PGM進捗管理表(2)600行" xfId="5613"/>
    <cellStyle name="_x001d_・_x000c_ﾏ・_x000d_ﾂ・_x0001__x0016__x0011_F5_x0007__x0001__x0001_" xfId="5614"/>
    <cellStyle name="_x001d_・_x000c_ﾏ・_x000d_ﾂ・_x0001__x0016__x0011_F5_x0007__x0001__x0001_?_x0002_ｯ?(_x0002_ A ???&quot;P????_x0006__x001e_??????????????ﾍ!ﾋ??????????           ?????           ?????????_x000d_EXIST U:\DCDB\USERS\TERA\PROFILE.BAT CALL U:\DCDB\USERS\TERA\PROFILE.BAT_x000d_????????????????????????????????????????????" xfId="5615"/>
    <cellStyle name="悪い 2" xfId="5616"/>
    <cellStyle name="悪い 2 2" xfId="5617"/>
    <cellStyle name="悪い 3" xfId="5618"/>
    <cellStyle name="悪い 4" xfId="5619"/>
    <cellStyle name="案件No" xfId="5620"/>
    <cellStyle name="移行計画書" xfId="5621"/>
    <cellStyle name="鵜" xfId="41"/>
    <cellStyle name="下点線" xfId="5622"/>
    <cellStyle name="下点線 2" xfId="5623"/>
    <cellStyle name="価格桁区切り" xfId="42"/>
    <cellStyle name="外部設計" xfId="5624"/>
    <cellStyle name="基礎枚数" xfId="5625"/>
    <cellStyle name="基礎枚数 2" xfId="5626"/>
    <cellStyle name="基礎枚数 2 2" xfId="5912"/>
    <cellStyle name="基礎枚数 3" xfId="5627"/>
    <cellStyle name="基礎枚数 3 2" xfId="5913"/>
    <cellStyle name="基礎枚数 4" xfId="5628"/>
    <cellStyle name="基礎枚数 4 2" xfId="5914"/>
    <cellStyle name="基礎枚数 5" xfId="5629"/>
    <cellStyle name="基礎枚数 5 2" xfId="5915"/>
    <cellStyle name="基礎枚数 6" xfId="5630"/>
    <cellStyle name="基礎枚数 6 2" xfId="5916"/>
    <cellStyle name="基礎枚数 7" xfId="5911"/>
    <cellStyle name="基本フォーム" xfId="43"/>
    <cellStyle name="基本フォーム 2" xfId="5631"/>
    <cellStyle name="基本フォーム 3" xfId="5632"/>
    <cellStyle name="基本フォーム 4" xfId="5633"/>
    <cellStyle name="基本フォーム 5" xfId="5634"/>
    <cellStyle name="期末評価" xfId="5635"/>
    <cellStyle name="競馬スタイル" xfId="44"/>
    <cellStyle name="競馬スタイル 2" xfId="5636"/>
    <cellStyle name="型番" xfId="45"/>
    <cellStyle name="計算 2" xfId="5637"/>
    <cellStyle name="計算 2 2" xfId="5638"/>
    <cellStyle name="計算 2 2 2" xfId="5639"/>
    <cellStyle name="計算 2 2 3" xfId="5640"/>
    <cellStyle name="計算 2 2 4" xfId="5641"/>
    <cellStyle name="計算 2 2 5" xfId="5642"/>
    <cellStyle name="計算 2 3" xfId="5643"/>
    <cellStyle name="計算 2 4" xfId="5644"/>
    <cellStyle name="計算 2 5" xfId="5645"/>
    <cellStyle name="計算 2 6" xfId="5646"/>
    <cellStyle name="計算 3" xfId="5647"/>
    <cellStyle name="計算 3 2" xfId="5648"/>
    <cellStyle name="計算 3 3" xfId="5649"/>
    <cellStyle name="計算 3 4" xfId="5650"/>
    <cellStyle name="計算 3 5" xfId="5651"/>
    <cellStyle name="計算 4" xfId="5652"/>
    <cellStyle name="計算 4 2" xfId="5653"/>
    <cellStyle name="計算 4 3" xfId="5654"/>
    <cellStyle name="計算 4 4" xfId="5655"/>
    <cellStyle name="計算 4 5" xfId="5656"/>
    <cellStyle name="警告文 2" xfId="5657"/>
    <cellStyle name="警告文 2 2" xfId="5658"/>
    <cellStyle name="警告文 3" xfId="5659"/>
    <cellStyle name="警告文 4" xfId="5660"/>
    <cellStyle name="桁蟻唇Ｆ [0.00]_DATA" xfId="5661"/>
    <cellStyle name="桁蟻唇Ｆ_DATA" xfId="5662"/>
    <cellStyle name="桁区切? [0.00]" xfId="5663"/>
    <cellStyle name="桁区切? [0.00] 2" xfId="5664"/>
    <cellStyle name="桁区切り 2" xfId="5665"/>
    <cellStyle name="桁区切り 2 2" xfId="5666"/>
    <cellStyle name="桁区切り 2 2 2" xfId="5667"/>
    <cellStyle name="桁区切り 2 3" xfId="5668"/>
    <cellStyle name="見出し 1 2" xfId="5669"/>
    <cellStyle name="見出し 1 2 2" xfId="5670"/>
    <cellStyle name="見出し 1 3" xfId="5671"/>
    <cellStyle name="見出し 1 4" xfId="5672"/>
    <cellStyle name="見出し 2 2" xfId="5673"/>
    <cellStyle name="見出し 2 2 2" xfId="5674"/>
    <cellStyle name="見出し 2 3" xfId="5675"/>
    <cellStyle name="見出し 2 4" xfId="5676"/>
    <cellStyle name="見出し 3 2" xfId="5677"/>
    <cellStyle name="見出し 3 2 2" xfId="5678"/>
    <cellStyle name="見出し 3 3" xfId="5679"/>
    <cellStyle name="見出し 3 4" xfId="5680"/>
    <cellStyle name="見出し 4 2" xfId="5681"/>
    <cellStyle name="見出し 4 2 2" xfId="5682"/>
    <cellStyle name="見出し 4 3" xfId="5683"/>
    <cellStyle name="見出し 4 4" xfId="5684"/>
    <cellStyle name="見出し1" xfId="5685"/>
    <cellStyle name="見出し１" xfId="5686"/>
    <cellStyle name="見出し1 1" xfId="5687"/>
    <cellStyle name="見出し2" xfId="5688"/>
    <cellStyle name="見出し2 2" xfId="5689"/>
    <cellStyle name="見出し3" xfId="5690"/>
    <cellStyle name="見出し4" xfId="5691"/>
    <cellStyle name="見出し5" xfId="5692"/>
    <cellStyle name="見出し6" xfId="5693"/>
    <cellStyle name="作業手順ﾌﾛｰ" xfId="46"/>
    <cellStyle name="作成・更新日" xfId="5694"/>
    <cellStyle name="集計 2" xfId="5695"/>
    <cellStyle name="集計 2 2" xfId="5696"/>
    <cellStyle name="集計 2 2 2" xfId="5697"/>
    <cellStyle name="集計 2 2 3" xfId="5698"/>
    <cellStyle name="集計 2 2 4" xfId="5699"/>
    <cellStyle name="集計 2 2 5" xfId="5700"/>
    <cellStyle name="集計 2 3" xfId="5701"/>
    <cellStyle name="集計 2 4" xfId="5702"/>
    <cellStyle name="集計 2 5" xfId="5703"/>
    <cellStyle name="集計 2 6" xfId="5704"/>
    <cellStyle name="集計 3" xfId="5705"/>
    <cellStyle name="集計 3 2" xfId="5706"/>
    <cellStyle name="集計 3 3" xfId="5707"/>
    <cellStyle name="集計 3 4" xfId="5708"/>
    <cellStyle name="集計 3 5" xfId="5709"/>
    <cellStyle name="集計 4" xfId="5710"/>
    <cellStyle name="集計 4 2" xfId="5711"/>
    <cellStyle name="集計 4 3" xfId="5712"/>
    <cellStyle name="集計 4 4" xfId="5713"/>
    <cellStyle name="集計 4 5" xfId="5714"/>
    <cellStyle name="出力 2" xfId="5715"/>
    <cellStyle name="出力 2 2" xfId="5716"/>
    <cellStyle name="出力 2 2 2" xfId="5717"/>
    <cellStyle name="出力 2 2 3" xfId="5718"/>
    <cellStyle name="出力 2 2 4" xfId="5719"/>
    <cellStyle name="出力 2 2 5" xfId="5720"/>
    <cellStyle name="出力 2 3" xfId="5721"/>
    <cellStyle name="出力 2 4" xfId="5722"/>
    <cellStyle name="出力 2 5" xfId="5723"/>
    <cellStyle name="出力 2 6" xfId="5724"/>
    <cellStyle name="出力 3" xfId="5725"/>
    <cellStyle name="出力 3 2" xfId="5726"/>
    <cellStyle name="出力 3 3" xfId="5727"/>
    <cellStyle name="出力 3 4" xfId="5728"/>
    <cellStyle name="出力 3 5" xfId="5729"/>
    <cellStyle name="出力 4" xfId="5730"/>
    <cellStyle name="出力 4 2" xfId="5731"/>
    <cellStyle name="出力 4 3" xfId="5732"/>
    <cellStyle name="出力 4 4" xfId="5733"/>
    <cellStyle name="出力 4 5" xfId="5734"/>
    <cellStyle name="処理機能等" xfId="5735"/>
    <cellStyle name="小タイトル" xfId="5736"/>
    <cellStyle name="小タイトル 2" xfId="5737"/>
    <cellStyle name="少数１位" xfId="5738"/>
    <cellStyle name="少数２位" xfId="5739"/>
    <cellStyle name="詳細" xfId="5740"/>
    <cellStyle name="常规_MD詳細設計書雛型（オンライン）20050428" xfId="5741"/>
    <cellStyle name="進捗" xfId="5742"/>
    <cellStyle name="進捗 2" xfId="5743"/>
    <cellStyle name="進捗 3" xfId="5744"/>
    <cellStyle name="進捗 4" xfId="5745"/>
    <cellStyle name="進捗 5" xfId="5746"/>
    <cellStyle name="人月" xfId="47"/>
    <cellStyle name="人月 2" xfId="5747"/>
    <cellStyle name="人月 2 2" xfId="5748"/>
    <cellStyle name="数値" xfId="48"/>
    <cellStyle name="数値（桁区切り）" xfId="5749"/>
    <cellStyle name="数値_【20031208時点の決定金額】" xfId="5750"/>
    <cellStyle name="整数値" xfId="49"/>
    <cellStyle name="整数値 2" xfId="5751"/>
    <cellStyle name="整数値 3" xfId="5752"/>
    <cellStyle name="製品通知&quot;-&quot;" xfId="5753"/>
    <cellStyle name="製品通知価格" xfId="5754"/>
    <cellStyle name="製品通知日付" xfId="5755"/>
    <cellStyle name="製品通知文字列" xfId="5756"/>
    <cellStyle name="折り返し" xfId="5757"/>
    <cellStyle name="説明文 2" xfId="5758"/>
    <cellStyle name="説明文 2 2" xfId="5759"/>
    <cellStyle name="説明文 3" xfId="5760"/>
    <cellStyle name="説明文 4" xfId="5761"/>
    <cellStyle name="大タイトル" xfId="5762"/>
    <cellStyle name="脱浦 [0.00]_~0007176" xfId="5763"/>
    <cellStyle name="脱浦_~0007176" xfId="5764"/>
    <cellStyle name="弾訊" xfId="5765"/>
    <cellStyle name="中タイトル" xfId="5766"/>
    <cellStyle name="中央" xfId="5767"/>
    <cellStyle name="帳票" xfId="5768"/>
    <cellStyle name="帳票 2" xfId="5769"/>
    <cellStyle name="帳票 2 2" xfId="5770"/>
    <cellStyle name="帳票 2 2 2" xfId="5771"/>
    <cellStyle name="帳票 2 2 2 2" xfId="5772"/>
    <cellStyle name="帳票 2 2 3" xfId="5773"/>
    <cellStyle name="帳票 2 2 3 2" xfId="5774"/>
    <cellStyle name="帳票 2 3" xfId="5775"/>
    <cellStyle name="帳票 2 3 2" xfId="5776"/>
    <cellStyle name="帳票 2 4" xfId="5777"/>
    <cellStyle name="帳票 2 4 2" xfId="5778"/>
    <cellStyle name="帳票 3" xfId="5779"/>
    <cellStyle name="帳票 3 2" xfId="5780"/>
    <cellStyle name="帳票 4" xfId="5781"/>
    <cellStyle name="帳票 4 2" xfId="5782"/>
    <cellStyle name="追加スタイル（梅田）" xfId="5783"/>
    <cellStyle name="通貨 [0.00" xfId="5784"/>
    <cellStyle name="通貨 2" xfId="5785"/>
    <cellStyle name="通貨 3" xfId="5786"/>
    <cellStyle name="通貨 4" xfId="5787"/>
    <cellStyle name="底線" xfId="5788"/>
    <cellStyle name="提出日" xfId="5789"/>
    <cellStyle name="日付" xfId="50"/>
    <cellStyle name="日付 2" xfId="5790"/>
    <cellStyle name="日付 3" xfId="5791"/>
    <cellStyle name="日付 4" xfId="5792"/>
    <cellStyle name="日付yyyy/mm/dd" xfId="5793"/>
    <cellStyle name="入力 2" xfId="5794"/>
    <cellStyle name="入力 2 2" xfId="5795"/>
    <cellStyle name="入力 2 2 2" xfId="5796"/>
    <cellStyle name="入力 2 2 3" xfId="5797"/>
    <cellStyle name="入力 2 2 4" xfId="5798"/>
    <cellStyle name="入力 2 2 5" xfId="5799"/>
    <cellStyle name="入力 2 3" xfId="5800"/>
    <cellStyle name="入力 2 4" xfId="5801"/>
    <cellStyle name="入力 2 5" xfId="5802"/>
    <cellStyle name="入力 2 6" xfId="5803"/>
    <cellStyle name="入力 3" xfId="5804"/>
    <cellStyle name="入力 3 2" xfId="5805"/>
    <cellStyle name="入力 3 3" xfId="5806"/>
    <cellStyle name="入力 3 4" xfId="5807"/>
    <cellStyle name="入力 3 5" xfId="5808"/>
    <cellStyle name="入力 4" xfId="5809"/>
    <cellStyle name="入力 4 2" xfId="5810"/>
    <cellStyle name="入力 4 3" xfId="5811"/>
    <cellStyle name="入力 4 4" xfId="5812"/>
    <cellStyle name="入力 4 5" xfId="5813"/>
    <cellStyle name="年月日" xfId="5814"/>
    <cellStyle name="標?_Pacific Region P&amp;L" xfId="5815"/>
    <cellStyle name="標準" xfId="0" builtinId="0"/>
    <cellStyle name="標準 10" xfId="5816"/>
    <cellStyle name="標準 10 2" xfId="5817"/>
    <cellStyle name="標準 11" xfId="5818"/>
    <cellStyle name="標準 11 2" xfId="5819"/>
    <cellStyle name="標準 12" xfId="5820"/>
    <cellStyle name="標準 13" xfId="5821"/>
    <cellStyle name="標準 14" xfId="5822"/>
    <cellStyle name="標準 2" xfId="51"/>
    <cellStyle name="標準 2 10" xfId="5823"/>
    <cellStyle name="標準 2 10 3" xfId="5824"/>
    <cellStyle name="標準 2 2" xfId="52"/>
    <cellStyle name="標準 2 2 2" xfId="5825"/>
    <cellStyle name="標準 2 2 3" xfId="5826"/>
    <cellStyle name="標準 2 2 4" xfId="53"/>
    <cellStyle name="標準 2 3" xfId="5827"/>
    <cellStyle name="標準 2 3 2" xfId="5828"/>
    <cellStyle name="標準 2 4" xfId="5829"/>
    <cellStyle name="標準 2 5" xfId="5830"/>
    <cellStyle name="標準 2 5 2" xfId="5831"/>
    <cellStyle name="標準 2 6" xfId="5832"/>
    <cellStyle name="標準 2 7" xfId="5833"/>
    <cellStyle name="標準 2 8" xfId="5834"/>
    <cellStyle name="標準 2 9" xfId="5835"/>
    <cellStyle name="標準 2_（添付資料３）　画面遷移" xfId="5836"/>
    <cellStyle name="標準 3" xfId="54"/>
    <cellStyle name="標準 3 2" xfId="55"/>
    <cellStyle name="標準 3 2 2" xfId="5837"/>
    <cellStyle name="標準 3 3" xfId="5838"/>
    <cellStyle name="標準 3 3 2" xfId="5839"/>
    <cellStyle name="標準 3 4" xfId="5840"/>
    <cellStyle name="標準 3 4 2" xfId="5841"/>
    <cellStyle name="標準 3 5" xfId="5842"/>
    <cellStyle name="標準 3 5 2" xfId="5843"/>
    <cellStyle name="標準 3 6" xfId="5844"/>
    <cellStyle name="標準 3 7" xfId="5845"/>
    <cellStyle name="標準 3_資料授受依頼一覧" xfId="5846"/>
    <cellStyle name="標準 4" xfId="66"/>
    <cellStyle name="標準 4 2" xfId="5848"/>
    <cellStyle name="標準 4 2 2" xfId="5849"/>
    <cellStyle name="標準 4 3" xfId="5850"/>
    <cellStyle name="標準 4 3 2" xfId="5851"/>
    <cellStyle name="標準 4 4" xfId="5852"/>
    <cellStyle name="標準 4 5" xfId="5853"/>
    <cellStyle name="標準 4 6" xfId="5847"/>
    <cellStyle name="標準 4_確認ポイント" xfId="5854"/>
    <cellStyle name="標準 5" xfId="65"/>
    <cellStyle name="標準 5 2" xfId="5855"/>
    <cellStyle name="標準 6" xfId="5856"/>
    <cellStyle name="標準 6 2" xfId="5857"/>
    <cellStyle name="標準 6 2 2" xfId="5858"/>
    <cellStyle name="標準 6 3" xfId="5859"/>
    <cellStyle name="標準 6 4" xfId="5860"/>
    <cellStyle name="標準 7" xfId="5861"/>
    <cellStyle name="標準 7 2" xfId="5862"/>
    <cellStyle name="標準 7 3" xfId="5863"/>
    <cellStyle name="標準 8" xfId="5864"/>
    <cellStyle name="標準 8 2" xfId="5865"/>
    <cellStyle name="標準 9" xfId="5866"/>
    <cellStyle name="標準 9 2" xfId="5867"/>
    <cellStyle name="標準1" xfId="5868"/>
    <cellStyle name="標準2" xfId="5869"/>
    <cellStyle name="標準２" xfId="5870"/>
    <cellStyle name="標準Ａ" xfId="5871"/>
    <cellStyle name="標準JOB" xfId="5872"/>
    <cellStyle name="標準Pﾃﾞｰﾀ項目変更管理手順" xfId="5873"/>
    <cellStyle name="標準TY" xfId="5874"/>
    <cellStyle name="標準TY 2" xfId="5875"/>
    <cellStyle name="標準TY 2 2" xfId="5876"/>
    <cellStyle name="標準TY 2 3" xfId="5877"/>
    <cellStyle name="標準TY 2 4" xfId="5878"/>
    <cellStyle name="標準TY 3" xfId="5879"/>
    <cellStyle name="標準TY 4" xfId="5880"/>
    <cellStyle name="標準TY 5" xfId="5881"/>
    <cellStyle name="標準フォント" xfId="5882"/>
    <cellStyle name="標準外部設計" xfId="5883"/>
    <cellStyle name="標準仕様書" xfId="56"/>
    <cellStyle name="表・・・・ハイパーリンク" xfId="5884"/>
    <cellStyle name="表ヘッダー" xfId="5885"/>
    <cellStyle name="表旨巧・・ハイパーリンク" xfId="57"/>
    <cellStyle name="表旨巧・・ハイパーリンク 2" xfId="5886"/>
    <cellStyle name="付表" xfId="5887"/>
    <cellStyle name="文字列" xfId="58"/>
    <cellStyle name="文字列 2" xfId="5888"/>
    <cellStyle name="保護" xfId="5889"/>
    <cellStyle name="本文" xfId="5890"/>
    <cellStyle name="磨葬e義" xfId="5891"/>
    <cellStyle name="未定義" xfId="59"/>
    <cellStyle name="未定義 2" xfId="60"/>
    <cellStyle name="未定義 2 2" xfId="5892"/>
    <cellStyle name="未定義 2 3" xfId="5893"/>
    <cellStyle name="未定義 3" xfId="5894"/>
    <cellStyle name="未定義 4" xfId="5895"/>
    <cellStyle name="未定義 5" xfId="5896"/>
    <cellStyle name="無人" xfId="5897"/>
    <cellStyle name="約定ベース" xfId="5898"/>
    <cellStyle name="良い 2" xfId="5899"/>
    <cellStyle name="良い 2 2" xfId="5900"/>
    <cellStyle name="良い 3" xfId="5901"/>
    <cellStyle name="良い 4" xfId="5902"/>
    <cellStyle name="枠内" xfId="5903"/>
    <cellStyle name="爲敲据⁹〨崩⡜⑜Ⱓ⌣⸰〰⥜ ‪ⴢ㼢弿㬠 彀㼠 弻䀠 †††††††††††††††††††††††††㠠᠇鰁묂堀뀽w" xfId="61"/>
    <cellStyle name="爲敲据⁹〨崩⡜⑜Ⱓ⌣⸰〰⥜ ‪ⴢ㼢弿㬠 彀㼠 弻䀠 †††††††††††††††††††††††††㠠᠇鰁묂堀뀽w 2" xfId="5904"/>
    <cellStyle name="爲敲据⁹〨崩⡜⑜Ⱓ⌣⸰〰⥜ ‪ⴢ㼢弿㬠 彀㼠 弻䀠 †††††††††††††††††††††††††㠠᠇鰁묂堀뀽w 3" xfId="5905"/>
    <cellStyle name="爲敲据⁹〨崩⡜⑜Ⱓ⌣⸰〰⥜ ‪ⴢ㼢弿㬠 彀㼠 弻䀠 †††††††††††††††††††††††††㠠᠇鰁묂堀뀽w 4" xfId="5906"/>
    <cellStyle name="爲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7"/>
    <cellStyle name="捬䌠牵敲据⁹〨崩⡜⑜Ⱓ⌣⸰〰⥜ ‪ⴢ㼢弿㬠 彀㼠 弻䀠 †††††††††††††††††††††††††㠠᠇鰁묂堀뀽w" xfId="62"/>
    <cellStyle name="捬䌠牵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" xfId="5908"/>
    <cellStyle name="爱敲据⁹〨崩⡜⑜Ⱓ⌣⸰〰⥜ ‪ⴢ㼢弿㬠 彀㼠 弻䀠 †††††††††††††††††††††††††㠠᠇鰁묂堀뀽w" xfId="63"/>
    <cellStyle name="爱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9"/>
    <cellStyle name="㠱䤭瑮牥敮⡴⑜Ⱓ⌣⸰〰⥜ ‪ⴢ㼢弿㬠 彀㼠 弻䀠 †††††††††††††††††††††††††㠠᠇鰁묂堀뀽w" xfId="64"/>
    <cellStyle name="㠱䤭瑮牥敮⡴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☀" xfId="5910"/>
  </cellStyles>
  <dxfs count="0"/>
  <tableStyles count="1" defaultTableStyle="TableStyleMedium2" defaultPivotStyle="PivotStyleLight16">
    <tableStyle name="テーブル スタイル 1" pivot="0" count="0"/>
  </tableStyles>
  <colors>
    <mruColors>
      <color rgb="FF0099CC"/>
      <color rgb="FFFFFFCC"/>
      <color rgb="FFFF99FF"/>
      <color rgb="FFFFCCCC"/>
      <color rgb="FFCCFFCC"/>
      <color rgb="FFCCFFFF"/>
      <color rgb="FFFFCC99"/>
      <color rgb="FFCCFF99"/>
      <color rgb="FF66FF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1285875</xdr:colOff>
          <xdr:row>0</xdr:row>
          <xdr:rowOff>38100</xdr:rowOff>
        </xdr:from>
        <xdr:to>
          <xdr:col>2</xdr:col>
          <xdr:colOff>1647825</xdr:colOff>
          <xdr:row>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400050</xdr:colOff>
          <xdr:row>1</xdr:row>
          <xdr:rowOff>171450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600075</xdr:rowOff>
        </xdr:from>
        <xdr:to>
          <xdr:col>0</xdr:col>
          <xdr:colOff>390525</xdr:colOff>
          <xdr:row>2</xdr:row>
          <xdr:rowOff>962025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390525</xdr:colOff>
          <xdr:row>1</xdr:row>
          <xdr:rowOff>171450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0</xdr:row>
          <xdr:rowOff>38100</xdr:rowOff>
        </xdr:from>
        <xdr:to>
          <xdr:col>2</xdr:col>
          <xdr:colOff>1190625</xdr:colOff>
          <xdr:row>1</xdr:row>
          <xdr:rowOff>152400</xdr:rowOff>
        </xdr:to>
        <xdr:sp macro="" textlink="">
          <xdr:nvSpPr>
            <xdr:cNvPr id="21502" name="Check Box 1022" hidden="1">
              <a:extLst>
                <a:ext uri="{63B3BB69-23CF-44E3-9099-C40C66FF867C}">
                  <a14:compatExt spid="_x0000_s2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31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日次明細列の値削除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3</xdr:row>
          <xdr:rowOff>123825</xdr:rowOff>
        </xdr:to>
        <xdr:sp macro="" textlink="">
          <xdr:nvSpPr>
            <xdr:cNvPr id="26261" name="Check Box 1685" hidden="1">
              <a:extLst>
                <a:ext uri="{63B3BB69-23CF-44E3-9099-C40C66FF867C}">
                  <a14:compatExt spid="_x0000_s2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4</xdr:row>
          <xdr:rowOff>123825</xdr:rowOff>
        </xdr:to>
        <xdr:sp macro="" textlink="">
          <xdr:nvSpPr>
            <xdr:cNvPr id="26262" name="Check Box 1686" hidden="1">
              <a:extLst>
                <a:ext uri="{63B3BB69-23CF-44E3-9099-C40C66FF867C}">
                  <a14:compatExt spid="_x0000_s2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5</xdr:row>
          <xdr:rowOff>123825</xdr:rowOff>
        </xdr:to>
        <xdr:sp macro="" textlink="">
          <xdr:nvSpPr>
            <xdr:cNvPr id="26263" name="Check Box 1687" hidden="1">
              <a:extLst>
                <a:ext uri="{63B3BB69-23CF-44E3-9099-C40C66FF867C}">
                  <a14:compatExt spid="_x0000_s2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6</xdr:row>
          <xdr:rowOff>123825</xdr:rowOff>
        </xdr:to>
        <xdr:sp macro="" textlink="">
          <xdr:nvSpPr>
            <xdr:cNvPr id="26264" name="Check Box 1688" hidden="1">
              <a:extLst>
                <a:ext uri="{63B3BB69-23CF-44E3-9099-C40C66FF867C}">
                  <a14:compatExt spid="_x0000_s2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7</xdr:row>
          <xdr:rowOff>123825</xdr:rowOff>
        </xdr:to>
        <xdr:sp macro="" textlink="">
          <xdr:nvSpPr>
            <xdr:cNvPr id="26265" name="Check Box 1689" hidden="1">
              <a:extLst>
                <a:ext uri="{63B3BB69-23CF-44E3-9099-C40C66FF867C}">
                  <a14:compatExt spid="_x0000_s2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8</xdr:row>
          <xdr:rowOff>123825</xdr:rowOff>
        </xdr:to>
        <xdr:sp macro="" textlink="">
          <xdr:nvSpPr>
            <xdr:cNvPr id="26266" name="Check Box 1690" hidden="1">
              <a:extLst>
                <a:ext uri="{63B3BB69-23CF-44E3-9099-C40C66FF867C}">
                  <a14:compatExt spid="_x0000_s2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9</xdr:row>
          <xdr:rowOff>123825</xdr:rowOff>
        </xdr:to>
        <xdr:sp macro="" textlink="">
          <xdr:nvSpPr>
            <xdr:cNvPr id="26267" name="Check Box 1691" hidden="1">
              <a:extLst>
                <a:ext uri="{63B3BB69-23CF-44E3-9099-C40C66FF867C}">
                  <a14:compatExt spid="_x0000_s2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10</xdr:row>
          <xdr:rowOff>123825</xdr:rowOff>
        </xdr:to>
        <xdr:sp macro="" textlink="">
          <xdr:nvSpPr>
            <xdr:cNvPr id="26268" name="Check Box 1692" hidden="1">
              <a:extLst>
                <a:ext uri="{63B3BB69-23CF-44E3-9099-C40C66FF867C}">
                  <a14:compatExt spid="_x0000_s2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11</xdr:row>
          <xdr:rowOff>123825</xdr:rowOff>
        </xdr:to>
        <xdr:sp macro="" textlink="">
          <xdr:nvSpPr>
            <xdr:cNvPr id="26269" name="Check Box 1693" hidden="1">
              <a:extLst>
                <a:ext uri="{63B3BB69-23CF-44E3-9099-C40C66FF867C}">
                  <a14:compatExt spid="_x0000_s2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12</xdr:row>
          <xdr:rowOff>123825</xdr:rowOff>
        </xdr:to>
        <xdr:sp macro="" textlink="">
          <xdr:nvSpPr>
            <xdr:cNvPr id="26270" name="Check Box 1694" hidden="1">
              <a:extLst>
                <a:ext uri="{63B3BB69-23CF-44E3-9099-C40C66FF867C}">
                  <a14:compatExt spid="_x0000_s2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13</xdr:row>
          <xdr:rowOff>123825</xdr:rowOff>
        </xdr:to>
        <xdr:sp macro="" textlink="">
          <xdr:nvSpPr>
            <xdr:cNvPr id="26271" name="Check Box 1695" hidden="1">
              <a:extLst>
                <a:ext uri="{63B3BB69-23CF-44E3-9099-C40C66FF867C}">
                  <a14:compatExt spid="_x0000_s2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14</xdr:row>
          <xdr:rowOff>123825</xdr:rowOff>
        </xdr:to>
        <xdr:sp macro="" textlink="">
          <xdr:nvSpPr>
            <xdr:cNvPr id="26272" name="Check Box 1696" hidden="1">
              <a:extLst>
                <a:ext uri="{63B3BB69-23CF-44E3-9099-C40C66FF867C}">
                  <a14:compatExt spid="_x0000_s2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15</xdr:row>
          <xdr:rowOff>123825</xdr:rowOff>
        </xdr:to>
        <xdr:sp macro="" textlink="">
          <xdr:nvSpPr>
            <xdr:cNvPr id="26273" name="Check Box 1697" hidden="1">
              <a:extLst>
                <a:ext uri="{63B3BB69-23CF-44E3-9099-C40C66FF867C}">
                  <a14:compatExt spid="_x0000_s2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16</xdr:row>
          <xdr:rowOff>123825</xdr:rowOff>
        </xdr:to>
        <xdr:sp macro="" textlink="">
          <xdr:nvSpPr>
            <xdr:cNvPr id="26274" name="Check Box 1698" hidden="1">
              <a:extLst>
                <a:ext uri="{63B3BB69-23CF-44E3-9099-C40C66FF867C}">
                  <a14:compatExt spid="_x0000_s2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17</xdr:row>
          <xdr:rowOff>123825</xdr:rowOff>
        </xdr:to>
        <xdr:sp macro="" textlink="">
          <xdr:nvSpPr>
            <xdr:cNvPr id="26275" name="Check Box 1699" hidden="1">
              <a:extLst>
                <a:ext uri="{63B3BB69-23CF-44E3-9099-C40C66FF867C}">
                  <a14:compatExt spid="_x0000_s2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18</xdr:row>
          <xdr:rowOff>123825</xdr:rowOff>
        </xdr:to>
        <xdr:sp macro="" textlink="">
          <xdr:nvSpPr>
            <xdr:cNvPr id="26276" name="Check Box 1700" hidden="1">
              <a:extLst>
                <a:ext uri="{63B3BB69-23CF-44E3-9099-C40C66FF867C}">
                  <a14:compatExt spid="_x0000_s2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19</xdr:row>
          <xdr:rowOff>123825</xdr:rowOff>
        </xdr:to>
        <xdr:sp macro="" textlink="">
          <xdr:nvSpPr>
            <xdr:cNvPr id="26277" name="Check Box 1701" hidden="1">
              <a:extLst>
                <a:ext uri="{63B3BB69-23CF-44E3-9099-C40C66FF867C}">
                  <a14:compatExt spid="_x0000_s2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20</xdr:row>
          <xdr:rowOff>123825</xdr:rowOff>
        </xdr:to>
        <xdr:sp macro="" textlink="">
          <xdr:nvSpPr>
            <xdr:cNvPr id="26278" name="Check Box 1702" hidden="1">
              <a:extLst>
                <a:ext uri="{63B3BB69-23CF-44E3-9099-C40C66FF867C}">
                  <a14:compatExt spid="_x0000_s2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21</xdr:row>
          <xdr:rowOff>123825</xdr:rowOff>
        </xdr:to>
        <xdr:sp macro="" textlink="">
          <xdr:nvSpPr>
            <xdr:cNvPr id="26279" name="Check Box 1703" hidden="1">
              <a:extLst>
                <a:ext uri="{63B3BB69-23CF-44E3-9099-C40C66FF867C}">
                  <a14:compatExt spid="_x0000_s2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22</xdr:row>
          <xdr:rowOff>123825</xdr:rowOff>
        </xdr:to>
        <xdr:sp macro="" textlink="">
          <xdr:nvSpPr>
            <xdr:cNvPr id="26280" name="Check Box 1704" hidden="1">
              <a:extLst>
                <a:ext uri="{63B3BB69-23CF-44E3-9099-C40C66FF867C}">
                  <a14:compatExt spid="_x0000_s2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23</xdr:row>
          <xdr:rowOff>123825</xdr:rowOff>
        </xdr:to>
        <xdr:sp macro="" textlink="">
          <xdr:nvSpPr>
            <xdr:cNvPr id="26281" name="Check Box 1705" hidden="1">
              <a:extLst>
                <a:ext uri="{63B3BB69-23CF-44E3-9099-C40C66FF867C}">
                  <a14:compatExt spid="_x0000_s2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24</xdr:row>
          <xdr:rowOff>123825</xdr:rowOff>
        </xdr:to>
        <xdr:sp macro="" textlink="">
          <xdr:nvSpPr>
            <xdr:cNvPr id="26282" name="Check Box 1706" hidden="1">
              <a:extLst>
                <a:ext uri="{63B3BB69-23CF-44E3-9099-C40C66FF867C}">
                  <a14:compatExt spid="_x0000_s2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25</xdr:row>
          <xdr:rowOff>123825</xdr:rowOff>
        </xdr:to>
        <xdr:sp macro="" textlink="">
          <xdr:nvSpPr>
            <xdr:cNvPr id="26283" name="Check Box 1707" hidden="1">
              <a:extLst>
                <a:ext uri="{63B3BB69-23CF-44E3-9099-C40C66FF867C}">
                  <a14:compatExt spid="_x0000_s2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26</xdr:row>
          <xdr:rowOff>123825</xdr:rowOff>
        </xdr:to>
        <xdr:sp macro="" textlink="">
          <xdr:nvSpPr>
            <xdr:cNvPr id="26284" name="Check Box 1708" hidden="1">
              <a:extLst>
                <a:ext uri="{63B3BB69-23CF-44E3-9099-C40C66FF867C}">
                  <a14:compatExt spid="_x0000_s2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27</xdr:row>
          <xdr:rowOff>123825</xdr:rowOff>
        </xdr:to>
        <xdr:sp macro="" textlink="">
          <xdr:nvSpPr>
            <xdr:cNvPr id="26285" name="Check Box 1709" hidden="1">
              <a:extLst>
                <a:ext uri="{63B3BB69-23CF-44E3-9099-C40C66FF867C}">
                  <a14:compatExt spid="_x0000_s2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28</xdr:row>
          <xdr:rowOff>123825</xdr:rowOff>
        </xdr:to>
        <xdr:sp macro="" textlink="">
          <xdr:nvSpPr>
            <xdr:cNvPr id="26286" name="Check Box 1710" hidden="1">
              <a:extLst>
                <a:ext uri="{63B3BB69-23CF-44E3-9099-C40C66FF867C}">
                  <a14:compatExt spid="_x0000_s2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29</xdr:row>
          <xdr:rowOff>123825</xdr:rowOff>
        </xdr:to>
        <xdr:sp macro="" textlink="">
          <xdr:nvSpPr>
            <xdr:cNvPr id="26287" name="Check Box 1711" hidden="1">
              <a:extLst>
                <a:ext uri="{63B3BB69-23CF-44E3-9099-C40C66FF867C}">
                  <a14:compatExt spid="_x0000_s2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30</xdr:row>
          <xdr:rowOff>123825</xdr:rowOff>
        </xdr:to>
        <xdr:sp macro="" textlink="">
          <xdr:nvSpPr>
            <xdr:cNvPr id="26288" name="Check Box 1712" hidden="1">
              <a:extLst>
                <a:ext uri="{63B3BB69-23CF-44E3-9099-C40C66FF867C}">
                  <a14:compatExt spid="_x0000_s2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31</xdr:row>
          <xdr:rowOff>123825</xdr:rowOff>
        </xdr:to>
        <xdr:sp macro="" textlink="">
          <xdr:nvSpPr>
            <xdr:cNvPr id="26289" name="Check Box 1713" hidden="1">
              <a:extLst>
                <a:ext uri="{63B3BB69-23CF-44E3-9099-C40C66FF867C}">
                  <a14:compatExt spid="_x0000_s2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32</xdr:row>
          <xdr:rowOff>123825</xdr:rowOff>
        </xdr:to>
        <xdr:sp macro="" textlink="">
          <xdr:nvSpPr>
            <xdr:cNvPr id="26290" name="Check Box 1714" hidden="1">
              <a:extLst>
                <a:ext uri="{63B3BB69-23CF-44E3-9099-C40C66FF867C}">
                  <a14:compatExt spid="_x0000_s2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33</xdr:row>
          <xdr:rowOff>123825</xdr:rowOff>
        </xdr:to>
        <xdr:sp macro="" textlink="">
          <xdr:nvSpPr>
            <xdr:cNvPr id="26291" name="Check Box 1715" hidden="1">
              <a:extLst>
                <a:ext uri="{63B3BB69-23CF-44E3-9099-C40C66FF867C}">
                  <a14:compatExt spid="_x0000_s2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58"/>
  <sheetViews>
    <sheetView showGridLines="0" zoomScale="85" zoomScaleNormal="85" zoomScaleSheetLayoutView="50" workbookViewId="0"/>
  </sheetViews>
  <sheetFormatPr defaultColWidth="8.75" defaultRowHeight="15.75"/>
  <cols>
    <col min="1" max="1" width="2.875" style="1" customWidth="1"/>
    <col min="2" max="16384" width="8.75" style="1"/>
  </cols>
  <sheetData>
    <row r="1" spans="2:15">
      <c r="B1" s="1" t="s">
        <v>37</v>
      </c>
    </row>
    <row r="2" spans="2:15">
      <c r="C2" s="1" t="s">
        <v>41</v>
      </c>
    </row>
    <row r="3" spans="2:15">
      <c r="C3" s="1" t="s">
        <v>53</v>
      </c>
    </row>
    <row r="4" spans="2:15">
      <c r="C4" s="96" t="s">
        <v>147</v>
      </c>
    </row>
    <row r="5" spans="2:15">
      <c r="C5" s="95" t="s">
        <v>56</v>
      </c>
    </row>
    <row r="6" spans="2:15">
      <c r="C6" s="96" t="s">
        <v>148</v>
      </c>
    </row>
    <row r="7" spans="2:15">
      <c r="C7" s="1" t="s">
        <v>64</v>
      </c>
    </row>
    <row r="9" spans="2:15">
      <c r="B9" s="1" t="s">
        <v>35</v>
      </c>
    </row>
    <row r="10" spans="2:15">
      <c r="B10" s="2" t="s">
        <v>32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4"/>
    </row>
    <row r="11" spans="2:15">
      <c r="B11" s="5"/>
      <c r="C11" s="6" t="s">
        <v>13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7"/>
    </row>
    <row r="12" spans="2:15">
      <c r="B12" s="5"/>
      <c r="C12" s="6" t="s">
        <v>14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7"/>
    </row>
    <row r="13" spans="2:15">
      <c r="B13" s="5"/>
      <c r="C13" s="6" t="s">
        <v>15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7"/>
    </row>
    <row r="14" spans="2:15">
      <c r="B14" s="5"/>
      <c r="C14" s="8" t="s">
        <v>18</v>
      </c>
      <c r="D14" s="13" t="s">
        <v>16</v>
      </c>
      <c r="E14" s="14"/>
      <c r="F14" s="14"/>
      <c r="G14" s="14"/>
      <c r="H14" s="13" t="s">
        <v>52</v>
      </c>
      <c r="I14" s="14"/>
      <c r="J14" s="14"/>
      <c r="K14" s="15"/>
      <c r="L14" s="6"/>
      <c r="M14" s="6"/>
      <c r="N14" s="6"/>
      <c r="O14" s="7"/>
    </row>
    <row r="15" spans="2:15">
      <c r="B15" s="5"/>
      <c r="C15" s="6"/>
      <c r="D15" s="16" t="s">
        <v>42</v>
      </c>
      <c r="E15" s="17"/>
      <c r="F15" s="17"/>
      <c r="G15" s="17"/>
      <c r="H15" s="16"/>
      <c r="I15" s="17"/>
      <c r="J15" s="17"/>
      <c r="K15" s="18"/>
      <c r="L15" s="6"/>
      <c r="M15" s="6"/>
      <c r="N15" s="6"/>
      <c r="O15" s="7"/>
    </row>
    <row r="16" spans="2:15">
      <c r="B16" s="5"/>
      <c r="C16" s="8"/>
      <c r="D16" s="16" t="s">
        <v>17</v>
      </c>
      <c r="E16" s="17"/>
      <c r="F16" s="17"/>
      <c r="G16" s="17"/>
      <c r="H16" s="16" t="s">
        <v>27</v>
      </c>
      <c r="I16" s="17"/>
      <c r="J16" s="17"/>
      <c r="K16" s="18"/>
      <c r="L16" s="6"/>
      <c r="M16" s="6"/>
      <c r="N16" s="6"/>
      <c r="O16" s="7"/>
    </row>
    <row r="17" spans="2:15">
      <c r="B17" s="5"/>
      <c r="C17" s="6"/>
      <c r="D17" s="16" t="s">
        <v>43</v>
      </c>
      <c r="E17" s="17"/>
      <c r="F17" s="17"/>
      <c r="G17" s="17"/>
      <c r="H17" s="16"/>
      <c r="I17" s="17"/>
      <c r="J17" s="17"/>
      <c r="K17" s="18"/>
      <c r="L17" s="6"/>
      <c r="M17" s="6"/>
      <c r="N17" s="6"/>
      <c r="O17" s="7"/>
    </row>
    <row r="18" spans="2:15">
      <c r="B18" s="5"/>
      <c r="C18" s="8" t="s">
        <v>18</v>
      </c>
      <c r="D18" s="16" t="s">
        <v>44</v>
      </c>
      <c r="E18" s="17"/>
      <c r="F18" s="17"/>
      <c r="G18" s="17"/>
      <c r="H18" s="16" t="s">
        <v>45</v>
      </c>
      <c r="I18" s="17"/>
      <c r="J18" s="17"/>
      <c r="K18" s="18"/>
      <c r="L18" s="6"/>
      <c r="M18" s="6"/>
      <c r="N18" s="6"/>
      <c r="O18" s="7"/>
    </row>
    <row r="19" spans="2:15">
      <c r="B19" s="5"/>
      <c r="C19" s="8" t="s">
        <v>18</v>
      </c>
      <c r="D19" s="16" t="s">
        <v>51</v>
      </c>
      <c r="E19" s="17"/>
      <c r="F19" s="17"/>
      <c r="G19" s="17"/>
      <c r="H19" s="16" t="s">
        <v>50</v>
      </c>
      <c r="I19" s="17"/>
      <c r="J19" s="17"/>
      <c r="K19" s="18"/>
      <c r="L19" s="6"/>
      <c r="M19" s="6"/>
      <c r="N19" s="6"/>
      <c r="O19" s="7"/>
    </row>
    <row r="20" spans="2:15">
      <c r="B20" s="5"/>
      <c r="C20" s="6"/>
      <c r="D20" s="16" t="s">
        <v>46</v>
      </c>
      <c r="E20" s="17"/>
      <c r="F20" s="17"/>
      <c r="G20" s="17"/>
      <c r="H20" s="16"/>
      <c r="I20" s="17"/>
      <c r="J20" s="17"/>
      <c r="K20" s="18"/>
      <c r="L20" s="6"/>
      <c r="M20" s="6"/>
      <c r="N20" s="6"/>
      <c r="O20" s="7"/>
    </row>
    <row r="21" spans="2:15">
      <c r="B21" s="5"/>
      <c r="C21" s="8" t="s">
        <v>18</v>
      </c>
      <c r="D21" s="19" t="s">
        <v>47</v>
      </c>
      <c r="E21" s="20"/>
      <c r="F21" s="20"/>
      <c r="G21" s="20"/>
      <c r="H21" s="19" t="s">
        <v>48</v>
      </c>
      <c r="I21" s="20"/>
      <c r="J21" s="20"/>
      <c r="K21" s="21"/>
      <c r="L21" s="6"/>
      <c r="M21" s="6"/>
      <c r="N21" s="6"/>
      <c r="O21" s="7"/>
    </row>
    <row r="22" spans="2:15">
      <c r="B22" s="5"/>
      <c r="C22" s="6"/>
      <c r="D22" s="9" t="s">
        <v>22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7"/>
    </row>
    <row r="23" spans="2:15">
      <c r="B23" s="5"/>
      <c r="C23" s="6"/>
      <c r="D23" s="9" t="s">
        <v>28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7"/>
    </row>
    <row r="24" spans="2:15">
      <c r="B24" s="5"/>
      <c r="C24" s="6"/>
      <c r="D24" s="6" t="s">
        <v>54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</row>
    <row r="25" spans="2:15">
      <c r="B25" s="5"/>
      <c r="C25" s="6"/>
      <c r="D25" s="6" t="s">
        <v>49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</row>
    <row r="26" spans="2:15">
      <c r="B26" s="5"/>
      <c r="C26" s="6" t="s">
        <v>19</v>
      </c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</row>
    <row r="27" spans="2:15">
      <c r="B27" s="5"/>
      <c r="C27" s="6"/>
      <c r="D27" s="6" t="s">
        <v>57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</row>
    <row r="28" spans="2:15">
      <c r="B28" s="5"/>
      <c r="C28" s="6"/>
      <c r="D28" s="9" t="s">
        <v>36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</row>
    <row r="29" spans="2:15">
      <c r="B29" s="5"/>
      <c r="C29" s="6"/>
      <c r="D29" s="6" t="s">
        <v>23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</row>
    <row r="30" spans="2:15">
      <c r="B30" s="5"/>
      <c r="C30" s="6"/>
      <c r="D30" s="9" t="s">
        <v>29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</row>
    <row r="31" spans="2:15">
      <c r="B31" s="5"/>
      <c r="C31" s="6"/>
      <c r="D31" s="6" t="s">
        <v>55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</row>
    <row r="32" spans="2:15">
      <c r="B32" s="5"/>
      <c r="C32" s="6"/>
      <c r="D32" s="6" t="s">
        <v>30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</row>
    <row r="33" spans="2:15">
      <c r="B33" s="5"/>
      <c r="C33" s="6"/>
      <c r="D33" s="6" t="s">
        <v>31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</row>
    <row r="34" spans="2:15">
      <c r="B34" s="5"/>
      <c r="C34" s="6"/>
      <c r="D34" s="9" t="s">
        <v>63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</row>
    <row r="35" spans="2:15">
      <c r="B35" s="5"/>
      <c r="C35" s="6"/>
      <c r="D35" s="6" t="s">
        <v>62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</row>
    <row r="36" spans="2:15">
      <c r="B36" s="5"/>
      <c r="C36" s="6"/>
      <c r="D36" s="97" t="s">
        <v>149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</row>
    <row r="37" spans="2:15">
      <c r="B37" s="5"/>
      <c r="C37" s="6"/>
      <c r="D37" s="98" t="s">
        <v>150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</row>
    <row r="38" spans="2:15">
      <c r="B38" s="5"/>
      <c r="C38" s="6"/>
      <c r="D38" s="6" t="s">
        <v>58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</row>
    <row r="39" spans="2:15">
      <c r="B39" s="5"/>
      <c r="C39" s="6"/>
      <c r="D39" s="9" t="s">
        <v>59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7"/>
    </row>
    <row r="40" spans="2:15">
      <c r="B40" s="5"/>
      <c r="C40" s="6"/>
      <c r="D40" s="98" t="s">
        <v>153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7"/>
    </row>
    <row r="41" spans="2:15">
      <c r="B41" s="5"/>
      <c r="C41" s="6"/>
      <c r="D41" s="99" t="s">
        <v>151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7"/>
    </row>
    <row r="42" spans="2:15">
      <c r="B42" s="5"/>
      <c r="C42" s="6"/>
      <c r="D42" s="98" t="s">
        <v>152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7"/>
    </row>
    <row r="43" spans="2:15">
      <c r="B43" s="5"/>
      <c r="C43" s="6"/>
      <c r="D43" s="9" t="s">
        <v>60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7"/>
    </row>
    <row r="44" spans="2:15">
      <c r="B44" s="10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2"/>
    </row>
    <row r="45" spans="2:15">
      <c r="B45" s="22" t="s">
        <v>33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40"/>
      <c r="O45" s="24"/>
    </row>
    <row r="46" spans="2:15">
      <c r="B46" s="25"/>
      <c r="C46" s="26" t="s">
        <v>20</v>
      </c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7"/>
    </row>
    <row r="47" spans="2:15">
      <c r="B47" s="25"/>
      <c r="C47" s="26" t="s">
        <v>21</v>
      </c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7"/>
    </row>
    <row r="48" spans="2:15">
      <c r="B48" s="25"/>
      <c r="C48" s="26" t="s">
        <v>24</v>
      </c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7"/>
    </row>
    <row r="49" spans="2:15">
      <c r="B49" s="25"/>
      <c r="C49" s="26" t="s">
        <v>19</v>
      </c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7"/>
    </row>
    <row r="50" spans="2:15">
      <c r="B50" s="28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0"/>
    </row>
    <row r="51" spans="2:15">
      <c r="B51" s="31" t="s">
        <v>34</v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41"/>
      <c r="O51" s="33"/>
    </row>
    <row r="52" spans="2:15">
      <c r="B52" s="34"/>
      <c r="C52" s="35" t="s">
        <v>25</v>
      </c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6"/>
    </row>
    <row r="53" spans="2:15">
      <c r="B53" s="34"/>
      <c r="C53" s="35" t="s">
        <v>26</v>
      </c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6"/>
    </row>
    <row r="54" spans="2:15">
      <c r="B54" s="34"/>
      <c r="C54" s="35"/>
      <c r="D54" s="100" t="s">
        <v>157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6"/>
    </row>
    <row r="55" spans="2:15">
      <c r="B55" s="34"/>
      <c r="C55" s="35"/>
      <c r="D55" s="100" t="s">
        <v>154</v>
      </c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6"/>
    </row>
    <row r="56" spans="2:15">
      <c r="B56" s="34"/>
      <c r="C56" s="35"/>
      <c r="D56" s="100" t="s">
        <v>155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6"/>
    </row>
    <row r="57" spans="2:15">
      <c r="B57" s="34"/>
      <c r="C57" s="35"/>
      <c r="D57" s="100" t="s">
        <v>156</v>
      </c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6"/>
    </row>
    <row r="58" spans="2:15">
      <c r="B58" s="37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9"/>
    </row>
  </sheetData>
  <phoneticPr fontId="2"/>
  <pageMargins left="0.7" right="0.7" top="0.75" bottom="0.75" header="0.3" footer="0.3"/>
  <pageSetup paperSize="9" scale="6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G36"/>
  <sheetViews>
    <sheetView showGridLines="0" tabSelected="1" zoomScaleNormal="100" zoomScaleSheetLayoutView="100" workbookViewId="0">
      <pane xSplit="4" ySplit="3" topLeftCell="DL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" defaultRowHeight="12"/>
  <cols>
    <col min="1" max="1" width="5.875" style="46" customWidth="1"/>
    <col min="2" max="2" width="8.5" style="46" bestFit="1" customWidth="1"/>
    <col min="3" max="3" width="34.625" style="46" customWidth="1"/>
    <col min="4" max="4" width="4.75" style="47" customWidth="1"/>
    <col min="5" max="5" width="7.125" style="46" customWidth="1"/>
    <col min="6" max="6" width="13.125" style="46" customWidth="1"/>
    <col min="7" max="9" width="8.25" style="48" customWidth="1"/>
    <col min="10" max="10" width="8.125" style="48" customWidth="1"/>
    <col min="11" max="11" width="11.375" style="46" customWidth="1"/>
    <col min="12" max="12" width="8.375" style="48" customWidth="1"/>
    <col min="13" max="13" width="8.25" style="48" customWidth="1"/>
    <col min="14" max="14" width="7.75" style="48" customWidth="1"/>
    <col min="15" max="16" width="9.25" style="48" customWidth="1"/>
    <col min="17" max="17" width="8" style="48" customWidth="1"/>
    <col min="18" max="16384" width="9" style="46"/>
  </cols>
  <sheetData>
    <row r="1" spans="1:189" ht="18" customHeight="1">
      <c r="A1" s="161"/>
      <c r="B1" s="163"/>
      <c r="C1" s="164"/>
      <c r="D1" s="44"/>
      <c r="E1" s="166" t="s">
        <v>12</v>
      </c>
      <c r="F1" s="168" t="s">
        <v>39</v>
      </c>
      <c r="G1" s="169"/>
      <c r="H1" s="170"/>
      <c r="I1" s="171"/>
      <c r="J1" s="172"/>
      <c r="K1" s="179" t="s">
        <v>40</v>
      </c>
      <c r="L1" s="180"/>
      <c r="M1" s="180"/>
      <c r="N1" s="180"/>
      <c r="O1" s="180"/>
      <c r="P1" s="170"/>
      <c r="Q1" s="157" t="s">
        <v>8</v>
      </c>
      <c r="R1" s="72">
        <v>43528</v>
      </c>
      <c r="S1" s="73">
        <v>43528</v>
      </c>
      <c r="T1" s="73">
        <v>43528</v>
      </c>
      <c r="U1" s="111">
        <v>43528</v>
      </c>
      <c r="V1" s="112">
        <v>43529</v>
      </c>
      <c r="W1" s="73">
        <v>43529</v>
      </c>
      <c r="X1" s="73">
        <v>43529</v>
      </c>
      <c r="Y1" s="111">
        <v>43529</v>
      </c>
      <c r="Z1" s="112">
        <v>43530</v>
      </c>
      <c r="AA1" s="73">
        <v>43530</v>
      </c>
      <c r="AB1" s="73">
        <v>43530</v>
      </c>
      <c r="AC1" s="111">
        <v>43530</v>
      </c>
      <c r="AD1" s="112">
        <v>43531</v>
      </c>
      <c r="AE1" s="73">
        <v>43531</v>
      </c>
      <c r="AF1" s="73">
        <v>43531</v>
      </c>
      <c r="AG1" s="111">
        <v>43531</v>
      </c>
      <c r="AH1" s="112">
        <v>43532</v>
      </c>
      <c r="AI1" s="73">
        <v>43532</v>
      </c>
      <c r="AJ1" s="73">
        <v>43532</v>
      </c>
      <c r="AK1" s="111">
        <v>43532</v>
      </c>
      <c r="AL1" s="112">
        <v>43533</v>
      </c>
      <c r="AM1" s="73">
        <v>43533</v>
      </c>
      <c r="AN1" s="73">
        <v>43533</v>
      </c>
      <c r="AO1" s="111">
        <v>43533</v>
      </c>
      <c r="AP1" s="112">
        <v>43534</v>
      </c>
      <c r="AQ1" s="73">
        <v>43534</v>
      </c>
      <c r="AR1" s="73">
        <v>43534</v>
      </c>
      <c r="AS1" s="111">
        <v>43534</v>
      </c>
      <c r="AT1" s="117">
        <v>43535</v>
      </c>
      <c r="AU1" s="75">
        <v>43535</v>
      </c>
      <c r="AV1" s="75">
        <v>43535</v>
      </c>
      <c r="AW1" s="118">
        <v>43535</v>
      </c>
      <c r="AX1" s="117">
        <v>43536</v>
      </c>
      <c r="AY1" s="75">
        <v>43536</v>
      </c>
      <c r="AZ1" s="75">
        <v>43536</v>
      </c>
      <c r="BA1" s="118">
        <v>43536</v>
      </c>
      <c r="BB1" s="117">
        <v>43537</v>
      </c>
      <c r="BC1" s="75">
        <v>43537</v>
      </c>
      <c r="BD1" s="75">
        <v>43537</v>
      </c>
      <c r="BE1" s="118">
        <v>43537</v>
      </c>
      <c r="BF1" s="117">
        <v>43538</v>
      </c>
      <c r="BG1" s="75">
        <v>43538</v>
      </c>
      <c r="BH1" s="75">
        <v>43538</v>
      </c>
      <c r="BI1" s="118">
        <v>43538</v>
      </c>
      <c r="BJ1" s="117">
        <v>43539</v>
      </c>
      <c r="BK1" s="75">
        <v>43539</v>
      </c>
      <c r="BL1" s="75">
        <v>43539</v>
      </c>
      <c r="BM1" s="118">
        <v>43539</v>
      </c>
      <c r="BN1" s="117">
        <v>43540</v>
      </c>
      <c r="BO1" s="75">
        <v>43540</v>
      </c>
      <c r="BP1" s="75">
        <v>43540</v>
      </c>
      <c r="BQ1" s="118">
        <v>43540</v>
      </c>
      <c r="BR1" s="117">
        <v>43541</v>
      </c>
      <c r="BS1" s="75">
        <v>43541</v>
      </c>
      <c r="BT1" s="75">
        <v>43541</v>
      </c>
      <c r="BU1" s="118">
        <v>43541</v>
      </c>
      <c r="BV1" s="112">
        <v>43542</v>
      </c>
      <c r="BW1" s="73">
        <v>43542</v>
      </c>
      <c r="BX1" s="73">
        <v>43542</v>
      </c>
      <c r="BY1" s="111">
        <v>43542</v>
      </c>
      <c r="BZ1" s="112">
        <v>43543</v>
      </c>
      <c r="CA1" s="73">
        <v>43543</v>
      </c>
      <c r="CB1" s="73">
        <v>43543</v>
      </c>
      <c r="CC1" s="111">
        <v>43543</v>
      </c>
      <c r="CD1" s="112">
        <v>43544</v>
      </c>
      <c r="CE1" s="73">
        <v>43544</v>
      </c>
      <c r="CF1" s="73">
        <v>43544</v>
      </c>
      <c r="CG1" s="111">
        <v>43544</v>
      </c>
      <c r="CH1" s="112">
        <v>43545</v>
      </c>
      <c r="CI1" s="73">
        <v>43545</v>
      </c>
      <c r="CJ1" s="73">
        <v>43545</v>
      </c>
      <c r="CK1" s="111">
        <v>43545</v>
      </c>
      <c r="CL1" s="112">
        <v>43546</v>
      </c>
      <c r="CM1" s="73">
        <v>43546</v>
      </c>
      <c r="CN1" s="73">
        <v>43546</v>
      </c>
      <c r="CO1" s="111">
        <v>43546</v>
      </c>
      <c r="CP1" s="112">
        <v>43547</v>
      </c>
      <c r="CQ1" s="73">
        <v>43547</v>
      </c>
      <c r="CR1" s="73">
        <v>43547</v>
      </c>
      <c r="CS1" s="111">
        <v>43547</v>
      </c>
      <c r="CT1" s="112">
        <v>43548</v>
      </c>
      <c r="CU1" s="73">
        <v>43548</v>
      </c>
      <c r="CV1" s="73">
        <v>43548</v>
      </c>
      <c r="CW1" s="111">
        <v>43548</v>
      </c>
      <c r="CX1" s="117">
        <v>43549</v>
      </c>
      <c r="CY1" s="75">
        <v>43549</v>
      </c>
      <c r="CZ1" s="75">
        <v>43549</v>
      </c>
      <c r="DA1" s="118">
        <v>43549</v>
      </c>
      <c r="DB1" s="117">
        <v>43550</v>
      </c>
      <c r="DC1" s="75">
        <v>43550</v>
      </c>
      <c r="DD1" s="75">
        <v>43550</v>
      </c>
      <c r="DE1" s="118">
        <v>43550</v>
      </c>
      <c r="DF1" s="117">
        <v>43551</v>
      </c>
      <c r="DG1" s="75">
        <v>43551</v>
      </c>
      <c r="DH1" s="75">
        <v>43551</v>
      </c>
      <c r="DI1" s="118">
        <v>43551</v>
      </c>
      <c r="DJ1" s="117">
        <v>43552</v>
      </c>
      <c r="DK1" s="75">
        <v>43552</v>
      </c>
      <c r="DL1" s="75">
        <v>43552</v>
      </c>
      <c r="DM1" s="118">
        <v>43552</v>
      </c>
      <c r="DN1" s="117">
        <v>43553</v>
      </c>
      <c r="DO1" s="75">
        <v>43553</v>
      </c>
      <c r="DP1" s="75">
        <v>43553</v>
      </c>
      <c r="DQ1" s="118">
        <v>43553</v>
      </c>
      <c r="DR1" s="117">
        <v>43554</v>
      </c>
      <c r="DS1" s="75">
        <v>43554</v>
      </c>
      <c r="DT1" s="75">
        <v>43554</v>
      </c>
      <c r="DU1" s="118">
        <v>43554</v>
      </c>
      <c r="DV1" s="117">
        <v>43555</v>
      </c>
      <c r="DW1" s="75">
        <v>43555</v>
      </c>
      <c r="DX1" s="75">
        <v>43555</v>
      </c>
      <c r="DY1" s="118">
        <v>43555</v>
      </c>
      <c r="DZ1" s="112">
        <v>43556</v>
      </c>
      <c r="EA1" s="73">
        <v>43556</v>
      </c>
      <c r="EB1" s="73">
        <v>43556</v>
      </c>
      <c r="EC1" s="111">
        <v>43556</v>
      </c>
      <c r="ED1" s="112">
        <v>43557</v>
      </c>
      <c r="EE1" s="73">
        <v>43557</v>
      </c>
      <c r="EF1" s="73">
        <v>43557</v>
      </c>
      <c r="EG1" s="111">
        <v>43557</v>
      </c>
      <c r="EH1" s="112">
        <v>43558</v>
      </c>
      <c r="EI1" s="73">
        <v>43558</v>
      </c>
      <c r="EJ1" s="73">
        <v>43558</v>
      </c>
      <c r="EK1" s="111">
        <v>43558</v>
      </c>
      <c r="EL1" s="112">
        <v>43559</v>
      </c>
      <c r="EM1" s="73">
        <v>43559</v>
      </c>
      <c r="EN1" s="73">
        <v>43559</v>
      </c>
      <c r="EO1" s="111">
        <v>43559</v>
      </c>
      <c r="EP1" s="112">
        <v>43560</v>
      </c>
      <c r="EQ1" s="73">
        <v>43560</v>
      </c>
      <c r="ER1" s="73">
        <v>43560</v>
      </c>
      <c r="ES1" s="111">
        <v>43560</v>
      </c>
      <c r="ET1" s="112">
        <v>43561</v>
      </c>
      <c r="EU1" s="73">
        <v>43561</v>
      </c>
      <c r="EV1" s="73">
        <v>43561</v>
      </c>
      <c r="EW1" s="111">
        <v>43561</v>
      </c>
      <c r="EX1" s="112">
        <v>43562</v>
      </c>
      <c r="EY1" s="73">
        <v>43562</v>
      </c>
      <c r="EZ1" s="73">
        <v>43562</v>
      </c>
      <c r="FA1" s="111">
        <v>43562</v>
      </c>
      <c r="FB1" s="117">
        <v>43563</v>
      </c>
      <c r="FC1" s="75">
        <v>43563</v>
      </c>
      <c r="FD1" s="75">
        <v>43563</v>
      </c>
      <c r="FE1" s="118">
        <v>43563</v>
      </c>
      <c r="FF1" s="117">
        <v>43564</v>
      </c>
      <c r="FG1" s="75">
        <v>43564</v>
      </c>
      <c r="FH1" s="75">
        <v>43564</v>
      </c>
      <c r="FI1" s="118">
        <v>43564</v>
      </c>
      <c r="FJ1" s="117">
        <v>43565</v>
      </c>
      <c r="FK1" s="75">
        <v>43565</v>
      </c>
      <c r="FL1" s="75">
        <v>43565</v>
      </c>
      <c r="FM1" s="118">
        <v>43565</v>
      </c>
      <c r="FN1" s="117">
        <v>43566</v>
      </c>
      <c r="FO1" s="75">
        <v>43566</v>
      </c>
      <c r="FP1" s="75">
        <v>43566</v>
      </c>
      <c r="FQ1" s="118">
        <v>43566</v>
      </c>
      <c r="FR1" s="117">
        <v>43567</v>
      </c>
      <c r="FS1" s="75">
        <v>43567</v>
      </c>
      <c r="FT1" s="75">
        <v>43567</v>
      </c>
      <c r="FU1" s="118">
        <v>43567</v>
      </c>
      <c r="FV1" s="117">
        <v>43568</v>
      </c>
      <c r="FW1" s="75">
        <v>43568</v>
      </c>
      <c r="FX1" s="75">
        <v>43568</v>
      </c>
      <c r="FY1" s="118">
        <v>43568</v>
      </c>
      <c r="FZ1" s="117">
        <v>43569</v>
      </c>
      <c r="GA1" s="75">
        <v>43569</v>
      </c>
      <c r="GB1" s="75">
        <v>43569</v>
      </c>
      <c r="GC1" s="118">
        <v>43569</v>
      </c>
      <c r="GD1" s="125" t="s">
        <v>99</v>
      </c>
      <c r="GE1" s="80" t="s">
        <v>99</v>
      </c>
      <c r="GF1" s="80" t="s">
        <v>99</v>
      </c>
      <c r="GG1" s="126" t="s">
        <v>99</v>
      </c>
    </row>
    <row r="2" spans="1:189" ht="15" customHeight="1">
      <c r="A2" s="162"/>
      <c r="B2" s="165"/>
      <c r="C2" s="165"/>
      <c r="D2" s="45"/>
      <c r="E2" s="167"/>
      <c r="F2" s="43"/>
      <c r="G2" s="173" t="s">
        <v>1</v>
      </c>
      <c r="H2" s="174"/>
      <c r="I2" s="173" t="s">
        <v>4</v>
      </c>
      <c r="J2" s="173"/>
      <c r="K2" s="175" t="s">
        <v>0</v>
      </c>
      <c r="L2" s="176" t="s">
        <v>4</v>
      </c>
      <c r="M2" s="177"/>
      <c r="N2" s="178" t="s">
        <v>7</v>
      </c>
      <c r="O2" s="160" t="s">
        <v>6</v>
      </c>
      <c r="P2" s="160"/>
      <c r="Q2" s="158"/>
      <c r="R2" s="74" t="s">
        <v>95</v>
      </c>
      <c r="S2" s="74" t="s">
        <v>95</v>
      </c>
      <c r="T2" s="74" t="s">
        <v>98</v>
      </c>
      <c r="U2" s="113" t="s">
        <v>98</v>
      </c>
      <c r="V2" s="114" t="s">
        <v>95</v>
      </c>
      <c r="W2" s="74" t="s">
        <v>95</v>
      </c>
      <c r="X2" s="74" t="s">
        <v>98</v>
      </c>
      <c r="Y2" s="113" t="s">
        <v>98</v>
      </c>
      <c r="Z2" s="114" t="s">
        <v>95</v>
      </c>
      <c r="AA2" s="74" t="s">
        <v>95</v>
      </c>
      <c r="AB2" s="74" t="s">
        <v>98</v>
      </c>
      <c r="AC2" s="113" t="s">
        <v>98</v>
      </c>
      <c r="AD2" s="114" t="s">
        <v>95</v>
      </c>
      <c r="AE2" s="74" t="s">
        <v>95</v>
      </c>
      <c r="AF2" s="74" t="s">
        <v>98</v>
      </c>
      <c r="AG2" s="113" t="s">
        <v>98</v>
      </c>
      <c r="AH2" s="114" t="s">
        <v>95</v>
      </c>
      <c r="AI2" s="74" t="s">
        <v>95</v>
      </c>
      <c r="AJ2" s="74" t="s">
        <v>98</v>
      </c>
      <c r="AK2" s="113" t="s">
        <v>98</v>
      </c>
      <c r="AL2" s="114" t="s">
        <v>95</v>
      </c>
      <c r="AM2" s="74" t="s">
        <v>95</v>
      </c>
      <c r="AN2" s="74" t="s">
        <v>98</v>
      </c>
      <c r="AO2" s="113" t="s">
        <v>98</v>
      </c>
      <c r="AP2" s="114" t="s">
        <v>95</v>
      </c>
      <c r="AQ2" s="74" t="s">
        <v>95</v>
      </c>
      <c r="AR2" s="74" t="s">
        <v>98</v>
      </c>
      <c r="AS2" s="113" t="s">
        <v>98</v>
      </c>
      <c r="AT2" s="119" t="s">
        <v>95</v>
      </c>
      <c r="AU2" s="102" t="s">
        <v>95</v>
      </c>
      <c r="AV2" s="102" t="s">
        <v>98</v>
      </c>
      <c r="AW2" s="120" t="s">
        <v>98</v>
      </c>
      <c r="AX2" s="119" t="s">
        <v>95</v>
      </c>
      <c r="AY2" s="102" t="s">
        <v>95</v>
      </c>
      <c r="AZ2" s="102" t="s">
        <v>98</v>
      </c>
      <c r="BA2" s="120" t="s">
        <v>98</v>
      </c>
      <c r="BB2" s="119" t="s">
        <v>95</v>
      </c>
      <c r="BC2" s="102" t="s">
        <v>95</v>
      </c>
      <c r="BD2" s="102" t="s">
        <v>98</v>
      </c>
      <c r="BE2" s="120" t="s">
        <v>98</v>
      </c>
      <c r="BF2" s="119" t="s">
        <v>95</v>
      </c>
      <c r="BG2" s="102" t="s">
        <v>95</v>
      </c>
      <c r="BH2" s="102" t="s">
        <v>98</v>
      </c>
      <c r="BI2" s="120" t="s">
        <v>98</v>
      </c>
      <c r="BJ2" s="119" t="s">
        <v>95</v>
      </c>
      <c r="BK2" s="102" t="s">
        <v>95</v>
      </c>
      <c r="BL2" s="102" t="s">
        <v>98</v>
      </c>
      <c r="BM2" s="120" t="s">
        <v>98</v>
      </c>
      <c r="BN2" s="119" t="s">
        <v>95</v>
      </c>
      <c r="BO2" s="102" t="s">
        <v>95</v>
      </c>
      <c r="BP2" s="102" t="s">
        <v>98</v>
      </c>
      <c r="BQ2" s="120" t="s">
        <v>98</v>
      </c>
      <c r="BR2" s="119" t="s">
        <v>95</v>
      </c>
      <c r="BS2" s="102" t="s">
        <v>95</v>
      </c>
      <c r="BT2" s="102" t="s">
        <v>98</v>
      </c>
      <c r="BU2" s="120" t="s">
        <v>98</v>
      </c>
      <c r="BV2" s="114" t="s">
        <v>95</v>
      </c>
      <c r="BW2" s="74" t="s">
        <v>95</v>
      </c>
      <c r="BX2" s="74" t="s">
        <v>98</v>
      </c>
      <c r="BY2" s="113" t="s">
        <v>98</v>
      </c>
      <c r="BZ2" s="114" t="s">
        <v>95</v>
      </c>
      <c r="CA2" s="74" t="s">
        <v>95</v>
      </c>
      <c r="CB2" s="74" t="s">
        <v>98</v>
      </c>
      <c r="CC2" s="113" t="s">
        <v>98</v>
      </c>
      <c r="CD2" s="114" t="s">
        <v>95</v>
      </c>
      <c r="CE2" s="74" t="s">
        <v>95</v>
      </c>
      <c r="CF2" s="74" t="s">
        <v>98</v>
      </c>
      <c r="CG2" s="113" t="s">
        <v>98</v>
      </c>
      <c r="CH2" s="114" t="s">
        <v>95</v>
      </c>
      <c r="CI2" s="74" t="s">
        <v>95</v>
      </c>
      <c r="CJ2" s="74" t="s">
        <v>98</v>
      </c>
      <c r="CK2" s="113" t="s">
        <v>98</v>
      </c>
      <c r="CL2" s="114" t="s">
        <v>95</v>
      </c>
      <c r="CM2" s="74" t="s">
        <v>95</v>
      </c>
      <c r="CN2" s="74" t="s">
        <v>98</v>
      </c>
      <c r="CO2" s="113" t="s">
        <v>98</v>
      </c>
      <c r="CP2" s="114" t="s">
        <v>95</v>
      </c>
      <c r="CQ2" s="74" t="s">
        <v>95</v>
      </c>
      <c r="CR2" s="74" t="s">
        <v>98</v>
      </c>
      <c r="CS2" s="113" t="s">
        <v>98</v>
      </c>
      <c r="CT2" s="114" t="s">
        <v>95</v>
      </c>
      <c r="CU2" s="74" t="s">
        <v>95</v>
      </c>
      <c r="CV2" s="74" t="s">
        <v>98</v>
      </c>
      <c r="CW2" s="113" t="s">
        <v>98</v>
      </c>
      <c r="CX2" s="119" t="s">
        <v>95</v>
      </c>
      <c r="CY2" s="102" t="s">
        <v>95</v>
      </c>
      <c r="CZ2" s="102" t="s">
        <v>98</v>
      </c>
      <c r="DA2" s="120" t="s">
        <v>98</v>
      </c>
      <c r="DB2" s="119" t="s">
        <v>95</v>
      </c>
      <c r="DC2" s="102" t="s">
        <v>95</v>
      </c>
      <c r="DD2" s="102" t="s">
        <v>98</v>
      </c>
      <c r="DE2" s="120" t="s">
        <v>98</v>
      </c>
      <c r="DF2" s="119" t="s">
        <v>95</v>
      </c>
      <c r="DG2" s="102" t="s">
        <v>95</v>
      </c>
      <c r="DH2" s="102" t="s">
        <v>98</v>
      </c>
      <c r="DI2" s="120" t="s">
        <v>98</v>
      </c>
      <c r="DJ2" s="119" t="s">
        <v>95</v>
      </c>
      <c r="DK2" s="102" t="s">
        <v>95</v>
      </c>
      <c r="DL2" s="102" t="s">
        <v>98</v>
      </c>
      <c r="DM2" s="120" t="s">
        <v>98</v>
      </c>
      <c r="DN2" s="119" t="s">
        <v>95</v>
      </c>
      <c r="DO2" s="102" t="s">
        <v>95</v>
      </c>
      <c r="DP2" s="102" t="s">
        <v>98</v>
      </c>
      <c r="DQ2" s="120" t="s">
        <v>98</v>
      </c>
      <c r="DR2" s="119" t="s">
        <v>95</v>
      </c>
      <c r="DS2" s="102" t="s">
        <v>95</v>
      </c>
      <c r="DT2" s="102" t="s">
        <v>98</v>
      </c>
      <c r="DU2" s="120" t="s">
        <v>98</v>
      </c>
      <c r="DV2" s="119" t="s">
        <v>95</v>
      </c>
      <c r="DW2" s="102" t="s">
        <v>95</v>
      </c>
      <c r="DX2" s="102" t="s">
        <v>98</v>
      </c>
      <c r="DY2" s="120" t="s">
        <v>98</v>
      </c>
      <c r="DZ2" s="114" t="s">
        <v>95</v>
      </c>
      <c r="EA2" s="74" t="s">
        <v>95</v>
      </c>
      <c r="EB2" s="74" t="s">
        <v>98</v>
      </c>
      <c r="EC2" s="113" t="s">
        <v>98</v>
      </c>
      <c r="ED2" s="114" t="s">
        <v>95</v>
      </c>
      <c r="EE2" s="74" t="s">
        <v>95</v>
      </c>
      <c r="EF2" s="74" t="s">
        <v>98</v>
      </c>
      <c r="EG2" s="113" t="s">
        <v>98</v>
      </c>
      <c r="EH2" s="114" t="s">
        <v>95</v>
      </c>
      <c r="EI2" s="74" t="s">
        <v>95</v>
      </c>
      <c r="EJ2" s="74" t="s">
        <v>98</v>
      </c>
      <c r="EK2" s="113" t="s">
        <v>98</v>
      </c>
      <c r="EL2" s="114" t="s">
        <v>95</v>
      </c>
      <c r="EM2" s="74" t="s">
        <v>95</v>
      </c>
      <c r="EN2" s="74" t="s">
        <v>98</v>
      </c>
      <c r="EO2" s="113" t="s">
        <v>98</v>
      </c>
      <c r="EP2" s="114" t="s">
        <v>95</v>
      </c>
      <c r="EQ2" s="74" t="s">
        <v>95</v>
      </c>
      <c r="ER2" s="74" t="s">
        <v>98</v>
      </c>
      <c r="ES2" s="113" t="s">
        <v>98</v>
      </c>
      <c r="ET2" s="114" t="s">
        <v>95</v>
      </c>
      <c r="EU2" s="74" t="s">
        <v>95</v>
      </c>
      <c r="EV2" s="74" t="s">
        <v>98</v>
      </c>
      <c r="EW2" s="113" t="s">
        <v>98</v>
      </c>
      <c r="EX2" s="114" t="s">
        <v>95</v>
      </c>
      <c r="EY2" s="74" t="s">
        <v>95</v>
      </c>
      <c r="EZ2" s="74" t="s">
        <v>98</v>
      </c>
      <c r="FA2" s="113" t="s">
        <v>98</v>
      </c>
      <c r="FB2" s="119" t="s">
        <v>95</v>
      </c>
      <c r="FC2" s="102" t="s">
        <v>95</v>
      </c>
      <c r="FD2" s="102" t="s">
        <v>98</v>
      </c>
      <c r="FE2" s="120" t="s">
        <v>98</v>
      </c>
      <c r="FF2" s="119" t="s">
        <v>95</v>
      </c>
      <c r="FG2" s="102" t="s">
        <v>95</v>
      </c>
      <c r="FH2" s="102" t="s">
        <v>98</v>
      </c>
      <c r="FI2" s="120" t="s">
        <v>98</v>
      </c>
      <c r="FJ2" s="119" t="s">
        <v>95</v>
      </c>
      <c r="FK2" s="102" t="s">
        <v>95</v>
      </c>
      <c r="FL2" s="102" t="s">
        <v>98</v>
      </c>
      <c r="FM2" s="120" t="s">
        <v>98</v>
      </c>
      <c r="FN2" s="119" t="s">
        <v>95</v>
      </c>
      <c r="FO2" s="102" t="s">
        <v>95</v>
      </c>
      <c r="FP2" s="102" t="s">
        <v>98</v>
      </c>
      <c r="FQ2" s="120" t="s">
        <v>98</v>
      </c>
      <c r="FR2" s="119" t="s">
        <v>95</v>
      </c>
      <c r="FS2" s="102" t="s">
        <v>95</v>
      </c>
      <c r="FT2" s="102" t="s">
        <v>98</v>
      </c>
      <c r="FU2" s="120" t="s">
        <v>98</v>
      </c>
      <c r="FV2" s="119" t="s">
        <v>95</v>
      </c>
      <c r="FW2" s="102" t="s">
        <v>95</v>
      </c>
      <c r="FX2" s="102" t="s">
        <v>98</v>
      </c>
      <c r="FY2" s="120" t="s">
        <v>98</v>
      </c>
      <c r="FZ2" s="119" t="s">
        <v>95</v>
      </c>
      <c r="GA2" s="102" t="s">
        <v>95</v>
      </c>
      <c r="GB2" s="102" t="s">
        <v>98</v>
      </c>
      <c r="GC2" s="120" t="s">
        <v>98</v>
      </c>
      <c r="GD2" s="127" t="s">
        <v>95</v>
      </c>
      <c r="GE2" s="81" t="s">
        <v>95</v>
      </c>
      <c r="GF2" s="81" t="s">
        <v>98</v>
      </c>
      <c r="GG2" s="128" t="s">
        <v>98</v>
      </c>
    </row>
    <row r="3" spans="1:189" ht="79.5" customHeight="1">
      <c r="A3" s="51"/>
      <c r="B3" s="52" t="s">
        <v>11</v>
      </c>
      <c r="C3" s="52" t="s">
        <v>38</v>
      </c>
      <c r="D3" s="45"/>
      <c r="E3" s="167"/>
      <c r="F3" s="42" t="s">
        <v>5</v>
      </c>
      <c r="G3" s="53" t="s">
        <v>2</v>
      </c>
      <c r="H3" s="54" t="s">
        <v>3</v>
      </c>
      <c r="I3" s="53" t="s">
        <v>2</v>
      </c>
      <c r="J3" s="53" t="s">
        <v>3</v>
      </c>
      <c r="K3" s="175"/>
      <c r="L3" s="54" t="s">
        <v>2</v>
      </c>
      <c r="M3" s="53" t="s">
        <v>3</v>
      </c>
      <c r="N3" s="178"/>
      <c r="O3" s="55" t="s">
        <v>9</v>
      </c>
      <c r="P3" s="55" t="s">
        <v>10</v>
      </c>
      <c r="Q3" s="159"/>
      <c r="R3" s="74" t="s">
        <v>96</v>
      </c>
      <c r="S3" s="74" t="s">
        <v>97</v>
      </c>
      <c r="T3" s="74" t="s">
        <v>96</v>
      </c>
      <c r="U3" s="113" t="s">
        <v>97</v>
      </c>
      <c r="V3" s="114" t="s">
        <v>96</v>
      </c>
      <c r="W3" s="74" t="s">
        <v>97</v>
      </c>
      <c r="X3" s="74" t="s">
        <v>96</v>
      </c>
      <c r="Y3" s="113" t="s">
        <v>97</v>
      </c>
      <c r="Z3" s="114" t="s">
        <v>96</v>
      </c>
      <c r="AA3" s="74" t="s">
        <v>97</v>
      </c>
      <c r="AB3" s="74" t="s">
        <v>96</v>
      </c>
      <c r="AC3" s="113" t="s">
        <v>97</v>
      </c>
      <c r="AD3" s="114" t="s">
        <v>96</v>
      </c>
      <c r="AE3" s="74" t="s">
        <v>97</v>
      </c>
      <c r="AF3" s="74" t="s">
        <v>96</v>
      </c>
      <c r="AG3" s="113" t="s">
        <v>97</v>
      </c>
      <c r="AH3" s="114" t="s">
        <v>96</v>
      </c>
      <c r="AI3" s="74" t="s">
        <v>97</v>
      </c>
      <c r="AJ3" s="74" t="s">
        <v>96</v>
      </c>
      <c r="AK3" s="113" t="s">
        <v>97</v>
      </c>
      <c r="AL3" s="114" t="s">
        <v>96</v>
      </c>
      <c r="AM3" s="74" t="s">
        <v>97</v>
      </c>
      <c r="AN3" s="74" t="s">
        <v>96</v>
      </c>
      <c r="AO3" s="113" t="s">
        <v>97</v>
      </c>
      <c r="AP3" s="114" t="s">
        <v>96</v>
      </c>
      <c r="AQ3" s="74" t="s">
        <v>97</v>
      </c>
      <c r="AR3" s="74" t="s">
        <v>96</v>
      </c>
      <c r="AS3" s="113" t="s">
        <v>97</v>
      </c>
      <c r="AT3" s="119" t="s">
        <v>96</v>
      </c>
      <c r="AU3" s="102" t="s">
        <v>97</v>
      </c>
      <c r="AV3" s="102" t="s">
        <v>96</v>
      </c>
      <c r="AW3" s="120" t="s">
        <v>97</v>
      </c>
      <c r="AX3" s="119" t="s">
        <v>96</v>
      </c>
      <c r="AY3" s="102" t="s">
        <v>97</v>
      </c>
      <c r="AZ3" s="102" t="s">
        <v>96</v>
      </c>
      <c r="BA3" s="120" t="s">
        <v>97</v>
      </c>
      <c r="BB3" s="119" t="s">
        <v>96</v>
      </c>
      <c r="BC3" s="102" t="s">
        <v>97</v>
      </c>
      <c r="BD3" s="102" t="s">
        <v>96</v>
      </c>
      <c r="BE3" s="120" t="s">
        <v>97</v>
      </c>
      <c r="BF3" s="119" t="s">
        <v>96</v>
      </c>
      <c r="BG3" s="102" t="s">
        <v>97</v>
      </c>
      <c r="BH3" s="102" t="s">
        <v>96</v>
      </c>
      <c r="BI3" s="120" t="s">
        <v>97</v>
      </c>
      <c r="BJ3" s="119" t="s">
        <v>96</v>
      </c>
      <c r="BK3" s="102" t="s">
        <v>97</v>
      </c>
      <c r="BL3" s="102" t="s">
        <v>96</v>
      </c>
      <c r="BM3" s="120" t="s">
        <v>97</v>
      </c>
      <c r="BN3" s="119" t="s">
        <v>96</v>
      </c>
      <c r="BO3" s="102" t="s">
        <v>97</v>
      </c>
      <c r="BP3" s="102" t="s">
        <v>96</v>
      </c>
      <c r="BQ3" s="120" t="s">
        <v>97</v>
      </c>
      <c r="BR3" s="119" t="s">
        <v>96</v>
      </c>
      <c r="BS3" s="102" t="s">
        <v>97</v>
      </c>
      <c r="BT3" s="102" t="s">
        <v>96</v>
      </c>
      <c r="BU3" s="120" t="s">
        <v>97</v>
      </c>
      <c r="BV3" s="114" t="s">
        <v>96</v>
      </c>
      <c r="BW3" s="74" t="s">
        <v>97</v>
      </c>
      <c r="BX3" s="74" t="s">
        <v>96</v>
      </c>
      <c r="BY3" s="113" t="s">
        <v>97</v>
      </c>
      <c r="BZ3" s="114" t="s">
        <v>96</v>
      </c>
      <c r="CA3" s="74" t="s">
        <v>97</v>
      </c>
      <c r="CB3" s="74" t="s">
        <v>96</v>
      </c>
      <c r="CC3" s="113" t="s">
        <v>97</v>
      </c>
      <c r="CD3" s="114" t="s">
        <v>96</v>
      </c>
      <c r="CE3" s="74" t="s">
        <v>97</v>
      </c>
      <c r="CF3" s="74" t="s">
        <v>96</v>
      </c>
      <c r="CG3" s="113" t="s">
        <v>97</v>
      </c>
      <c r="CH3" s="114" t="s">
        <v>96</v>
      </c>
      <c r="CI3" s="74" t="s">
        <v>97</v>
      </c>
      <c r="CJ3" s="74" t="s">
        <v>96</v>
      </c>
      <c r="CK3" s="113" t="s">
        <v>97</v>
      </c>
      <c r="CL3" s="114" t="s">
        <v>96</v>
      </c>
      <c r="CM3" s="74" t="s">
        <v>97</v>
      </c>
      <c r="CN3" s="74" t="s">
        <v>96</v>
      </c>
      <c r="CO3" s="113" t="s">
        <v>97</v>
      </c>
      <c r="CP3" s="114" t="s">
        <v>96</v>
      </c>
      <c r="CQ3" s="74" t="s">
        <v>97</v>
      </c>
      <c r="CR3" s="74" t="s">
        <v>96</v>
      </c>
      <c r="CS3" s="113" t="s">
        <v>97</v>
      </c>
      <c r="CT3" s="114" t="s">
        <v>96</v>
      </c>
      <c r="CU3" s="74" t="s">
        <v>97</v>
      </c>
      <c r="CV3" s="74" t="s">
        <v>96</v>
      </c>
      <c r="CW3" s="113" t="s">
        <v>97</v>
      </c>
      <c r="CX3" s="119" t="s">
        <v>96</v>
      </c>
      <c r="CY3" s="102" t="s">
        <v>97</v>
      </c>
      <c r="CZ3" s="102" t="s">
        <v>96</v>
      </c>
      <c r="DA3" s="120" t="s">
        <v>97</v>
      </c>
      <c r="DB3" s="119" t="s">
        <v>96</v>
      </c>
      <c r="DC3" s="102" t="s">
        <v>97</v>
      </c>
      <c r="DD3" s="102" t="s">
        <v>96</v>
      </c>
      <c r="DE3" s="120" t="s">
        <v>97</v>
      </c>
      <c r="DF3" s="119" t="s">
        <v>96</v>
      </c>
      <c r="DG3" s="102" t="s">
        <v>97</v>
      </c>
      <c r="DH3" s="102" t="s">
        <v>96</v>
      </c>
      <c r="DI3" s="120" t="s">
        <v>97</v>
      </c>
      <c r="DJ3" s="119" t="s">
        <v>96</v>
      </c>
      <c r="DK3" s="102" t="s">
        <v>97</v>
      </c>
      <c r="DL3" s="102" t="s">
        <v>96</v>
      </c>
      <c r="DM3" s="120" t="s">
        <v>97</v>
      </c>
      <c r="DN3" s="119" t="s">
        <v>96</v>
      </c>
      <c r="DO3" s="102" t="s">
        <v>97</v>
      </c>
      <c r="DP3" s="102" t="s">
        <v>96</v>
      </c>
      <c r="DQ3" s="120" t="s">
        <v>97</v>
      </c>
      <c r="DR3" s="119" t="s">
        <v>96</v>
      </c>
      <c r="DS3" s="102" t="s">
        <v>97</v>
      </c>
      <c r="DT3" s="102" t="s">
        <v>96</v>
      </c>
      <c r="DU3" s="120" t="s">
        <v>97</v>
      </c>
      <c r="DV3" s="119" t="s">
        <v>96</v>
      </c>
      <c r="DW3" s="102" t="s">
        <v>97</v>
      </c>
      <c r="DX3" s="102" t="s">
        <v>96</v>
      </c>
      <c r="DY3" s="120" t="s">
        <v>97</v>
      </c>
      <c r="DZ3" s="114" t="s">
        <v>96</v>
      </c>
      <c r="EA3" s="74" t="s">
        <v>97</v>
      </c>
      <c r="EB3" s="74" t="s">
        <v>96</v>
      </c>
      <c r="EC3" s="113" t="s">
        <v>97</v>
      </c>
      <c r="ED3" s="114" t="s">
        <v>96</v>
      </c>
      <c r="EE3" s="74" t="s">
        <v>97</v>
      </c>
      <c r="EF3" s="74" t="s">
        <v>96</v>
      </c>
      <c r="EG3" s="113" t="s">
        <v>97</v>
      </c>
      <c r="EH3" s="114" t="s">
        <v>96</v>
      </c>
      <c r="EI3" s="74" t="s">
        <v>97</v>
      </c>
      <c r="EJ3" s="74" t="s">
        <v>96</v>
      </c>
      <c r="EK3" s="113" t="s">
        <v>97</v>
      </c>
      <c r="EL3" s="114" t="s">
        <v>96</v>
      </c>
      <c r="EM3" s="74" t="s">
        <v>97</v>
      </c>
      <c r="EN3" s="74" t="s">
        <v>96</v>
      </c>
      <c r="EO3" s="113" t="s">
        <v>97</v>
      </c>
      <c r="EP3" s="114" t="s">
        <v>96</v>
      </c>
      <c r="EQ3" s="74" t="s">
        <v>97</v>
      </c>
      <c r="ER3" s="74" t="s">
        <v>96</v>
      </c>
      <c r="ES3" s="113" t="s">
        <v>97</v>
      </c>
      <c r="ET3" s="114" t="s">
        <v>96</v>
      </c>
      <c r="EU3" s="74" t="s">
        <v>97</v>
      </c>
      <c r="EV3" s="74" t="s">
        <v>96</v>
      </c>
      <c r="EW3" s="113" t="s">
        <v>97</v>
      </c>
      <c r="EX3" s="114" t="s">
        <v>96</v>
      </c>
      <c r="EY3" s="74" t="s">
        <v>97</v>
      </c>
      <c r="EZ3" s="74" t="s">
        <v>96</v>
      </c>
      <c r="FA3" s="113" t="s">
        <v>97</v>
      </c>
      <c r="FB3" s="119" t="s">
        <v>96</v>
      </c>
      <c r="FC3" s="102" t="s">
        <v>97</v>
      </c>
      <c r="FD3" s="102" t="s">
        <v>96</v>
      </c>
      <c r="FE3" s="120" t="s">
        <v>97</v>
      </c>
      <c r="FF3" s="119" t="s">
        <v>96</v>
      </c>
      <c r="FG3" s="102" t="s">
        <v>97</v>
      </c>
      <c r="FH3" s="102" t="s">
        <v>96</v>
      </c>
      <c r="FI3" s="120" t="s">
        <v>97</v>
      </c>
      <c r="FJ3" s="119" t="s">
        <v>96</v>
      </c>
      <c r="FK3" s="102" t="s">
        <v>97</v>
      </c>
      <c r="FL3" s="102" t="s">
        <v>96</v>
      </c>
      <c r="FM3" s="120" t="s">
        <v>97</v>
      </c>
      <c r="FN3" s="119" t="s">
        <v>96</v>
      </c>
      <c r="FO3" s="102" t="s">
        <v>97</v>
      </c>
      <c r="FP3" s="102" t="s">
        <v>96</v>
      </c>
      <c r="FQ3" s="120" t="s">
        <v>97</v>
      </c>
      <c r="FR3" s="119" t="s">
        <v>96</v>
      </c>
      <c r="FS3" s="102" t="s">
        <v>97</v>
      </c>
      <c r="FT3" s="102" t="s">
        <v>96</v>
      </c>
      <c r="FU3" s="120" t="s">
        <v>97</v>
      </c>
      <c r="FV3" s="119" t="s">
        <v>96</v>
      </c>
      <c r="FW3" s="102" t="s">
        <v>97</v>
      </c>
      <c r="FX3" s="102" t="s">
        <v>96</v>
      </c>
      <c r="FY3" s="120" t="s">
        <v>97</v>
      </c>
      <c r="FZ3" s="119" t="s">
        <v>96</v>
      </c>
      <c r="GA3" s="102" t="s">
        <v>97</v>
      </c>
      <c r="GB3" s="102" t="s">
        <v>96</v>
      </c>
      <c r="GC3" s="120" t="s">
        <v>97</v>
      </c>
      <c r="GD3" s="127" t="s">
        <v>96</v>
      </c>
      <c r="GE3" s="81" t="s">
        <v>97</v>
      </c>
      <c r="GF3" s="81" t="s">
        <v>96</v>
      </c>
      <c r="GG3" s="128" t="s">
        <v>97</v>
      </c>
    </row>
    <row r="4" spans="1:189">
      <c r="A4" s="56"/>
      <c r="B4" s="59">
        <v>1101</v>
      </c>
      <c r="C4" s="60" t="s">
        <v>65</v>
      </c>
      <c r="D4" s="57"/>
      <c r="E4" s="61">
        <v>31</v>
      </c>
      <c r="F4" s="61" t="s">
        <v>139</v>
      </c>
      <c r="G4" s="62">
        <v>43551</v>
      </c>
      <c r="H4" s="58">
        <v>43552</v>
      </c>
      <c r="I4" s="62">
        <v>43556</v>
      </c>
      <c r="J4" s="58"/>
      <c r="K4" s="61" t="s">
        <v>137</v>
      </c>
      <c r="L4" s="62">
        <v>43557</v>
      </c>
      <c r="M4" s="58"/>
      <c r="N4" s="63"/>
      <c r="O4" s="64"/>
      <c r="P4" s="64"/>
      <c r="Q4" s="63" t="s">
        <v>129</v>
      </c>
      <c r="R4" s="66"/>
      <c r="S4" s="68"/>
      <c r="T4" s="70"/>
      <c r="U4" s="109"/>
      <c r="V4" s="115"/>
      <c r="W4" s="68"/>
      <c r="X4" s="70"/>
      <c r="Y4" s="109"/>
      <c r="Z4" s="115"/>
      <c r="AA4" s="68"/>
      <c r="AB4" s="70"/>
      <c r="AC4" s="109"/>
      <c r="AD4" s="115"/>
      <c r="AE4" s="68"/>
      <c r="AF4" s="70"/>
      <c r="AG4" s="109"/>
      <c r="AH4" s="115"/>
      <c r="AI4" s="68"/>
      <c r="AJ4" s="70"/>
      <c r="AK4" s="109"/>
      <c r="AL4" s="115"/>
      <c r="AM4" s="68"/>
      <c r="AN4" s="70"/>
      <c r="AO4" s="109"/>
      <c r="AP4" s="115"/>
      <c r="AQ4" s="68"/>
      <c r="AR4" s="70"/>
      <c r="AS4" s="109"/>
      <c r="AT4" s="115"/>
      <c r="AU4" s="68"/>
      <c r="AV4" s="70"/>
      <c r="AW4" s="109"/>
      <c r="AX4" s="115"/>
      <c r="AY4" s="68"/>
      <c r="AZ4" s="70"/>
      <c r="BA4" s="109"/>
      <c r="BB4" s="115"/>
      <c r="BC4" s="68"/>
      <c r="BD4" s="70"/>
      <c r="BE4" s="109"/>
      <c r="BF4" s="115"/>
      <c r="BG4" s="68"/>
      <c r="BH4" s="70"/>
      <c r="BI4" s="109"/>
      <c r="BJ4" s="115"/>
      <c r="BK4" s="68"/>
      <c r="BL4" s="70"/>
      <c r="BM4" s="109"/>
      <c r="BN4" s="115"/>
      <c r="BO4" s="68"/>
      <c r="BP4" s="70"/>
      <c r="BQ4" s="109"/>
      <c r="BR4" s="115"/>
      <c r="BS4" s="68"/>
      <c r="BT4" s="70"/>
      <c r="BU4" s="109"/>
      <c r="BV4" s="115"/>
      <c r="BW4" s="68"/>
      <c r="BX4" s="70"/>
      <c r="BY4" s="109"/>
      <c r="BZ4" s="115"/>
      <c r="CA4" s="68"/>
      <c r="CB4" s="70"/>
      <c r="CC4" s="109"/>
      <c r="CD4" s="115"/>
      <c r="CE4" s="68"/>
      <c r="CF4" s="70"/>
      <c r="CG4" s="109"/>
      <c r="CH4" s="115"/>
      <c r="CI4" s="68"/>
      <c r="CJ4" s="70"/>
      <c r="CK4" s="109"/>
      <c r="CL4" s="115"/>
      <c r="CM4" s="68"/>
      <c r="CN4" s="70"/>
      <c r="CO4" s="109"/>
      <c r="CP4" s="115"/>
      <c r="CQ4" s="68"/>
      <c r="CR4" s="70"/>
      <c r="CS4" s="109"/>
      <c r="CT4" s="115"/>
      <c r="CU4" s="68"/>
      <c r="CV4" s="70"/>
      <c r="CW4" s="109"/>
      <c r="CX4" s="115"/>
      <c r="CY4" s="68"/>
      <c r="CZ4" s="70"/>
      <c r="DA4" s="109"/>
      <c r="DB4" s="115"/>
      <c r="DC4" s="68"/>
      <c r="DD4" s="70"/>
      <c r="DE4" s="109"/>
      <c r="DF4" s="115">
        <v>16</v>
      </c>
      <c r="DG4" s="68"/>
      <c r="DH4" s="70"/>
      <c r="DI4" s="109"/>
      <c r="DJ4" s="115"/>
      <c r="DK4" s="68">
        <v>16</v>
      </c>
      <c r="DL4" s="70">
        <v>16</v>
      </c>
      <c r="DM4" s="109">
        <v>9</v>
      </c>
      <c r="DN4" s="115"/>
      <c r="DO4" s="68"/>
      <c r="DP4" s="70"/>
      <c r="DQ4" s="109"/>
      <c r="DR4" s="115"/>
      <c r="DS4" s="68"/>
      <c r="DT4" s="70"/>
      <c r="DU4" s="109"/>
      <c r="DV4" s="115"/>
      <c r="DW4" s="68"/>
      <c r="DX4" s="70"/>
      <c r="DY4" s="109"/>
      <c r="DZ4" s="115">
        <v>15</v>
      </c>
      <c r="EA4" s="68"/>
      <c r="EB4" s="70"/>
      <c r="EC4" s="109"/>
      <c r="ED4" s="115"/>
      <c r="EE4" s="68"/>
      <c r="EF4" s="70">
        <v>15</v>
      </c>
      <c r="EG4" s="109"/>
      <c r="EH4" s="115"/>
      <c r="EI4" s="68"/>
      <c r="EJ4" s="70"/>
      <c r="EK4" s="109"/>
      <c r="EL4" s="115"/>
      <c r="EM4" s="68"/>
      <c r="EN4" s="70"/>
      <c r="EO4" s="109"/>
      <c r="EP4" s="115"/>
      <c r="EQ4" s="68"/>
      <c r="ER4" s="70"/>
      <c r="ES4" s="109"/>
      <c r="ET4" s="115"/>
      <c r="EU4" s="68"/>
      <c r="EV4" s="70"/>
      <c r="EW4" s="109"/>
      <c r="EX4" s="115"/>
      <c r="EY4" s="68"/>
      <c r="EZ4" s="70"/>
      <c r="FA4" s="109"/>
      <c r="FB4" s="115"/>
      <c r="FC4" s="68"/>
      <c r="FD4" s="70"/>
      <c r="FE4" s="109"/>
      <c r="FF4" s="115"/>
      <c r="FG4" s="68"/>
      <c r="FH4" s="70"/>
      <c r="FI4" s="109"/>
      <c r="FJ4" s="115"/>
      <c r="FK4" s="68"/>
      <c r="FL4" s="70"/>
      <c r="FM4" s="109"/>
      <c r="FN4" s="115"/>
      <c r="FO4" s="68"/>
      <c r="FP4" s="70"/>
      <c r="FQ4" s="109"/>
      <c r="FR4" s="115"/>
      <c r="FS4" s="68"/>
      <c r="FT4" s="70"/>
      <c r="FU4" s="109"/>
      <c r="FV4" s="115"/>
      <c r="FW4" s="68"/>
      <c r="FX4" s="70"/>
      <c r="FY4" s="109"/>
      <c r="FZ4" s="115"/>
      <c r="GA4" s="68"/>
      <c r="GB4" s="70"/>
      <c r="GC4" s="109"/>
      <c r="GD4" s="121">
        <f t="shared" ref="GD4:GD34" si="0">SUMPRODUCT((MOD(COLUMN($R4:$GC4),4)=2)*($R4:$GC4))</f>
        <v>31</v>
      </c>
      <c r="GE4" s="76">
        <f t="shared" ref="GE4:GE34" si="1">SUMPRODUCT((MOD(COLUMN($R4:$GC4),4)=3)*($R4:$GC4))</f>
        <v>16</v>
      </c>
      <c r="GF4" s="78">
        <f t="shared" ref="GF4:GF34" si="2">SUMPRODUCT((MOD(COLUMN($R4:$GC4),4)=0)*($R4:$GC4))</f>
        <v>31</v>
      </c>
      <c r="GG4" s="123">
        <f t="shared" ref="GG4:GG34" si="3">SUMPRODUCT((MOD(COLUMN($R4:$GC4),4)=1)*($R4:$GC4))</f>
        <v>9</v>
      </c>
    </row>
    <row r="5" spans="1:189">
      <c r="A5" s="56"/>
      <c r="B5" s="59">
        <v>1102</v>
      </c>
      <c r="C5" s="60" t="s">
        <v>66</v>
      </c>
      <c r="D5" s="57"/>
      <c r="E5" s="61">
        <v>25</v>
      </c>
      <c r="F5" s="61" t="s">
        <v>140</v>
      </c>
      <c r="G5" s="62">
        <v>43551</v>
      </c>
      <c r="H5" s="58">
        <v>43552</v>
      </c>
      <c r="I5" s="62">
        <v>43557</v>
      </c>
      <c r="J5" s="58"/>
      <c r="K5" s="61" t="s">
        <v>138</v>
      </c>
      <c r="L5" s="62">
        <v>43558</v>
      </c>
      <c r="M5" s="58"/>
      <c r="N5" s="63"/>
      <c r="O5" s="64"/>
      <c r="P5" s="64"/>
      <c r="Q5" s="63" t="s">
        <v>129</v>
      </c>
      <c r="R5" s="66"/>
      <c r="S5" s="68"/>
      <c r="T5" s="70"/>
      <c r="U5" s="109"/>
      <c r="V5" s="115"/>
      <c r="W5" s="68"/>
      <c r="X5" s="70"/>
      <c r="Y5" s="109"/>
      <c r="Z5" s="115"/>
      <c r="AA5" s="68"/>
      <c r="AB5" s="70"/>
      <c r="AC5" s="109"/>
      <c r="AD5" s="115"/>
      <c r="AE5" s="68"/>
      <c r="AF5" s="70"/>
      <c r="AG5" s="109"/>
      <c r="AH5" s="115"/>
      <c r="AI5" s="68"/>
      <c r="AJ5" s="70"/>
      <c r="AK5" s="109"/>
      <c r="AL5" s="115"/>
      <c r="AM5" s="68"/>
      <c r="AN5" s="70"/>
      <c r="AO5" s="109"/>
      <c r="AP5" s="115"/>
      <c r="AQ5" s="68"/>
      <c r="AR5" s="70"/>
      <c r="AS5" s="109"/>
      <c r="AT5" s="115"/>
      <c r="AU5" s="68"/>
      <c r="AV5" s="70"/>
      <c r="AW5" s="109"/>
      <c r="AX5" s="115"/>
      <c r="AY5" s="68"/>
      <c r="AZ5" s="70"/>
      <c r="BA5" s="109"/>
      <c r="BB5" s="115"/>
      <c r="BC5" s="68"/>
      <c r="BD5" s="70"/>
      <c r="BE5" s="109"/>
      <c r="BF5" s="115"/>
      <c r="BG5" s="68"/>
      <c r="BH5" s="70"/>
      <c r="BI5" s="109"/>
      <c r="BJ5" s="115"/>
      <c r="BK5" s="68"/>
      <c r="BL5" s="70"/>
      <c r="BM5" s="109"/>
      <c r="BN5" s="115"/>
      <c r="BO5" s="68"/>
      <c r="BP5" s="70"/>
      <c r="BQ5" s="109"/>
      <c r="BR5" s="115"/>
      <c r="BS5" s="68"/>
      <c r="BT5" s="70"/>
      <c r="BU5" s="109"/>
      <c r="BV5" s="115"/>
      <c r="BW5" s="68"/>
      <c r="BX5" s="70"/>
      <c r="BY5" s="109"/>
      <c r="BZ5" s="115"/>
      <c r="CA5" s="68"/>
      <c r="CB5" s="70"/>
      <c r="CC5" s="109"/>
      <c r="CD5" s="115"/>
      <c r="CE5" s="68"/>
      <c r="CF5" s="70"/>
      <c r="CG5" s="109"/>
      <c r="CH5" s="115"/>
      <c r="CI5" s="68"/>
      <c r="CJ5" s="70"/>
      <c r="CK5" s="109"/>
      <c r="CL5" s="115"/>
      <c r="CM5" s="68"/>
      <c r="CN5" s="70"/>
      <c r="CO5" s="109"/>
      <c r="CP5" s="115"/>
      <c r="CQ5" s="68"/>
      <c r="CR5" s="70"/>
      <c r="CS5" s="109"/>
      <c r="CT5" s="115"/>
      <c r="CU5" s="68"/>
      <c r="CV5" s="70"/>
      <c r="CW5" s="109"/>
      <c r="CX5" s="115"/>
      <c r="CY5" s="68"/>
      <c r="CZ5" s="70"/>
      <c r="DA5" s="109"/>
      <c r="DB5" s="115"/>
      <c r="DC5" s="68"/>
      <c r="DD5" s="70"/>
      <c r="DE5" s="109"/>
      <c r="DF5" s="115"/>
      <c r="DG5" s="68"/>
      <c r="DH5" s="70"/>
      <c r="DI5" s="109"/>
      <c r="DJ5" s="115">
        <v>2</v>
      </c>
      <c r="DK5" s="68">
        <v>2</v>
      </c>
      <c r="DL5" s="70">
        <v>2</v>
      </c>
      <c r="DM5" s="109">
        <v>2</v>
      </c>
      <c r="DN5" s="115">
        <v>2</v>
      </c>
      <c r="DO5" s="68">
        <v>2</v>
      </c>
      <c r="DP5" s="70">
        <v>2</v>
      </c>
      <c r="DQ5" s="109">
        <v>2</v>
      </c>
      <c r="DR5" s="115"/>
      <c r="DS5" s="68"/>
      <c r="DT5" s="70"/>
      <c r="DU5" s="109"/>
      <c r="DV5" s="115"/>
      <c r="DW5" s="68"/>
      <c r="DX5" s="70"/>
      <c r="DY5" s="109"/>
      <c r="DZ5" s="115">
        <v>10</v>
      </c>
      <c r="EA5" s="68"/>
      <c r="EB5" s="70"/>
      <c r="EC5" s="109"/>
      <c r="ED5" s="115">
        <v>11</v>
      </c>
      <c r="EE5" s="68"/>
      <c r="EF5" s="70">
        <v>10</v>
      </c>
      <c r="EG5" s="109"/>
      <c r="EH5" s="115"/>
      <c r="EI5" s="68"/>
      <c r="EJ5" s="70">
        <v>11</v>
      </c>
      <c r="EK5" s="109"/>
      <c r="EL5" s="115"/>
      <c r="EM5" s="68"/>
      <c r="EN5" s="70"/>
      <c r="EO5" s="109"/>
      <c r="EP5" s="115"/>
      <c r="EQ5" s="68"/>
      <c r="ER5" s="70"/>
      <c r="ES5" s="109"/>
      <c r="ET5" s="115"/>
      <c r="EU5" s="68"/>
      <c r="EV5" s="70"/>
      <c r="EW5" s="109"/>
      <c r="EX5" s="115"/>
      <c r="EY5" s="68"/>
      <c r="EZ5" s="70"/>
      <c r="FA5" s="109"/>
      <c r="FB5" s="115"/>
      <c r="FC5" s="68"/>
      <c r="FD5" s="70"/>
      <c r="FE5" s="109"/>
      <c r="FF5" s="115"/>
      <c r="FG5" s="68"/>
      <c r="FH5" s="70"/>
      <c r="FI5" s="109"/>
      <c r="FJ5" s="115"/>
      <c r="FK5" s="68"/>
      <c r="FL5" s="70"/>
      <c r="FM5" s="109"/>
      <c r="FN5" s="115"/>
      <c r="FO5" s="68"/>
      <c r="FP5" s="70"/>
      <c r="FQ5" s="109"/>
      <c r="FR5" s="115"/>
      <c r="FS5" s="68"/>
      <c r="FT5" s="70"/>
      <c r="FU5" s="109"/>
      <c r="FV5" s="115"/>
      <c r="FW5" s="68"/>
      <c r="FX5" s="70"/>
      <c r="FY5" s="109"/>
      <c r="FZ5" s="115"/>
      <c r="GA5" s="68"/>
      <c r="GB5" s="70"/>
      <c r="GC5" s="109"/>
      <c r="GD5" s="121">
        <f t="shared" si="0"/>
        <v>25</v>
      </c>
      <c r="GE5" s="76">
        <f t="shared" si="1"/>
        <v>4</v>
      </c>
      <c r="GF5" s="78">
        <f t="shared" si="2"/>
        <v>25</v>
      </c>
      <c r="GG5" s="123">
        <f t="shared" si="3"/>
        <v>4</v>
      </c>
    </row>
    <row r="6" spans="1:189">
      <c r="A6" s="56"/>
      <c r="B6" s="59">
        <v>1103</v>
      </c>
      <c r="C6" s="60" t="s">
        <v>67</v>
      </c>
      <c r="D6" s="57"/>
      <c r="E6" s="61">
        <v>48</v>
      </c>
      <c r="F6" s="61" t="s">
        <v>139</v>
      </c>
      <c r="G6" s="62">
        <v>43559</v>
      </c>
      <c r="H6" s="58"/>
      <c r="I6" s="62">
        <v>43559</v>
      </c>
      <c r="J6" s="58"/>
      <c r="K6" s="61" t="s">
        <v>138</v>
      </c>
      <c r="L6" s="62">
        <v>43560</v>
      </c>
      <c r="M6" s="58"/>
      <c r="N6" s="63"/>
      <c r="O6" s="64"/>
      <c r="P6" s="64"/>
      <c r="Q6" s="63"/>
      <c r="R6" s="66"/>
      <c r="S6" s="68"/>
      <c r="T6" s="70"/>
      <c r="U6" s="109"/>
      <c r="V6" s="115"/>
      <c r="W6" s="68"/>
      <c r="X6" s="70"/>
      <c r="Y6" s="109"/>
      <c r="Z6" s="115"/>
      <c r="AA6" s="68"/>
      <c r="AB6" s="70"/>
      <c r="AC6" s="109"/>
      <c r="AD6" s="115"/>
      <c r="AE6" s="68"/>
      <c r="AF6" s="70"/>
      <c r="AG6" s="109"/>
      <c r="AH6" s="115"/>
      <c r="AI6" s="68"/>
      <c r="AJ6" s="70"/>
      <c r="AK6" s="109"/>
      <c r="AL6" s="115"/>
      <c r="AM6" s="68"/>
      <c r="AN6" s="70"/>
      <c r="AO6" s="109"/>
      <c r="AP6" s="115"/>
      <c r="AQ6" s="68"/>
      <c r="AR6" s="70"/>
      <c r="AS6" s="109"/>
      <c r="AT6" s="115"/>
      <c r="AU6" s="68"/>
      <c r="AV6" s="70"/>
      <c r="AW6" s="109"/>
      <c r="AX6" s="115"/>
      <c r="AY6" s="68"/>
      <c r="AZ6" s="70"/>
      <c r="BA6" s="109"/>
      <c r="BB6" s="115"/>
      <c r="BC6" s="68"/>
      <c r="BD6" s="70"/>
      <c r="BE6" s="109"/>
      <c r="BF6" s="115"/>
      <c r="BG6" s="68"/>
      <c r="BH6" s="70"/>
      <c r="BI6" s="109"/>
      <c r="BJ6" s="115"/>
      <c r="BK6" s="68"/>
      <c r="BL6" s="70"/>
      <c r="BM6" s="109"/>
      <c r="BN6" s="115"/>
      <c r="BO6" s="68"/>
      <c r="BP6" s="70"/>
      <c r="BQ6" s="109"/>
      <c r="BR6" s="115"/>
      <c r="BS6" s="68"/>
      <c r="BT6" s="70"/>
      <c r="BU6" s="109"/>
      <c r="BV6" s="115"/>
      <c r="BW6" s="68"/>
      <c r="BX6" s="70"/>
      <c r="BY6" s="109"/>
      <c r="BZ6" s="115"/>
      <c r="CA6" s="68"/>
      <c r="CB6" s="70"/>
      <c r="CC6" s="109"/>
      <c r="CD6" s="115"/>
      <c r="CE6" s="68"/>
      <c r="CF6" s="70"/>
      <c r="CG6" s="109"/>
      <c r="CH6" s="115"/>
      <c r="CI6" s="68"/>
      <c r="CJ6" s="70"/>
      <c r="CK6" s="109"/>
      <c r="CL6" s="115"/>
      <c r="CM6" s="68"/>
      <c r="CN6" s="70"/>
      <c r="CO6" s="109"/>
      <c r="CP6" s="115"/>
      <c r="CQ6" s="68"/>
      <c r="CR6" s="70"/>
      <c r="CS6" s="109"/>
      <c r="CT6" s="115"/>
      <c r="CU6" s="68"/>
      <c r="CV6" s="70"/>
      <c r="CW6" s="109"/>
      <c r="CX6" s="115"/>
      <c r="CY6" s="68"/>
      <c r="CZ6" s="70"/>
      <c r="DA6" s="109"/>
      <c r="DB6" s="115"/>
      <c r="DC6" s="68"/>
      <c r="DD6" s="70"/>
      <c r="DE6" s="109"/>
      <c r="DF6" s="115"/>
      <c r="DG6" s="68"/>
      <c r="DH6" s="70"/>
      <c r="DI6" s="109"/>
      <c r="DJ6" s="115"/>
      <c r="DK6" s="68"/>
      <c r="DL6" s="70"/>
      <c r="DM6" s="109"/>
      <c r="DN6" s="115"/>
      <c r="DO6" s="68"/>
      <c r="DP6" s="70"/>
      <c r="DQ6" s="109"/>
      <c r="DR6" s="115"/>
      <c r="DS6" s="68"/>
      <c r="DT6" s="70"/>
      <c r="DU6" s="109"/>
      <c r="DV6" s="115"/>
      <c r="DW6" s="68"/>
      <c r="DX6" s="70"/>
      <c r="DY6" s="109"/>
      <c r="DZ6" s="115"/>
      <c r="EA6" s="68"/>
      <c r="EB6" s="70"/>
      <c r="EC6" s="109"/>
      <c r="ED6" s="115"/>
      <c r="EE6" s="68"/>
      <c r="EF6" s="70"/>
      <c r="EG6" s="109"/>
      <c r="EH6" s="115"/>
      <c r="EI6" s="68"/>
      <c r="EJ6" s="70"/>
      <c r="EK6" s="109"/>
      <c r="EL6" s="115">
        <v>48</v>
      </c>
      <c r="EM6" s="68"/>
      <c r="EN6" s="70"/>
      <c r="EO6" s="109"/>
      <c r="EP6" s="115"/>
      <c r="EQ6" s="68"/>
      <c r="ER6" s="70">
        <v>48</v>
      </c>
      <c r="ES6" s="109"/>
      <c r="ET6" s="115"/>
      <c r="EU6" s="68"/>
      <c r="EV6" s="70"/>
      <c r="EW6" s="109"/>
      <c r="EX6" s="115"/>
      <c r="EY6" s="68"/>
      <c r="EZ6" s="70"/>
      <c r="FA6" s="109"/>
      <c r="FB6" s="115"/>
      <c r="FC6" s="68"/>
      <c r="FD6" s="70"/>
      <c r="FE6" s="109"/>
      <c r="FF6" s="115"/>
      <c r="FG6" s="68"/>
      <c r="FH6" s="70"/>
      <c r="FI6" s="109"/>
      <c r="FJ6" s="115"/>
      <c r="FK6" s="68"/>
      <c r="FL6" s="70"/>
      <c r="FM6" s="109"/>
      <c r="FN6" s="115"/>
      <c r="FO6" s="68"/>
      <c r="FP6" s="70"/>
      <c r="FQ6" s="109"/>
      <c r="FR6" s="115"/>
      <c r="FS6" s="68"/>
      <c r="FT6" s="70"/>
      <c r="FU6" s="109"/>
      <c r="FV6" s="115"/>
      <c r="FW6" s="68"/>
      <c r="FX6" s="70"/>
      <c r="FY6" s="109"/>
      <c r="FZ6" s="115"/>
      <c r="GA6" s="68"/>
      <c r="GB6" s="70"/>
      <c r="GC6" s="109"/>
      <c r="GD6" s="121">
        <f t="shared" si="0"/>
        <v>48</v>
      </c>
      <c r="GE6" s="76">
        <f t="shared" si="1"/>
        <v>0</v>
      </c>
      <c r="GF6" s="78">
        <f t="shared" si="2"/>
        <v>48</v>
      </c>
      <c r="GG6" s="123">
        <f t="shared" si="3"/>
        <v>0</v>
      </c>
    </row>
    <row r="7" spans="1:189">
      <c r="A7" s="56"/>
      <c r="B7" s="59">
        <v>1104</v>
      </c>
      <c r="C7" s="60" t="s">
        <v>68</v>
      </c>
      <c r="D7" s="57"/>
      <c r="E7" s="61">
        <v>22</v>
      </c>
      <c r="F7" s="61" t="s">
        <v>139</v>
      </c>
      <c r="G7" s="62">
        <v>43559</v>
      </c>
      <c r="H7" s="58"/>
      <c r="I7" s="62">
        <v>43564</v>
      </c>
      <c r="J7" s="58"/>
      <c r="K7" s="61" t="s">
        <v>137</v>
      </c>
      <c r="L7" s="62">
        <v>43564</v>
      </c>
      <c r="M7" s="58"/>
      <c r="N7" s="63"/>
      <c r="O7" s="64"/>
      <c r="P7" s="64"/>
      <c r="Q7" s="63"/>
      <c r="R7" s="66"/>
      <c r="S7" s="68"/>
      <c r="T7" s="70"/>
      <c r="U7" s="109"/>
      <c r="V7" s="115"/>
      <c r="W7" s="68"/>
      <c r="X7" s="70"/>
      <c r="Y7" s="109"/>
      <c r="Z7" s="115"/>
      <c r="AA7" s="68"/>
      <c r="AB7" s="70"/>
      <c r="AC7" s="109"/>
      <c r="AD7" s="115"/>
      <c r="AE7" s="68"/>
      <c r="AF7" s="70"/>
      <c r="AG7" s="109"/>
      <c r="AH7" s="115"/>
      <c r="AI7" s="68"/>
      <c r="AJ7" s="70"/>
      <c r="AK7" s="109"/>
      <c r="AL7" s="115"/>
      <c r="AM7" s="68"/>
      <c r="AN7" s="70"/>
      <c r="AO7" s="109"/>
      <c r="AP7" s="115"/>
      <c r="AQ7" s="68"/>
      <c r="AR7" s="70"/>
      <c r="AS7" s="109"/>
      <c r="AT7" s="115"/>
      <c r="AU7" s="68"/>
      <c r="AV7" s="70"/>
      <c r="AW7" s="109"/>
      <c r="AX7" s="115"/>
      <c r="AY7" s="68"/>
      <c r="AZ7" s="70"/>
      <c r="BA7" s="109"/>
      <c r="BB7" s="115"/>
      <c r="BC7" s="68"/>
      <c r="BD7" s="70"/>
      <c r="BE7" s="109"/>
      <c r="BF7" s="115"/>
      <c r="BG7" s="68"/>
      <c r="BH7" s="70"/>
      <c r="BI7" s="109"/>
      <c r="BJ7" s="115"/>
      <c r="BK7" s="68"/>
      <c r="BL7" s="70"/>
      <c r="BM7" s="109"/>
      <c r="BN7" s="115"/>
      <c r="BO7" s="68"/>
      <c r="BP7" s="70"/>
      <c r="BQ7" s="109"/>
      <c r="BR7" s="115"/>
      <c r="BS7" s="68"/>
      <c r="BT7" s="70"/>
      <c r="BU7" s="109"/>
      <c r="BV7" s="115"/>
      <c r="BW7" s="68"/>
      <c r="BX7" s="70"/>
      <c r="BY7" s="109"/>
      <c r="BZ7" s="115"/>
      <c r="CA7" s="68"/>
      <c r="CB7" s="70"/>
      <c r="CC7" s="109"/>
      <c r="CD7" s="115"/>
      <c r="CE7" s="68"/>
      <c r="CF7" s="70"/>
      <c r="CG7" s="109"/>
      <c r="CH7" s="115"/>
      <c r="CI7" s="68"/>
      <c r="CJ7" s="70"/>
      <c r="CK7" s="109"/>
      <c r="CL7" s="115"/>
      <c r="CM7" s="68"/>
      <c r="CN7" s="70"/>
      <c r="CO7" s="109"/>
      <c r="CP7" s="115"/>
      <c r="CQ7" s="68"/>
      <c r="CR7" s="70"/>
      <c r="CS7" s="109"/>
      <c r="CT7" s="115"/>
      <c r="CU7" s="68"/>
      <c r="CV7" s="70"/>
      <c r="CW7" s="109"/>
      <c r="CX7" s="115"/>
      <c r="CY7" s="68"/>
      <c r="CZ7" s="70"/>
      <c r="DA7" s="109"/>
      <c r="DB7" s="115"/>
      <c r="DC7" s="68"/>
      <c r="DD7" s="70"/>
      <c r="DE7" s="109"/>
      <c r="DF7" s="115"/>
      <c r="DG7" s="68"/>
      <c r="DH7" s="70"/>
      <c r="DI7" s="109"/>
      <c r="DJ7" s="115"/>
      <c r="DK7" s="68"/>
      <c r="DL7" s="70"/>
      <c r="DM7" s="109"/>
      <c r="DN7" s="115"/>
      <c r="DO7" s="68"/>
      <c r="DP7" s="70"/>
      <c r="DQ7" s="109"/>
      <c r="DR7" s="115"/>
      <c r="DS7" s="68"/>
      <c r="DT7" s="70"/>
      <c r="DU7" s="109"/>
      <c r="DV7" s="115"/>
      <c r="DW7" s="68"/>
      <c r="DX7" s="70"/>
      <c r="DY7" s="109"/>
      <c r="DZ7" s="115"/>
      <c r="EA7" s="68"/>
      <c r="EB7" s="70"/>
      <c r="EC7" s="109"/>
      <c r="ED7" s="115"/>
      <c r="EE7" s="68"/>
      <c r="EF7" s="70"/>
      <c r="EG7" s="109"/>
      <c r="EH7" s="115"/>
      <c r="EI7" s="68"/>
      <c r="EJ7" s="70"/>
      <c r="EK7" s="109"/>
      <c r="EL7" s="115">
        <v>11</v>
      </c>
      <c r="EM7" s="68"/>
      <c r="EN7" s="70"/>
      <c r="EO7" s="109"/>
      <c r="EP7" s="115"/>
      <c r="EQ7" s="68"/>
      <c r="ER7" s="70">
        <v>11</v>
      </c>
      <c r="ES7" s="109"/>
      <c r="ET7" s="115"/>
      <c r="EU7" s="68"/>
      <c r="EV7" s="70"/>
      <c r="EW7" s="109"/>
      <c r="EX7" s="115"/>
      <c r="EY7" s="68"/>
      <c r="EZ7" s="70"/>
      <c r="FA7" s="109"/>
      <c r="FB7" s="115">
        <v>11</v>
      </c>
      <c r="FC7" s="68"/>
      <c r="FD7" s="70"/>
      <c r="FE7" s="109"/>
      <c r="FF7" s="115"/>
      <c r="FG7" s="68"/>
      <c r="FH7" s="70">
        <v>11</v>
      </c>
      <c r="FI7" s="109"/>
      <c r="FJ7" s="115"/>
      <c r="FK7" s="68"/>
      <c r="FL7" s="70"/>
      <c r="FM7" s="109"/>
      <c r="FN7" s="115"/>
      <c r="FO7" s="68"/>
      <c r="FP7" s="70"/>
      <c r="FQ7" s="109"/>
      <c r="FR7" s="115"/>
      <c r="FS7" s="68"/>
      <c r="FT7" s="70"/>
      <c r="FU7" s="109"/>
      <c r="FV7" s="115"/>
      <c r="FW7" s="68"/>
      <c r="FX7" s="70"/>
      <c r="FY7" s="109"/>
      <c r="FZ7" s="115"/>
      <c r="GA7" s="68"/>
      <c r="GB7" s="70"/>
      <c r="GC7" s="109"/>
      <c r="GD7" s="121">
        <f t="shared" si="0"/>
        <v>22</v>
      </c>
      <c r="GE7" s="76">
        <f t="shared" si="1"/>
        <v>0</v>
      </c>
      <c r="GF7" s="78">
        <f t="shared" si="2"/>
        <v>22</v>
      </c>
      <c r="GG7" s="123">
        <f t="shared" si="3"/>
        <v>0</v>
      </c>
    </row>
    <row r="8" spans="1:189">
      <c r="A8" s="56"/>
      <c r="B8" s="59">
        <v>1105</v>
      </c>
      <c r="C8" s="60" t="s">
        <v>69</v>
      </c>
      <c r="D8" s="57"/>
      <c r="E8" s="61">
        <v>28</v>
      </c>
      <c r="F8" s="61" t="s">
        <v>139</v>
      </c>
      <c r="G8" s="62">
        <v>43559</v>
      </c>
      <c r="H8" s="58"/>
      <c r="I8" s="62">
        <v>43564</v>
      </c>
      <c r="J8" s="58"/>
      <c r="K8" s="61" t="s">
        <v>137</v>
      </c>
      <c r="L8" s="62">
        <v>43564</v>
      </c>
      <c r="M8" s="58"/>
      <c r="N8" s="63"/>
      <c r="O8" s="64"/>
      <c r="P8" s="64"/>
      <c r="Q8" s="63"/>
      <c r="R8" s="66"/>
      <c r="S8" s="68"/>
      <c r="T8" s="70"/>
      <c r="U8" s="109"/>
      <c r="V8" s="115"/>
      <c r="W8" s="68"/>
      <c r="X8" s="70"/>
      <c r="Y8" s="109"/>
      <c r="Z8" s="115"/>
      <c r="AA8" s="68"/>
      <c r="AB8" s="70"/>
      <c r="AC8" s="109"/>
      <c r="AD8" s="115"/>
      <c r="AE8" s="68"/>
      <c r="AF8" s="70"/>
      <c r="AG8" s="109"/>
      <c r="AH8" s="115"/>
      <c r="AI8" s="68"/>
      <c r="AJ8" s="70"/>
      <c r="AK8" s="109"/>
      <c r="AL8" s="115"/>
      <c r="AM8" s="68"/>
      <c r="AN8" s="70"/>
      <c r="AO8" s="109"/>
      <c r="AP8" s="115"/>
      <c r="AQ8" s="68"/>
      <c r="AR8" s="70"/>
      <c r="AS8" s="109"/>
      <c r="AT8" s="115"/>
      <c r="AU8" s="68"/>
      <c r="AV8" s="70"/>
      <c r="AW8" s="109"/>
      <c r="AX8" s="115"/>
      <c r="AY8" s="68"/>
      <c r="AZ8" s="70"/>
      <c r="BA8" s="109"/>
      <c r="BB8" s="115"/>
      <c r="BC8" s="68"/>
      <c r="BD8" s="70"/>
      <c r="BE8" s="109"/>
      <c r="BF8" s="115"/>
      <c r="BG8" s="68"/>
      <c r="BH8" s="70"/>
      <c r="BI8" s="109"/>
      <c r="BJ8" s="115"/>
      <c r="BK8" s="68"/>
      <c r="BL8" s="70"/>
      <c r="BM8" s="109"/>
      <c r="BN8" s="115"/>
      <c r="BO8" s="68"/>
      <c r="BP8" s="70"/>
      <c r="BQ8" s="109"/>
      <c r="BR8" s="115"/>
      <c r="BS8" s="68"/>
      <c r="BT8" s="70"/>
      <c r="BU8" s="109"/>
      <c r="BV8" s="115"/>
      <c r="BW8" s="68"/>
      <c r="BX8" s="70"/>
      <c r="BY8" s="109"/>
      <c r="BZ8" s="115"/>
      <c r="CA8" s="68"/>
      <c r="CB8" s="70"/>
      <c r="CC8" s="109"/>
      <c r="CD8" s="115"/>
      <c r="CE8" s="68"/>
      <c r="CF8" s="70"/>
      <c r="CG8" s="109"/>
      <c r="CH8" s="115"/>
      <c r="CI8" s="68"/>
      <c r="CJ8" s="70"/>
      <c r="CK8" s="109"/>
      <c r="CL8" s="115"/>
      <c r="CM8" s="68"/>
      <c r="CN8" s="70"/>
      <c r="CO8" s="109"/>
      <c r="CP8" s="115"/>
      <c r="CQ8" s="68"/>
      <c r="CR8" s="70"/>
      <c r="CS8" s="109"/>
      <c r="CT8" s="115"/>
      <c r="CU8" s="68"/>
      <c r="CV8" s="70"/>
      <c r="CW8" s="109"/>
      <c r="CX8" s="115"/>
      <c r="CY8" s="68"/>
      <c r="CZ8" s="70"/>
      <c r="DA8" s="109"/>
      <c r="DB8" s="115"/>
      <c r="DC8" s="68"/>
      <c r="DD8" s="70"/>
      <c r="DE8" s="109"/>
      <c r="DF8" s="115"/>
      <c r="DG8" s="68"/>
      <c r="DH8" s="70"/>
      <c r="DI8" s="109"/>
      <c r="DJ8" s="115"/>
      <c r="DK8" s="68"/>
      <c r="DL8" s="70"/>
      <c r="DM8" s="109"/>
      <c r="DN8" s="115"/>
      <c r="DO8" s="68"/>
      <c r="DP8" s="70"/>
      <c r="DQ8" s="109"/>
      <c r="DR8" s="115"/>
      <c r="DS8" s="68"/>
      <c r="DT8" s="70"/>
      <c r="DU8" s="109"/>
      <c r="DV8" s="115"/>
      <c r="DW8" s="68"/>
      <c r="DX8" s="70"/>
      <c r="DY8" s="109"/>
      <c r="DZ8" s="115"/>
      <c r="EA8" s="68"/>
      <c r="EB8" s="70"/>
      <c r="EC8" s="109"/>
      <c r="ED8" s="115"/>
      <c r="EE8" s="68"/>
      <c r="EF8" s="70"/>
      <c r="EG8" s="109"/>
      <c r="EH8" s="115"/>
      <c r="EI8" s="68"/>
      <c r="EJ8" s="70"/>
      <c r="EK8" s="109"/>
      <c r="EL8" s="115">
        <v>14</v>
      </c>
      <c r="EM8" s="68"/>
      <c r="EN8" s="70"/>
      <c r="EO8" s="109"/>
      <c r="EP8" s="115"/>
      <c r="EQ8" s="68"/>
      <c r="ER8" s="70">
        <v>14</v>
      </c>
      <c r="ES8" s="109"/>
      <c r="ET8" s="115"/>
      <c r="EU8" s="68"/>
      <c r="EV8" s="70"/>
      <c r="EW8" s="109"/>
      <c r="EX8" s="115"/>
      <c r="EY8" s="68"/>
      <c r="EZ8" s="70"/>
      <c r="FA8" s="109"/>
      <c r="FB8" s="115">
        <v>14</v>
      </c>
      <c r="FC8" s="68"/>
      <c r="FD8" s="70"/>
      <c r="FE8" s="109"/>
      <c r="FF8" s="115"/>
      <c r="FG8" s="68"/>
      <c r="FH8" s="70">
        <v>14</v>
      </c>
      <c r="FI8" s="109"/>
      <c r="FJ8" s="115"/>
      <c r="FK8" s="68"/>
      <c r="FL8" s="70"/>
      <c r="FM8" s="109"/>
      <c r="FN8" s="115"/>
      <c r="FO8" s="68"/>
      <c r="FP8" s="70"/>
      <c r="FQ8" s="109"/>
      <c r="FR8" s="115"/>
      <c r="FS8" s="68"/>
      <c r="FT8" s="70"/>
      <c r="FU8" s="109"/>
      <c r="FV8" s="115"/>
      <c r="FW8" s="68"/>
      <c r="FX8" s="70"/>
      <c r="FY8" s="109"/>
      <c r="FZ8" s="115"/>
      <c r="GA8" s="68"/>
      <c r="GB8" s="70"/>
      <c r="GC8" s="109"/>
      <c r="GD8" s="121">
        <f t="shared" si="0"/>
        <v>28</v>
      </c>
      <c r="GE8" s="76">
        <f t="shared" si="1"/>
        <v>0</v>
      </c>
      <c r="GF8" s="78">
        <f t="shared" si="2"/>
        <v>28</v>
      </c>
      <c r="GG8" s="123">
        <f t="shared" si="3"/>
        <v>0</v>
      </c>
    </row>
    <row r="9" spans="1:189">
      <c r="A9" s="56"/>
      <c r="B9" s="59">
        <v>1106</v>
      </c>
      <c r="C9" s="60" t="s">
        <v>70</v>
      </c>
      <c r="D9" s="57"/>
      <c r="E9" s="61">
        <v>41</v>
      </c>
      <c r="F9" s="61" t="s">
        <v>139</v>
      </c>
      <c r="G9" s="62">
        <v>43551</v>
      </c>
      <c r="H9" s="58">
        <v>43552</v>
      </c>
      <c r="I9" s="62">
        <v>43557</v>
      </c>
      <c r="J9" s="58"/>
      <c r="K9" s="61" t="s">
        <v>137</v>
      </c>
      <c r="L9" s="62">
        <v>43557</v>
      </c>
      <c r="M9" s="58"/>
      <c r="N9" s="63"/>
      <c r="O9" s="64"/>
      <c r="P9" s="64"/>
      <c r="Q9" s="63" t="s">
        <v>129</v>
      </c>
      <c r="R9" s="66"/>
      <c r="S9" s="68"/>
      <c r="T9" s="70"/>
      <c r="U9" s="109"/>
      <c r="V9" s="115"/>
      <c r="W9" s="68"/>
      <c r="X9" s="70"/>
      <c r="Y9" s="109"/>
      <c r="Z9" s="115"/>
      <c r="AA9" s="68"/>
      <c r="AB9" s="70"/>
      <c r="AC9" s="109"/>
      <c r="AD9" s="115"/>
      <c r="AE9" s="68"/>
      <c r="AF9" s="70"/>
      <c r="AG9" s="109"/>
      <c r="AH9" s="115"/>
      <c r="AI9" s="68"/>
      <c r="AJ9" s="70"/>
      <c r="AK9" s="109"/>
      <c r="AL9" s="115"/>
      <c r="AM9" s="68"/>
      <c r="AN9" s="70"/>
      <c r="AO9" s="109"/>
      <c r="AP9" s="115"/>
      <c r="AQ9" s="68"/>
      <c r="AR9" s="70"/>
      <c r="AS9" s="109"/>
      <c r="AT9" s="115"/>
      <c r="AU9" s="68"/>
      <c r="AV9" s="70"/>
      <c r="AW9" s="109"/>
      <c r="AX9" s="115"/>
      <c r="AY9" s="68"/>
      <c r="AZ9" s="70"/>
      <c r="BA9" s="109"/>
      <c r="BB9" s="115"/>
      <c r="BC9" s="68"/>
      <c r="BD9" s="70"/>
      <c r="BE9" s="109"/>
      <c r="BF9" s="115"/>
      <c r="BG9" s="68"/>
      <c r="BH9" s="70"/>
      <c r="BI9" s="109"/>
      <c r="BJ9" s="115"/>
      <c r="BK9" s="68"/>
      <c r="BL9" s="70"/>
      <c r="BM9" s="109"/>
      <c r="BN9" s="115"/>
      <c r="BO9" s="68"/>
      <c r="BP9" s="70"/>
      <c r="BQ9" s="109"/>
      <c r="BR9" s="115"/>
      <c r="BS9" s="68"/>
      <c r="BT9" s="70"/>
      <c r="BU9" s="109"/>
      <c r="BV9" s="115"/>
      <c r="BW9" s="68"/>
      <c r="BX9" s="70"/>
      <c r="BY9" s="109"/>
      <c r="BZ9" s="115"/>
      <c r="CA9" s="68"/>
      <c r="CB9" s="70"/>
      <c r="CC9" s="109"/>
      <c r="CD9" s="115"/>
      <c r="CE9" s="68"/>
      <c r="CF9" s="70"/>
      <c r="CG9" s="109"/>
      <c r="CH9" s="115"/>
      <c r="CI9" s="68"/>
      <c r="CJ9" s="70"/>
      <c r="CK9" s="109"/>
      <c r="CL9" s="115"/>
      <c r="CM9" s="68"/>
      <c r="CN9" s="70"/>
      <c r="CO9" s="109"/>
      <c r="CP9" s="115"/>
      <c r="CQ9" s="68"/>
      <c r="CR9" s="70"/>
      <c r="CS9" s="109"/>
      <c r="CT9" s="115"/>
      <c r="CU9" s="68"/>
      <c r="CV9" s="70"/>
      <c r="CW9" s="109"/>
      <c r="CX9" s="115"/>
      <c r="CY9" s="68"/>
      <c r="CZ9" s="70"/>
      <c r="DA9" s="109"/>
      <c r="DB9" s="115"/>
      <c r="DC9" s="68"/>
      <c r="DD9" s="70"/>
      <c r="DE9" s="109"/>
      <c r="DF9" s="115">
        <v>16</v>
      </c>
      <c r="DG9" s="68"/>
      <c r="DH9" s="70"/>
      <c r="DI9" s="109"/>
      <c r="DJ9" s="115"/>
      <c r="DK9" s="68">
        <v>13</v>
      </c>
      <c r="DL9" s="70">
        <v>16</v>
      </c>
      <c r="DM9" s="109">
        <v>13</v>
      </c>
      <c r="DN9" s="115"/>
      <c r="DO9" s="68">
        <v>3</v>
      </c>
      <c r="DP9" s="70"/>
      <c r="DQ9" s="109"/>
      <c r="DR9" s="115"/>
      <c r="DS9" s="68"/>
      <c r="DT9" s="70"/>
      <c r="DU9" s="109"/>
      <c r="DV9" s="115"/>
      <c r="DW9" s="68"/>
      <c r="DX9" s="70"/>
      <c r="DY9" s="109"/>
      <c r="DZ9" s="115">
        <v>25</v>
      </c>
      <c r="EA9" s="68"/>
      <c r="EB9" s="70"/>
      <c r="EC9" s="109"/>
      <c r="ED9" s="115"/>
      <c r="EE9" s="68"/>
      <c r="EF9" s="70">
        <v>25</v>
      </c>
      <c r="EG9" s="109"/>
      <c r="EH9" s="115"/>
      <c r="EI9" s="68"/>
      <c r="EJ9" s="70"/>
      <c r="EK9" s="109"/>
      <c r="EL9" s="115"/>
      <c r="EM9" s="68"/>
      <c r="EN9" s="70"/>
      <c r="EO9" s="109"/>
      <c r="EP9" s="115"/>
      <c r="EQ9" s="68"/>
      <c r="ER9" s="70"/>
      <c r="ES9" s="109"/>
      <c r="ET9" s="115"/>
      <c r="EU9" s="68"/>
      <c r="EV9" s="70"/>
      <c r="EW9" s="109"/>
      <c r="EX9" s="115"/>
      <c r="EY9" s="68"/>
      <c r="EZ9" s="70"/>
      <c r="FA9" s="109"/>
      <c r="FB9" s="115"/>
      <c r="FC9" s="68"/>
      <c r="FD9" s="70"/>
      <c r="FE9" s="109"/>
      <c r="FF9" s="115"/>
      <c r="FG9" s="68"/>
      <c r="FH9" s="70"/>
      <c r="FI9" s="109"/>
      <c r="FJ9" s="115"/>
      <c r="FK9" s="68"/>
      <c r="FL9" s="70"/>
      <c r="FM9" s="109"/>
      <c r="FN9" s="115"/>
      <c r="FO9" s="68"/>
      <c r="FP9" s="70"/>
      <c r="FQ9" s="109"/>
      <c r="FR9" s="115"/>
      <c r="FS9" s="68"/>
      <c r="FT9" s="70"/>
      <c r="FU9" s="109"/>
      <c r="FV9" s="115"/>
      <c r="FW9" s="68"/>
      <c r="FX9" s="70"/>
      <c r="FY9" s="109"/>
      <c r="FZ9" s="115"/>
      <c r="GA9" s="68"/>
      <c r="GB9" s="70"/>
      <c r="GC9" s="109"/>
      <c r="GD9" s="121">
        <f t="shared" si="0"/>
        <v>41</v>
      </c>
      <c r="GE9" s="76">
        <f t="shared" si="1"/>
        <v>16</v>
      </c>
      <c r="GF9" s="78">
        <f t="shared" si="2"/>
        <v>41</v>
      </c>
      <c r="GG9" s="123">
        <f t="shared" si="3"/>
        <v>13</v>
      </c>
    </row>
    <row r="10" spans="1:189">
      <c r="A10" s="56"/>
      <c r="B10" s="59">
        <v>1107</v>
      </c>
      <c r="C10" s="60" t="s">
        <v>71</v>
      </c>
      <c r="D10" s="57"/>
      <c r="E10" s="61">
        <v>9</v>
      </c>
      <c r="F10" s="61" t="s">
        <v>140</v>
      </c>
      <c r="G10" s="62">
        <v>43551</v>
      </c>
      <c r="H10" s="58">
        <v>43552</v>
      </c>
      <c r="I10" s="62">
        <v>43557</v>
      </c>
      <c r="J10" s="58"/>
      <c r="K10" s="61" t="s">
        <v>138</v>
      </c>
      <c r="L10" s="62">
        <v>43557</v>
      </c>
      <c r="M10" s="58"/>
      <c r="N10" s="63"/>
      <c r="O10" s="64"/>
      <c r="P10" s="64"/>
      <c r="Q10" s="63" t="s">
        <v>129</v>
      </c>
      <c r="R10" s="66"/>
      <c r="S10" s="68"/>
      <c r="T10" s="70"/>
      <c r="U10" s="109"/>
      <c r="V10" s="115"/>
      <c r="W10" s="68"/>
      <c r="X10" s="70"/>
      <c r="Y10" s="109"/>
      <c r="Z10" s="115"/>
      <c r="AA10" s="68"/>
      <c r="AB10" s="70"/>
      <c r="AC10" s="109"/>
      <c r="AD10" s="115"/>
      <c r="AE10" s="68"/>
      <c r="AF10" s="70"/>
      <c r="AG10" s="109"/>
      <c r="AH10" s="115"/>
      <c r="AI10" s="68"/>
      <c r="AJ10" s="70"/>
      <c r="AK10" s="109"/>
      <c r="AL10" s="115"/>
      <c r="AM10" s="68"/>
      <c r="AN10" s="70"/>
      <c r="AO10" s="109"/>
      <c r="AP10" s="115"/>
      <c r="AQ10" s="68"/>
      <c r="AR10" s="70"/>
      <c r="AS10" s="109"/>
      <c r="AT10" s="115"/>
      <c r="AU10" s="68"/>
      <c r="AV10" s="70"/>
      <c r="AW10" s="109"/>
      <c r="AX10" s="115"/>
      <c r="AY10" s="68"/>
      <c r="AZ10" s="70"/>
      <c r="BA10" s="109"/>
      <c r="BB10" s="115"/>
      <c r="BC10" s="68"/>
      <c r="BD10" s="70"/>
      <c r="BE10" s="109"/>
      <c r="BF10" s="115"/>
      <c r="BG10" s="68"/>
      <c r="BH10" s="70"/>
      <c r="BI10" s="109"/>
      <c r="BJ10" s="115"/>
      <c r="BK10" s="68"/>
      <c r="BL10" s="70"/>
      <c r="BM10" s="109"/>
      <c r="BN10" s="115"/>
      <c r="BO10" s="68"/>
      <c r="BP10" s="70"/>
      <c r="BQ10" s="109"/>
      <c r="BR10" s="115"/>
      <c r="BS10" s="68"/>
      <c r="BT10" s="70"/>
      <c r="BU10" s="109"/>
      <c r="BV10" s="115"/>
      <c r="BW10" s="68"/>
      <c r="BX10" s="70"/>
      <c r="BY10" s="109"/>
      <c r="BZ10" s="115"/>
      <c r="CA10" s="68"/>
      <c r="CB10" s="70"/>
      <c r="CC10" s="109"/>
      <c r="CD10" s="115"/>
      <c r="CE10" s="68"/>
      <c r="CF10" s="70"/>
      <c r="CG10" s="109"/>
      <c r="CH10" s="115"/>
      <c r="CI10" s="68"/>
      <c r="CJ10" s="70"/>
      <c r="CK10" s="109"/>
      <c r="CL10" s="115"/>
      <c r="CM10" s="68"/>
      <c r="CN10" s="70"/>
      <c r="CO10" s="109"/>
      <c r="CP10" s="115"/>
      <c r="CQ10" s="68"/>
      <c r="CR10" s="70"/>
      <c r="CS10" s="109"/>
      <c r="CT10" s="115"/>
      <c r="CU10" s="68"/>
      <c r="CV10" s="70"/>
      <c r="CW10" s="109"/>
      <c r="CX10" s="115"/>
      <c r="CY10" s="68"/>
      <c r="CZ10" s="70"/>
      <c r="DA10" s="109"/>
      <c r="DB10" s="115"/>
      <c r="DC10" s="68"/>
      <c r="DD10" s="70"/>
      <c r="DE10" s="109"/>
      <c r="DF10" s="115"/>
      <c r="DG10" s="68"/>
      <c r="DH10" s="70"/>
      <c r="DI10" s="109"/>
      <c r="DJ10" s="115">
        <v>1</v>
      </c>
      <c r="DK10" s="68">
        <v>1</v>
      </c>
      <c r="DL10" s="70">
        <v>1</v>
      </c>
      <c r="DM10" s="109">
        <v>1</v>
      </c>
      <c r="DN10" s="115"/>
      <c r="DO10" s="68"/>
      <c r="DP10" s="70"/>
      <c r="DQ10" s="109"/>
      <c r="DR10" s="115"/>
      <c r="DS10" s="68"/>
      <c r="DT10" s="70"/>
      <c r="DU10" s="109"/>
      <c r="DV10" s="115"/>
      <c r="DW10" s="68"/>
      <c r="DX10" s="70"/>
      <c r="DY10" s="109"/>
      <c r="DZ10" s="115">
        <v>8</v>
      </c>
      <c r="EA10" s="68"/>
      <c r="EB10" s="70"/>
      <c r="EC10" s="109"/>
      <c r="ED10" s="115"/>
      <c r="EE10" s="68"/>
      <c r="EF10" s="70">
        <v>8</v>
      </c>
      <c r="EG10" s="109"/>
      <c r="EH10" s="115"/>
      <c r="EI10" s="68"/>
      <c r="EJ10" s="70"/>
      <c r="EK10" s="109"/>
      <c r="EL10" s="115"/>
      <c r="EM10" s="68"/>
      <c r="EN10" s="70"/>
      <c r="EO10" s="109"/>
      <c r="EP10" s="115"/>
      <c r="EQ10" s="68"/>
      <c r="ER10" s="70"/>
      <c r="ES10" s="109"/>
      <c r="ET10" s="115"/>
      <c r="EU10" s="68"/>
      <c r="EV10" s="70"/>
      <c r="EW10" s="109"/>
      <c r="EX10" s="115"/>
      <c r="EY10" s="68"/>
      <c r="EZ10" s="70"/>
      <c r="FA10" s="109"/>
      <c r="FB10" s="115"/>
      <c r="FC10" s="68"/>
      <c r="FD10" s="70"/>
      <c r="FE10" s="109"/>
      <c r="FF10" s="115"/>
      <c r="FG10" s="68"/>
      <c r="FH10" s="70"/>
      <c r="FI10" s="109"/>
      <c r="FJ10" s="115"/>
      <c r="FK10" s="68"/>
      <c r="FL10" s="70"/>
      <c r="FM10" s="109"/>
      <c r="FN10" s="115"/>
      <c r="FO10" s="68"/>
      <c r="FP10" s="70"/>
      <c r="FQ10" s="109"/>
      <c r="FR10" s="115"/>
      <c r="FS10" s="68"/>
      <c r="FT10" s="70"/>
      <c r="FU10" s="109"/>
      <c r="FV10" s="115"/>
      <c r="FW10" s="68"/>
      <c r="FX10" s="70"/>
      <c r="FY10" s="109"/>
      <c r="FZ10" s="115"/>
      <c r="GA10" s="68"/>
      <c r="GB10" s="70"/>
      <c r="GC10" s="109"/>
      <c r="GD10" s="121">
        <f t="shared" si="0"/>
        <v>9</v>
      </c>
      <c r="GE10" s="76">
        <f t="shared" si="1"/>
        <v>1</v>
      </c>
      <c r="GF10" s="78">
        <f t="shared" si="2"/>
        <v>9</v>
      </c>
      <c r="GG10" s="123">
        <f t="shared" si="3"/>
        <v>1</v>
      </c>
    </row>
    <row r="11" spans="1:189">
      <c r="A11" s="56"/>
      <c r="B11" s="59">
        <v>1108</v>
      </c>
      <c r="C11" s="60" t="s">
        <v>72</v>
      </c>
      <c r="D11" s="57"/>
      <c r="E11" s="61">
        <v>35</v>
      </c>
      <c r="F11" s="61" t="s">
        <v>111</v>
      </c>
      <c r="G11" s="62">
        <v>43553</v>
      </c>
      <c r="H11" s="58"/>
      <c r="I11" s="62">
        <v>43567</v>
      </c>
      <c r="J11" s="58"/>
      <c r="K11" s="61" t="s">
        <v>138</v>
      </c>
      <c r="L11" s="62">
        <v>43567</v>
      </c>
      <c r="M11" s="58"/>
      <c r="N11" s="63"/>
      <c r="O11" s="64"/>
      <c r="P11" s="64"/>
      <c r="Q11" s="63" t="s">
        <v>129</v>
      </c>
      <c r="R11" s="66"/>
      <c r="S11" s="68"/>
      <c r="T11" s="70"/>
      <c r="U11" s="109"/>
      <c r="V11" s="115"/>
      <c r="W11" s="68"/>
      <c r="X11" s="70"/>
      <c r="Y11" s="109"/>
      <c r="Z11" s="115"/>
      <c r="AA11" s="68"/>
      <c r="AB11" s="70"/>
      <c r="AC11" s="109"/>
      <c r="AD11" s="115"/>
      <c r="AE11" s="68"/>
      <c r="AF11" s="70"/>
      <c r="AG11" s="109"/>
      <c r="AH11" s="115"/>
      <c r="AI11" s="68"/>
      <c r="AJ11" s="70"/>
      <c r="AK11" s="109"/>
      <c r="AL11" s="115"/>
      <c r="AM11" s="68"/>
      <c r="AN11" s="70"/>
      <c r="AO11" s="109"/>
      <c r="AP11" s="115"/>
      <c r="AQ11" s="68"/>
      <c r="AR11" s="70"/>
      <c r="AS11" s="109"/>
      <c r="AT11" s="115"/>
      <c r="AU11" s="68"/>
      <c r="AV11" s="70"/>
      <c r="AW11" s="109"/>
      <c r="AX11" s="115"/>
      <c r="AY11" s="68"/>
      <c r="AZ11" s="70"/>
      <c r="BA11" s="109"/>
      <c r="BB11" s="115"/>
      <c r="BC11" s="68"/>
      <c r="BD11" s="70"/>
      <c r="BE11" s="109"/>
      <c r="BF11" s="115"/>
      <c r="BG11" s="68"/>
      <c r="BH11" s="70"/>
      <c r="BI11" s="109"/>
      <c r="BJ11" s="115"/>
      <c r="BK11" s="68"/>
      <c r="BL11" s="70"/>
      <c r="BM11" s="109"/>
      <c r="BN11" s="115"/>
      <c r="BO11" s="68"/>
      <c r="BP11" s="70"/>
      <c r="BQ11" s="109"/>
      <c r="BR11" s="115"/>
      <c r="BS11" s="68"/>
      <c r="BT11" s="70"/>
      <c r="BU11" s="109"/>
      <c r="BV11" s="115"/>
      <c r="BW11" s="68"/>
      <c r="BX11" s="70"/>
      <c r="BY11" s="109"/>
      <c r="BZ11" s="115"/>
      <c r="CA11" s="68"/>
      <c r="CB11" s="70"/>
      <c r="CC11" s="109"/>
      <c r="CD11" s="115"/>
      <c r="CE11" s="68"/>
      <c r="CF11" s="70"/>
      <c r="CG11" s="109"/>
      <c r="CH11" s="115"/>
      <c r="CI11" s="68"/>
      <c r="CJ11" s="70"/>
      <c r="CK11" s="109"/>
      <c r="CL11" s="115"/>
      <c r="CM11" s="68"/>
      <c r="CN11" s="70"/>
      <c r="CO11" s="109"/>
      <c r="CP11" s="115"/>
      <c r="CQ11" s="68"/>
      <c r="CR11" s="70"/>
      <c r="CS11" s="109"/>
      <c r="CT11" s="115"/>
      <c r="CU11" s="68"/>
      <c r="CV11" s="70"/>
      <c r="CW11" s="109"/>
      <c r="CX11" s="115"/>
      <c r="CY11" s="68"/>
      <c r="CZ11" s="70"/>
      <c r="DA11" s="109"/>
      <c r="DB11" s="115"/>
      <c r="DC11" s="68"/>
      <c r="DD11" s="70"/>
      <c r="DE11" s="109"/>
      <c r="DF11" s="115"/>
      <c r="DG11" s="68"/>
      <c r="DH11" s="70"/>
      <c r="DI11" s="109"/>
      <c r="DJ11" s="115"/>
      <c r="DK11" s="68"/>
      <c r="DL11" s="70"/>
      <c r="DM11" s="109"/>
      <c r="DN11" s="115">
        <v>11</v>
      </c>
      <c r="DO11" s="68">
        <v>11</v>
      </c>
      <c r="DP11" s="70"/>
      <c r="DQ11" s="109"/>
      <c r="DR11" s="115"/>
      <c r="DS11" s="68"/>
      <c r="DT11" s="70"/>
      <c r="DU11" s="109"/>
      <c r="DV11" s="115"/>
      <c r="DW11" s="68"/>
      <c r="DX11" s="70"/>
      <c r="DY11" s="109"/>
      <c r="DZ11" s="115"/>
      <c r="EA11" s="68"/>
      <c r="EB11" s="70">
        <v>11</v>
      </c>
      <c r="EC11" s="109"/>
      <c r="ED11" s="115"/>
      <c r="EE11" s="68"/>
      <c r="EF11" s="70"/>
      <c r="EG11" s="109"/>
      <c r="EH11" s="115">
        <v>12</v>
      </c>
      <c r="EI11" s="68"/>
      <c r="EJ11" s="70"/>
      <c r="EK11" s="109"/>
      <c r="EL11" s="115"/>
      <c r="EM11" s="68"/>
      <c r="EN11" s="70">
        <v>12</v>
      </c>
      <c r="EO11" s="109"/>
      <c r="EP11" s="115"/>
      <c r="EQ11" s="68"/>
      <c r="ER11" s="70"/>
      <c r="ES11" s="109"/>
      <c r="ET11" s="115"/>
      <c r="EU11" s="68"/>
      <c r="EV11" s="70"/>
      <c r="EW11" s="109"/>
      <c r="EX11" s="115"/>
      <c r="EY11" s="68"/>
      <c r="EZ11" s="70"/>
      <c r="FA11" s="109"/>
      <c r="FB11" s="115"/>
      <c r="FC11" s="68"/>
      <c r="FD11" s="70"/>
      <c r="FE11" s="109"/>
      <c r="FF11" s="115"/>
      <c r="FG11" s="68"/>
      <c r="FH11" s="70"/>
      <c r="FI11" s="109"/>
      <c r="FJ11" s="115">
        <v>7</v>
      </c>
      <c r="FK11" s="68"/>
      <c r="FL11" s="70"/>
      <c r="FM11" s="109"/>
      <c r="FN11" s="115">
        <v>5</v>
      </c>
      <c r="FO11" s="68"/>
      <c r="FP11" s="70">
        <v>7</v>
      </c>
      <c r="FQ11" s="109"/>
      <c r="FR11" s="115"/>
      <c r="FS11" s="68"/>
      <c r="FT11" s="70">
        <v>5</v>
      </c>
      <c r="FU11" s="109"/>
      <c r="FV11" s="115"/>
      <c r="FW11" s="68"/>
      <c r="FX11" s="70"/>
      <c r="FY11" s="109"/>
      <c r="FZ11" s="115"/>
      <c r="GA11" s="68"/>
      <c r="GB11" s="70"/>
      <c r="GC11" s="109"/>
      <c r="GD11" s="121">
        <f t="shared" si="0"/>
        <v>35</v>
      </c>
      <c r="GE11" s="76">
        <f t="shared" si="1"/>
        <v>11</v>
      </c>
      <c r="GF11" s="78">
        <f t="shared" si="2"/>
        <v>35</v>
      </c>
      <c r="GG11" s="123">
        <f t="shared" si="3"/>
        <v>0</v>
      </c>
    </row>
    <row r="12" spans="1:189">
      <c r="A12" s="56"/>
      <c r="B12" s="59">
        <v>1109</v>
      </c>
      <c r="C12" s="60" t="s">
        <v>73</v>
      </c>
      <c r="D12" s="57"/>
      <c r="E12" s="61">
        <v>11</v>
      </c>
      <c r="F12" s="61" t="s">
        <v>111</v>
      </c>
      <c r="G12" s="62">
        <v>43553</v>
      </c>
      <c r="H12" s="58"/>
      <c r="I12" s="62">
        <v>43558</v>
      </c>
      <c r="J12" s="58"/>
      <c r="K12" s="61" t="s">
        <v>135</v>
      </c>
      <c r="L12" s="62">
        <v>43559</v>
      </c>
      <c r="M12" s="58"/>
      <c r="N12" s="63"/>
      <c r="O12" s="64"/>
      <c r="P12" s="64"/>
      <c r="Q12" s="63" t="s">
        <v>129</v>
      </c>
      <c r="R12" s="66"/>
      <c r="S12" s="68"/>
      <c r="T12" s="70"/>
      <c r="U12" s="109"/>
      <c r="V12" s="115"/>
      <c r="W12" s="68"/>
      <c r="X12" s="70"/>
      <c r="Y12" s="109"/>
      <c r="Z12" s="115"/>
      <c r="AA12" s="68"/>
      <c r="AB12" s="70"/>
      <c r="AC12" s="109"/>
      <c r="AD12" s="115"/>
      <c r="AE12" s="68"/>
      <c r="AF12" s="70"/>
      <c r="AG12" s="109"/>
      <c r="AH12" s="115"/>
      <c r="AI12" s="68"/>
      <c r="AJ12" s="70"/>
      <c r="AK12" s="109"/>
      <c r="AL12" s="115"/>
      <c r="AM12" s="68"/>
      <c r="AN12" s="70"/>
      <c r="AO12" s="109"/>
      <c r="AP12" s="115"/>
      <c r="AQ12" s="68"/>
      <c r="AR12" s="70"/>
      <c r="AS12" s="109"/>
      <c r="AT12" s="115"/>
      <c r="AU12" s="68"/>
      <c r="AV12" s="70"/>
      <c r="AW12" s="109"/>
      <c r="AX12" s="115"/>
      <c r="AY12" s="68"/>
      <c r="AZ12" s="70"/>
      <c r="BA12" s="109"/>
      <c r="BB12" s="115"/>
      <c r="BC12" s="68"/>
      <c r="BD12" s="70"/>
      <c r="BE12" s="109"/>
      <c r="BF12" s="115"/>
      <c r="BG12" s="68"/>
      <c r="BH12" s="70"/>
      <c r="BI12" s="109"/>
      <c r="BJ12" s="115"/>
      <c r="BK12" s="68"/>
      <c r="BL12" s="70"/>
      <c r="BM12" s="109"/>
      <c r="BN12" s="115"/>
      <c r="BO12" s="68"/>
      <c r="BP12" s="70"/>
      <c r="BQ12" s="109"/>
      <c r="BR12" s="115"/>
      <c r="BS12" s="68"/>
      <c r="BT12" s="70"/>
      <c r="BU12" s="109"/>
      <c r="BV12" s="115"/>
      <c r="BW12" s="68"/>
      <c r="BX12" s="70"/>
      <c r="BY12" s="109"/>
      <c r="BZ12" s="115"/>
      <c r="CA12" s="68"/>
      <c r="CB12" s="70"/>
      <c r="CC12" s="109"/>
      <c r="CD12" s="115"/>
      <c r="CE12" s="68"/>
      <c r="CF12" s="70"/>
      <c r="CG12" s="109"/>
      <c r="CH12" s="115"/>
      <c r="CI12" s="68"/>
      <c r="CJ12" s="70"/>
      <c r="CK12" s="109"/>
      <c r="CL12" s="115"/>
      <c r="CM12" s="68"/>
      <c r="CN12" s="70"/>
      <c r="CO12" s="109"/>
      <c r="CP12" s="115"/>
      <c r="CQ12" s="68"/>
      <c r="CR12" s="70"/>
      <c r="CS12" s="109"/>
      <c r="CT12" s="115"/>
      <c r="CU12" s="68"/>
      <c r="CV12" s="70"/>
      <c r="CW12" s="109"/>
      <c r="CX12" s="115"/>
      <c r="CY12" s="68"/>
      <c r="CZ12" s="70"/>
      <c r="DA12" s="109"/>
      <c r="DB12" s="115"/>
      <c r="DC12" s="68"/>
      <c r="DD12" s="70"/>
      <c r="DE12" s="109"/>
      <c r="DF12" s="115"/>
      <c r="DG12" s="68"/>
      <c r="DH12" s="70"/>
      <c r="DI12" s="109"/>
      <c r="DJ12" s="115"/>
      <c r="DK12" s="68"/>
      <c r="DL12" s="70"/>
      <c r="DM12" s="109"/>
      <c r="DN12" s="115"/>
      <c r="DO12" s="68"/>
      <c r="DP12" s="70"/>
      <c r="DQ12" s="109"/>
      <c r="DR12" s="115"/>
      <c r="DS12" s="68"/>
      <c r="DT12" s="70"/>
      <c r="DU12" s="109"/>
      <c r="DV12" s="115"/>
      <c r="DW12" s="68"/>
      <c r="DX12" s="70"/>
      <c r="DY12" s="109"/>
      <c r="DZ12" s="115"/>
      <c r="EA12" s="68"/>
      <c r="EB12" s="70"/>
      <c r="EC12" s="109"/>
      <c r="ED12" s="115"/>
      <c r="EE12" s="68"/>
      <c r="EF12" s="70"/>
      <c r="EG12" s="109"/>
      <c r="EH12" s="115">
        <v>11</v>
      </c>
      <c r="EI12" s="68"/>
      <c r="EJ12" s="70"/>
      <c r="EK12" s="109"/>
      <c r="EL12" s="115"/>
      <c r="EM12" s="68"/>
      <c r="EN12" s="70">
        <v>11</v>
      </c>
      <c r="EO12" s="109"/>
      <c r="EP12" s="115"/>
      <c r="EQ12" s="68"/>
      <c r="ER12" s="70"/>
      <c r="ES12" s="109"/>
      <c r="ET12" s="115"/>
      <c r="EU12" s="68"/>
      <c r="EV12" s="70"/>
      <c r="EW12" s="109"/>
      <c r="EX12" s="115"/>
      <c r="EY12" s="68"/>
      <c r="EZ12" s="70"/>
      <c r="FA12" s="109"/>
      <c r="FB12" s="115"/>
      <c r="FC12" s="68"/>
      <c r="FD12" s="70"/>
      <c r="FE12" s="109"/>
      <c r="FF12" s="115"/>
      <c r="FG12" s="68"/>
      <c r="FH12" s="70"/>
      <c r="FI12" s="109"/>
      <c r="FJ12" s="115"/>
      <c r="FK12" s="68"/>
      <c r="FL12" s="70"/>
      <c r="FM12" s="109"/>
      <c r="FN12" s="115"/>
      <c r="FO12" s="68"/>
      <c r="FP12" s="70"/>
      <c r="FQ12" s="109"/>
      <c r="FR12" s="115"/>
      <c r="FS12" s="68"/>
      <c r="FT12" s="70"/>
      <c r="FU12" s="109"/>
      <c r="FV12" s="115"/>
      <c r="FW12" s="68"/>
      <c r="FX12" s="70"/>
      <c r="FY12" s="109"/>
      <c r="FZ12" s="115"/>
      <c r="GA12" s="68"/>
      <c r="GB12" s="70"/>
      <c r="GC12" s="109"/>
      <c r="GD12" s="121">
        <f t="shared" si="0"/>
        <v>11</v>
      </c>
      <c r="GE12" s="76">
        <f t="shared" si="1"/>
        <v>0</v>
      </c>
      <c r="GF12" s="78">
        <f t="shared" si="2"/>
        <v>11</v>
      </c>
      <c r="GG12" s="123">
        <f t="shared" si="3"/>
        <v>0</v>
      </c>
    </row>
    <row r="13" spans="1:189">
      <c r="A13" s="56"/>
      <c r="B13" s="59">
        <v>1110</v>
      </c>
      <c r="C13" s="60" t="s">
        <v>74</v>
      </c>
      <c r="D13" s="57"/>
      <c r="E13" s="61">
        <v>10</v>
      </c>
      <c r="F13" s="61" t="s">
        <v>141</v>
      </c>
      <c r="G13" s="62">
        <v>43556</v>
      </c>
      <c r="H13" s="91"/>
      <c r="I13" s="62">
        <v>43556</v>
      </c>
      <c r="J13" s="58"/>
      <c r="K13" s="61" t="s">
        <v>138</v>
      </c>
      <c r="L13" s="62">
        <v>43557</v>
      </c>
      <c r="M13" s="58"/>
      <c r="N13" s="63"/>
      <c r="O13" s="64"/>
      <c r="P13" s="64"/>
      <c r="Q13" s="63"/>
      <c r="R13" s="66"/>
      <c r="S13" s="68"/>
      <c r="T13" s="70"/>
      <c r="U13" s="109"/>
      <c r="V13" s="115"/>
      <c r="W13" s="68"/>
      <c r="X13" s="70"/>
      <c r="Y13" s="109"/>
      <c r="Z13" s="115"/>
      <c r="AA13" s="68"/>
      <c r="AB13" s="70"/>
      <c r="AC13" s="109"/>
      <c r="AD13" s="115"/>
      <c r="AE13" s="68"/>
      <c r="AF13" s="70"/>
      <c r="AG13" s="109"/>
      <c r="AH13" s="115"/>
      <c r="AI13" s="68"/>
      <c r="AJ13" s="70"/>
      <c r="AK13" s="109"/>
      <c r="AL13" s="115"/>
      <c r="AM13" s="68"/>
      <c r="AN13" s="70"/>
      <c r="AO13" s="109"/>
      <c r="AP13" s="115"/>
      <c r="AQ13" s="68"/>
      <c r="AR13" s="70"/>
      <c r="AS13" s="109"/>
      <c r="AT13" s="115"/>
      <c r="AU13" s="68"/>
      <c r="AV13" s="70"/>
      <c r="AW13" s="109"/>
      <c r="AX13" s="115"/>
      <c r="AY13" s="68"/>
      <c r="AZ13" s="70"/>
      <c r="BA13" s="109"/>
      <c r="BB13" s="115"/>
      <c r="BC13" s="68"/>
      <c r="BD13" s="70"/>
      <c r="BE13" s="109"/>
      <c r="BF13" s="115"/>
      <c r="BG13" s="68"/>
      <c r="BH13" s="70"/>
      <c r="BI13" s="109"/>
      <c r="BJ13" s="115"/>
      <c r="BK13" s="68"/>
      <c r="BL13" s="70"/>
      <c r="BM13" s="109"/>
      <c r="BN13" s="115"/>
      <c r="BO13" s="68"/>
      <c r="BP13" s="70"/>
      <c r="BQ13" s="109"/>
      <c r="BR13" s="115"/>
      <c r="BS13" s="68"/>
      <c r="BT13" s="70"/>
      <c r="BU13" s="109"/>
      <c r="BV13" s="115"/>
      <c r="BW13" s="68"/>
      <c r="BX13" s="70"/>
      <c r="BY13" s="109"/>
      <c r="BZ13" s="115"/>
      <c r="CA13" s="68"/>
      <c r="CB13" s="70"/>
      <c r="CC13" s="109"/>
      <c r="CD13" s="115"/>
      <c r="CE13" s="68"/>
      <c r="CF13" s="70"/>
      <c r="CG13" s="109"/>
      <c r="CH13" s="115"/>
      <c r="CI13" s="68"/>
      <c r="CJ13" s="70"/>
      <c r="CK13" s="109"/>
      <c r="CL13" s="115"/>
      <c r="CM13" s="68"/>
      <c r="CN13" s="70"/>
      <c r="CO13" s="109"/>
      <c r="CP13" s="115"/>
      <c r="CQ13" s="68"/>
      <c r="CR13" s="70"/>
      <c r="CS13" s="109"/>
      <c r="CT13" s="115"/>
      <c r="CU13" s="68"/>
      <c r="CV13" s="70"/>
      <c r="CW13" s="109"/>
      <c r="CX13" s="115"/>
      <c r="CY13" s="68"/>
      <c r="CZ13" s="70"/>
      <c r="DA13" s="109"/>
      <c r="DB13" s="115"/>
      <c r="DC13" s="68"/>
      <c r="DD13" s="70"/>
      <c r="DE13" s="109"/>
      <c r="DF13" s="115"/>
      <c r="DG13" s="68"/>
      <c r="DH13" s="70"/>
      <c r="DI13" s="109"/>
      <c r="DJ13" s="115"/>
      <c r="DK13" s="68"/>
      <c r="DL13" s="70"/>
      <c r="DM13" s="109"/>
      <c r="DN13" s="115"/>
      <c r="DO13" s="68"/>
      <c r="DP13" s="70"/>
      <c r="DQ13" s="109"/>
      <c r="DR13" s="115"/>
      <c r="DS13" s="68"/>
      <c r="DT13" s="70"/>
      <c r="DU13" s="109"/>
      <c r="DV13" s="115"/>
      <c r="DW13" s="68"/>
      <c r="DX13" s="70"/>
      <c r="DY13" s="109"/>
      <c r="DZ13" s="115">
        <v>10</v>
      </c>
      <c r="EA13" s="68"/>
      <c r="EB13" s="70"/>
      <c r="EC13" s="109"/>
      <c r="ED13" s="115"/>
      <c r="EE13" s="68"/>
      <c r="EF13" s="70">
        <v>10</v>
      </c>
      <c r="EG13" s="109"/>
      <c r="EH13" s="115"/>
      <c r="EI13" s="68"/>
      <c r="EJ13" s="70"/>
      <c r="EK13" s="109"/>
      <c r="EL13" s="115"/>
      <c r="EM13" s="68"/>
      <c r="EN13" s="70"/>
      <c r="EO13" s="109"/>
      <c r="EP13" s="115"/>
      <c r="EQ13" s="68"/>
      <c r="ER13" s="70"/>
      <c r="ES13" s="109"/>
      <c r="ET13" s="115"/>
      <c r="EU13" s="68"/>
      <c r="EV13" s="70"/>
      <c r="EW13" s="109"/>
      <c r="EX13" s="115"/>
      <c r="EY13" s="68"/>
      <c r="EZ13" s="70"/>
      <c r="FA13" s="109"/>
      <c r="FB13" s="115"/>
      <c r="FC13" s="68"/>
      <c r="FD13" s="70"/>
      <c r="FE13" s="109"/>
      <c r="FF13" s="115"/>
      <c r="FG13" s="68"/>
      <c r="FH13" s="70"/>
      <c r="FI13" s="109"/>
      <c r="FJ13" s="115"/>
      <c r="FK13" s="68"/>
      <c r="FL13" s="70"/>
      <c r="FM13" s="109"/>
      <c r="FN13" s="115"/>
      <c r="FO13" s="68"/>
      <c r="FP13" s="70"/>
      <c r="FQ13" s="109"/>
      <c r="FR13" s="115"/>
      <c r="FS13" s="68"/>
      <c r="FT13" s="70"/>
      <c r="FU13" s="109"/>
      <c r="FV13" s="115"/>
      <c r="FW13" s="68"/>
      <c r="FX13" s="70"/>
      <c r="FY13" s="109"/>
      <c r="FZ13" s="115"/>
      <c r="GA13" s="68"/>
      <c r="GB13" s="70"/>
      <c r="GC13" s="109"/>
      <c r="GD13" s="121">
        <f t="shared" si="0"/>
        <v>10</v>
      </c>
      <c r="GE13" s="76">
        <f t="shared" si="1"/>
        <v>0</v>
      </c>
      <c r="GF13" s="78">
        <f t="shared" si="2"/>
        <v>10</v>
      </c>
      <c r="GG13" s="123">
        <f t="shared" si="3"/>
        <v>0</v>
      </c>
    </row>
    <row r="14" spans="1:189">
      <c r="A14" s="56"/>
      <c r="B14" s="59">
        <v>1111</v>
      </c>
      <c r="C14" s="60" t="s">
        <v>75</v>
      </c>
      <c r="D14" s="57"/>
      <c r="E14" s="61">
        <v>7</v>
      </c>
      <c r="F14" s="61" t="s">
        <v>141</v>
      </c>
      <c r="G14" s="62">
        <v>43556</v>
      </c>
      <c r="H14" s="91"/>
      <c r="I14" s="62">
        <v>43556</v>
      </c>
      <c r="J14" s="58"/>
      <c r="K14" s="61" t="s">
        <v>137</v>
      </c>
      <c r="L14" s="62">
        <v>43557</v>
      </c>
      <c r="M14" s="58"/>
      <c r="N14" s="63"/>
      <c r="O14" s="64"/>
      <c r="P14" s="64"/>
      <c r="Q14" s="63"/>
      <c r="R14" s="66"/>
      <c r="S14" s="68"/>
      <c r="T14" s="70"/>
      <c r="U14" s="109"/>
      <c r="V14" s="115"/>
      <c r="W14" s="68"/>
      <c r="X14" s="70"/>
      <c r="Y14" s="109"/>
      <c r="Z14" s="115"/>
      <c r="AA14" s="68"/>
      <c r="AB14" s="70"/>
      <c r="AC14" s="109"/>
      <c r="AD14" s="115"/>
      <c r="AE14" s="68"/>
      <c r="AF14" s="70"/>
      <c r="AG14" s="109"/>
      <c r="AH14" s="115"/>
      <c r="AI14" s="68"/>
      <c r="AJ14" s="70"/>
      <c r="AK14" s="109"/>
      <c r="AL14" s="115"/>
      <c r="AM14" s="68"/>
      <c r="AN14" s="70"/>
      <c r="AO14" s="109"/>
      <c r="AP14" s="115"/>
      <c r="AQ14" s="68"/>
      <c r="AR14" s="70"/>
      <c r="AS14" s="109"/>
      <c r="AT14" s="115"/>
      <c r="AU14" s="68"/>
      <c r="AV14" s="70"/>
      <c r="AW14" s="109"/>
      <c r="AX14" s="115"/>
      <c r="AY14" s="68"/>
      <c r="AZ14" s="70"/>
      <c r="BA14" s="109"/>
      <c r="BB14" s="115"/>
      <c r="BC14" s="68"/>
      <c r="BD14" s="70"/>
      <c r="BE14" s="109"/>
      <c r="BF14" s="115"/>
      <c r="BG14" s="68"/>
      <c r="BH14" s="70"/>
      <c r="BI14" s="109"/>
      <c r="BJ14" s="115"/>
      <c r="BK14" s="68"/>
      <c r="BL14" s="70"/>
      <c r="BM14" s="109"/>
      <c r="BN14" s="115"/>
      <c r="BO14" s="68"/>
      <c r="BP14" s="70"/>
      <c r="BQ14" s="109"/>
      <c r="BR14" s="115"/>
      <c r="BS14" s="68"/>
      <c r="BT14" s="70"/>
      <c r="BU14" s="109"/>
      <c r="BV14" s="115"/>
      <c r="BW14" s="68"/>
      <c r="BX14" s="70"/>
      <c r="BY14" s="109"/>
      <c r="BZ14" s="115"/>
      <c r="CA14" s="68"/>
      <c r="CB14" s="70"/>
      <c r="CC14" s="109"/>
      <c r="CD14" s="115"/>
      <c r="CE14" s="68"/>
      <c r="CF14" s="70"/>
      <c r="CG14" s="109"/>
      <c r="CH14" s="115"/>
      <c r="CI14" s="68"/>
      <c r="CJ14" s="70"/>
      <c r="CK14" s="109"/>
      <c r="CL14" s="115"/>
      <c r="CM14" s="68"/>
      <c r="CN14" s="70"/>
      <c r="CO14" s="109"/>
      <c r="CP14" s="115"/>
      <c r="CQ14" s="68"/>
      <c r="CR14" s="70"/>
      <c r="CS14" s="109"/>
      <c r="CT14" s="115"/>
      <c r="CU14" s="68"/>
      <c r="CV14" s="70"/>
      <c r="CW14" s="109"/>
      <c r="CX14" s="115"/>
      <c r="CY14" s="68"/>
      <c r="CZ14" s="70"/>
      <c r="DA14" s="109"/>
      <c r="DB14" s="115"/>
      <c r="DC14" s="68"/>
      <c r="DD14" s="70"/>
      <c r="DE14" s="109"/>
      <c r="DF14" s="115"/>
      <c r="DG14" s="68"/>
      <c r="DH14" s="70"/>
      <c r="DI14" s="109"/>
      <c r="DJ14" s="115"/>
      <c r="DK14" s="68"/>
      <c r="DL14" s="70"/>
      <c r="DM14" s="109"/>
      <c r="DN14" s="115"/>
      <c r="DO14" s="68"/>
      <c r="DP14" s="70"/>
      <c r="DQ14" s="109"/>
      <c r="DR14" s="115"/>
      <c r="DS14" s="68"/>
      <c r="DT14" s="70"/>
      <c r="DU14" s="109"/>
      <c r="DV14" s="115"/>
      <c r="DW14" s="68"/>
      <c r="DX14" s="70"/>
      <c r="DY14" s="109"/>
      <c r="DZ14" s="115">
        <v>7</v>
      </c>
      <c r="EA14" s="68"/>
      <c r="EB14" s="70"/>
      <c r="EC14" s="109"/>
      <c r="ED14" s="115"/>
      <c r="EE14" s="68"/>
      <c r="EF14" s="70">
        <v>7</v>
      </c>
      <c r="EG14" s="109"/>
      <c r="EH14" s="115"/>
      <c r="EI14" s="68"/>
      <c r="EJ14" s="70"/>
      <c r="EK14" s="109"/>
      <c r="EL14" s="115"/>
      <c r="EM14" s="68"/>
      <c r="EN14" s="70"/>
      <c r="EO14" s="109"/>
      <c r="EP14" s="115"/>
      <c r="EQ14" s="68"/>
      <c r="ER14" s="70"/>
      <c r="ES14" s="109"/>
      <c r="ET14" s="115"/>
      <c r="EU14" s="68"/>
      <c r="EV14" s="70"/>
      <c r="EW14" s="109"/>
      <c r="EX14" s="115"/>
      <c r="EY14" s="68"/>
      <c r="EZ14" s="70"/>
      <c r="FA14" s="109"/>
      <c r="FB14" s="115"/>
      <c r="FC14" s="68"/>
      <c r="FD14" s="70"/>
      <c r="FE14" s="109"/>
      <c r="FF14" s="115"/>
      <c r="FG14" s="68"/>
      <c r="FH14" s="70"/>
      <c r="FI14" s="109"/>
      <c r="FJ14" s="115"/>
      <c r="FK14" s="68"/>
      <c r="FL14" s="70"/>
      <c r="FM14" s="109"/>
      <c r="FN14" s="115"/>
      <c r="FO14" s="68"/>
      <c r="FP14" s="70"/>
      <c r="FQ14" s="109"/>
      <c r="FR14" s="115"/>
      <c r="FS14" s="68"/>
      <c r="FT14" s="70"/>
      <c r="FU14" s="109"/>
      <c r="FV14" s="115"/>
      <c r="FW14" s="68"/>
      <c r="FX14" s="70"/>
      <c r="FY14" s="109"/>
      <c r="FZ14" s="115"/>
      <c r="GA14" s="68"/>
      <c r="GB14" s="70"/>
      <c r="GC14" s="109"/>
      <c r="GD14" s="121">
        <f t="shared" si="0"/>
        <v>7</v>
      </c>
      <c r="GE14" s="76">
        <f t="shared" si="1"/>
        <v>0</v>
      </c>
      <c r="GF14" s="78">
        <f t="shared" si="2"/>
        <v>7</v>
      </c>
      <c r="GG14" s="123">
        <f t="shared" si="3"/>
        <v>0</v>
      </c>
    </row>
    <row r="15" spans="1:189">
      <c r="A15" s="56"/>
      <c r="B15" s="59">
        <v>1112</v>
      </c>
      <c r="C15" s="60" t="s">
        <v>76</v>
      </c>
      <c r="D15" s="57"/>
      <c r="E15" s="61">
        <v>7</v>
      </c>
      <c r="F15" s="61" t="s">
        <v>111</v>
      </c>
      <c r="G15" s="62">
        <v>43567</v>
      </c>
      <c r="H15" s="58"/>
      <c r="I15" s="62">
        <v>43567</v>
      </c>
      <c r="J15" s="58"/>
      <c r="K15" s="61" t="s">
        <v>137</v>
      </c>
      <c r="L15" s="62">
        <v>43567</v>
      </c>
      <c r="M15" s="58"/>
      <c r="N15" s="63"/>
      <c r="O15" s="64"/>
      <c r="P15" s="64"/>
      <c r="Q15" s="63"/>
      <c r="R15" s="66"/>
      <c r="S15" s="68"/>
      <c r="T15" s="70"/>
      <c r="U15" s="109"/>
      <c r="V15" s="115"/>
      <c r="W15" s="68"/>
      <c r="X15" s="70"/>
      <c r="Y15" s="109"/>
      <c r="Z15" s="115"/>
      <c r="AA15" s="68"/>
      <c r="AB15" s="70"/>
      <c r="AC15" s="109"/>
      <c r="AD15" s="115"/>
      <c r="AE15" s="68"/>
      <c r="AF15" s="70"/>
      <c r="AG15" s="109"/>
      <c r="AH15" s="115"/>
      <c r="AI15" s="68"/>
      <c r="AJ15" s="70"/>
      <c r="AK15" s="109"/>
      <c r="AL15" s="115"/>
      <c r="AM15" s="68"/>
      <c r="AN15" s="70"/>
      <c r="AO15" s="109"/>
      <c r="AP15" s="115"/>
      <c r="AQ15" s="68"/>
      <c r="AR15" s="70"/>
      <c r="AS15" s="109"/>
      <c r="AT15" s="115"/>
      <c r="AU15" s="68"/>
      <c r="AV15" s="70"/>
      <c r="AW15" s="109"/>
      <c r="AX15" s="115"/>
      <c r="AY15" s="68"/>
      <c r="AZ15" s="70"/>
      <c r="BA15" s="109"/>
      <c r="BB15" s="115"/>
      <c r="BC15" s="68"/>
      <c r="BD15" s="70"/>
      <c r="BE15" s="109"/>
      <c r="BF15" s="115"/>
      <c r="BG15" s="68"/>
      <c r="BH15" s="70"/>
      <c r="BI15" s="109"/>
      <c r="BJ15" s="115"/>
      <c r="BK15" s="68"/>
      <c r="BL15" s="70"/>
      <c r="BM15" s="109"/>
      <c r="BN15" s="115"/>
      <c r="BO15" s="68"/>
      <c r="BP15" s="70"/>
      <c r="BQ15" s="109"/>
      <c r="BR15" s="115"/>
      <c r="BS15" s="68"/>
      <c r="BT15" s="70"/>
      <c r="BU15" s="109"/>
      <c r="BV15" s="115"/>
      <c r="BW15" s="68"/>
      <c r="BX15" s="70"/>
      <c r="BY15" s="109"/>
      <c r="BZ15" s="115"/>
      <c r="CA15" s="68"/>
      <c r="CB15" s="70"/>
      <c r="CC15" s="109"/>
      <c r="CD15" s="115"/>
      <c r="CE15" s="68"/>
      <c r="CF15" s="70"/>
      <c r="CG15" s="109"/>
      <c r="CH15" s="115"/>
      <c r="CI15" s="68"/>
      <c r="CJ15" s="70"/>
      <c r="CK15" s="109"/>
      <c r="CL15" s="115"/>
      <c r="CM15" s="68"/>
      <c r="CN15" s="70"/>
      <c r="CO15" s="109"/>
      <c r="CP15" s="115"/>
      <c r="CQ15" s="68"/>
      <c r="CR15" s="70"/>
      <c r="CS15" s="109"/>
      <c r="CT15" s="115"/>
      <c r="CU15" s="68"/>
      <c r="CV15" s="70"/>
      <c r="CW15" s="109"/>
      <c r="CX15" s="115"/>
      <c r="CY15" s="68"/>
      <c r="CZ15" s="70"/>
      <c r="DA15" s="109"/>
      <c r="DB15" s="115"/>
      <c r="DC15" s="68"/>
      <c r="DD15" s="70"/>
      <c r="DE15" s="109"/>
      <c r="DF15" s="115"/>
      <c r="DG15" s="68"/>
      <c r="DH15" s="70"/>
      <c r="DI15" s="109"/>
      <c r="DJ15" s="115"/>
      <c r="DK15" s="68"/>
      <c r="DL15" s="70"/>
      <c r="DM15" s="109"/>
      <c r="DN15" s="115"/>
      <c r="DO15" s="68"/>
      <c r="DP15" s="70"/>
      <c r="DQ15" s="109"/>
      <c r="DR15" s="115"/>
      <c r="DS15" s="68"/>
      <c r="DT15" s="70"/>
      <c r="DU15" s="109"/>
      <c r="DV15" s="115"/>
      <c r="DW15" s="68"/>
      <c r="DX15" s="70"/>
      <c r="DY15" s="109"/>
      <c r="DZ15" s="115"/>
      <c r="EA15" s="68"/>
      <c r="EB15" s="70"/>
      <c r="EC15" s="109"/>
      <c r="ED15" s="115"/>
      <c r="EE15" s="68"/>
      <c r="EF15" s="70"/>
      <c r="EG15" s="109"/>
      <c r="EH15" s="115"/>
      <c r="EI15" s="68"/>
      <c r="EJ15" s="70"/>
      <c r="EK15" s="109"/>
      <c r="EL15" s="115"/>
      <c r="EM15" s="68"/>
      <c r="EN15" s="70"/>
      <c r="EO15" s="109"/>
      <c r="EP15" s="115"/>
      <c r="EQ15" s="68"/>
      <c r="ER15" s="70"/>
      <c r="ES15" s="109"/>
      <c r="ET15" s="115"/>
      <c r="EU15" s="68"/>
      <c r="EV15" s="70"/>
      <c r="EW15" s="109"/>
      <c r="EX15" s="115"/>
      <c r="EY15" s="68"/>
      <c r="EZ15" s="70"/>
      <c r="FA15" s="109"/>
      <c r="FB15" s="115"/>
      <c r="FC15" s="68"/>
      <c r="FD15" s="70"/>
      <c r="FE15" s="109"/>
      <c r="FF15" s="115"/>
      <c r="FG15" s="68"/>
      <c r="FH15" s="70"/>
      <c r="FI15" s="109"/>
      <c r="FJ15" s="115"/>
      <c r="FK15" s="68"/>
      <c r="FL15" s="70"/>
      <c r="FM15" s="109"/>
      <c r="FN15" s="115">
        <v>7</v>
      </c>
      <c r="FO15" s="68"/>
      <c r="FP15" s="70"/>
      <c r="FQ15" s="109"/>
      <c r="FR15" s="115"/>
      <c r="FS15" s="68"/>
      <c r="FT15" s="70">
        <v>7</v>
      </c>
      <c r="FU15" s="109"/>
      <c r="FV15" s="115"/>
      <c r="FW15" s="68"/>
      <c r="FX15" s="70"/>
      <c r="FY15" s="109"/>
      <c r="FZ15" s="115"/>
      <c r="GA15" s="68"/>
      <c r="GB15" s="70"/>
      <c r="GC15" s="109"/>
      <c r="GD15" s="121">
        <f t="shared" si="0"/>
        <v>7</v>
      </c>
      <c r="GE15" s="76">
        <f t="shared" si="1"/>
        <v>0</v>
      </c>
      <c r="GF15" s="78">
        <f t="shared" si="2"/>
        <v>7</v>
      </c>
      <c r="GG15" s="123">
        <f t="shared" si="3"/>
        <v>0</v>
      </c>
    </row>
    <row r="16" spans="1:189">
      <c r="A16" s="56"/>
      <c r="B16" s="59">
        <v>1113</v>
      </c>
      <c r="C16" s="60" t="s">
        <v>77</v>
      </c>
      <c r="D16" s="57"/>
      <c r="E16" s="61">
        <v>6</v>
      </c>
      <c r="F16" s="61" t="s">
        <v>141</v>
      </c>
      <c r="G16" s="62">
        <v>43556</v>
      </c>
      <c r="H16" s="58"/>
      <c r="I16" s="62">
        <v>43557</v>
      </c>
      <c r="J16" s="58"/>
      <c r="K16" s="61" t="s">
        <v>138</v>
      </c>
      <c r="L16" s="62">
        <v>43557</v>
      </c>
      <c r="M16" s="58"/>
      <c r="N16" s="63"/>
      <c r="O16" s="64"/>
      <c r="P16" s="64"/>
      <c r="Q16" s="63"/>
      <c r="R16" s="66"/>
      <c r="S16" s="68"/>
      <c r="T16" s="70"/>
      <c r="U16" s="109"/>
      <c r="V16" s="115"/>
      <c r="W16" s="68"/>
      <c r="X16" s="70"/>
      <c r="Y16" s="109"/>
      <c r="Z16" s="115"/>
      <c r="AA16" s="68"/>
      <c r="AB16" s="70"/>
      <c r="AC16" s="109"/>
      <c r="AD16" s="115"/>
      <c r="AE16" s="68"/>
      <c r="AF16" s="70"/>
      <c r="AG16" s="109"/>
      <c r="AH16" s="115"/>
      <c r="AI16" s="68"/>
      <c r="AJ16" s="70"/>
      <c r="AK16" s="109"/>
      <c r="AL16" s="115"/>
      <c r="AM16" s="68"/>
      <c r="AN16" s="70"/>
      <c r="AO16" s="109"/>
      <c r="AP16" s="115"/>
      <c r="AQ16" s="68"/>
      <c r="AR16" s="70"/>
      <c r="AS16" s="109"/>
      <c r="AT16" s="115"/>
      <c r="AU16" s="68"/>
      <c r="AV16" s="70"/>
      <c r="AW16" s="109"/>
      <c r="AX16" s="115"/>
      <c r="AY16" s="68"/>
      <c r="AZ16" s="70"/>
      <c r="BA16" s="109"/>
      <c r="BB16" s="115"/>
      <c r="BC16" s="68"/>
      <c r="BD16" s="70"/>
      <c r="BE16" s="109"/>
      <c r="BF16" s="115"/>
      <c r="BG16" s="68"/>
      <c r="BH16" s="70"/>
      <c r="BI16" s="109"/>
      <c r="BJ16" s="115"/>
      <c r="BK16" s="68"/>
      <c r="BL16" s="70"/>
      <c r="BM16" s="109"/>
      <c r="BN16" s="115"/>
      <c r="BO16" s="68"/>
      <c r="BP16" s="70"/>
      <c r="BQ16" s="109"/>
      <c r="BR16" s="115"/>
      <c r="BS16" s="68"/>
      <c r="BT16" s="70"/>
      <c r="BU16" s="109"/>
      <c r="BV16" s="115"/>
      <c r="BW16" s="68"/>
      <c r="BX16" s="70"/>
      <c r="BY16" s="109"/>
      <c r="BZ16" s="115"/>
      <c r="CA16" s="68"/>
      <c r="CB16" s="70"/>
      <c r="CC16" s="109"/>
      <c r="CD16" s="115"/>
      <c r="CE16" s="68"/>
      <c r="CF16" s="70"/>
      <c r="CG16" s="109"/>
      <c r="CH16" s="115"/>
      <c r="CI16" s="68"/>
      <c r="CJ16" s="70"/>
      <c r="CK16" s="109"/>
      <c r="CL16" s="115"/>
      <c r="CM16" s="68"/>
      <c r="CN16" s="70"/>
      <c r="CO16" s="109"/>
      <c r="CP16" s="115"/>
      <c r="CQ16" s="68"/>
      <c r="CR16" s="70"/>
      <c r="CS16" s="109"/>
      <c r="CT16" s="115"/>
      <c r="CU16" s="68"/>
      <c r="CV16" s="70"/>
      <c r="CW16" s="109"/>
      <c r="CX16" s="115"/>
      <c r="CY16" s="68"/>
      <c r="CZ16" s="70"/>
      <c r="DA16" s="109"/>
      <c r="DB16" s="115"/>
      <c r="DC16" s="68"/>
      <c r="DD16" s="70"/>
      <c r="DE16" s="109"/>
      <c r="DF16" s="115"/>
      <c r="DG16" s="68"/>
      <c r="DH16" s="70"/>
      <c r="DI16" s="109"/>
      <c r="DJ16" s="115"/>
      <c r="DK16" s="68"/>
      <c r="DL16" s="70"/>
      <c r="DM16" s="109"/>
      <c r="DN16" s="115"/>
      <c r="DO16" s="68"/>
      <c r="DP16" s="70"/>
      <c r="DQ16" s="109"/>
      <c r="DR16" s="115"/>
      <c r="DS16" s="68"/>
      <c r="DT16" s="70"/>
      <c r="DU16" s="109"/>
      <c r="DV16" s="115"/>
      <c r="DW16" s="68"/>
      <c r="DX16" s="70"/>
      <c r="DY16" s="109"/>
      <c r="DZ16" s="115">
        <v>6</v>
      </c>
      <c r="EA16" s="68"/>
      <c r="EB16" s="70"/>
      <c r="EC16" s="109"/>
      <c r="ED16" s="115"/>
      <c r="EE16" s="68"/>
      <c r="EF16" s="70">
        <v>6</v>
      </c>
      <c r="EG16" s="109"/>
      <c r="EH16" s="115"/>
      <c r="EI16" s="68"/>
      <c r="EJ16" s="70"/>
      <c r="EK16" s="109"/>
      <c r="EL16" s="115"/>
      <c r="EM16" s="68"/>
      <c r="EN16" s="70"/>
      <c r="EO16" s="109"/>
      <c r="EP16" s="115"/>
      <c r="EQ16" s="68"/>
      <c r="ER16" s="70"/>
      <c r="ES16" s="109"/>
      <c r="ET16" s="115"/>
      <c r="EU16" s="68"/>
      <c r="EV16" s="70"/>
      <c r="EW16" s="109"/>
      <c r="EX16" s="115"/>
      <c r="EY16" s="68"/>
      <c r="EZ16" s="70"/>
      <c r="FA16" s="109"/>
      <c r="FB16" s="115"/>
      <c r="FC16" s="68"/>
      <c r="FD16" s="70"/>
      <c r="FE16" s="109"/>
      <c r="FF16" s="115"/>
      <c r="FG16" s="68"/>
      <c r="FH16" s="70"/>
      <c r="FI16" s="109"/>
      <c r="FJ16" s="115"/>
      <c r="FK16" s="68"/>
      <c r="FL16" s="70"/>
      <c r="FM16" s="109"/>
      <c r="FN16" s="115"/>
      <c r="FO16" s="68"/>
      <c r="FP16" s="70"/>
      <c r="FQ16" s="109"/>
      <c r="FR16" s="115"/>
      <c r="FS16" s="68"/>
      <c r="FT16" s="70"/>
      <c r="FU16" s="109"/>
      <c r="FV16" s="115"/>
      <c r="FW16" s="68"/>
      <c r="FX16" s="70"/>
      <c r="FY16" s="109"/>
      <c r="FZ16" s="115"/>
      <c r="GA16" s="68"/>
      <c r="GB16" s="70"/>
      <c r="GC16" s="109"/>
      <c r="GD16" s="121">
        <f t="shared" si="0"/>
        <v>6</v>
      </c>
      <c r="GE16" s="76">
        <f t="shared" si="1"/>
        <v>0</v>
      </c>
      <c r="GF16" s="78">
        <f t="shared" si="2"/>
        <v>6</v>
      </c>
      <c r="GG16" s="123">
        <f t="shared" si="3"/>
        <v>0</v>
      </c>
    </row>
    <row r="17" spans="1:189">
      <c r="A17" s="56"/>
      <c r="B17" s="59">
        <v>1201</v>
      </c>
      <c r="C17" s="60" t="s">
        <v>78</v>
      </c>
      <c r="D17" s="57"/>
      <c r="E17" s="61">
        <v>1</v>
      </c>
      <c r="F17" s="61" t="s">
        <v>141</v>
      </c>
      <c r="G17" s="62">
        <v>43528</v>
      </c>
      <c r="H17" s="58">
        <v>43530</v>
      </c>
      <c r="I17" s="62">
        <v>43532</v>
      </c>
      <c r="J17" s="58">
        <v>43530</v>
      </c>
      <c r="K17" s="61" t="s">
        <v>113</v>
      </c>
      <c r="L17" s="62">
        <v>43539</v>
      </c>
      <c r="M17" s="58">
        <v>43532</v>
      </c>
      <c r="N17" s="63" t="s">
        <v>125</v>
      </c>
      <c r="O17" s="64">
        <v>43531</v>
      </c>
      <c r="P17" s="64">
        <v>43532</v>
      </c>
      <c r="Q17" s="63" t="s">
        <v>126</v>
      </c>
      <c r="R17" s="66"/>
      <c r="S17" s="68"/>
      <c r="T17" s="70"/>
      <c r="U17" s="109"/>
      <c r="V17" s="115"/>
      <c r="W17" s="68"/>
      <c r="X17" s="70"/>
      <c r="Y17" s="109"/>
      <c r="Z17" s="115">
        <v>1</v>
      </c>
      <c r="AA17" s="68">
        <v>1</v>
      </c>
      <c r="AB17" s="70"/>
      <c r="AC17" s="109"/>
      <c r="AD17" s="115"/>
      <c r="AE17" s="68"/>
      <c r="AF17" s="70"/>
      <c r="AG17" s="109"/>
      <c r="AH17" s="115"/>
      <c r="AI17" s="68"/>
      <c r="AJ17" s="70"/>
      <c r="AK17" s="109">
        <v>1</v>
      </c>
      <c r="AL17" s="115"/>
      <c r="AM17" s="68"/>
      <c r="AN17" s="70"/>
      <c r="AO17" s="109"/>
      <c r="AP17" s="115"/>
      <c r="AQ17" s="68"/>
      <c r="AR17" s="70"/>
      <c r="AS17" s="109"/>
      <c r="AT17" s="115"/>
      <c r="AU17" s="68"/>
      <c r="AV17" s="70"/>
      <c r="AW17" s="109"/>
      <c r="AX17" s="115"/>
      <c r="AY17" s="68"/>
      <c r="AZ17" s="70"/>
      <c r="BA17" s="109"/>
      <c r="BB17" s="115"/>
      <c r="BC17" s="68"/>
      <c r="BD17" s="70"/>
      <c r="BE17" s="109"/>
      <c r="BF17" s="115"/>
      <c r="BG17" s="68"/>
      <c r="BH17" s="70"/>
      <c r="BI17" s="109"/>
      <c r="BJ17" s="115"/>
      <c r="BK17" s="68"/>
      <c r="BL17" s="70">
        <v>1</v>
      </c>
      <c r="BM17" s="109"/>
      <c r="BN17" s="115"/>
      <c r="BO17" s="68"/>
      <c r="BP17" s="70"/>
      <c r="BQ17" s="109"/>
      <c r="BR17" s="115"/>
      <c r="BS17" s="68"/>
      <c r="BT17" s="70"/>
      <c r="BU17" s="109"/>
      <c r="BV17" s="115"/>
      <c r="BW17" s="68"/>
      <c r="BX17" s="70"/>
      <c r="BY17" s="109"/>
      <c r="BZ17" s="115"/>
      <c r="CA17" s="68"/>
      <c r="CB17" s="70"/>
      <c r="CC17" s="109"/>
      <c r="CD17" s="115"/>
      <c r="CE17" s="68"/>
      <c r="CF17" s="70"/>
      <c r="CG17" s="109"/>
      <c r="CH17" s="115"/>
      <c r="CI17" s="68"/>
      <c r="CJ17" s="70"/>
      <c r="CK17" s="109"/>
      <c r="CL17" s="115"/>
      <c r="CM17" s="68"/>
      <c r="CN17" s="70"/>
      <c r="CO17" s="109"/>
      <c r="CP17" s="115"/>
      <c r="CQ17" s="68"/>
      <c r="CR17" s="70"/>
      <c r="CS17" s="109"/>
      <c r="CT17" s="115"/>
      <c r="CU17" s="68"/>
      <c r="CV17" s="70"/>
      <c r="CW17" s="109"/>
      <c r="CX17" s="115"/>
      <c r="CY17" s="68"/>
      <c r="CZ17" s="70"/>
      <c r="DA17" s="109"/>
      <c r="DB17" s="115"/>
      <c r="DC17" s="68"/>
      <c r="DD17" s="70"/>
      <c r="DE17" s="109"/>
      <c r="DF17" s="115"/>
      <c r="DG17" s="68"/>
      <c r="DH17" s="70"/>
      <c r="DI17" s="109"/>
      <c r="DJ17" s="115"/>
      <c r="DK17" s="68"/>
      <c r="DL17" s="70"/>
      <c r="DM17" s="109"/>
      <c r="DN17" s="115"/>
      <c r="DO17" s="68"/>
      <c r="DP17" s="70"/>
      <c r="DQ17" s="109"/>
      <c r="DR17" s="115"/>
      <c r="DS17" s="68"/>
      <c r="DT17" s="70"/>
      <c r="DU17" s="109"/>
      <c r="DV17" s="115"/>
      <c r="DW17" s="68"/>
      <c r="DX17" s="70"/>
      <c r="DY17" s="109"/>
      <c r="DZ17" s="115"/>
      <c r="EA17" s="68"/>
      <c r="EB17" s="70"/>
      <c r="EC17" s="109"/>
      <c r="ED17" s="115"/>
      <c r="EE17" s="68"/>
      <c r="EF17" s="70"/>
      <c r="EG17" s="109"/>
      <c r="EH17" s="115"/>
      <c r="EI17" s="68"/>
      <c r="EJ17" s="70"/>
      <c r="EK17" s="109"/>
      <c r="EL17" s="115"/>
      <c r="EM17" s="68"/>
      <c r="EN17" s="70"/>
      <c r="EO17" s="109"/>
      <c r="EP17" s="115"/>
      <c r="EQ17" s="68"/>
      <c r="ER17" s="70"/>
      <c r="ES17" s="109"/>
      <c r="ET17" s="115"/>
      <c r="EU17" s="68"/>
      <c r="EV17" s="70"/>
      <c r="EW17" s="109"/>
      <c r="EX17" s="115"/>
      <c r="EY17" s="68"/>
      <c r="EZ17" s="70"/>
      <c r="FA17" s="109"/>
      <c r="FB17" s="115"/>
      <c r="FC17" s="68"/>
      <c r="FD17" s="70"/>
      <c r="FE17" s="109"/>
      <c r="FF17" s="115"/>
      <c r="FG17" s="68"/>
      <c r="FH17" s="70"/>
      <c r="FI17" s="109"/>
      <c r="FJ17" s="115"/>
      <c r="FK17" s="68"/>
      <c r="FL17" s="70"/>
      <c r="FM17" s="109"/>
      <c r="FN17" s="115"/>
      <c r="FO17" s="68"/>
      <c r="FP17" s="70"/>
      <c r="FQ17" s="109"/>
      <c r="FR17" s="115"/>
      <c r="FS17" s="68"/>
      <c r="FT17" s="70"/>
      <c r="FU17" s="109"/>
      <c r="FV17" s="115"/>
      <c r="FW17" s="68"/>
      <c r="FX17" s="70"/>
      <c r="FY17" s="109"/>
      <c r="FZ17" s="115"/>
      <c r="GA17" s="68"/>
      <c r="GB17" s="70"/>
      <c r="GC17" s="109"/>
      <c r="GD17" s="121">
        <f t="shared" si="0"/>
        <v>1</v>
      </c>
      <c r="GE17" s="76">
        <f t="shared" si="1"/>
        <v>1</v>
      </c>
      <c r="GF17" s="78">
        <f t="shared" si="2"/>
        <v>1</v>
      </c>
      <c r="GG17" s="123">
        <f t="shared" si="3"/>
        <v>1</v>
      </c>
    </row>
    <row r="18" spans="1:189">
      <c r="A18" s="56"/>
      <c r="B18" s="59">
        <v>1202</v>
      </c>
      <c r="C18" s="60" t="s">
        <v>79</v>
      </c>
      <c r="D18" s="57"/>
      <c r="E18" s="61">
        <v>1</v>
      </c>
      <c r="F18" s="61" t="s">
        <v>141</v>
      </c>
      <c r="G18" s="62">
        <v>43528</v>
      </c>
      <c r="H18" s="58">
        <v>43530</v>
      </c>
      <c r="I18" s="62">
        <v>43532</v>
      </c>
      <c r="J18" s="58">
        <v>43530</v>
      </c>
      <c r="K18" s="61" t="s">
        <v>113</v>
      </c>
      <c r="L18" s="62">
        <v>43539</v>
      </c>
      <c r="M18" s="58">
        <v>43532</v>
      </c>
      <c r="N18" s="63" t="s">
        <v>127</v>
      </c>
      <c r="O18" s="64" t="s">
        <v>128</v>
      </c>
      <c r="P18" s="64" t="s">
        <v>128</v>
      </c>
      <c r="Q18" s="63" t="s">
        <v>126</v>
      </c>
      <c r="R18" s="66"/>
      <c r="S18" s="68"/>
      <c r="T18" s="70"/>
      <c r="U18" s="109"/>
      <c r="V18" s="115"/>
      <c r="W18" s="68"/>
      <c r="X18" s="70"/>
      <c r="Y18" s="109"/>
      <c r="Z18" s="115">
        <v>1</v>
      </c>
      <c r="AA18" s="68">
        <v>1</v>
      </c>
      <c r="AB18" s="70"/>
      <c r="AC18" s="109"/>
      <c r="AD18" s="115"/>
      <c r="AE18" s="68"/>
      <c r="AF18" s="70"/>
      <c r="AG18" s="109"/>
      <c r="AH18" s="115"/>
      <c r="AI18" s="68"/>
      <c r="AJ18" s="70"/>
      <c r="AK18" s="109">
        <v>1</v>
      </c>
      <c r="AL18" s="115"/>
      <c r="AM18" s="68"/>
      <c r="AN18" s="70"/>
      <c r="AO18" s="109"/>
      <c r="AP18" s="115"/>
      <c r="AQ18" s="68"/>
      <c r="AR18" s="70"/>
      <c r="AS18" s="109"/>
      <c r="AT18" s="115"/>
      <c r="AU18" s="68"/>
      <c r="AV18" s="70"/>
      <c r="AW18" s="109"/>
      <c r="AX18" s="115"/>
      <c r="AY18" s="68"/>
      <c r="AZ18" s="70"/>
      <c r="BA18" s="109"/>
      <c r="BB18" s="115"/>
      <c r="BC18" s="68"/>
      <c r="BD18" s="70"/>
      <c r="BE18" s="109"/>
      <c r="BF18" s="115"/>
      <c r="BG18" s="68"/>
      <c r="BH18" s="70"/>
      <c r="BI18" s="109"/>
      <c r="BJ18" s="115"/>
      <c r="BK18" s="68"/>
      <c r="BL18" s="70">
        <v>1</v>
      </c>
      <c r="BM18" s="109"/>
      <c r="BN18" s="115"/>
      <c r="BO18" s="68"/>
      <c r="BP18" s="70"/>
      <c r="BQ18" s="109"/>
      <c r="BR18" s="115"/>
      <c r="BS18" s="68"/>
      <c r="BT18" s="70"/>
      <c r="BU18" s="109"/>
      <c r="BV18" s="115"/>
      <c r="BW18" s="68"/>
      <c r="BX18" s="70"/>
      <c r="BY18" s="109"/>
      <c r="BZ18" s="115"/>
      <c r="CA18" s="68"/>
      <c r="CB18" s="70"/>
      <c r="CC18" s="109"/>
      <c r="CD18" s="115"/>
      <c r="CE18" s="68"/>
      <c r="CF18" s="70"/>
      <c r="CG18" s="109"/>
      <c r="CH18" s="115"/>
      <c r="CI18" s="68"/>
      <c r="CJ18" s="70"/>
      <c r="CK18" s="109"/>
      <c r="CL18" s="115"/>
      <c r="CM18" s="68"/>
      <c r="CN18" s="70"/>
      <c r="CO18" s="109"/>
      <c r="CP18" s="115"/>
      <c r="CQ18" s="68"/>
      <c r="CR18" s="70"/>
      <c r="CS18" s="109"/>
      <c r="CT18" s="115"/>
      <c r="CU18" s="68"/>
      <c r="CV18" s="70"/>
      <c r="CW18" s="109"/>
      <c r="CX18" s="115"/>
      <c r="CY18" s="68"/>
      <c r="CZ18" s="70"/>
      <c r="DA18" s="109"/>
      <c r="DB18" s="115"/>
      <c r="DC18" s="68"/>
      <c r="DD18" s="70"/>
      <c r="DE18" s="109"/>
      <c r="DF18" s="115"/>
      <c r="DG18" s="68"/>
      <c r="DH18" s="70"/>
      <c r="DI18" s="109"/>
      <c r="DJ18" s="115"/>
      <c r="DK18" s="68"/>
      <c r="DL18" s="70"/>
      <c r="DM18" s="109"/>
      <c r="DN18" s="115"/>
      <c r="DO18" s="68"/>
      <c r="DP18" s="70"/>
      <c r="DQ18" s="109"/>
      <c r="DR18" s="115"/>
      <c r="DS18" s="68"/>
      <c r="DT18" s="70"/>
      <c r="DU18" s="109"/>
      <c r="DV18" s="115"/>
      <c r="DW18" s="68"/>
      <c r="DX18" s="70"/>
      <c r="DY18" s="109"/>
      <c r="DZ18" s="115"/>
      <c r="EA18" s="68"/>
      <c r="EB18" s="70"/>
      <c r="EC18" s="109"/>
      <c r="ED18" s="115"/>
      <c r="EE18" s="68"/>
      <c r="EF18" s="70"/>
      <c r="EG18" s="109"/>
      <c r="EH18" s="115"/>
      <c r="EI18" s="68"/>
      <c r="EJ18" s="70"/>
      <c r="EK18" s="109"/>
      <c r="EL18" s="115"/>
      <c r="EM18" s="68"/>
      <c r="EN18" s="70"/>
      <c r="EO18" s="109"/>
      <c r="EP18" s="115"/>
      <c r="EQ18" s="68"/>
      <c r="ER18" s="70"/>
      <c r="ES18" s="109"/>
      <c r="ET18" s="115"/>
      <c r="EU18" s="68"/>
      <c r="EV18" s="70"/>
      <c r="EW18" s="109"/>
      <c r="EX18" s="115"/>
      <c r="EY18" s="68"/>
      <c r="EZ18" s="70"/>
      <c r="FA18" s="109"/>
      <c r="FB18" s="115"/>
      <c r="FC18" s="68"/>
      <c r="FD18" s="70"/>
      <c r="FE18" s="109"/>
      <c r="FF18" s="115"/>
      <c r="FG18" s="68"/>
      <c r="FH18" s="70"/>
      <c r="FI18" s="109"/>
      <c r="FJ18" s="115"/>
      <c r="FK18" s="68"/>
      <c r="FL18" s="70"/>
      <c r="FM18" s="109"/>
      <c r="FN18" s="115"/>
      <c r="FO18" s="68"/>
      <c r="FP18" s="70"/>
      <c r="FQ18" s="109"/>
      <c r="FR18" s="115"/>
      <c r="FS18" s="68"/>
      <c r="FT18" s="70"/>
      <c r="FU18" s="109"/>
      <c r="FV18" s="115"/>
      <c r="FW18" s="68"/>
      <c r="FX18" s="70"/>
      <c r="FY18" s="109"/>
      <c r="FZ18" s="115"/>
      <c r="GA18" s="68"/>
      <c r="GB18" s="70"/>
      <c r="GC18" s="109"/>
      <c r="GD18" s="121">
        <f t="shared" si="0"/>
        <v>1</v>
      </c>
      <c r="GE18" s="76">
        <f t="shared" si="1"/>
        <v>1</v>
      </c>
      <c r="GF18" s="78">
        <f t="shared" si="2"/>
        <v>1</v>
      </c>
      <c r="GG18" s="123">
        <f t="shared" si="3"/>
        <v>1</v>
      </c>
    </row>
    <row r="19" spans="1:189">
      <c r="A19" s="56"/>
      <c r="B19" s="59">
        <v>1203</v>
      </c>
      <c r="C19" s="60" t="s">
        <v>80</v>
      </c>
      <c r="D19" s="57"/>
      <c r="E19" s="61">
        <v>18</v>
      </c>
      <c r="F19" s="61" t="s">
        <v>141</v>
      </c>
      <c r="G19" s="62">
        <v>43528</v>
      </c>
      <c r="H19" s="58">
        <v>43530</v>
      </c>
      <c r="I19" s="62">
        <v>43532</v>
      </c>
      <c r="J19" s="58">
        <v>43530</v>
      </c>
      <c r="K19" s="61" t="s">
        <v>114</v>
      </c>
      <c r="L19" s="62">
        <v>43539</v>
      </c>
      <c r="M19" s="58">
        <v>43539</v>
      </c>
      <c r="N19" s="63" t="s">
        <v>125</v>
      </c>
      <c r="O19" s="64">
        <v>43539</v>
      </c>
      <c r="P19" s="64">
        <v>43539</v>
      </c>
      <c r="Q19" s="63" t="s">
        <v>126</v>
      </c>
      <c r="R19" s="66"/>
      <c r="S19" s="68"/>
      <c r="T19" s="70"/>
      <c r="U19" s="109"/>
      <c r="V19" s="115"/>
      <c r="W19" s="68"/>
      <c r="X19" s="70"/>
      <c r="Y19" s="109"/>
      <c r="Z19" s="115">
        <v>18</v>
      </c>
      <c r="AA19" s="68">
        <v>18</v>
      </c>
      <c r="AB19" s="70"/>
      <c r="AC19" s="109"/>
      <c r="AD19" s="115"/>
      <c r="AE19" s="68"/>
      <c r="AF19" s="70"/>
      <c r="AG19" s="109"/>
      <c r="AH19" s="115"/>
      <c r="AI19" s="68"/>
      <c r="AJ19" s="70"/>
      <c r="AK19" s="109"/>
      <c r="AL19" s="115"/>
      <c r="AM19" s="68"/>
      <c r="AN19" s="70"/>
      <c r="AO19" s="109"/>
      <c r="AP19" s="115"/>
      <c r="AQ19" s="68"/>
      <c r="AR19" s="70"/>
      <c r="AS19" s="109"/>
      <c r="AT19" s="115"/>
      <c r="AU19" s="68"/>
      <c r="AV19" s="70"/>
      <c r="AW19" s="109"/>
      <c r="AX19" s="115"/>
      <c r="AY19" s="68"/>
      <c r="AZ19" s="70"/>
      <c r="BA19" s="109"/>
      <c r="BB19" s="115"/>
      <c r="BC19" s="68"/>
      <c r="BD19" s="70"/>
      <c r="BE19" s="109"/>
      <c r="BF19" s="115"/>
      <c r="BG19" s="68"/>
      <c r="BH19" s="70"/>
      <c r="BI19" s="109"/>
      <c r="BJ19" s="115"/>
      <c r="BK19" s="68"/>
      <c r="BL19" s="70">
        <v>18</v>
      </c>
      <c r="BM19" s="109">
        <v>18</v>
      </c>
      <c r="BN19" s="115"/>
      <c r="BO19" s="68"/>
      <c r="BP19" s="70"/>
      <c r="BQ19" s="109"/>
      <c r="BR19" s="115"/>
      <c r="BS19" s="68"/>
      <c r="BT19" s="70"/>
      <c r="BU19" s="109"/>
      <c r="BV19" s="115"/>
      <c r="BW19" s="68"/>
      <c r="BX19" s="70"/>
      <c r="BY19" s="109"/>
      <c r="BZ19" s="115"/>
      <c r="CA19" s="68"/>
      <c r="CB19" s="70"/>
      <c r="CC19" s="109"/>
      <c r="CD19" s="115"/>
      <c r="CE19" s="68"/>
      <c r="CF19" s="70"/>
      <c r="CG19" s="109"/>
      <c r="CH19" s="115"/>
      <c r="CI19" s="68"/>
      <c r="CJ19" s="70"/>
      <c r="CK19" s="109"/>
      <c r="CL19" s="115"/>
      <c r="CM19" s="68"/>
      <c r="CN19" s="70"/>
      <c r="CO19" s="109"/>
      <c r="CP19" s="115"/>
      <c r="CQ19" s="68"/>
      <c r="CR19" s="70"/>
      <c r="CS19" s="109"/>
      <c r="CT19" s="115"/>
      <c r="CU19" s="68"/>
      <c r="CV19" s="70"/>
      <c r="CW19" s="109"/>
      <c r="CX19" s="115"/>
      <c r="CY19" s="68"/>
      <c r="CZ19" s="70"/>
      <c r="DA19" s="109"/>
      <c r="DB19" s="115"/>
      <c r="DC19" s="68"/>
      <c r="DD19" s="70"/>
      <c r="DE19" s="109"/>
      <c r="DF19" s="115"/>
      <c r="DG19" s="68"/>
      <c r="DH19" s="70"/>
      <c r="DI19" s="109"/>
      <c r="DJ19" s="115"/>
      <c r="DK19" s="68"/>
      <c r="DL19" s="70"/>
      <c r="DM19" s="109"/>
      <c r="DN19" s="115"/>
      <c r="DO19" s="68"/>
      <c r="DP19" s="70"/>
      <c r="DQ19" s="109"/>
      <c r="DR19" s="115"/>
      <c r="DS19" s="68"/>
      <c r="DT19" s="70"/>
      <c r="DU19" s="109"/>
      <c r="DV19" s="115"/>
      <c r="DW19" s="68"/>
      <c r="DX19" s="70"/>
      <c r="DY19" s="109"/>
      <c r="DZ19" s="115"/>
      <c r="EA19" s="68"/>
      <c r="EB19" s="70"/>
      <c r="EC19" s="109"/>
      <c r="ED19" s="115"/>
      <c r="EE19" s="68"/>
      <c r="EF19" s="70"/>
      <c r="EG19" s="109"/>
      <c r="EH19" s="115"/>
      <c r="EI19" s="68"/>
      <c r="EJ19" s="70"/>
      <c r="EK19" s="109"/>
      <c r="EL19" s="115"/>
      <c r="EM19" s="68"/>
      <c r="EN19" s="70"/>
      <c r="EO19" s="109"/>
      <c r="EP19" s="115"/>
      <c r="EQ19" s="68"/>
      <c r="ER19" s="70"/>
      <c r="ES19" s="109"/>
      <c r="ET19" s="115"/>
      <c r="EU19" s="68"/>
      <c r="EV19" s="70"/>
      <c r="EW19" s="109"/>
      <c r="EX19" s="115"/>
      <c r="EY19" s="68"/>
      <c r="EZ19" s="70"/>
      <c r="FA19" s="109"/>
      <c r="FB19" s="115"/>
      <c r="FC19" s="68"/>
      <c r="FD19" s="70"/>
      <c r="FE19" s="109"/>
      <c r="FF19" s="115"/>
      <c r="FG19" s="68"/>
      <c r="FH19" s="70"/>
      <c r="FI19" s="109"/>
      <c r="FJ19" s="115"/>
      <c r="FK19" s="68"/>
      <c r="FL19" s="70"/>
      <c r="FM19" s="109"/>
      <c r="FN19" s="115"/>
      <c r="FO19" s="68"/>
      <c r="FP19" s="70"/>
      <c r="FQ19" s="109"/>
      <c r="FR19" s="115"/>
      <c r="FS19" s="68"/>
      <c r="FT19" s="70"/>
      <c r="FU19" s="109"/>
      <c r="FV19" s="115"/>
      <c r="FW19" s="68"/>
      <c r="FX19" s="70"/>
      <c r="FY19" s="109"/>
      <c r="FZ19" s="115"/>
      <c r="GA19" s="68"/>
      <c r="GB19" s="70"/>
      <c r="GC19" s="109"/>
      <c r="GD19" s="121">
        <f t="shared" si="0"/>
        <v>18</v>
      </c>
      <c r="GE19" s="76">
        <f t="shared" si="1"/>
        <v>18</v>
      </c>
      <c r="GF19" s="78">
        <f t="shared" si="2"/>
        <v>18</v>
      </c>
      <c r="GG19" s="123">
        <f t="shared" si="3"/>
        <v>18</v>
      </c>
    </row>
    <row r="20" spans="1:189">
      <c r="A20" s="56"/>
      <c r="B20" s="59">
        <v>1204</v>
      </c>
      <c r="C20" s="60" t="s">
        <v>81</v>
      </c>
      <c r="D20" s="57"/>
      <c r="E20" s="61">
        <v>4</v>
      </c>
      <c r="F20" s="61" t="s">
        <v>141</v>
      </c>
      <c r="G20" s="62">
        <v>43528</v>
      </c>
      <c r="H20" s="58">
        <v>43530</v>
      </c>
      <c r="I20" s="62">
        <v>43532</v>
      </c>
      <c r="J20" s="58">
        <v>43530</v>
      </c>
      <c r="K20" s="61" t="s">
        <v>113</v>
      </c>
      <c r="L20" s="62">
        <v>43539</v>
      </c>
      <c r="M20" s="58">
        <v>43536</v>
      </c>
      <c r="N20" s="63" t="s">
        <v>125</v>
      </c>
      <c r="O20" s="64">
        <v>43535</v>
      </c>
      <c r="P20" s="64">
        <v>43536</v>
      </c>
      <c r="Q20" s="63" t="s">
        <v>126</v>
      </c>
      <c r="R20" s="66"/>
      <c r="S20" s="68"/>
      <c r="T20" s="70"/>
      <c r="U20" s="109"/>
      <c r="V20" s="115"/>
      <c r="W20" s="68"/>
      <c r="X20" s="70"/>
      <c r="Y20" s="109"/>
      <c r="Z20" s="115">
        <v>4</v>
      </c>
      <c r="AA20" s="68">
        <v>4</v>
      </c>
      <c r="AB20" s="70"/>
      <c r="AC20" s="109"/>
      <c r="AD20" s="115"/>
      <c r="AE20" s="68"/>
      <c r="AF20" s="70"/>
      <c r="AG20" s="109"/>
      <c r="AH20" s="115"/>
      <c r="AI20" s="68"/>
      <c r="AJ20" s="70"/>
      <c r="AK20" s="109">
        <v>3</v>
      </c>
      <c r="AL20" s="115"/>
      <c r="AM20" s="68"/>
      <c r="AN20" s="70"/>
      <c r="AO20" s="109"/>
      <c r="AP20" s="115"/>
      <c r="AQ20" s="68"/>
      <c r="AR20" s="70"/>
      <c r="AS20" s="109"/>
      <c r="AT20" s="115"/>
      <c r="AU20" s="68"/>
      <c r="AV20" s="70"/>
      <c r="AW20" s="109"/>
      <c r="AX20" s="115"/>
      <c r="AY20" s="68"/>
      <c r="AZ20" s="70"/>
      <c r="BA20" s="109">
        <v>1</v>
      </c>
      <c r="BB20" s="115"/>
      <c r="BC20" s="68"/>
      <c r="BD20" s="70"/>
      <c r="BE20" s="109"/>
      <c r="BF20" s="115"/>
      <c r="BG20" s="68"/>
      <c r="BH20" s="70"/>
      <c r="BI20" s="109"/>
      <c r="BJ20" s="115"/>
      <c r="BK20" s="68"/>
      <c r="BL20" s="70">
        <v>4</v>
      </c>
      <c r="BM20" s="109"/>
      <c r="BN20" s="115"/>
      <c r="BO20" s="68"/>
      <c r="BP20" s="70"/>
      <c r="BQ20" s="109"/>
      <c r="BR20" s="115"/>
      <c r="BS20" s="68"/>
      <c r="BT20" s="70"/>
      <c r="BU20" s="109"/>
      <c r="BV20" s="115"/>
      <c r="BW20" s="68"/>
      <c r="BX20" s="70"/>
      <c r="BY20" s="109"/>
      <c r="BZ20" s="115"/>
      <c r="CA20" s="68"/>
      <c r="CB20" s="70"/>
      <c r="CC20" s="109"/>
      <c r="CD20" s="115"/>
      <c r="CE20" s="68"/>
      <c r="CF20" s="70"/>
      <c r="CG20" s="109"/>
      <c r="CH20" s="115"/>
      <c r="CI20" s="68"/>
      <c r="CJ20" s="70"/>
      <c r="CK20" s="109"/>
      <c r="CL20" s="115"/>
      <c r="CM20" s="68"/>
      <c r="CN20" s="70"/>
      <c r="CO20" s="109"/>
      <c r="CP20" s="115"/>
      <c r="CQ20" s="68"/>
      <c r="CR20" s="70"/>
      <c r="CS20" s="109"/>
      <c r="CT20" s="115"/>
      <c r="CU20" s="68"/>
      <c r="CV20" s="70"/>
      <c r="CW20" s="109"/>
      <c r="CX20" s="115"/>
      <c r="CY20" s="68"/>
      <c r="CZ20" s="70"/>
      <c r="DA20" s="109"/>
      <c r="DB20" s="115"/>
      <c r="DC20" s="68"/>
      <c r="DD20" s="70"/>
      <c r="DE20" s="109"/>
      <c r="DF20" s="115"/>
      <c r="DG20" s="68"/>
      <c r="DH20" s="70"/>
      <c r="DI20" s="109"/>
      <c r="DJ20" s="115"/>
      <c r="DK20" s="68"/>
      <c r="DL20" s="70"/>
      <c r="DM20" s="109"/>
      <c r="DN20" s="115"/>
      <c r="DO20" s="68"/>
      <c r="DP20" s="70"/>
      <c r="DQ20" s="109"/>
      <c r="DR20" s="115"/>
      <c r="DS20" s="68"/>
      <c r="DT20" s="70"/>
      <c r="DU20" s="109"/>
      <c r="DV20" s="115"/>
      <c r="DW20" s="68"/>
      <c r="DX20" s="70"/>
      <c r="DY20" s="109"/>
      <c r="DZ20" s="115"/>
      <c r="EA20" s="68"/>
      <c r="EB20" s="70"/>
      <c r="EC20" s="109"/>
      <c r="ED20" s="115"/>
      <c r="EE20" s="68"/>
      <c r="EF20" s="70"/>
      <c r="EG20" s="109"/>
      <c r="EH20" s="115"/>
      <c r="EI20" s="68"/>
      <c r="EJ20" s="70"/>
      <c r="EK20" s="109"/>
      <c r="EL20" s="115"/>
      <c r="EM20" s="68"/>
      <c r="EN20" s="70"/>
      <c r="EO20" s="109"/>
      <c r="EP20" s="115"/>
      <c r="EQ20" s="68"/>
      <c r="ER20" s="70"/>
      <c r="ES20" s="109"/>
      <c r="ET20" s="115"/>
      <c r="EU20" s="68"/>
      <c r="EV20" s="70"/>
      <c r="EW20" s="109"/>
      <c r="EX20" s="115"/>
      <c r="EY20" s="68"/>
      <c r="EZ20" s="70"/>
      <c r="FA20" s="109"/>
      <c r="FB20" s="115"/>
      <c r="FC20" s="68"/>
      <c r="FD20" s="70"/>
      <c r="FE20" s="109"/>
      <c r="FF20" s="115"/>
      <c r="FG20" s="68"/>
      <c r="FH20" s="70"/>
      <c r="FI20" s="109"/>
      <c r="FJ20" s="115"/>
      <c r="FK20" s="68"/>
      <c r="FL20" s="70"/>
      <c r="FM20" s="109"/>
      <c r="FN20" s="115"/>
      <c r="FO20" s="68"/>
      <c r="FP20" s="70"/>
      <c r="FQ20" s="109"/>
      <c r="FR20" s="115"/>
      <c r="FS20" s="68"/>
      <c r="FT20" s="70"/>
      <c r="FU20" s="109"/>
      <c r="FV20" s="115"/>
      <c r="FW20" s="68"/>
      <c r="FX20" s="70"/>
      <c r="FY20" s="109"/>
      <c r="FZ20" s="115"/>
      <c r="GA20" s="68"/>
      <c r="GB20" s="70"/>
      <c r="GC20" s="109"/>
      <c r="GD20" s="121">
        <f t="shared" si="0"/>
        <v>4</v>
      </c>
      <c r="GE20" s="76">
        <f t="shared" si="1"/>
        <v>4</v>
      </c>
      <c r="GF20" s="78">
        <f t="shared" si="2"/>
        <v>4</v>
      </c>
      <c r="GG20" s="123">
        <f t="shared" si="3"/>
        <v>4</v>
      </c>
    </row>
    <row r="21" spans="1:189">
      <c r="A21" s="56"/>
      <c r="B21" s="59">
        <v>1205</v>
      </c>
      <c r="C21" s="60" t="s">
        <v>82</v>
      </c>
      <c r="D21" s="57"/>
      <c r="E21" s="61">
        <v>2</v>
      </c>
      <c r="F21" s="61" t="s">
        <v>141</v>
      </c>
      <c r="G21" s="62">
        <v>43528</v>
      </c>
      <c r="H21" s="58">
        <v>43530</v>
      </c>
      <c r="I21" s="62">
        <v>43532</v>
      </c>
      <c r="J21" s="58">
        <v>43530</v>
      </c>
      <c r="K21" s="61" t="s">
        <v>113</v>
      </c>
      <c r="L21" s="62">
        <v>43539</v>
      </c>
      <c r="M21" s="58">
        <v>43536</v>
      </c>
      <c r="N21" s="63" t="s">
        <v>125</v>
      </c>
      <c r="O21" s="64">
        <v>43535</v>
      </c>
      <c r="P21" s="64">
        <v>43536</v>
      </c>
      <c r="Q21" s="63" t="s">
        <v>126</v>
      </c>
      <c r="R21" s="66"/>
      <c r="S21" s="68"/>
      <c r="T21" s="70"/>
      <c r="U21" s="109"/>
      <c r="V21" s="115"/>
      <c r="W21" s="68"/>
      <c r="X21" s="70"/>
      <c r="Y21" s="109"/>
      <c r="Z21" s="115">
        <v>2</v>
      </c>
      <c r="AA21" s="68">
        <v>2</v>
      </c>
      <c r="AB21" s="70"/>
      <c r="AC21" s="109"/>
      <c r="AD21" s="115"/>
      <c r="AE21" s="68"/>
      <c r="AF21" s="70"/>
      <c r="AG21" s="109"/>
      <c r="AH21" s="115"/>
      <c r="AI21" s="68"/>
      <c r="AJ21" s="70"/>
      <c r="AK21" s="109">
        <v>1</v>
      </c>
      <c r="AL21" s="115"/>
      <c r="AM21" s="68"/>
      <c r="AN21" s="70"/>
      <c r="AO21" s="109"/>
      <c r="AP21" s="115"/>
      <c r="AQ21" s="68"/>
      <c r="AR21" s="70"/>
      <c r="AS21" s="109"/>
      <c r="AT21" s="115"/>
      <c r="AU21" s="68"/>
      <c r="AV21" s="70"/>
      <c r="AW21" s="109"/>
      <c r="AX21" s="115"/>
      <c r="AY21" s="68"/>
      <c r="AZ21" s="70"/>
      <c r="BA21" s="109">
        <v>1</v>
      </c>
      <c r="BB21" s="115"/>
      <c r="BC21" s="68"/>
      <c r="BD21" s="70"/>
      <c r="BE21" s="109"/>
      <c r="BF21" s="115"/>
      <c r="BG21" s="68"/>
      <c r="BH21" s="70"/>
      <c r="BI21" s="109"/>
      <c r="BJ21" s="115"/>
      <c r="BK21" s="68"/>
      <c r="BL21" s="70">
        <v>2</v>
      </c>
      <c r="BM21" s="109"/>
      <c r="BN21" s="115"/>
      <c r="BO21" s="68"/>
      <c r="BP21" s="70"/>
      <c r="BQ21" s="109"/>
      <c r="BR21" s="115"/>
      <c r="BS21" s="68"/>
      <c r="BT21" s="70"/>
      <c r="BU21" s="109"/>
      <c r="BV21" s="115"/>
      <c r="BW21" s="68"/>
      <c r="BX21" s="70"/>
      <c r="BY21" s="109"/>
      <c r="BZ21" s="115"/>
      <c r="CA21" s="68"/>
      <c r="CB21" s="70"/>
      <c r="CC21" s="109"/>
      <c r="CD21" s="115"/>
      <c r="CE21" s="68"/>
      <c r="CF21" s="70"/>
      <c r="CG21" s="109"/>
      <c r="CH21" s="115"/>
      <c r="CI21" s="68"/>
      <c r="CJ21" s="70"/>
      <c r="CK21" s="109"/>
      <c r="CL21" s="115"/>
      <c r="CM21" s="68"/>
      <c r="CN21" s="70"/>
      <c r="CO21" s="109"/>
      <c r="CP21" s="115"/>
      <c r="CQ21" s="68"/>
      <c r="CR21" s="70"/>
      <c r="CS21" s="109"/>
      <c r="CT21" s="115"/>
      <c r="CU21" s="68"/>
      <c r="CV21" s="70"/>
      <c r="CW21" s="109"/>
      <c r="CX21" s="115"/>
      <c r="CY21" s="68"/>
      <c r="CZ21" s="70"/>
      <c r="DA21" s="109"/>
      <c r="DB21" s="115"/>
      <c r="DC21" s="68"/>
      <c r="DD21" s="70"/>
      <c r="DE21" s="109"/>
      <c r="DF21" s="115"/>
      <c r="DG21" s="68"/>
      <c r="DH21" s="70"/>
      <c r="DI21" s="109"/>
      <c r="DJ21" s="115"/>
      <c r="DK21" s="68"/>
      <c r="DL21" s="70"/>
      <c r="DM21" s="109"/>
      <c r="DN21" s="115"/>
      <c r="DO21" s="68"/>
      <c r="DP21" s="70"/>
      <c r="DQ21" s="109"/>
      <c r="DR21" s="115"/>
      <c r="DS21" s="68"/>
      <c r="DT21" s="70"/>
      <c r="DU21" s="109"/>
      <c r="DV21" s="115"/>
      <c r="DW21" s="68"/>
      <c r="DX21" s="70"/>
      <c r="DY21" s="109"/>
      <c r="DZ21" s="115"/>
      <c r="EA21" s="68"/>
      <c r="EB21" s="70"/>
      <c r="EC21" s="109"/>
      <c r="ED21" s="115"/>
      <c r="EE21" s="68"/>
      <c r="EF21" s="70"/>
      <c r="EG21" s="109"/>
      <c r="EH21" s="115"/>
      <c r="EI21" s="68"/>
      <c r="EJ21" s="70"/>
      <c r="EK21" s="109"/>
      <c r="EL21" s="115"/>
      <c r="EM21" s="68"/>
      <c r="EN21" s="70"/>
      <c r="EO21" s="109"/>
      <c r="EP21" s="115"/>
      <c r="EQ21" s="68"/>
      <c r="ER21" s="70"/>
      <c r="ES21" s="109"/>
      <c r="ET21" s="115"/>
      <c r="EU21" s="68"/>
      <c r="EV21" s="70"/>
      <c r="EW21" s="109"/>
      <c r="EX21" s="115"/>
      <c r="EY21" s="68"/>
      <c r="EZ21" s="70"/>
      <c r="FA21" s="109"/>
      <c r="FB21" s="115"/>
      <c r="FC21" s="68"/>
      <c r="FD21" s="70"/>
      <c r="FE21" s="109"/>
      <c r="FF21" s="115"/>
      <c r="FG21" s="68"/>
      <c r="FH21" s="70"/>
      <c r="FI21" s="109"/>
      <c r="FJ21" s="115"/>
      <c r="FK21" s="68"/>
      <c r="FL21" s="70"/>
      <c r="FM21" s="109"/>
      <c r="FN21" s="115"/>
      <c r="FO21" s="68"/>
      <c r="FP21" s="70"/>
      <c r="FQ21" s="109"/>
      <c r="FR21" s="115"/>
      <c r="FS21" s="68"/>
      <c r="FT21" s="70"/>
      <c r="FU21" s="109"/>
      <c r="FV21" s="115"/>
      <c r="FW21" s="68"/>
      <c r="FX21" s="70"/>
      <c r="FY21" s="109"/>
      <c r="FZ21" s="115"/>
      <c r="GA21" s="68"/>
      <c r="GB21" s="70"/>
      <c r="GC21" s="109"/>
      <c r="GD21" s="121">
        <f t="shared" si="0"/>
        <v>2</v>
      </c>
      <c r="GE21" s="76">
        <f t="shared" si="1"/>
        <v>2</v>
      </c>
      <c r="GF21" s="78">
        <f t="shared" si="2"/>
        <v>2</v>
      </c>
      <c r="GG21" s="123">
        <f t="shared" si="3"/>
        <v>2</v>
      </c>
    </row>
    <row r="22" spans="1:189">
      <c r="A22" s="56"/>
      <c r="B22" s="59">
        <v>1301</v>
      </c>
      <c r="C22" s="60" t="s">
        <v>83</v>
      </c>
      <c r="D22" s="57"/>
      <c r="E22" s="61">
        <v>25</v>
      </c>
      <c r="F22" s="61" t="s">
        <v>117</v>
      </c>
      <c r="G22" s="62">
        <v>43528</v>
      </c>
      <c r="H22" s="58">
        <v>43536</v>
      </c>
      <c r="I22" s="62">
        <v>43532</v>
      </c>
      <c r="J22" s="58">
        <v>43536</v>
      </c>
      <c r="K22" s="61" t="s">
        <v>115</v>
      </c>
      <c r="L22" s="62">
        <v>43539</v>
      </c>
      <c r="M22" s="58">
        <v>43551</v>
      </c>
      <c r="N22" s="63" t="s">
        <v>125</v>
      </c>
      <c r="O22" s="64"/>
      <c r="P22" s="64"/>
      <c r="Q22" s="63" t="s">
        <v>158</v>
      </c>
      <c r="R22" s="66"/>
      <c r="S22" s="68"/>
      <c r="T22" s="70"/>
      <c r="U22" s="109"/>
      <c r="V22" s="115"/>
      <c r="W22" s="68"/>
      <c r="X22" s="70"/>
      <c r="Y22" s="109"/>
      <c r="Z22" s="115"/>
      <c r="AA22" s="68"/>
      <c r="AB22" s="70"/>
      <c r="AC22" s="109"/>
      <c r="AD22" s="115"/>
      <c r="AE22" s="68"/>
      <c r="AF22" s="70"/>
      <c r="AG22" s="109"/>
      <c r="AH22" s="115"/>
      <c r="AI22" s="68"/>
      <c r="AJ22" s="70"/>
      <c r="AK22" s="109"/>
      <c r="AL22" s="115"/>
      <c r="AM22" s="68"/>
      <c r="AN22" s="70"/>
      <c r="AO22" s="109"/>
      <c r="AP22" s="115"/>
      <c r="AQ22" s="68"/>
      <c r="AR22" s="70"/>
      <c r="AS22" s="109"/>
      <c r="AT22" s="115"/>
      <c r="AU22" s="68"/>
      <c r="AV22" s="70"/>
      <c r="AW22" s="109"/>
      <c r="AX22" s="115">
        <v>25</v>
      </c>
      <c r="AY22" s="68">
        <v>25</v>
      </c>
      <c r="AZ22" s="70"/>
      <c r="BA22" s="109"/>
      <c r="BB22" s="115"/>
      <c r="BC22" s="68"/>
      <c r="BD22" s="70"/>
      <c r="BE22" s="109"/>
      <c r="BF22" s="115"/>
      <c r="BG22" s="68"/>
      <c r="BH22" s="70"/>
      <c r="BI22" s="109"/>
      <c r="BJ22" s="115"/>
      <c r="BK22" s="68"/>
      <c r="BL22" s="70">
        <v>25</v>
      </c>
      <c r="BM22" s="109"/>
      <c r="BN22" s="115"/>
      <c r="BO22" s="68"/>
      <c r="BP22" s="70"/>
      <c r="BQ22" s="109"/>
      <c r="BR22" s="115"/>
      <c r="BS22" s="68"/>
      <c r="BT22" s="70"/>
      <c r="BU22" s="109"/>
      <c r="BV22" s="115"/>
      <c r="BW22" s="68"/>
      <c r="BX22" s="70"/>
      <c r="BY22" s="109"/>
      <c r="BZ22" s="115"/>
      <c r="CA22" s="68"/>
      <c r="CB22" s="70"/>
      <c r="CC22" s="109"/>
      <c r="CD22" s="115"/>
      <c r="CE22" s="68"/>
      <c r="CF22" s="70"/>
      <c r="CG22" s="109"/>
      <c r="CH22" s="115"/>
      <c r="CI22" s="68"/>
      <c r="CJ22" s="70"/>
      <c r="CK22" s="109"/>
      <c r="CL22" s="115"/>
      <c r="CM22" s="68"/>
      <c r="CN22" s="70"/>
      <c r="CO22" s="109"/>
      <c r="CP22" s="115"/>
      <c r="CQ22" s="68"/>
      <c r="CR22" s="70"/>
      <c r="CS22" s="109"/>
      <c r="CT22" s="115"/>
      <c r="CU22" s="68"/>
      <c r="CV22" s="70"/>
      <c r="CW22" s="109"/>
      <c r="CX22" s="115"/>
      <c r="CY22" s="68"/>
      <c r="CZ22" s="70"/>
      <c r="DA22" s="109">
        <v>12</v>
      </c>
      <c r="DB22" s="115"/>
      <c r="DC22" s="68"/>
      <c r="DD22" s="70"/>
      <c r="DE22" s="109">
        <v>10</v>
      </c>
      <c r="DF22" s="115"/>
      <c r="DG22" s="68"/>
      <c r="DH22" s="70"/>
      <c r="DI22" s="109">
        <v>3</v>
      </c>
      <c r="DJ22" s="115"/>
      <c r="DK22" s="68"/>
      <c r="DL22" s="70"/>
      <c r="DM22" s="109"/>
      <c r="DN22" s="115"/>
      <c r="DO22" s="68"/>
      <c r="DP22" s="70"/>
      <c r="DQ22" s="109"/>
      <c r="DR22" s="115"/>
      <c r="DS22" s="68"/>
      <c r="DT22" s="70"/>
      <c r="DU22" s="109"/>
      <c r="DV22" s="115"/>
      <c r="DW22" s="68"/>
      <c r="DX22" s="70"/>
      <c r="DY22" s="109"/>
      <c r="DZ22" s="115"/>
      <c r="EA22" s="68"/>
      <c r="EB22" s="70"/>
      <c r="EC22" s="109"/>
      <c r="ED22" s="115"/>
      <c r="EE22" s="68"/>
      <c r="EF22" s="70"/>
      <c r="EG22" s="109"/>
      <c r="EH22" s="115"/>
      <c r="EI22" s="68"/>
      <c r="EJ22" s="70"/>
      <c r="EK22" s="109"/>
      <c r="EL22" s="115"/>
      <c r="EM22" s="68"/>
      <c r="EN22" s="70"/>
      <c r="EO22" s="109"/>
      <c r="EP22" s="115"/>
      <c r="EQ22" s="68"/>
      <c r="ER22" s="70"/>
      <c r="ES22" s="109"/>
      <c r="ET22" s="115"/>
      <c r="EU22" s="68"/>
      <c r="EV22" s="70"/>
      <c r="EW22" s="109"/>
      <c r="EX22" s="115"/>
      <c r="EY22" s="68"/>
      <c r="EZ22" s="70"/>
      <c r="FA22" s="109"/>
      <c r="FB22" s="115"/>
      <c r="FC22" s="68"/>
      <c r="FD22" s="70"/>
      <c r="FE22" s="109"/>
      <c r="FF22" s="115"/>
      <c r="FG22" s="68"/>
      <c r="FH22" s="70"/>
      <c r="FI22" s="109"/>
      <c r="FJ22" s="115"/>
      <c r="FK22" s="68"/>
      <c r="FL22" s="70"/>
      <c r="FM22" s="109"/>
      <c r="FN22" s="115"/>
      <c r="FO22" s="68"/>
      <c r="FP22" s="70"/>
      <c r="FQ22" s="109"/>
      <c r="FR22" s="115"/>
      <c r="FS22" s="68"/>
      <c r="FT22" s="70"/>
      <c r="FU22" s="109"/>
      <c r="FV22" s="115"/>
      <c r="FW22" s="68"/>
      <c r="FX22" s="70"/>
      <c r="FY22" s="109"/>
      <c r="FZ22" s="115"/>
      <c r="GA22" s="68"/>
      <c r="GB22" s="70"/>
      <c r="GC22" s="109"/>
      <c r="GD22" s="121">
        <f t="shared" si="0"/>
        <v>25</v>
      </c>
      <c r="GE22" s="76">
        <f t="shared" si="1"/>
        <v>25</v>
      </c>
      <c r="GF22" s="78">
        <f t="shared" si="2"/>
        <v>25</v>
      </c>
      <c r="GG22" s="123">
        <f t="shared" si="3"/>
        <v>25</v>
      </c>
    </row>
    <row r="23" spans="1:189">
      <c r="A23" s="56"/>
      <c r="B23" s="59">
        <v>1302</v>
      </c>
      <c r="C23" s="60" t="s">
        <v>84</v>
      </c>
      <c r="D23" s="57"/>
      <c r="E23" s="61">
        <v>58</v>
      </c>
      <c r="F23" s="61" t="s">
        <v>117</v>
      </c>
      <c r="G23" s="62">
        <v>43535</v>
      </c>
      <c r="H23" s="58">
        <v>43539</v>
      </c>
      <c r="I23" s="62">
        <v>43539</v>
      </c>
      <c r="J23" s="58"/>
      <c r="K23" s="61" t="s">
        <v>115</v>
      </c>
      <c r="L23" s="62">
        <v>43546</v>
      </c>
      <c r="M23" s="58"/>
      <c r="N23" s="63"/>
      <c r="O23" s="64"/>
      <c r="P23" s="64"/>
      <c r="Q23" s="63" t="s">
        <v>129</v>
      </c>
      <c r="R23" s="66"/>
      <c r="S23" s="68"/>
      <c r="T23" s="70"/>
      <c r="U23" s="109"/>
      <c r="V23" s="115"/>
      <c r="W23" s="68"/>
      <c r="X23" s="70"/>
      <c r="Y23" s="109"/>
      <c r="Z23" s="115"/>
      <c r="AA23" s="68"/>
      <c r="AB23" s="70"/>
      <c r="AC23" s="109"/>
      <c r="AD23" s="115"/>
      <c r="AE23" s="68"/>
      <c r="AF23" s="70"/>
      <c r="AG23" s="109"/>
      <c r="AH23" s="115"/>
      <c r="AI23" s="68"/>
      <c r="AJ23" s="70"/>
      <c r="AK23" s="109"/>
      <c r="AL23" s="115"/>
      <c r="AM23" s="68"/>
      <c r="AN23" s="70"/>
      <c r="AO23" s="109"/>
      <c r="AP23" s="115"/>
      <c r="AQ23" s="68"/>
      <c r="AR23" s="70"/>
      <c r="AS23" s="109"/>
      <c r="AT23" s="115"/>
      <c r="AU23" s="68"/>
      <c r="AV23" s="70"/>
      <c r="AW23" s="109"/>
      <c r="AX23" s="115"/>
      <c r="AY23" s="68"/>
      <c r="AZ23" s="70"/>
      <c r="BA23" s="109"/>
      <c r="BB23" s="115"/>
      <c r="BC23" s="68"/>
      <c r="BD23" s="70"/>
      <c r="BE23" s="109"/>
      <c r="BF23" s="115"/>
      <c r="BG23" s="68"/>
      <c r="BH23" s="70"/>
      <c r="BI23" s="109"/>
      <c r="BJ23" s="115">
        <v>58</v>
      </c>
      <c r="BK23" s="68">
        <v>34</v>
      </c>
      <c r="BL23" s="70"/>
      <c r="BM23" s="109"/>
      <c r="BN23" s="115"/>
      <c r="BO23" s="68"/>
      <c r="BP23" s="70"/>
      <c r="BQ23" s="109"/>
      <c r="BR23" s="115"/>
      <c r="BS23" s="68"/>
      <c r="BT23" s="70"/>
      <c r="BU23" s="109"/>
      <c r="BV23" s="115"/>
      <c r="BW23" s="68"/>
      <c r="BX23" s="70"/>
      <c r="BY23" s="109"/>
      <c r="BZ23" s="115"/>
      <c r="CA23" s="68"/>
      <c r="CB23" s="70"/>
      <c r="CC23" s="109"/>
      <c r="CD23" s="115"/>
      <c r="CE23" s="68"/>
      <c r="CF23" s="70"/>
      <c r="CG23" s="109"/>
      <c r="CH23" s="115"/>
      <c r="CI23" s="68">
        <v>5</v>
      </c>
      <c r="CJ23" s="70"/>
      <c r="CK23" s="109"/>
      <c r="CL23" s="115"/>
      <c r="CM23" s="68">
        <v>9</v>
      </c>
      <c r="CN23" s="70">
        <v>58</v>
      </c>
      <c r="CO23" s="109"/>
      <c r="CP23" s="115"/>
      <c r="CQ23" s="68"/>
      <c r="CR23" s="70"/>
      <c r="CS23" s="109"/>
      <c r="CT23" s="115"/>
      <c r="CU23" s="68"/>
      <c r="CV23" s="70"/>
      <c r="CW23" s="109"/>
      <c r="CX23" s="115"/>
      <c r="CY23" s="68"/>
      <c r="CZ23" s="70"/>
      <c r="DA23" s="109"/>
      <c r="DB23" s="115"/>
      <c r="DC23" s="68"/>
      <c r="DD23" s="70"/>
      <c r="DE23" s="109"/>
      <c r="DF23" s="115"/>
      <c r="DG23" s="68"/>
      <c r="DH23" s="70"/>
      <c r="DI23" s="109"/>
      <c r="DJ23" s="115"/>
      <c r="DK23" s="68"/>
      <c r="DL23" s="70"/>
      <c r="DM23" s="109"/>
      <c r="DN23" s="115"/>
      <c r="DO23" s="68">
        <v>4</v>
      </c>
      <c r="DP23" s="70"/>
      <c r="DQ23" s="109"/>
      <c r="DR23" s="115"/>
      <c r="DS23" s="68"/>
      <c r="DT23" s="70"/>
      <c r="DU23" s="109"/>
      <c r="DV23" s="115"/>
      <c r="DW23" s="68"/>
      <c r="DX23" s="70"/>
      <c r="DY23" s="109"/>
      <c r="DZ23" s="115"/>
      <c r="EA23" s="68"/>
      <c r="EB23" s="70"/>
      <c r="EC23" s="109"/>
      <c r="ED23" s="115"/>
      <c r="EE23" s="68"/>
      <c r="EF23" s="70"/>
      <c r="EG23" s="109"/>
      <c r="EH23" s="115"/>
      <c r="EI23" s="68"/>
      <c r="EJ23" s="70"/>
      <c r="EK23" s="109"/>
      <c r="EL23" s="115"/>
      <c r="EM23" s="68"/>
      <c r="EN23" s="70"/>
      <c r="EO23" s="109"/>
      <c r="EP23" s="115"/>
      <c r="EQ23" s="68"/>
      <c r="ER23" s="70"/>
      <c r="ES23" s="109"/>
      <c r="ET23" s="115"/>
      <c r="EU23" s="68"/>
      <c r="EV23" s="70"/>
      <c r="EW23" s="109"/>
      <c r="EX23" s="115"/>
      <c r="EY23" s="68"/>
      <c r="EZ23" s="70"/>
      <c r="FA23" s="109"/>
      <c r="FB23" s="115"/>
      <c r="FC23" s="68"/>
      <c r="FD23" s="70"/>
      <c r="FE23" s="109"/>
      <c r="FF23" s="115"/>
      <c r="FG23" s="68"/>
      <c r="FH23" s="70"/>
      <c r="FI23" s="109"/>
      <c r="FJ23" s="115"/>
      <c r="FK23" s="68"/>
      <c r="FL23" s="70"/>
      <c r="FM23" s="109"/>
      <c r="FN23" s="115"/>
      <c r="FO23" s="68"/>
      <c r="FP23" s="70"/>
      <c r="FQ23" s="109"/>
      <c r="FR23" s="115"/>
      <c r="FS23" s="68"/>
      <c r="FT23" s="70"/>
      <c r="FU23" s="109"/>
      <c r="FV23" s="115"/>
      <c r="FW23" s="68"/>
      <c r="FX23" s="70"/>
      <c r="FY23" s="109"/>
      <c r="FZ23" s="115"/>
      <c r="GA23" s="68"/>
      <c r="GB23" s="70"/>
      <c r="GC23" s="109"/>
      <c r="GD23" s="121">
        <f t="shared" si="0"/>
        <v>58</v>
      </c>
      <c r="GE23" s="76">
        <f t="shared" si="1"/>
        <v>52</v>
      </c>
      <c r="GF23" s="78">
        <f t="shared" si="2"/>
        <v>58</v>
      </c>
      <c r="GG23" s="123">
        <f t="shared" si="3"/>
        <v>0</v>
      </c>
    </row>
    <row r="24" spans="1:189">
      <c r="A24" s="56"/>
      <c r="B24" s="59">
        <v>1303</v>
      </c>
      <c r="C24" s="60" t="s">
        <v>85</v>
      </c>
      <c r="D24" s="57"/>
      <c r="E24" s="61">
        <v>76</v>
      </c>
      <c r="F24" s="61" t="s">
        <v>117</v>
      </c>
      <c r="G24" s="62">
        <v>43542</v>
      </c>
      <c r="H24" s="58">
        <v>43546</v>
      </c>
      <c r="I24" s="62">
        <v>43546</v>
      </c>
      <c r="J24" s="58"/>
      <c r="K24" s="61" t="s">
        <v>110</v>
      </c>
      <c r="L24" s="62">
        <v>43553</v>
      </c>
      <c r="M24" s="58"/>
      <c r="N24" s="63"/>
      <c r="O24" s="64"/>
      <c r="P24" s="64"/>
      <c r="Q24" s="63" t="s">
        <v>129</v>
      </c>
      <c r="R24" s="66"/>
      <c r="S24" s="68"/>
      <c r="T24" s="70"/>
      <c r="U24" s="109"/>
      <c r="V24" s="115"/>
      <c r="W24" s="68"/>
      <c r="X24" s="70"/>
      <c r="Y24" s="109"/>
      <c r="Z24" s="115"/>
      <c r="AA24" s="68"/>
      <c r="AB24" s="70"/>
      <c r="AC24" s="109"/>
      <c r="AD24" s="115"/>
      <c r="AE24" s="68"/>
      <c r="AF24" s="70"/>
      <c r="AG24" s="109"/>
      <c r="AH24" s="115"/>
      <c r="AI24" s="68"/>
      <c r="AJ24" s="70"/>
      <c r="AK24" s="109"/>
      <c r="AL24" s="115"/>
      <c r="AM24" s="68"/>
      <c r="AN24" s="70"/>
      <c r="AO24" s="109"/>
      <c r="AP24" s="115"/>
      <c r="AQ24" s="68"/>
      <c r="AR24" s="70"/>
      <c r="AS24" s="109"/>
      <c r="AT24" s="115"/>
      <c r="AU24" s="68"/>
      <c r="AV24" s="70"/>
      <c r="AW24" s="109"/>
      <c r="AX24" s="115"/>
      <c r="AY24" s="68"/>
      <c r="AZ24" s="70"/>
      <c r="BA24" s="109"/>
      <c r="BB24" s="115"/>
      <c r="BC24" s="68"/>
      <c r="BD24" s="70"/>
      <c r="BE24" s="109"/>
      <c r="BF24" s="115"/>
      <c r="BG24" s="68"/>
      <c r="BH24" s="70"/>
      <c r="BI24" s="109"/>
      <c r="BJ24" s="115"/>
      <c r="BK24" s="68"/>
      <c r="BL24" s="70"/>
      <c r="BM24" s="109"/>
      <c r="BN24" s="115"/>
      <c r="BO24" s="68"/>
      <c r="BP24" s="70"/>
      <c r="BQ24" s="109"/>
      <c r="BR24" s="115"/>
      <c r="BS24" s="68"/>
      <c r="BT24" s="70"/>
      <c r="BU24" s="109"/>
      <c r="BV24" s="115"/>
      <c r="BW24" s="68"/>
      <c r="BX24" s="70"/>
      <c r="BY24" s="109"/>
      <c r="BZ24" s="115"/>
      <c r="CA24" s="68"/>
      <c r="CB24" s="70"/>
      <c r="CC24" s="109"/>
      <c r="CD24" s="115"/>
      <c r="CE24" s="68"/>
      <c r="CF24" s="70"/>
      <c r="CG24" s="109"/>
      <c r="CH24" s="115"/>
      <c r="CI24" s="68"/>
      <c r="CJ24" s="70"/>
      <c r="CK24" s="109"/>
      <c r="CL24" s="115">
        <v>30</v>
      </c>
      <c r="CM24" s="68">
        <v>23</v>
      </c>
      <c r="CN24" s="70"/>
      <c r="CO24" s="109"/>
      <c r="CP24" s="115"/>
      <c r="CQ24" s="68"/>
      <c r="CR24" s="70"/>
      <c r="CS24" s="109"/>
      <c r="CT24" s="115"/>
      <c r="CU24" s="68"/>
      <c r="CV24" s="70"/>
      <c r="CW24" s="109"/>
      <c r="CX24" s="115"/>
      <c r="CY24" s="68"/>
      <c r="CZ24" s="70"/>
      <c r="DA24" s="109"/>
      <c r="DB24" s="115">
        <v>30</v>
      </c>
      <c r="DC24" s="68">
        <v>30</v>
      </c>
      <c r="DD24" s="70"/>
      <c r="DE24" s="109"/>
      <c r="DF24" s="115"/>
      <c r="DG24" s="68"/>
      <c r="DH24" s="70"/>
      <c r="DI24" s="109"/>
      <c r="DJ24" s="115"/>
      <c r="DK24" s="68"/>
      <c r="DL24" s="70"/>
      <c r="DM24" s="109"/>
      <c r="DN24" s="115">
        <v>16</v>
      </c>
      <c r="DO24" s="68">
        <v>17</v>
      </c>
      <c r="DP24" s="70">
        <v>76</v>
      </c>
      <c r="DQ24" s="109"/>
      <c r="DR24" s="115"/>
      <c r="DS24" s="68"/>
      <c r="DT24" s="70"/>
      <c r="DU24" s="109"/>
      <c r="DV24" s="115"/>
      <c r="DW24" s="68"/>
      <c r="DX24" s="70"/>
      <c r="DY24" s="109"/>
      <c r="DZ24" s="115"/>
      <c r="EA24" s="68"/>
      <c r="EB24" s="70"/>
      <c r="EC24" s="109"/>
      <c r="ED24" s="115"/>
      <c r="EE24" s="68"/>
      <c r="EF24" s="70"/>
      <c r="EG24" s="109"/>
      <c r="EH24" s="115"/>
      <c r="EI24" s="68"/>
      <c r="EJ24" s="70"/>
      <c r="EK24" s="109"/>
      <c r="EL24" s="115"/>
      <c r="EM24" s="68"/>
      <c r="EN24" s="70"/>
      <c r="EO24" s="109"/>
      <c r="EP24" s="115"/>
      <c r="EQ24" s="68"/>
      <c r="ER24" s="70"/>
      <c r="ES24" s="109"/>
      <c r="ET24" s="115"/>
      <c r="EU24" s="68"/>
      <c r="EV24" s="70"/>
      <c r="EW24" s="109"/>
      <c r="EX24" s="115"/>
      <c r="EY24" s="68"/>
      <c r="EZ24" s="70"/>
      <c r="FA24" s="109"/>
      <c r="FB24" s="115"/>
      <c r="FC24" s="68"/>
      <c r="FD24" s="70"/>
      <c r="FE24" s="109"/>
      <c r="FF24" s="115"/>
      <c r="FG24" s="68"/>
      <c r="FH24" s="70"/>
      <c r="FI24" s="109"/>
      <c r="FJ24" s="115"/>
      <c r="FK24" s="68"/>
      <c r="FL24" s="70"/>
      <c r="FM24" s="109"/>
      <c r="FN24" s="115"/>
      <c r="FO24" s="68"/>
      <c r="FP24" s="70"/>
      <c r="FQ24" s="109"/>
      <c r="FR24" s="115"/>
      <c r="FS24" s="68"/>
      <c r="FT24" s="70"/>
      <c r="FU24" s="109"/>
      <c r="FV24" s="115"/>
      <c r="FW24" s="68"/>
      <c r="FX24" s="70"/>
      <c r="FY24" s="109"/>
      <c r="FZ24" s="115"/>
      <c r="GA24" s="68"/>
      <c r="GB24" s="70"/>
      <c r="GC24" s="109"/>
      <c r="GD24" s="121">
        <f t="shared" si="0"/>
        <v>76</v>
      </c>
      <c r="GE24" s="76">
        <f t="shared" si="1"/>
        <v>70</v>
      </c>
      <c r="GF24" s="78">
        <f t="shared" si="2"/>
        <v>76</v>
      </c>
      <c r="GG24" s="123">
        <f t="shared" si="3"/>
        <v>0</v>
      </c>
    </row>
    <row r="25" spans="1:189">
      <c r="A25" s="56"/>
      <c r="B25" s="59">
        <v>1304</v>
      </c>
      <c r="C25" s="60" t="s">
        <v>86</v>
      </c>
      <c r="D25" s="57"/>
      <c r="E25" s="61">
        <v>225</v>
      </c>
      <c r="F25" s="61" t="s">
        <v>133</v>
      </c>
      <c r="G25" s="62">
        <v>43528</v>
      </c>
      <c r="H25" s="58">
        <v>43532</v>
      </c>
      <c r="I25" s="62">
        <v>43546</v>
      </c>
      <c r="J25" s="58"/>
      <c r="K25" s="61" t="s">
        <v>113</v>
      </c>
      <c r="L25" s="62">
        <v>43553</v>
      </c>
      <c r="M25" s="58"/>
      <c r="N25" s="63"/>
      <c r="O25" s="64"/>
      <c r="P25" s="64"/>
      <c r="Q25" s="63" t="s">
        <v>129</v>
      </c>
      <c r="R25" s="66"/>
      <c r="S25" s="68"/>
      <c r="T25" s="70"/>
      <c r="U25" s="109"/>
      <c r="V25" s="115"/>
      <c r="W25" s="68"/>
      <c r="X25" s="70"/>
      <c r="Y25" s="109"/>
      <c r="Z25" s="115"/>
      <c r="AA25" s="68"/>
      <c r="AB25" s="70"/>
      <c r="AC25" s="109"/>
      <c r="AD25" s="115"/>
      <c r="AE25" s="68"/>
      <c r="AF25" s="70"/>
      <c r="AG25" s="109"/>
      <c r="AH25" s="115">
        <v>25</v>
      </c>
      <c r="AI25" s="68">
        <v>25</v>
      </c>
      <c r="AJ25" s="70"/>
      <c r="AK25" s="109"/>
      <c r="AL25" s="115"/>
      <c r="AM25" s="68"/>
      <c r="AN25" s="70"/>
      <c r="AO25" s="109"/>
      <c r="AP25" s="115"/>
      <c r="AQ25" s="68"/>
      <c r="AR25" s="70"/>
      <c r="AS25" s="109"/>
      <c r="AT25" s="115"/>
      <c r="AU25" s="68">
        <v>5</v>
      </c>
      <c r="AV25" s="70"/>
      <c r="AW25" s="109"/>
      <c r="AX25" s="115"/>
      <c r="AY25" s="68">
        <v>8</v>
      </c>
      <c r="AZ25" s="70"/>
      <c r="BA25" s="109"/>
      <c r="BB25" s="115"/>
      <c r="BC25" s="68">
        <v>2</v>
      </c>
      <c r="BD25" s="70"/>
      <c r="BE25" s="109"/>
      <c r="BF25" s="115"/>
      <c r="BG25" s="68"/>
      <c r="BH25" s="70"/>
      <c r="BI25" s="109"/>
      <c r="BJ25" s="115">
        <v>19</v>
      </c>
      <c r="BK25" s="68"/>
      <c r="BL25" s="70">
        <v>19</v>
      </c>
      <c r="BM25" s="109">
        <v>40</v>
      </c>
      <c r="BN25" s="115"/>
      <c r="BO25" s="68"/>
      <c r="BP25" s="70"/>
      <c r="BQ25" s="109"/>
      <c r="BR25" s="115"/>
      <c r="BS25" s="68"/>
      <c r="BT25" s="70"/>
      <c r="BU25" s="109"/>
      <c r="BV25" s="115"/>
      <c r="BW25" s="68">
        <v>78</v>
      </c>
      <c r="BX25" s="70"/>
      <c r="BY25" s="109"/>
      <c r="BZ25" s="115"/>
      <c r="CA25" s="68"/>
      <c r="CB25" s="70"/>
      <c r="CC25" s="109"/>
      <c r="CD25" s="115"/>
      <c r="CE25" s="68">
        <v>11</v>
      </c>
      <c r="CF25" s="70"/>
      <c r="CG25" s="109"/>
      <c r="CH25" s="115"/>
      <c r="CI25" s="68">
        <v>8</v>
      </c>
      <c r="CJ25" s="70"/>
      <c r="CK25" s="109"/>
      <c r="CL25" s="115">
        <v>141</v>
      </c>
      <c r="CM25" s="68">
        <v>23</v>
      </c>
      <c r="CN25" s="70">
        <v>37</v>
      </c>
      <c r="CO25" s="109"/>
      <c r="CP25" s="115"/>
      <c r="CQ25" s="68"/>
      <c r="CR25" s="70"/>
      <c r="CS25" s="109"/>
      <c r="CT25" s="115"/>
      <c r="CU25" s="68"/>
      <c r="CV25" s="70"/>
      <c r="CW25" s="109"/>
      <c r="CX25" s="115"/>
      <c r="CY25" s="68">
        <v>9</v>
      </c>
      <c r="CZ25" s="70"/>
      <c r="DA25" s="109"/>
      <c r="DB25" s="115"/>
      <c r="DC25" s="68">
        <v>10</v>
      </c>
      <c r="DD25" s="70"/>
      <c r="DE25" s="109">
        <v>2</v>
      </c>
      <c r="DF25" s="115"/>
      <c r="DG25" s="68">
        <v>8</v>
      </c>
      <c r="DH25" s="70"/>
      <c r="DI25" s="109"/>
      <c r="DJ25" s="115"/>
      <c r="DK25" s="68">
        <v>9</v>
      </c>
      <c r="DL25" s="70"/>
      <c r="DM25" s="109">
        <v>41</v>
      </c>
      <c r="DN25" s="115">
        <v>40</v>
      </c>
      <c r="DO25" s="68">
        <v>8</v>
      </c>
      <c r="DP25" s="70">
        <v>169</v>
      </c>
      <c r="DQ25" s="109">
        <v>19</v>
      </c>
      <c r="DR25" s="115"/>
      <c r="DS25" s="68"/>
      <c r="DT25" s="70"/>
      <c r="DU25" s="109"/>
      <c r="DV25" s="115"/>
      <c r="DW25" s="68"/>
      <c r="DX25" s="70"/>
      <c r="DY25" s="109"/>
      <c r="DZ25" s="115"/>
      <c r="EA25" s="68"/>
      <c r="EB25" s="70"/>
      <c r="EC25" s="109"/>
      <c r="ED25" s="115"/>
      <c r="EE25" s="68"/>
      <c r="EF25" s="70"/>
      <c r="EG25" s="109"/>
      <c r="EH25" s="115"/>
      <c r="EI25" s="68"/>
      <c r="EJ25" s="70"/>
      <c r="EK25" s="109"/>
      <c r="EL25" s="115"/>
      <c r="EM25" s="68"/>
      <c r="EN25" s="70"/>
      <c r="EO25" s="109"/>
      <c r="EP25" s="115"/>
      <c r="EQ25" s="68"/>
      <c r="ER25" s="70"/>
      <c r="ES25" s="109"/>
      <c r="ET25" s="115"/>
      <c r="EU25" s="68"/>
      <c r="EV25" s="70"/>
      <c r="EW25" s="109"/>
      <c r="EX25" s="115"/>
      <c r="EY25" s="68"/>
      <c r="EZ25" s="70"/>
      <c r="FA25" s="109"/>
      <c r="FB25" s="115"/>
      <c r="FC25" s="68"/>
      <c r="FD25" s="70"/>
      <c r="FE25" s="109"/>
      <c r="FF25" s="115"/>
      <c r="FG25" s="68"/>
      <c r="FH25" s="70"/>
      <c r="FI25" s="109"/>
      <c r="FJ25" s="115"/>
      <c r="FK25" s="68"/>
      <c r="FL25" s="70"/>
      <c r="FM25" s="109"/>
      <c r="FN25" s="115"/>
      <c r="FO25" s="68"/>
      <c r="FP25" s="70"/>
      <c r="FQ25" s="109"/>
      <c r="FR25" s="115"/>
      <c r="FS25" s="68"/>
      <c r="FT25" s="70"/>
      <c r="FU25" s="109"/>
      <c r="FV25" s="115"/>
      <c r="FW25" s="68"/>
      <c r="FX25" s="70"/>
      <c r="FY25" s="109"/>
      <c r="FZ25" s="115"/>
      <c r="GA25" s="68"/>
      <c r="GB25" s="70"/>
      <c r="GC25" s="109"/>
      <c r="GD25" s="121">
        <f t="shared" si="0"/>
        <v>225</v>
      </c>
      <c r="GE25" s="76">
        <f t="shared" si="1"/>
        <v>204</v>
      </c>
      <c r="GF25" s="78">
        <f t="shared" si="2"/>
        <v>225</v>
      </c>
      <c r="GG25" s="123">
        <f t="shared" si="3"/>
        <v>102</v>
      </c>
    </row>
    <row r="26" spans="1:189">
      <c r="A26" s="56"/>
      <c r="B26" s="59">
        <v>1305</v>
      </c>
      <c r="C26" s="60" t="s">
        <v>87</v>
      </c>
      <c r="D26" s="57"/>
      <c r="E26" s="61">
        <v>56</v>
      </c>
      <c r="F26" s="61" t="s">
        <v>103</v>
      </c>
      <c r="G26" s="62">
        <v>43535</v>
      </c>
      <c r="H26" s="58">
        <v>43535</v>
      </c>
      <c r="I26" s="62">
        <v>43539</v>
      </c>
      <c r="J26" s="58">
        <v>43538</v>
      </c>
      <c r="K26" s="61" t="s">
        <v>114</v>
      </c>
      <c r="L26" s="62">
        <v>43546</v>
      </c>
      <c r="M26" s="58">
        <v>43539</v>
      </c>
      <c r="N26" s="63" t="s">
        <v>125</v>
      </c>
      <c r="O26" s="64">
        <v>43539</v>
      </c>
      <c r="P26" s="64">
        <v>43539</v>
      </c>
      <c r="Q26" s="63" t="s">
        <v>126</v>
      </c>
      <c r="R26" s="66"/>
      <c r="S26" s="68"/>
      <c r="T26" s="70"/>
      <c r="U26" s="109"/>
      <c r="V26" s="115"/>
      <c r="W26" s="68"/>
      <c r="X26" s="70"/>
      <c r="Y26" s="109"/>
      <c r="Z26" s="115"/>
      <c r="AA26" s="68"/>
      <c r="AB26" s="70"/>
      <c r="AC26" s="109"/>
      <c r="AD26" s="115"/>
      <c r="AE26" s="68"/>
      <c r="AF26" s="70"/>
      <c r="AG26" s="109"/>
      <c r="AH26" s="115"/>
      <c r="AI26" s="68"/>
      <c r="AJ26" s="70"/>
      <c r="AK26" s="109"/>
      <c r="AL26" s="115"/>
      <c r="AM26" s="68"/>
      <c r="AN26" s="70"/>
      <c r="AO26" s="109"/>
      <c r="AP26" s="115"/>
      <c r="AQ26" s="68"/>
      <c r="AR26" s="70"/>
      <c r="AS26" s="109"/>
      <c r="AT26" s="115">
        <v>11</v>
      </c>
      <c r="AU26" s="68">
        <v>11</v>
      </c>
      <c r="AV26" s="70"/>
      <c r="AW26" s="109"/>
      <c r="AX26" s="115">
        <v>12</v>
      </c>
      <c r="AY26" s="68">
        <v>12</v>
      </c>
      <c r="AZ26" s="70"/>
      <c r="BA26" s="109"/>
      <c r="BB26" s="115">
        <v>11</v>
      </c>
      <c r="BC26" s="68">
        <v>12</v>
      </c>
      <c r="BD26" s="70"/>
      <c r="BE26" s="109"/>
      <c r="BF26" s="115">
        <v>11</v>
      </c>
      <c r="BG26" s="68">
        <v>21</v>
      </c>
      <c r="BH26" s="70"/>
      <c r="BI26" s="109"/>
      <c r="BJ26" s="115">
        <v>11</v>
      </c>
      <c r="BK26" s="68"/>
      <c r="BL26" s="70"/>
      <c r="BM26" s="109">
        <v>56</v>
      </c>
      <c r="BN26" s="115"/>
      <c r="BO26" s="68"/>
      <c r="BP26" s="70"/>
      <c r="BQ26" s="109"/>
      <c r="BR26" s="115"/>
      <c r="BS26" s="68"/>
      <c r="BT26" s="70"/>
      <c r="BU26" s="109"/>
      <c r="BV26" s="115"/>
      <c r="BW26" s="68"/>
      <c r="BX26" s="70"/>
      <c r="BY26" s="109"/>
      <c r="BZ26" s="115"/>
      <c r="CA26" s="68"/>
      <c r="CB26" s="70"/>
      <c r="CC26" s="109"/>
      <c r="CD26" s="115"/>
      <c r="CE26" s="68"/>
      <c r="CF26" s="70"/>
      <c r="CG26" s="109"/>
      <c r="CH26" s="115"/>
      <c r="CI26" s="68"/>
      <c r="CJ26" s="70"/>
      <c r="CK26" s="109"/>
      <c r="CL26" s="115"/>
      <c r="CM26" s="68"/>
      <c r="CN26" s="70">
        <v>56</v>
      </c>
      <c r="CO26" s="109"/>
      <c r="CP26" s="115"/>
      <c r="CQ26" s="68"/>
      <c r="CR26" s="70"/>
      <c r="CS26" s="109"/>
      <c r="CT26" s="115"/>
      <c r="CU26" s="68"/>
      <c r="CV26" s="70"/>
      <c r="CW26" s="109"/>
      <c r="CX26" s="115"/>
      <c r="CY26" s="68"/>
      <c r="CZ26" s="70"/>
      <c r="DA26" s="109"/>
      <c r="DB26" s="115"/>
      <c r="DC26" s="68"/>
      <c r="DD26" s="70"/>
      <c r="DE26" s="109"/>
      <c r="DF26" s="115"/>
      <c r="DG26" s="68"/>
      <c r="DH26" s="70"/>
      <c r="DI26" s="109"/>
      <c r="DJ26" s="115"/>
      <c r="DK26" s="68"/>
      <c r="DL26" s="70"/>
      <c r="DM26" s="109"/>
      <c r="DN26" s="115"/>
      <c r="DO26" s="68"/>
      <c r="DP26" s="70"/>
      <c r="DQ26" s="109"/>
      <c r="DR26" s="115"/>
      <c r="DS26" s="68"/>
      <c r="DT26" s="70"/>
      <c r="DU26" s="109"/>
      <c r="DV26" s="115"/>
      <c r="DW26" s="68"/>
      <c r="DX26" s="70"/>
      <c r="DY26" s="109"/>
      <c r="DZ26" s="115"/>
      <c r="EA26" s="68"/>
      <c r="EB26" s="70"/>
      <c r="EC26" s="109"/>
      <c r="ED26" s="115"/>
      <c r="EE26" s="68"/>
      <c r="EF26" s="70"/>
      <c r="EG26" s="109"/>
      <c r="EH26" s="115"/>
      <c r="EI26" s="68"/>
      <c r="EJ26" s="70"/>
      <c r="EK26" s="109"/>
      <c r="EL26" s="115"/>
      <c r="EM26" s="68"/>
      <c r="EN26" s="70"/>
      <c r="EO26" s="109"/>
      <c r="EP26" s="115"/>
      <c r="EQ26" s="68"/>
      <c r="ER26" s="70"/>
      <c r="ES26" s="109"/>
      <c r="ET26" s="115"/>
      <c r="EU26" s="68"/>
      <c r="EV26" s="70"/>
      <c r="EW26" s="109"/>
      <c r="EX26" s="115"/>
      <c r="EY26" s="68"/>
      <c r="EZ26" s="70"/>
      <c r="FA26" s="109"/>
      <c r="FB26" s="115"/>
      <c r="FC26" s="68"/>
      <c r="FD26" s="70"/>
      <c r="FE26" s="109"/>
      <c r="FF26" s="115"/>
      <c r="FG26" s="68"/>
      <c r="FH26" s="70"/>
      <c r="FI26" s="109"/>
      <c r="FJ26" s="115"/>
      <c r="FK26" s="68"/>
      <c r="FL26" s="70"/>
      <c r="FM26" s="109"/>
      <c r="FN26" s="115"/>
      <c r="FO26" s="68"/>
      <c r="FP26" s="70"/>
      <c r="FQ26" s="109"/>
      <c r="FR26" s="115"/>
      <c r="FS26" s="68"/>
      <c r="FT26" s="70"/>
      <c r="FU26" s="109"/>
      <c r="FV26" s="115"/>
      <c r="FW26" s="68"/>
      <c r="FX26" s="70"/>
      <c r="FY26" s="109"/>
      <c r="FZ26" s="115"/>
      <c r="GA26" s="68"/>
      <c r="GB26" s="70"/>
      <c r="GC26" s="109"/>
      <c r="GD26" s="121">
        <f t="shared" si="0"/>
        <v>56</v>
      </c>
      <c r="GE26" s="76">
        <f t="shared" si="1"/>
        <v>56</v>
      </c>
      <c r="GF26" s="78">
        <f t="shared" si="2"/>
        <v>56</v>
      </c>
      <c r="GG26" s="123">
        <f t="shared" si="3"/>
        <v>56</v>
      </c>
    </row>
    <row r="27" spans="1:189">
      <c r="A27" s="56"/>
      <c r="B27" s="59">
        <v>1306</v>
      </c>
      <c r="C27" s="60" t="s">
        <v>88</v>
      </c>
      <c r="D27" s="57"/>
      <c r="E27" s="61">
        <v>117</v>
      </c>
      <c r="F27" s="61" t="s">
        <v>141</v>
      </c>
      <c r="G27" s="62">
        <v>43542</v>
      </c>
      <c r="H27" s="58">
        <v>43546</v>
      </c>
      <c r="I27" s="62">
        <v>43551</v>
      </c>
      <c r="J27" s="58"/>
      <c r="K27" s="61" t="s">
        <v>114</v>
      </c>
      <c r="L27" s="62">
        <v>43553</v>
      </c>
      <c r="M27" s="58"/>
      <c r="N27" s="63"/>
      <c r="O27" s="64"/>
      <c r="P27" s="64"/>
      <c r="Q27" s="63" t="s">
        <v>129</v>
      </c>
      <c r="R27" s="66"/>
      <c r="S27" s="68"/>
      <c r="T27" s="70"/>
      <c r="U27" s="109"/>
      <c r="V27" s="115"/>
      <c r="W27" s="68"/>
      <c r="X27" s="70"/>
      <c r="Y27" s="109"/>
      <c r="Z27" s="115"/>
      <c r="AA27" s="68"/>
      <c r="AB27" s="70"/>
      <c r="AC27" s="109"/>
      <c r="AD27" s="115"/>
      <c r="AE27" s="68"/>
      <c r="AF27" s="70"/>
      <c r="AG27" s="109"/>
      <c r="AH27" s="115"/>
      <c r="AI27" s="68"/>
      <c r="AJ27" s="70"/>
      <c r="AK27" s="109"/>
      <c r="AL27" s="115"/>
      <c r="AM27" s="68"/>
      <c r="AN27" s="70"/>
      <c r="AO27" s="109"/>
      <c r="AP27" s="115"/>
      <c r="AQ27" s="68"/>
      <c r="AR27" s="70"/>
      <c r="AS27" s="109"/>
      <c r="AT27" s="115"/>
      <c r="AU27" s="68"/>
      <c r="AV27" s="70"/>
      <c r="AW27" s="109"/>
      <c r="AX27" s="115"/>
      <c r="AY27" s="68"/>
      <c r="AZ27" s="70"/>
      <c r="BA27" s="109"/>
      <c r="BB27" s="115"/>
      <c r="BC27" s="68"/>
      <c r="BD27" s="70"/>
      <c r="BE27" s="109"/>
      <c r="BF27" s="115"/>
      <c r="BG27" s="68"/>
      <c r="BH27" s="70"/>
      <c r="BI27" s="109"/>
      <c r="BJ27" s="115"/>
      <c r="BK27" s="68"/>
      <c r="BL27" s="70"/>
      <c r="BM27" s="109"/>
      <c r="BN27" s="115"/>
      <c r="BO27" s="68"/>
      <c r="BP27" s="70"/>
      <c r="BQ27" s="109"/>
      <c r="BR27" s="115"/>
      <c r="BS27" s="68"/>
      <c r="BT27" s="70"/>
      <c r="BU27" s="109"/>
      <c r="BV27" s="115"/>
      <c r="BW27" s="68"/>
      <c r="BX27" s="70"/>
      <c r="BY27" s="109"/>
      <c r="BZ27" s="115"/>
      <c r="CA27" s="68"/>
      <c r="CB27" s="70"/>
      <c r="CC27" s="109"/>
      <c r="CD27" s="115"/>
      <c r="CE27" s="68"/>
      <c r="CF27" s="70"/>
      <c r="CG27" s="109"/>
      <c r="CH27" s="115"/>
      <c r="CI27" s="68"/>
      <c r="CJ27" s="70"/>
      <c r="CK27" s="109"/>
      <c r="CL27" s="115">
        <v>56</v>
      </c>
      <c r="CM27" s="68">
        <v>56</v>
      </c>
      <c r="CN27" s="70"/>
      <c r="CO27" s="109"/>
      <c r="CP27" s="115"/>
      <c r="CQ27" s="68"/>
      <c r="CR27" s="70"/>
      <c r="CS27" s="109"/>
      <c r="CT27" s="115"/>
      <c r="CU27" s="68"/>
      <c r="CV27" s="70"/>
      <c r="CW27" s="109"/>
      <c r="CX27" s="115"/>
      <c r="CY27" s="68">
        <v>11</v>
      </c>
      <c r="CZ27" s="70"/>
      <c r="DA27" s="109"/>
      <c r="DB27" s="115"/>
      <c r="DC27" s="68">
        <v>12</v>
      </c>
      <c r="DD27" s="70"/>
      <c r="DE27" s="109"/>
      <c r="DF27" s="115"/>
      <c r="DG27" s="68"/>
      <c r="DH27" s="70"/>
      <c r="DI27" s="109"/>
      <c r="DJ27" s="115"/>
      <c r="DK27" s="68"/>
      <c r="DL27" s="70"/>
      <c r="DM27" s="109"/>
      <c r="DN27" s="115">
        <v>61</v>
      </c>
      <c r="DO27" s="68"/>
      <c r="DP27" s="70">
        <v>117</v>
      </c>
      <c r="DQ27" s="109"/>
      <c r="DR27" s="115"/>
      <c r="DS27" s="68"/>
      <c r="DT27" s="70"/>
      <c r="DU27" s="109"/>
      <c r="DV27" s="115"/>
      <c r="DW27" s="68"/>
      <c r="DX27" s="70"/>
      <c r="DY27" s="109"/>
      <c r="DZ27" s="115"/>
      <c r="EA27" s="68"/>
      <c r="EB27" s="70"/>
      <c r="EC27" s="109"/>
      <c r="ED27" s="115"/>
      <c r="EE27" s="68"/>
      <c r="EF27" s="70"/>
      <c r="EG27" s="109"/>
      <c r="EH27" s="115"/>
      <c r="EI27" s="68"/>
      <c r="EJ27" s="70"/>
      <c r="EK27" s="109"/>
      <c r="EL27" s="115"/>
      <c r="EM27" s="68"/>
      <c r="EN27" s="70"/>
      <c r="EO27" s="109"/>
      <c r="EP27" s="115"/>
      <c r="EQ27" s="68"/>
      <c r="ER27" s="70"/>
      <c r="ES27" s="109"/>
      <c r="ET27" s="115"/>
      <c r="EU27" s="68"/>
      <c r="EV27" s="70"/>
      <c r="EW27" s="109"/>
      <c r="EX27" s="115"/>
      <c r="EY27" s="68"/>
      <c r="EZ27" s="70"/>
      <c r="FA27" s="109"/>
      <c r="FB27" s="115"/>
      <c r="FC27" s="68"/>
      <c r="FD27" s="70"/>
      <c r="FE27" s="109"/>
      <c r="FF27" s="115"/>
      <c r="FG27" s="68"/>
      <c r="FH27" s="70"/>
      <c r="FI27" s="109"/>
      <c r="FJ27" s="115"/>
      <c r="FK27" s="68"/>
      <c r="FL27" s="70"/>
      <c r="FM27" s="109"/>
      <c r="FN27" s="115"/>
      <c r="FO27" s="68"/>
      <c r="FP27" s="70"/>
      <c r="FQ27" s="109"/>
      <c r="FR27" s="115"/>
      <c r="FS27" s="68"/>
      <c r="FT27" s="70"/>
      <c r="FU27" s="109"/>
      <c r="FV27" s="115"/>
      <c r="FW27" s="68"/>
      <c r="FX27" s="70"/>
      <c r="FY27" s="109"/>
      <c r="FZ27" s="115"/>
      <c r="GA27" s="68"/>
      <c r="GB27" s="70"/>
      <c r="GC27" s="109"/>
      <c r="GD27" s="121">
        <f t="shared" si="0"/>
        <v>117</v>
      </c>
      <c r="GE27" s="76">
        <f t="shared" si="1"/>
        <v>79</v>
      </c>
      <c r="GF27" s="78">
        <f t="shared" si="2"/>
        <v>117</v>
      </c>
      <c r="GG27" s="123">
        <f t="shared" si="3"/>
        <v>0</v>
      </c>
    </row>
    <row r="28" spans="1:189">
      <c r="A28" s="56"/>
      <c r="B28" s="59">
        <v>1307</v>
      </c>
      <c r="C28" s="60" t="s">
        <v>89</v>
      </c>
      <c r="D28" s="57"/>
      <c r="E28" s="61">
        <v>22</v>
      </c>
      <c r="F28" s="61" t="s">
        <v>112</v>
      </c>
      <c r="G28" s="62">
        <v>43542</v>
      </c>
      <c r="H28" s="58">
        <v>43537</v>
      </c>
      <c r="I28" s="62">
        <v>43546</v>
      </c>
      <c r="J28" s="58">
        <v>43539</v>
      </c>
      <c r="K28" s="61" t="s">
        <v>114</v>
      </c>
      <c r="L28" s="62">
        <v>43553</v>
      </c>
      <c r="M28" s="58">
        <v>43543</v>
      </c>
      <c r="N28" s="63" t="s">
        <v>125</v>
      </c>
      <c r="O28" s="64">
        <v>43543</v>
      </c>
      <c r="P28" s="64">
        <v>43543</v>
      </c>
      <c r="Q28" s="63" t="s">
        <v>126</v>
      </c>
      <c r="R28" s="66"/>
      <c r="S28" s="68"/>
      <c r="T28" s="70"/>
      <c r="U28" s="109"/>
      <c r="V28" s="115"/>
      <c r="W28" s="68"/>
      <c r="X28" s="70"/>
      <c r="Y28" s="109"/>
      <c r="Z28" s="115"/>
      <c r="AA28" s="68"/>
      <c r="AB28" s="70"/>
      <c r="AC28" s="109"/>
      <c r="AD28" s="115"/>
      <c r="AE28" s="68"/>
      <c r="AF28" s="70"/>
      <c r="AG28" s="109"/>
      <c r="AH28" s="115"/>
      <c r="AI28" s="68"/>
      <c r="AJ28" s="70"/>
      <c r="AK28" s="109"/>
      <c r="AL28" s="115"/>
      <c r="AM28" s="68"/>
      <c r="AN28" s="70"/>
      <c r="AO28" s="109"/>
      <c r="AP28" s="115"/>
      <c r="AQ28" s="68"/>
      <c r="AR28" s="70"/>
      <c r="AS28" s="109"/>
      <c r="AT28" s="115"/>
      <c r="AU28" s="68"/>
      <c r="AV28" s="70"/>
      <c r="AW28" s="109"/>
      <c r="AX28" s="115"/>
      <c r="AY28" s="68"/>
      <c r="AZ28" s="70"/>
      <c r="BA28" s="109"/>
      <c r="BB28" s="115">
        <v>15</v>
      </c>
      <c r="BC28" s="68">
        <v>15</v>
      </c>
      <c r="BD28" s="70"/>
      <c r="BE28" s="109"/>
      <c r="BF28" s="115">
        <v>2</v>
      </c>
      <c r="BG28" s="68">
        <v>7</v>
      </c>
      <c r="BH28" s="70"/>
      <c r="BI28" s="109"/>
      <c r="BJ28" s="115">
        <v>5</v>
      </c>
      <c r="BK28" s="68">
        <v>0</v>
      </c>
      <c r="BL28" s="70"/>
      <c r="BM28" s="109"/>
      <c r="BN28" s="115"/>
      <c r="BO28" s="68"/>
      <c r="BP28" s="70"/>
      <c r="BQ28" s="109"/>
      <c r="BR28" s="115"/>
      <c r="BS28" s="68"/>
      <c r="BT28" s="70"/>
      <c r="BU28" s="109"/>
      <c r="BV28" s="115"/>
      <c r="BW28" s="68"/>
      <c r="BX28" s="70"/>
      <c r="BY28" s="109">
        <v>17</v>
      </c>
      <c r="BZ28" s="115"/>
      <c r="CA28" s="68"/>
      <c r="CB28" s="70"/>
      <c r="CC28" s="109">
        <v>5</v>
      </c>
      <c r="CD28" s="115"/>
      <c r="CE28" s="68"/>
      <c r="CF28" s="70"/>
      <c r="CG28" s="109"/>
      <c r="CH28" s="115"/>
      <c r="CI28" s="68"/>
      <c r="CJ28" s="70"/>
      <c r="CK28" s="109"/>
      <c r="CL28" s="115"/>
      <c r="CM28" s="68"/>
      <c r="CN28" s="70"/>
      <c r="CO28" s="109"/>
      <c r="CP28" s="115"/>
      <c r="CQ28" s="68"/>
      <c r="CR28" s="70"/>
      <c r="CS28" s="109"/>
      <c r="CT28" s="115"/>
      <c r="CU28" s="68"/>
      <c r="CV28" s="70"/>
      <c r="CW28" s="109"/>
      <c r="CX28" s="115"/>
      <c r="CY28" s="68"/>
      <c r="CZ28" s="70"/>
      <c r="DA28" s="109"/>
      <c r="DB28" s="115"/>
      <c r="DC28" s="68"/>
      <c r="DD28" s="70"/>
      <c r="DE28" s="109"/>
      <c r="DF28" s="115"/>
      <c r="DG28" s="68"/>
      <c r="DH28" s="70"/>
      <c r="DI28" s="109"/>
      <c r="DJ28" s="115"/>
      <c r="DK28" s="68"/>
      <c r="DL28" s="70"/>
      <c r="DM28" s="109"/>
      <c r="DN28" s="115"/>
      <c r="DO28" s="68"/>
      <c r="DP28" s="70">
        <v>22</v>
      </c>
      <c r="DQ28" s="109"/>
      <c r="DR28" s="115"/>
      <c r="DS28" s="68"/>
      <c r="DT28" s="70"/>
      <c r="DU28" s="109"/>
      <c r="DV28" s="115"/>
      <c r="DW28" s="68"/>
      <c r="DX28" s="70"/>
      <c r="DY28" s="109"/>
      <c r="DZ28" s="115"/>
      <c r="EA28" s="68"/>
      <c r="EB28" s="70"/>
      <c r="EC28" s="109"/>
      <c r="ED28" s="115"/>
      <c r="EE28" s="68"/>
      <c r="EF28" s="70"/>
      <c r="EG28" s="109"/>
      <c r="EH28" s="115"/>
      <c r="EI28" s="68"/>
      <c r="EJ28" s="70"/>
      <c r="EK28" s="109"/>
      <c r="EL28" s="115"/>
      <c r="EM28" s="68"/>
      <c r="EN28" s="70"/>
      <c r="EO28" s="109"/>
      <c r="EP28" s="115"/>
      <c r="EQ28" s="68"/>
      <c r="ER28" s="70"/>
      <c r="ES28" s="109"/>
      <c r="ET28" s="115"/>
      <c r="EU28" s="68"/>
      <c r="EV28" s="70"/>
      <c r="EW28" s="109"/>
      <c r="EX28" s="115"/>
      <c r="EY28" s="68"/>
      <c r="EZ28" s="70"/>
      <c r="FA28" s="109"/>
      <c r="FB28" s="115"/>
      <c r="FC28" s="68"/>
      <c r="FD28" s="70"/>
      <c r="FE28" s="109"/>
      <c r="FF28" s="115"/>
      <c r="FG28" s="68"/>
      <c r="FH28" s="70"/>
      <c r="FI28" s="109"/>
      <c r="FJ28" s="115"/>
      <c r="FK28" s="68"/>
      <c r="FL28" s="70"/>
      <c r="FM28" s="109"/>
      <c r="FN28" s="115"/>
      <c r="FO28" s="68"/>
      <c r="FP28" s="70"/>
      <c r="FQ28" s="109"/>
      <c r="FR28" s="115"/>
      <c r="FS28" s="68"/>
      <c r="FT28" s="70"/>
      <c r="FU28" s="109"/>
      <c r="FV28" s="115"/>
      <c r="FW28" s="68"/>
      <c r="FX28" s="70"/>
      <c r="FY28" s="109"/>
      <c r="FZ28" s="115"/>
      <c r="GA28" s="68"/>
      <c r="GB28" s="70"/>
      <c r="GC28" s="109"/>
      <c r="GD28" s="121">
        <f t="shared" si="0"/>
        <v>22</v>
      </c>
      <c r="GE28" s="76">
        <f t="shared" si="1"/>
        <v>22</v>
      </c>
      <c r="GF28" s="78">
        <f t="shared" si="2"/>
        <v>22</v>
      </c>
      <c r="GG28" s="123">
        <f t="shared" si="3"/>
        <v>22</v>
      </c>
    </row>
    <row r="29" spans="1:189">
      <c r="A29" s="56"/>
      <c r="B29" s="59">
        <v>1401</v>
      </c>
      <c r="C29" s="60" t="s">
        <v>130</v>
      </c>
      <c r="D29" s="57"/>
      <c r="E29" s="61">
        <v>22</v>
      </c>
      <c r="F29" s="61" t="s">
        <v>142</v>
      </c>
      <c r="G29" s="62">
        <v>43528</v>
      </c>
      <c r="H29" s="58">
        <v>43537</v>
      </c>
      <c r="I29" s="62">
        <v>43558</v>
      </c>
      <c r="J29" s="58"/>
      <c r="K29" s="61" t="s">
        <v>109</v>
      </c>
      <c r="L29" s="62">
        <v>43559</v>
      </c>
      <c r="M29" s="58"/>
      <c r="N29" s="63"/>
      <c r="O29" s="64"/>
      <c r="P29" s="64"/>
      <c r="Q29" s="63" t="s">
        <v>129</v>
      </c>
      <c r="R29" s="66"/>
      <c r="S29" s="68"/>
      <c r="T29" s="70"/>
      <c r="U29" s="109"/>
      <c r="V29" s="115"/>
      <c r="W29" s="68"/>
      <c r="X29" s="70"/>
      <c r="Y29" s="109"/>
      <c r="Z29" s="115"/>
      <c r="AA29" s="68"/>
      <c r="AB29" s="70"/>
      <c r="AC29" s="109"/>
      <c r="AD29" s="115"/>
      <c r="AE29" s="68"/>
      <c r="AF29" s="70"/>
      <c r="AG29" s="109"/>
      <c r="AH29" s="115"/>
      <c r="AI29" s="68"/>
      <c r="AJ29" s="70"/>
      <c r="AK29" s="109"/>
      <c r="AL29" s="115"/>
      <c r="AM29" s="68"/>
      <c r="AN29" s="70"/>
      <c r="AO29" s="109"/>
      <c r="AP29" s="115"/>
      <c r="AQ29" s="68"/>
      <c r="AR29" s="70"/>
      <c r="AS29" s="109"/>
      <c r="AT29" s="115"/>
      <c r="AU29" s="68"/>
      <c r="AV29" s="70"/>
      <c r="AW29" s="109"/>
      <c r="AX29" s="115"/>
      <c r="AY29" s="68"/>
      <c r="AZ29" s="70"/>
      <c r="BA29" s="109"/>
      <c r="BB29" s="115"/>
      <c r="BC29" s="68">
        <v>1</v>
      </c>
      <c r="BD29" s="70"/>
      <c r="BE29" s="109"/>
      <c r="BF29" s="115"/>
      <c r="BG29" s="68"/>
      <c r="BH29" s="70"/>
      <c r="BI29" s="109"/>
      <c r="BJ29" s="115">
        <v>4</v>
      </c>
      <c r="BK29" s="68">
        <v>1</v>
      </c>
      <c r="BL29" s="70"/>
      <c r="BM29" s="109"/>
      <c r="BN29" s="115"/>
      <c r="BO29" s="68"/>
      <c r="BP29" s="70"/>
      <c r="BQ29" s="109"/>
      <c r="BR29" s="115"/>
      <c r="BS29" s="68"/>
      <c r="BT29" s="70"/>
      <c r="BU29" s="109"/>
      <c r="BV29" s="115"/>
      <c r="BW29" s="68">
        <v>3</v>
      </c>
      <c r="BX29" s="70"/>
      <c r="BY29" s="109"/>
      <c r="BZ29" s="115">
        <v>6</v>
      </c>
      <c r="CA29" s="68">
        <v>2</v>
      </c>
      <c r="CB29" s="70"/>
      <c r="CC29" s="109"/>
      <c r="CD29" s="115"/>
      <c r="CE29" s="68"/>
      <c r="CF29" s="70"/>
      <c r="CG29" s="109"/>
      <c r="CH29" s="115">
        <v>4</v>
      </c>
      <c r="CI29" s="68">
        <v>5</v>
      </c>
      <c r="CJ29" s="70"/>
      <c r="CK29" s="109"/>
      <c r="CL29" s="115"/>
      <c r="CM29" s="68">
        <v>2</v>
      </c>
      <c r="CN29" s="70">
        <v>6</v>
      </c>
      <c r="CO29" s="109"/>
      <c r="CP29" s="115"/>
      <c r="CQ29" s="68"/>
      <c r="CR29" s="70"/>
      <c r="CS29" s="109"/>
      <c r="CT29" s="115"/>
      <c r="CU29" s="68"/>
      <c r="CV29" s="70"/>
      <c r="CW29" s="109"/>
      <c r="CX29" s="115"/>
      <c r="CY29" s="68"/>
      <c r="CZ29" s="70">
        <v>4</v>
      </c>
      <c r="DA29" s="109"/>
      <c r="DB29" s="115"/>
      <c r="DC29" s="68"/>
      <c r="DD29" s="70"/>
      <c r="DE29" s="109">
        <v>10</v>
      </c>
      <c r="DF29" s="115"/>
      <c r="DG29" s="68"/>
      <c r="DH29" s="70">
        <v>4</v>
      </c>
      <c r="DI29" s="109"/>
      <c r="DJ29" s="115"/>
      <c r="DK29" s="68"/>
      <c r="DL29" s="70"/>
      <c r="DM29" s="109"/>
      <c r="DN29" s="115"/>
      <c r="DO29" s="68"/>
      <c r="DP29" s="70"/>
      <c r="DQ29" s="109"/>
      <c r="DR29" s="115"/>
      <c r="DS29" s="68"/>
      <c r="DT29" s="70"/>
      <c r="DU29" s="109"/>
      <c r="DV29" s="115"/>
      <c r="DW29" s="68"/>
      <c r="DX29" s="70"/>
      <c r="DY29" s="109"/>
      <c r="DZ29" s="115"/>
      <c r="EA29" s="68"/>
      <c r="EB29" s="70"/>
      <c r="EC29" s="109"/>
      <c r="ED29" s="115">
        <v>4</v>
      </c>
      <c r="EE29" s="68"/>
      <c r="EF29" s="70"/>
      <c r="EG29" s="109"/>
      <c r="EH29" s="115">
        <v>4</v>
      </c>
      <c r="EI29" s="68"/>
      <c r="EJ29" s="70">
        <v>4</v>
      </c>
      <c r="EK29" s="109"/>
      <c r="EL29" s="115"/>
      <c r="EM29" s="68"/>
      <c r="EN29" s="70">
        <v>4</v>
      </c>
      <c r="EO29" s="109"/>
      <c r="EP29" s="115"/>
      <c r="EQ29" s="68"/>
      <c r="ER29" s="70"/>
      <c r="ES29" s="109"/>
      <c r="ET29" s="115"/>
      <c r="EU29" s="68"/>
      <c r="EV29" s="70"/>
      <c r="EW29" s="109"/>
      <c r="EX29" s="115"/>
      <c r="EY29" s="68"/>
      <c r="EZ29" s="70"/>
      <c r="FA29" s="109"/>
      <c r="FB29" s="115"/>
      <c r="FC29" s="68"/>
      <c r="FD29" s="70"/>
      <c r="FE29" s="109"/>
      <c r="FF29" s="115"/>
      <c r="FG29" s="68"/>
      <c r="FH29" s="70"/>
      <c r="FI29" s="109"/>
      <c r="FJ29" s="115"/>
      <c r="FK29" s="68"/>
      <c r="FL29" s="70"/>
      <c r="FM29" s="109"/>
      <c r="FN29" s="115"/>
      <c r="FO29" s="68"/>
      <c r="FP29" s="70"/>
      <c r="FQ29" s="109"/>
      <c r="FR29" s="115"/>
      <c r="FS29" s="68"/>
      <c r="FT29" s="70"/>
      <c r="FU29" s="109"/>
      <c r="FV29" s="115"/>
      <c r="FW29" s="68"/>
      <c r="FX29" s="70"/>
      <c r="FY29" s="109"/>
      <c r="FZ29" s="115"/>
      <c r="GA29" s="68"/>
      <c r="GB29" s="70"/>
      <c r="GC29" s="109"/>
      <c r="GD29" s="121">
        <f t="shared" si="0"/>
        <v>22</v>
      </c>
      <c r="GE29" s="76">
        <f t="shared" si="1"/>
        <v>14</v>
      </c>
      <c r="GF29" s="78">
        <f t="shared" si="2"/>
        <v>22</v>
      </c>
      <c r="GG29" s="123">
        <f t="shared" si="3"/>
        <v>10</v>
      </c>
    </row>
    <row r="30" spans="1:189">
      <c r="A30" s="56"/>
      <c r="B30" s="59">
        <v>1402</v>
      </c>
      <c r="C30" s="60" t="s">
        <v>131</v>
      </c>
      <c r="D30" s="57"/>
      <c r="E30" s="61">
        <v>22</v>
      </c>
      <c r="F30" s="61" t="s">
        <v>142</v>
      </c>
      <c r="G30" s="62">
        <v>43528</v>
      </c>
      <c r="H30" s="58">
        <v>43539</v>
      </c>
      <c r="I30" s="62">
        <v>43558</v>
      </c>
      <c r="J30" s="58"/>
      <c r="K30" s="61" t="s">
        <v>109</v>
      </c>
      <c r="L30" s="62">
        <v>43559</v>
      </c>
      <c r="M30" s="58"/>
      <c r="N30" s="63"/>
      <c r="O30" s="64"/>
      <c r="P30" s="64"/>
      <c r="Q30" s="63" t="s">
        <v>129</v>
      </c>
      <c r="R30" s="66"/>
      <c r="S30" s="68"/>
      <c r="T30" s="70"/>
      <c r="U30" s="109"/>
      <c r="V30" s="115"/>
      <c r="W30" s="68"/>
      <c r="X30" s="70"/>
      <c r="Y30" s="109"/>
      <c r="Z30" s="115"/>
      <c r="AA30" s="68"/>
      <c r="AB30" s="70"/>
      <c r="AC30" s="109"/>
      <c r="AD30" s="115"/>
      <c r="AE30" s="68"/>
      <c r="AF30" s="70"/>
      <c r="AG30" s="109"/>
      <c r="AH30" s="115"/>
      <c r="AI30" s="68"/>
      <c r="AJ30" s="70"/>
      <c r="AK30" s="109"/>
      <c r="AL30" s="115"/>
      <c r="AM30" s="68"/>
      <c r="AN30" s="70"/>
      <c r="AO30" s="109"/>
      <c r="AP30" s="115"/>
      <c r="AQ30" s="68"/>
      <c r="AR30" s="70"/>
      <c r="AS30" s="109"/>
      <c r="AT30" s="115"/>
      <c r="AU30" s="68"/>
      <c r="AV30" s="70"/>
      <c r="AW30" s="109"/>
      <c r="AX30" s="115"/>
      <c r="AY30" s="68"/>
      <c r="AZ30" s="70"/>
      <c r="BA30" s="109"/>
      <c r="BB30" s="115"/>
      <c r="BC30" s="68"/>
      <c r="BD30" s="70"/>
      <c r="BE30" s="109"/>
      <c r="BF30" s="115"/>
      <c r="BG30" s="68"/>
      <c r="BH30" s="70"/>
      <c r="BI30" s="109"/>
      <c r="BJ30" s="115">
        <v>4</v>
      </c>
      <c r="BK30" s="68">
        <v>2</v>
      </c>
      <c r="BL30" s="70"/>
      <c r="BM30" s="109"/>
      <c r="BN30" s="115"/>
      <c r="BO30" s="68"/>
      <c r="BP30" s="70"/>
      <c r="BQ30" s="109"/>
      <c r="BR30" s="115"/>
      <c r="BS30" s="68"/>
      <c r="BT30" s="70"/>
      <c r="BU30" s="109"/>
      <c r="BV30" s="115"/>
      <c r="BW30" s="68">
        <v>6</v>
      </c>
      <c r="BX30" s="70"/>
      <c r="BY30" s="109"/>
      <c r="BZ30" s="115">
        <v>6</v>
      </c>
      <c r="CA30" s="68">
        <v>2</v>
      </c>
      <c r="CB30" s="70"/>
      <c r="CC30" s="109"/>
      <c r="CD30" s="115"/>
      <c r="CE30" s="68"/>
      <c r="CF30" s="70"/>
      <c r="CG30" s="109"/>
      <c r="CH30" s="115">
        <v>4</v>
      </c>
      <c r="CI30" s="68"/>
      <c r="CJ30" s="70"/>
      <c r="CK30" s="109"/>
      <c r="CL30" s="115"/>
      <c r="CM30" s="68">
        <v>4</v>
      </c>
      <c r="CN30" s="70">
        <v>6</v>
      </c>
      <c r="CO30" s="109"/>
      <c r="CP30" s="115"/>
      <c r="CQ30" s="68"/>
      <c r="CR30" s="70"/>
      <c r="CS30" s="109"/>
      <c r="CT30" s="115"/>
      <c r="CU30" s="68"/>
      <c r="CV30" s="70"/>
      <c r="CW30" s="109"/>
      <c r="CX30" s="115"/>
      <c r="CY30" s="68"/>
      <c r="CZ30" s="70">
        <v>4</v>
      </c>
      <c r="DA30" s="109"/>
      <c r="DB30" s="115"/>
      <c r="DC30" s="68"/>
      <c r="DD30" s="70"/>
      <c r="DE30" s="109">
        <v>10</v>
      </c>
      <c r="DF30" s="115"/>
      <c r="DG30" s="68"/>
      <c r="DH30" s="70">
        <v>4</v>
      </c>
      <c r="DI30" s="109"/>
      <c r="DJ30" s="115"/>
      <c r="DK30" s="68"/>
      <c r="DL30" s="70"/>
      <c r="DM30" s="109"/>
      <c r="DN30" s="115"/>
      <c r="DO30" s="68"/>
      <c r="DP30" s="70"/>
      <c r="DQ30" s="109"/>
      <c r="DR30" s="115"/>
      <c r="DS30" s="68"/>
      <c r="DT30" s="70"/>
      <c r="DU30" s="109"/>
      <c r="DV30" s="115"/>
      <c r="DW30" s="68"/>
      <c r="DX30" s="70"/>
      <c r="DY30" s="109"/>
      <c r="DZ30" s="115"/>
      <c r="EA30" s="68"/>
      <c r="EB30" s="70"/>
      <c r="EC30" s="109"/>
      <c r="ED30" s="115">
        <v>4</v>
      </c>
      <c r="EE30" s="68"/>
      <c r="EF30" s="70"/>
      <c r="EG30" s="109"/>
      <c r="EH30" s="115">
        <v>4</v>
      </c>
      <c r="EI30" s="68"/>
      <c r="EJ30" s="70">
        <v>4</v>
      </c>
      <c r="EK30" s="109"/>
      <c r="EL30" s="115"/>
      <c r="EM30" s="68"/>
      <c r="EN30" s="70">
        <v>4</v>
      </c>
      <c r="EO30" s="109"/>
      <c r="EP30" s="115"/>
      <c r="EQ30" s="68"/>
      <c r="ER30" s="70"/>
      <c r="ES30" s="109"/>
      <c r="ET30" s="115"/>
      <c r="EU30" s="68"/>
      <c r="EV30" s="70"/>
      <c r="EW30" s="109"/>
      <c r="EX30" s="115"/>
      <c r="EY30" s="68"/>
      <c r="EZ30" s="70"/>
      <c r="FA30" s="109"/>
      <c r="FB30" s="115"/>
      <c r="FC30" s="68"/>
      <c r="FD30" s="70"/>
      <c r="FE30" s="109"/>
      <c r="FF30" s="115"/>
      <c r="FG30" s="68"/>
      <c r="FH30" s="70"/>
      <c r="FI30" s="109"/>
      <c r="FJ30" s="115"/>
      <c r="FK30" s="68"/>
      <c r="FL30" s="70"/>
      <c r="FM30" s="109"/>
      <c r="FN30" s="115"/>
      <c r="FO30" s="68"/>
      <c r="FP30" s="70"/>
      <c r="FQ30" s="109"/>
      <c r="FR30" s="115"/>
      <c r="FS30" s="68"/>
      <c r="FT30" s="70"/>
      <c r="FU30" s="109"/>
      <c r="FV30" s="115"/>
      <c r="FW30" s="68"/>
      <c r="FX30" s="70"/>
      <c r="FY30" s="109"/>
      <c r="FZ30" s="115"/>
      <c r="GA30" s="68"/>
      <c r="GB30" s="70"/>
      <c r="GC30" s="109"/>
      <c r="GD30" s="121">
        <f t="shared" si="0"/>
        <v>22</v>
      </c>
      <c r="GE30" s="76">
        <f t="shared" si="1"/>
        <v>14</v>
      </c>
      <c r="GF30" s="78">
        <f t="shared" si="2"/>
        <v>22</v>
      </c>
      <c r="GG30" s="123">
        <f t="shared" si="3"/>
        <v>10</v>
      </c>
    </row>
    <row r="31" spans="1:189">
      <c r="A31" s="56"/>
      <c r="B31" s="59">
        <v>3101</v>
      </c>
      <c r="C31" s="60" t="s">
        <v>90</v>
      </c>
      <c r="D31" s="57"/>
      <c r="E31" s="61">
        <v>10</v>
      </c>
      <c r="F31" s="61" t="s">
        <v>94</v>
      </c>
      <c r="G31" s="62">
        <v>43558</v>
      </c>
      <c r="H31" s="58"/>
      <c r="I31" s="62">
        <v>43567</v>
      </c>
      <c r="J31" s="58"/>
      <c r="K31" s="61" t="s">
        <v>115</v>
      </c>
      <c r="L31" s="62">
        <v>43568</v>
      </c>
      <c r="M31" s="58"/>
      <c r="N31" s="63"/>
      <c r="O31" s="64"/>
      <c r="P31" s="64"/>
      <c r="Q31" s="63"/>
      <c r="R31" s="66"/>
      <c r="S31" s="68"/>
      <c r="T31" s="70"/>
      <c r="U31" s="109"/>
      <c r="V31" s="115"/>
      <c r="W31" s="68"/>
      <c r="X31" s="70"/>
      <c r="Y31" s="109"/>
      <c r="Z31" s="115"/>
      <c r="AA31" s="68"/>
      <c r="AB31" s="70"/>
      <c r="AC31" s="109"/>
      <c r="AD31" s="115"/>
      <c r="AE31" s="68"/>
      <c r="AF31" s="70"/>
      <c r="AG31" s="109"/>
      <c r="AH31" s="115"/>
      <c r="AI31" s="68"/>
      <c r="AJ31" s="70"/>
      <c r="AK31" s="109"/>
      <c r="AL31" s="115"/>
      <c r="AM31" s="68"/>
      <c r="AN31" s="70"/>
      <c r="AO31" s="109"/>
      <c r="AP31" s="115"/>
      <c r="AQ31" s="68"/>
      <c r="AR31" s="70"/>
      <c r="AS31" s="109"/>
      <c r="AT31" s="115"/>
      <c r="AU31" s="68"/>
      <c r="AV31" s="70"/>
      <c r="AW31" s="109"/>
      <c r="AX31" s="115"/>
      <c r="AY31" s="68"/>
      <c r="AZ31" s="70"/>
      <c r="BA31" s="109"/>
      <c r="BB31" s="115"/>
      <c r="BC31" s="68"/>
      <c r="BD31" s="70"/>
      <c r="BE31" s="109"/>
      <c r="BF31" s="115"/>
      <c r="BG31" s="68"/>
      <c r="BH31" s="70"/>
      <c r="BI31" s="109"/>
      <c r="BJ31" s="115"/>
      <c r="BK31" s="68"/>
      <c r="BL31" s="70"/>
      <c r="BM31" s="109"/>
      <c r="BN31" s="115"/>
      <c r="BO31" s="68"/>
      <c r="BP31" s="70"/>
      <c r="BQ31" s="109"/>
      <c r="BR31" s="115"/>
      <c r="BS31" s="68"/>
      <c r="BT31" s="70"/>
      <c r="BU31" s="109"/>
      <c r="BV31" s="115"/>
      <c r="BW31" s="68"/>
      <c r="BX31" s="70"/>
      <c r="BY31" s="109"/>
      <c r="BZ31" s="115"/>
      <c r="CA31" s="68"/>
      <c r="CB31" s="70"/>
      <c r="CC31" s="109"/>
      <c r="CD31" s="115"/>
      <c r="CE31" s="68"/>
      <c r="CF31" s="70"/>
      <c r="CG31" s="109"/>
      <c r="CH31" s="115"/>
      <c r="CI31" s="68"/>
      <c r="CJ31" s="70"/>
      <c r="CK31" s="109"/>
      <c r="CL31" s="115"/>
      <c r="CM31" s="68"/>
      <c r="CN31" s="70"/>
      <c r="CO31" s="109"/>
      <c r="CP31" s="115"/>
      <c r="CQ31" s="68"/>
      <c r="CR31" s="70"/>
      <c r="CS31" s="109"/>
      <c r="CT31" s="115"/>
      <c r="CU31" s="68"/>
      <c r="CV31" s="70"/>
      <c r="CW31" s="109"/>
      <c r="CX31" s="115"/>
      <c r="CY31" s="68"/>
      <c r="CZ31" s="70"/>
      <c r="DA31" s="109"/>
      <c r="DB31" s="115"/>
      <c r="DC31" s="68"/>
      <c r="DD31" s="70"/>
      <c r="DE31" s="109"/>
      <c r="DF31" s="115"/>
      <c r="DG31" s="68"/>
      <c r="DH31" s="70"/>
      <c r="DI31" s="109"/>
      <c r="DJ31" s="115"/>
      <c r="DK31" s="68"/>
      <c r="DL31" s="70"/>
      <c r="DM31" s="109"/>
      <c r="DN31" s="115"/>
      <c r="DO31" s="68"/>
      <c r="DP31" s="70"/>
      <c r="DQ31" s="109"/>
      <c r="DR31" s="115"/>
      <c r="DS31" s="68"/>
      <c r="DT31" s="70"/>
      <c r="DU31" s="109"/>
      <c r="DV31" s="115"/>
      <c r="DW31" s="68"/>
      <c r="DX31" s="70"/>
      <c r="DY31" s="109"/>
      <c r="DZ31" s="115"/>
      <c r="EA31" s="68"/>
      <c r="EB31" s="70"/>
      <c r="EC31" s="109"/>
      <c r="ED31" s="115"/>
      <c r="EE31" s="68"/>
      <c r="EF31" s="70"/>
      <c r="EG31" s="109"/>
      <c r="EH31" s="115">
        <v>1</v>
      </c>
      <c r="EI31" s="68"/>
      <c r="EJ31" s="70"/>
      <c r="EK31" s="109"/>
      <c r="EL31" s="115">
        <v>1</v>
      </c>
      <c r="EM31" s="68"/>
      <c r="EN31" s="70">
        <v>1</v>
      </c>
      <c r="EO31" s="109"/>
      <c r="EP31" s="115">
        <v>2</v>
      </c>
      <c r="EQ31" s="68"/>
      <c r="ER31" s="70">
        <v>1</v>
      </c>
      <c r="ES31" s="109"/>
      <c r="ET31" s="115"/>
      <c r="EU31" s="68"/>
      <c r="EV31" s="70"/>
      <c r="EW31" s="109"/>
      <c r="EX31" s="115"/>
      <c r="EY31" s="68"/>
      <c r="EZ31" s="70"/>
      <c r="FA31" s="109"/>
      <c r="FB31" s="115">
        <v>1</v>
      </c>
      <c r="FC31" s="68"/>
      <c r="FD31" s="70">
        <v>2</v>
      </c>
      <c r="FE31" s="109"/>
      <c r="FF31" s="115">
        <v>1</v>
      </c>
      <c r="FG31" s="68"/>
      <c r="FH31" s="70">
        <v>1</v>
      </c>
      <c r="FI31" s="109"/>
      <c r="FJ31" s="115">
        <v>2</v>
      </c>
      <c r="FK31" s="68"/>
      <c r="FL31" s="70">
        <v>1</v>
      </c>
      <c r="FM31" s="109"/>
      <c r="FN31" s="115">
        <v>1</v>
      </c>
      <c r="FO31" s="68"/>
      <c r="FP31" s="70">
        <v>2</v>
      </c>
      <c r="FQ31" s="109"/>
      <c r="FR31" s="115">
        <v>1</v>
      </c>
      <c r="FS31" s="68"/>
      <c r="FT31" s="70">
        <v>1</v>
      </c>
      <c r="FU31" s="109"/>
      <c r="FV31" s="115"/>
      <c r="FW31" s="68"/>
      <c r="FX31" s="70">
        <v>1</v>
      </c>
      <c r="FY31" s="109"/>
      <c r="FZ31" s="115"/>
      <c r="GA31" s="68"/>
      <c r="GB31" s="70"/>
      <c r="GC31" s="109"/>
      <c r="GD31" s="121">
        <f t="shared" si="0"/>
        <v>10</v>
      </c>
      <c r="GE31" s="76">
        <f t="shared" si="1"/>
        <v>0</v>
      </c>
      <c r="GF31" s="78">
        <f t="shared" si="2"/>
        <v>10</v>
      </c>
      <c r="GG31" s="123">
        <f t="shared" si="3"/>
        <v>0</v>
      </c>
    </row>
    <row r="32" spans="1:189">
      <c r="A32" s="56"/>
      <c r="B32" s="59">
        <v>4101</v>
      </c>
      <c r="C32" s="60" t="s">
        <v>91</v>
      </c>
      <c r="D32" s="57"/>
      <c r="E32" s="61">
        <v>5</v>
      </c>
      <c r="F32" s="61" t="s">
        <v>110</v>
      </c>
      <c r="G32" s="62">
        <v>43556</v>
      </c>
      <c r="H32" s="58"/>
      <c r="I32" s="62">
        <v>43560</v>
      </c>
      <c r="J32" s="58"/>
      <c r="K32" s="61" t="s">
        <v>109</v>
      </c>
      <c r="L32" s="62">
        <v>43567</v>
      </c>
      <c r="M32" s="58"/>
      <c r="N32" s="63"/>
      <c r="O32" s="64"/>
      <c r="P32" s="64"/>
      <c r="Q32" s="63"/>
      <c r="R32" s="66"/>
      <c r="S32" s="68"/>
      <c r="T32" s="70"/>
      <c r="U32" s="109"/>
      <c r="V32" s="115"/>
      <c r="W32" s="68"/>
      <c r="X32" s="70"/>
      <c r="Y32" s="109"/>
      <c r="Z32" s="115"/>
      <c r="AA32" s="68"/>
      <c r="AB32" s="70"/>
      <c r="AC32" s="109"/>
      <c r="AD32" s="115"/>
      <c r="AE32" s="68"/>
      <c r="AF32" s="70"/>
      <c r="AG32" s="109"/>
      <c r="AH32" s="115"/>
      <c r="AI32" s="68"/>
      <c r="AJ32" s="70"/>
      <c r="AK32" s="109"/>
      <c r="AL32" s="115"/>
      <c r="AM32" s="68"/>
      <c r="AN32" s="70"/>
      <c r="AO32" s="109"/>
      <c r="AP32" s="115"/>
      <c r="AQ32" s="68"/>
      <c r="AR32" s="70"/>
      <c r="AS32" s="109"/>
      <c r="AT32" s="115"/>
      <c r="AU32" s="68"/>
      <c r="AV32" s="70"/>
      <c r="AW32" s="109"/>
      <c r="AX32" s="115"/>
      <c r="AY32" s="68"/>
      <c r="AZ32" s="70"/>
      <c r="BA32" s="109"/>
      <c r="BB32" s="115"/>
      <c r="BC32" s="68"/>
      <c r="BD32" s="70"/>
      <c r="BE32" s="109"/>
      <c r="BF32" s="115"/>
      <c r="BG32" s="68"/>
      <c r="BH32" s="70"/>
      <c r="BI32" s="109"/>
      <c r="BJ32" s="115"/>
      <c r="BK32" s="68"/>
      <c r="BL32" s="70"/>
      <c r="BM32" s="109"/>
      <c r="BN32" s="115"/>
      <c r="BO32" s="68"/>
      <c r="BP32" s="70"/>
      <c r="BQ32" s="109"/>
      <c r="BR32" s="115"/>
      <c r="BS32" s="68"/>
      <c r="BT32" s="70"/>
      <c r="BU32" s="109"/>
      <c r="BV32" s="115"/>
      <c r="BW32" s="68"/>
      <c r="BX32" s="70"/>
      <c r="BY32" s="109"/>
      <c r="BZ32" s="115"/>
      <c r="CA32" s="68"/>
      <c r="CB32" s="70"/>
      <c r="CC32" s="109"/>
      <c r="CD32" s="115"/>
      <c r="CE32" s="68"/>
      <c r="CF32" s="70"/>
      <c r="CG32" s="109"/>
      <c r="CH32" s="115"/>
      <c r="CI32" s="68"/>
      <c r="CJ32" s="70"/>
      <c r="CK32" s="109"/>
      <c r="CL32" s="115"/>
      <c r="CM32" s="68"/>
      <c r="CN32" s="70"/>
      <c r="CO32" s="109"/>
      <c r="CP32" s="115"/>
      <c r="CQ32" s="68"/>
      <c r="CR32" s="70"/>
      <c r="CS32" s="109"/>
      <c r="CT32" s="115"/>
      <c r="CU32" s="68"/>
      <c r="CV32" s="70"/>
      <c r="CW32" s="109"/>
      <c r="CX32" s="115"/>
      <c r="CY32" s="68"/>
      <c r="CZ32" s="70"/>
      <c r="DA32" s="109"/>
      <c r="DB32" s="115"/>
      <c r="DC32" s="68"/>
      <c r="DD32" s="70"/>
      <c r="DE32" s="109"/>
      <c r="DF32" s="115"/>
      <c r="DG32" s="68"/>
      <c r="DH32" s="70"/>
      <c r="DI32" s="109"/>
      <c r="DJ32" s="115"/>
      <c r="DK32" s="68"/>
      <c r="DL32" s="70"/>
      <c r="DM32" s="109"/>
      <c r="DN32" s="115"/>
      <c r="DO32" s="68"/>
      <c r="DP32" s="70"/>
      <c r="DQ32" s="109"/>
      <c r="DR32" s="115"/>
      <c r="DS32" s="68"/>
      <c r="DT32" s="70"/>
      <c r="DU32" s="109"/>
      <c r="DV32" s="115"/>
      <c r="DW32" s="68"/>
      <c r="DX32" s="70"/>
      <c r="DY32" s="109"/>
      <c r="DZ32" s="115"/>
      <c r="EA32" s="68"/>
      <c r="EB32" s="70"/>
      <c r="EC32" s="109"/>
      <c r="ED32" s="115"/>
      <c r="EE32" s="68"/>
      <c r="EF32" s="70"/>
      <c r="EG32" s="109"/>
      <c r="EH32" s="115">
        <v>2</v>
      </c>
      <c r="EI32" s="68"/>
      <c r="EJ32" s="70"/>
      <c r="EK32" s="109"/>
      <c r="EL32" s="115"/>
      <c r="EM32" s="68"/>
      <c r="EN32" s="70"/>
      <c r="EO32" s="109"/>
      <c r="EP32" s="115"/>
      <c r="EQ32" s="68"/>
      <c r="ER32" s="70">
        <v>2</v>
      </c>
      <c r="ES32" s="109"/>
      <c r="ET32" s="115"/>
      <c r="EU32" s="68"/>
      <c r="EV32" s="70"/>
      <c r="EW32" s="109"/>
      <c r="EX32" s="115"/>
      <c r="EY32" s="68"/>
      <c r="EZ32" s="70"/>
      <c r="FA32" s="109"/>
      <c r="FB32" s="115">
        <v>3</v>
      </c>
      <c r="FC32" s="68"/>
      <c r="FD32" s="70"/>
      <c r="FE32" s="109"/>
      <c r="FF32" s="115"/>
      <c r="FG32" s="68"/>
      <c r="FH32" s="70"/>
      <c r="FI32" s="109"/>
      <c r="FJ32" s="115"/>
      <c r="FK32" s="68"/>
      <c r="FL32" s="70">
        <v>3</v>
      </c>
      <c r="FM32" s="109"/>
      <c r="FN32" s="115"/>
      <c r="FO32" s="68"/>
      <c r="FP32" s="70"/>
      <c r="FQ32" s="109"/>
      <c r="FR32" s="115"/>
      <c r="FS32" s="68"/>
      <c r="FT32" s="70"/>
      <c r="FU32" s="109"/>
      <c r="FV32" s="115"/>
      <c r="FW32" s="68"/>
      <c r="FX32" s="70"/>
      <c r="FY32" s="109"/>
      <c r="FZ32" s="115"/>
      <c r="GA32" s="68"/>
      <c r="GB32" s="70"/>
      <c r="GC32" s="109"/>
      <c r="GD32" s="121">
        <f t="shared" si="0"/>
        <v>5</v>
      </c>
      <c r="GE32" s="76">
        <f t="shared" si="1"/>
        <v>0</v>
      </c>
      <c r="GF32" s="78">
        <f t="shared" si="2"/>
        <v>5</v>
      </c>
      <c r="GG32" s="123">
        <f t="shared" si="3"/>
        <v>0</v>
      </c>
    </row>
    <row r="33" spans="1:189">
      <c r="A33" s="56"/>
      <c r="B33" s="59">
        <v>7101</v>
      </c>
      <c r="C33" s="60" t="s">
        <v>92</v>
      </c>
      <c r="D33" s="57"/>
      <c r="E33" s="61">
        <v>10</v>
      </c>
      <c r="F33" s="61" t="s">
        <v>109</v>
      </c>
      <c r="G33" s="62">
        <v>43535</v>
      </c>
      <c r="H33" s="58">
        <v>43542</v>
      </c>
      <c r="I33" s="62">
        <v>43543</v>
      </c>
      <c r="J33" s="58">
        <v>43546</v>
      </c>
      <c r="K33" s="61" t="s">
        <v>110</v>
      </c>
      <c r="L33" s="62">
        <v>43546</v>
      </c>
      <c r="M33" s="58">
        <v>43553</v>
      </c>
      <c r="N33" s="63" t="s">
        <v>127</v>
      </c>
      <c r="O33" s="64"/>
      <c r="P33" s="64"/>
      <c r="Q33" s="63" t="s">
        <v>126</v>
      </c>
      <c r="R33" s="66"/>
      <c r="S33" s="68"/>
      <c r="T33" s="70"/>
      <c r="U33" s="109"/>
      <c r="V33" s="115"/>
      <c r="W33" s="68"/>
      <c r="X33" s="70"/>
      <c r="Y33" s="109"/>
      <c r="Z33" s="115"/>
      <c r="AA33" s="68"/>
      <c r="AB33" s="70"/>
      <c r="AC33" s="109"/>
      <c r="AD33" s="115"/>
      <c r="AE33" s="68"/>
      <c r="AF33" s="70"/>
      <c r="AG33" s="109"/>
      <c r="AH33" s="115"/>
      <c r="AI33" s="68"/>
      <c r="AJ33" s="70"/>
      <c r="AK33" s="109"/>
      <c r="AL33" s="115"/>
      <c r="AM33" s="68"/>
      <c r="AN33" s="70"/>
      <c r="AO33" s="109"/>
      <c r="AP33" s="115"/>
      <c r="AQ33" s="68"/>
      <c r="AR33" s="70"/>
      <c r="AS33" s="109"/>
      <c r="AT33" s="115"/>
      <c r="AU33" s="68"/>
      <c r="AV33" s="70"/>
      <c r="AW33" s="109"/>
      <c r="AX33" s="115"/>
      <c r="AY33" s="68"/>
      <c r="AZ33" s="70"/>
      <c r="BA33" s="109"/>
      <c r="BB33" s="115"/>
      <c r="BC33" s="68"/>
      <c r="BD33" s="70"/>
      <c r="BE33" s="109"/>
      <c r="BF33" s="115"/>
      <c r="BG33" s="68"/>
      <c r="BH33" s="70"/>
      <c r="BI33" s="109"/>
      <c r="BJ33" s="115">
        <v>2</v>
      </c>
      <c r="BK33" s="68"/>
      <c r="BL33" s="70"/>
      <c r="BM33" s="109"/>
      <c r="BN33" s="115"/>
      <c r="BO33" s="68"/>
      <c r="BP33" s="70"/>
      <c r="BQ33" s="109"/>
      <c r="BR33" s="115"/>
      <c r="BS33" s="68"/>
      <c r="BT33" s="70"/>
      <c r="BU33" s="109"/>
      <c r="BV33" s="115">
        <v>2</v>
      </c>
      <c r="BW33" s="68">
        <v>7</v>
      </c>
      <c r="BX33" s="70"/>
      <c r="BY33" s="109"/>
      <c r="BZ33" s="115">
        <v>2</v>
      </c>
      <c r="CA33" s="68"/>
      <c r="CB33" s="70"/>
      <c r="CC33" s="109"/>
      <c r="CD33" s="115">
        <v>2</v>
      </c>
      <c r="CE33" s="68">
        <v>2</v>
      </c>
      <c r="CF33" s="70"/>
      <c r="CG33" s="109"/>
      <c r="CH33" s="115"/>
      <c r="CI33" s="68"/>
      <c r="CJ33" s="70"/>
      <c r="CK33" s="109"/>
      <c r="CL33" s="115">
        <v>2</v>
      </c>
      <c r="CM33" s="68">
        <v>1</v>
      </c>
      <c r="CN33" s="70"/>
      <c r="CO33" s="109"/>
      <c r="CP33" s="115"/>
      <c r="CQ33" s="68"/>
      <c r="CR33" s="70"/>
      <c r="CS33" s="109"/>
      <c r="CT33" s="115"/>
      <c r="CU33" s="68"/>
      <c r="CV33" s="70"/>
      <c r="CW33" s="109"/>
      <c r="CX33" s="115"/>
      <c r="CY33" s="68"/>
      <c r="CZ33" s="70">
        <v>2</v>
      </c>
      <c r="DA33" s="109"/>
      <c r="DB33" s="115"/>
      <c r="DC33" s="68"/>
      <c r="DD33" s="70">
        <v>2</v>
      </c>
      <c r="DE33" s="109"/>
      <c r="DF33" s="115"/>
      <c r="DG33" s="68"/>
      <c r="DH33" s="70">
        <v>2</v>
      </c>
      <c r="DI33" s="109"/>
      <c r="DJ33" s="115"/>
      <c r="DK33" s="68"/>
      <c r="DL33" s="70">
        <v>2</v>
      </c>
      <c r="DM33" s="109"/>
      <c r="DN33" s="115"/>
      <c r="DO33" s="68"/>
      <c r="DP33" s="70">
        <v>2</v>
      </c>
      <c r="DQ33" s="109">
        <v>10</v>
      </c>
      <c r="DR33" s="115"/>
      <c r="DS33" s="68"/>
      <c r="DT33" s="70"/>
      <c r="DU33" s="109"/>
      <c r="DV33" s="115"/>
      <c r="DW33" s="68"/>
      <c r="DX33" s="70"/>
      <c r="DY33" s="109"/>
      <c r="DZ33" s="115"/>
      <c r="EA33" s="68"/>
      <c r="EB33" s="70"/>
      <c r="EC33" s="109"/>
      <c r="ED33" s="115"/>
      <c r="EE33" s="68"/>
      <c r="EF33" s="70"/>
      <c r="EG33" s="109"/>
      <c r="EH33" s="115"/>
      <c r="EI33" s="68"/>
      <c r="EJ33" s="70"/>
      <c r="EK33" s="109"/>
      <c r="EL33" s="115"/>
      <c r="EM33" s="68"/>
      <c r="EN33" s="70"/>
      <c r="EO33" s="109"/>
      <c r="EP33" s="115"/>
      <c r="EQ33" s="68"/>
      <c r="ER33" s="70"/>
      <c r="ES33" s="109"/>
      <c r="ET33" s="115"/>
      <c r="EU33" s="68"/>
      <c r="EV33" s="70"/>
      <c r="EW33" s="109"/>
      <c r="EX33" s="115"/>
      <c r="EY33" s="68"/>
      <c r="EZ33" s="70"/>
      <c r="FA33" s="109"/>
      <c r="FB33" s="115"/>
      <c r="FC33" s="68"/>
      <c r="FD33" s="70"/>
      <c r="FE33" s="109"/>
      <c r="FF33" s="115"/>
      <c r="FG33" s="68"/>
      <c r="FH33" s="70"/>
      <c r="FI33" s="109"/>
      <c r="FJ33" s="115"/>
      <c r="FK33" s="68"/>
      <c r="FL33" s="70"/>
      <c r="FM33" s="109"/>
      <c r="FN33" s="115"/>
      <c r="FO33" s="68"/>
      <c r="FP33" s="70"/>
      <c r="FQ33" s="109"/>
      <c r="FR33" s="115"/>
      <c r="FS33" s="68"/>
      <c r="FT33" s="70"/>
      <c r="FU33" s="109"/>
      <c r="FV33" s="115"/>
      <c r="FW33" s="68"/>
      <c r="FX33" s="70"/>
      <c r="FY33" s="109"/>
      <c r="FZ33" s="115"/>
      <c r="GA33" s="68"/>
      <c r="GB33" s="70"/>
      <c r="GC33" s="109"/>
      <c r="GD33" s="121">
        <f t="shared" si="0"/>
        <v>10</v>
      </c>
      <c r="GE33" s="76">
        <f t="shared" si="1"/>
        <v>10</v>
      </c>
      <c r="GF33" s="78">
        <f t="shared" si="2"/>
        <v>10</v>
      </c>
      <c r="GG33" s="123">
        <f t="shared" si="3"/>
        <v>10</v>
      </c>
    </row>
    <row r="34" spans="1:189" ht="12.75" thickBot="1">
      <c r="A34" s="56"/>
      <c r="B34" s="59">
        <v>8101</v>
      </c>
      <c r="C34" s="60" t="s">
        <v>93</v>
      </c>
      <c r="D34" s="57"/>
      <c r="E34" s="61">
        <v>7</v>
      </c>
      <c r="F34" s="61" t="s">
        <v>110</v>
      </c>
      <c r="G34" s="62">
        <v>43535</v>
      </c>
      <c r="H34" s="58"/>
      <c r="I34" s="62">
        <v>43546</v>
      </c>
      <c r="J34" s="58"/>
      <c r="K34" s="61" t="s">
        <v>109</v>
      </c>
      <c r="L34" s="62">
        <v>43553</v>
      </c>
      <c r="M34" s="58"/>
      <c r="N34" s="63"/>
      <c r="O34" s="64"/>
      <c r="P34" s="64"/>
      <c r="Q34" s="63"/>
      <c r="R34" s="67"/>
      <c r="S34" s="69"/>
      <c r="T34" s="71"/>
      <c r="U34" s="110"/>
      <c r="V34" s="116"/>
      <c r="W34" s="69"/>
      <c r="X34" s="71"/>
      <c r="Y34" s="110"/>
      <c r="Z34" s="116"/>
      <c r="AA34" s="69"/>
      <c r="AB34" s="71"/>
      <c r="AC34" s="110"/>
      <c r="AD34" s="116"/>
      <c r="AE34" s="69"/>
      <c r="AF34" s="71"/>
      <c r="AG34" s="110"/>
      <c r="AH34" s="116"/>
      <c r="AI34" s="69"/>
      <c r="AJ34" s="71"/>
      <c r="AK34" s="110"/>
      <c r="AL34" s="116"/>
      <c r="AM34" s="69"/>
      <c r="AN34" s="71"/>
      <c r="AO34" s="110"/>
      <c r="AP34" s="116"/>
      <c r="AQ34" s="69"/>
      <c r="AR34" s="71"/>
      <c r="AS34" s="110"/>
      <c r="AT34" s="116"/>
      <c r="AU34" s="69"/>
      <c r="AV34" s="71"/>
      <c r="AW34" s="110"/>
      <c r="AX34" s="116"/>
      <c r="AY34" s="69"/>
      <c r="AZ34" s="71"/>
      <c r="BA34" s="110"/>
      <c r="BB34" s="116"/>
      <c r="BC34" s="69"/>
      <c r="BD34" s="71"/>
      <c r="BE34" s="110"/>
      <c r="BF34" s="116"/>
      <c r="BG34" s="69"/>
      <c r="BH34" s="71"/>
      <c r="BI34" s="110"/>
      <c r="BJ34" s="116"/>
      <c r="BK34" s="69"/>
      <c r="BL34" s="71"/>
      <c r="BM34" s="110"/>
      <c r="BN34" s="116"/>
      <c r="BO34" s="69"/>
      <c r="BP34" s="71"/>
      <c r="BQ34" s="110"/>
      <c r="BR34" s="116"/>
      <c r="BS34" s="69"/>
      <c r="BT34" s="71"/>
      <c r="BU34" s="110"/>
      <c r="BV34" s="116"/>
      <c r="BW34" s="69"/>
      <c r="BX34" s="71"/>
      <c r="BY34" s="110"/>
      <c r="BZ34" s="116"/>
      <c r="CA34" s="69"/>
      <c r="CB34" s="71"/>
      <c r="CC34" s="110"/>
      <c r="CD34" s="116"/>
      <c r="CE34" s="69"/>
      <c r="CF34" s="71"/>
      <c r="CG34" s="110"/>
      <c r="CH34" s="116"/>
      <c r="CI34" s="69"/>
      <c r="CJ34" s="71"/>
      <c r="CK34" s="110"/>
      <c r="CL34" s="116">
        <v>1</v>
      </c>
      <c r="CM34" s="69"/>
      <c r="CN34" s="71">
        <v>1</v>
      </c>
      <c r="CO34" s="110"/>
      <c r="CP34" s="116"/>
      <c r="CQ34" s="69"/>
      <c r="CR34" s="71"/>
      <c r="CS34" s="110"/>
      <c r="CT34" s="116"/>
      <c r="CU34" s="69"/>
      <c r="CV34" s="71"/>
      <c r="CW34" s="110"/>
      <c r="CX34" s="116"/>
      <c r="CY34" s="69"/>
      <c r="CZ34" s="71"/>
      <c r="DA34" s="110"/>
      <c r="DB34" s="116"/>
      <c r="DC34" s="69"/>
      <c r="DD34" s="71"/>
      <c r="DE34" s="110"/>
      <c r="DF34" s="116"/>
      <c r="DG34" s="69"/>
      <c r="DH34" s="71"/>
      <c r="DI34" s="110"/>
      <c r="DJ34" s="116"/>
      <c r="DK34" s="69"/>
      <c r="DL34" s="71"/>
      <c r="DM34" s="110"/>
      <c r="DN34" s="116">
        <v>6</v>
      </c>
      <c r="DO34" s="69"/>
      <c r="DP34" s="71">
        <v>6</v>
      </c>
      <c r="DQ34" s="110"/>
      <c r="DR34" s="116"/>
      <c r="DS34" s="69"/>
      <c r="DT34" s="71"/>
      <c r="DU34" s="110"/>
      <c r="DV34" s="116"/>
      <c r="DW34" s="69"/>
      <c r="DX34" s="71"/>
      <c r="DY34" s="110"/>
      <c r="DZ34" s="116"/>
      <c r="EA34" s="69"/>
      <c r="EB34" s="71"/>
      <c r="EC34" s="110"/>
      <c r="ED34" s="116"/>
      <c r="EE34" s="69"/>
      <c r="EF34" s="71"/>
      <c r="EG34" s="110"/>
      <c r="EH34" s="116"/>
      <c r="EI34" s="69"/>
      <c r="EJ34" s="71"/>
      <c r="EK34" s="110"/>
      <c r="EL34" s="116"/>
      <c r="EM34" s="69"/>
      <c r="EN34" s="71"/>
      <c r="EO34" s="110"/>
      <c r="EP34" s="116"/>
      <c r="EQ34" s="69"/>
      <c r="ER34" s="71"/>
      <c r="ES34" s="110"/>
      <c r="ET34" s="116"/>
      <c r="EU34" s="69"/>
      <c r="EV34" s="71"/>
      <c r="EW34" s="110"/>
      <c r="EX34" s="116"/>
      <c r="EY34" s="69"/>
      <c r="EZ34" s="71"/>
      <c r="FA34" s="110"/>
      <c r="FB34" s="116"/>
      <c r="FC34" s="69"/>
      <c r="FD34" s="71"/>
      <c r="FE34" s="110"/>
      <c r="FF34" s="116"/>
      <c r="FG34" s="69"/>
      <c r="FH34" s="71"/>
      <c r="FI34" s="110"/>
      <c r="FJ34" s="116"/>
      <c r="FK34" s="69"/>
      <c r="FL34" s="71"/>
      <c r="FM34" s="110"/>
      <c r="FN34" s="116"/>
      <c r="FO34" s="69"/>
      <c r="FP34" s="71"/>
      <c r="FQ34" s="110"/>
      <c r="FR34" s="116"/>
      <c r="FS34" s="69"/>
      <c r="FT34" s="71"/>
      <c r="FU34" s="110"/>
      <c r="FV34" s="116"/>
      <c r="FW34" s="69"/>
      <c r="FX34" s="71"/>
      <c r="FY34" s="110"/>
      <c r="FZ34" s="116"/>
      <c r="GA34" s="69"/>
      <c r="GB34" s="71"/>
      <c r="GC34" s="110"/>
      <c r="GD34" s="122">
        <f t="shared" si="0"/>
        <v>7</v>
      </c>
      <c r="GE34" s="77">
        <f t="shared" si="1"/>
        <v>0</v>
      </c>
      <c r="GF34" s="79">
        <f t="shared" si="2"/>
        <v>7</v>
      </c>
      <c r="GG34" s="124">
        <f t="shared" si="3"/>
        <v>0</v>
      </c>
    </row>
    <row r="35" spans="1:189">
      <c r="R35" s="101">
        <f>SUM($R$4:$R$34)</f>
        <v>0</v>
      </c>
      <c r="S35" s="65">
        <f>SUM($S$4:$S$34)</f>
        <v>0</v>
      </c>
      <c r="T35" s="65">
        <f>SUM($T$4:$T$34)</f>
        <v>0</v>
      </c>
      <c r="U35" s="103">
        <f>SUM($U$4:$U$34)</f>
        <v>0</v>
      </c>
      <c r="V35" s="104">
        <f>SUM($V$4:$V$34)</f>
        <v>0</v>
      </c>
      <c r="W35" s="65">
        <f>SUM($W$4:$W$34)</f>
        <v>0</v>
      </c>
      <c r="X35" s="65">
        <f>SUM($X$4:$X$34)</f>
        <v>0</v>
      </c>
      <c r="Y35" s="103">
        <f>SUM($Y$4:$Y$34)</f>
        <v>0</v>
      </c>
      <c r="Z35" s="104">
        <f>SUM($Z$4:$Z$34)</f>
        <v>26</v>
      </c>
      <c r="AA35" s="65">
        <f>SUM($AA$4:$AA$34)</f>
        <v>26</v>
      </c>
      <c r="AB35" s="65">
        <f>SUM($AB$4:$AB$34)</f>
        <v>0</v>
      </c>
      <c r="AC35" s="103">
        <f>SUM($AC$4:$AC$34)</f>
        <v>0</v>
      </c>
      <c r="AD35" s="104">
        <f>SUM($AD$4:$AD$34)</f>
        <v>0</v>
      </c>
      <c r="AE35" s="65">
        <f>SUM($AE$4:$AE$34)</f>
        <v>0</v>
      </c>
      <c r="AF35" s="65">
        <f>SUM($AF$4:$AF$34)</f>
        <v>0</v>
      </c>
      <c r="AG35" s="103">
        <f>SUM($AG$4:$AG$34)</f>
        <v>0</v>
      </c>
      <c r="AH35" s="104">
        <f>SUM($AH$4:$AH$34)</f>
        <v>25</v>
      </c>
      <c r="AI35" s="65">
        <f>SUM($AI$4:$AI$34)</f>
        <v>25</v>
      </c>
      <c r="AJ35" s="65">
        <f>SUM($AJ$4:$AJ$34)</f>
        <v>0</v>
      </c>
      <c r="AK35" s="103">
        <f>SUM($AK$4:$AK$34)</f>
        <v>6</v>
      </c>
      <c r="AL35" s="104">
        <f>SUM($AL$4:$AL$34)</f>
        <v>0</v>
      </c>
      <c r="AM35" s="65">
        <f>SUM($AM$4:$AM$34)</f>
        <v>0</v>
      </c>
      <c r="AN35" s="65">
        <f>SUM($AN$4:$AN$34)</f>
        <v>0</v>
      </c>
      <c r="AO35" s="103">
        <f>SUM($AO$4:$AO$34)</f>
        <v>0</v>
      </c>
      <c r="AP35" s="104">
        <f>SUM($AP$4:$AP$34)</f>
        <v>0</v>
      </c>
      <c r="AQ35" s="65">
        <f>SUM($AQ$4:$AQ$34)</f>
        <v>0</v>
      </c>
      <c r="AR35" s="65">
        <f>SUM($AR$4:$AR$34)</f>
        <v>0</v>
      </c>
      <c r="AS35" s="103">
        <f>SUM($AS$4:$AS$34)</f>
        <v>0</v>
      </c>
      <c r="AT35" s="104">
        <f>SUM($AT$4:$AT$34)</f>
        <v>11</v>
      </c>
      <c r="AU35" s="65">
        <f>SUM($AU$4:$AU$34)</f>
        <v>16</v>
      </c>
      <c r="AV35" s="65">
        <f>SUM($AV$4:$AV$34)</f>
        <v>0</v>
      </c>
      <c r="AW35" s="103">
        <f>SUM($AW$4:$AW$34)</f>
        <v>0</v>
      </c>
      <c r="AX35" s="104">
        <f>SUM($AX$4:$AX$34)</f>
        <v>37</v>
      </c>
      <c r="AY35" s="65">
        <f>SUM($AY$4:$AY$34)</f>
        <v>45</v>
      </c>
      <c r="AZ35" s="65">
        <f>SUM($AZ$4:$AZ$34)</f>
        <v>0</v>
      </c>
      <c r="BA35" s="103">
        <f>SUM($BA$4:$BA$34)</f>
        <v>2</v>
      </c>
      <c r="BB35" s="104">
        <f>SUM($BB$4:$BB$34)</f>
        <v>26</v>
      </c>
      <c r="BC35" s="65">
        <f>SUM($BC$4:$BC$34)</f>
        <v>30</v>
      </c>
      <c r="BD35" s="65">
        <f>SUM($BD$4:$BD$34)</f>
        <v>0</v>
      </c>
      <c r="BE35" s="103">
        <f>SUM($BE$4:$BE$34)</f>
        <v>0</v>
      </c>
      <c r="BF35" s="104">
        <f>SUM($BF$4:$BF$34)</f>
        <v>13</v>
      </c>
      <c r="BG35" s="65">
        <f>SUM($BG$4:$BG$34)</f>
        <v>28</v>
      </c>
      <c r="BH35" s="65">
        <f>SUM($BH$4:$BH$34)</f>
        <v>0</v>
      </c>
      <c r="BI35" s="103">
        <f>SUM($BI$4:$BI$34)</f>
        <v>0</v>
      </c>
      <c r="BJ35" s="104">
        <f>SUM($BJ$4:$BJ$34)</f>
        <v>103</v>
      </c>
      <c r="BK35" s="65">
        <f>SUM($BK$4:$BK$34)</f>
        <v>37</v>
      </c>
      <c r="BL35" s="65">
        <f>SUM($BL$4:$BL$34)</f>
        <v>70</v>
      </c>
      <c r="BM35" s="103">
        <f>SUM($BM$4:$BM$34)</f>
        <v>114</v>
      </c>
      <c r="BN35" s="104">
        <f>SUM($BN$4:$BN$34)</f>
        <v>0</v>
      </c>
      <c r="BO35" s="65">
        <f>SUM($BO$4:$BO$34)</f>
        <v>0</v>
      </c>
      <c r="BP35" s="65">
        <f>SUM($BP$4:$BP$34)</f>
        <v>0</v>
      </c>
      <c r="BQ35" s="103">
        <f>SUM($BQ$4:$BQ$34)</f>
        <v>0</v>
      </c>
      <c r="BR35" s="104">
        <f>SUM($BR$4:$BR$34)</f>
        <v>0</v>
      </c>
      <c r="BS35" s="65">
        <f>SUM($BS$4:$BS$34)</f>
        <v>0</v>
      </c>
      <c r="BT35" s="65">
        <f>SUM($BT$4:$BT$34)</f>
        <v>0</v>
      </c>
      <c r="BU35" s="103">
        <f>SUM($BU$4:$BU$34)</f>
        <v>0</v>
      </c>
      <c r="BV35" s="104">
        <f>SUM($BV$4:$BV$34)</f>
        <v>2</v>
      </c>
      <c r="BW35" s="65">
        <f>SUM($BW$4:$BW$34)</f>
        <v>94</v>
      </c>
      <c r="BX35" s="65">
        <f>SUM($BX$4:$BX$34)</f>
        <v>0</v>
      </c>
      <c r="BY35" s="103">
        <f>SUM($BY$4:$BY$34)</f>
        <v>17</v>
      </c>
      <c r="BZ35" s="104">
        <f>SUM($BZ$4:$BZ$34)</f>
        <v>14</v>
      </c>
      <c r="CA35" s="65">
        <f>SUM($CA$4:$CA$34)</f>
        <v>4</v>
      </c>
      <c r="CB35" s="65">
        <f>SUM($CB$4:$CB$34)</f>
        <v>0</v>
      </c>
      <c r="CC35" s="103">
        <f>SUM($CC$4:$CC$34)</f>
        <v>5</v>
      </c>
      <c r="CD35" s="104">
        <f>SUM($CD$4:$CD$34)</f>
        <v>2</v>
      </c>
      <c r="CE35" s="65">
        <f>SUM($CE$4:$CE$34)</f>
        <v>13</v>
      </c>
      <c r="CF35" s="65">
        <f>SUM($CF$4:$CF$34)</f>
        <v>0</v>
      </c>
      <c r="CG35" s="103">
        <f>SUM($CG$4:$CG$34)</f>
        <v>0</v>
      </c>
      <c r="CH35" s="104">
        <f>SUM($CH$4:$CH$34)</f>
        <v>8</v>
      </c>
      <c r="CI35" s="65">
        <f>SUM($CI$4:$CI$34)</f>
        <v>18</v>
      </c>
      <c r="CJ35" s="65">
        <f>SUM($CJ$4:$CJ$34)</f>
        <v>0</v>
      </c>
      <c r="CK35" s="103">
        <f>SUM($CK$4:$CK$34)</f>
        <v>0</v>
      </c>
      <c r="CL35" s="104">
        <f>SUM($CL$4:$CL$34)</f>
        <v>230</v>
      </c>
      <c r="CM35" s="65">
        <f>SUM($CM$4:$CM$34)</f>
        <v>118</v>
      </c>
      <c r="CN35" s="65">
        <f>SUM($CN$4:$CN$34)</f>
        <v>164</v>
      </c>
      <c r="CO35" s="103">
        <f>SUM($CO$4:$CO$34)</f>
        <v>0</v>
      </c>
      <c r="CP35" s="104">
        <f>SUM($CP$4:$CP$34)</f>
        <v>0</v>
      </c>
      <c r="CQ35" s="65">
        <f>SUM($CQ$4:$CQ$34)</f>
        <v>0</v>
      </c>
      <c r="CR35" s="65">
        <f>SUM($CR$4:$CR$34)</f>
        <v>0</v>
      </c>
      <c r="CS35" s="103">
        <f>SUM($CS$4:$CS$34)</f>
        <v>0</v>
      </c>
      <c r="CT35" s="104">
        <f>SUM($CT$4:$CT$34)</f>
        <v>0</v>
      </c>
      <c r="CU35" s="65">
        <f>SUM($CU$4:$CU$34)</f>
        <v>0</v>
      </c>
      <c r="CV35" s="65">
        <f>SUM($CV$4:$CV$34)</f>
        <v>0</v>
      </c>
      <c r="CW35" s="103">
        <f>SUM($CW$4:$CW$34)</f>
        <v>0</v>
      </c>
      <c r="CX35" s="104">
        <f>SUM($CX$4:$CX$34)</f>
        <v>0</v>
      </c>
      <c r="CY35" s="65">
        <f>SUM($CY$4:$CY$34)</f>
        <v>20</v>
      </c>
      <c r="CZ35" s="65">
        <f>SUM($CZ$4:$CZ$34)</f>
        <v>10</v>
      </c>
      <c r="DA35" s="103">
        <f>SUM($DA$4:$DA$34)</f>
        <v>12</v>
      </c>
      <c r="DB35" s="104">
        <f>SUM($DB$4:$DB$34)</f>
        <v>30</v>
      </c>
      <c r="DC35" s="65">
        <f>SUM($DC$4:$DC$34)</f>
        <v>52</v>
      </c>
      <c r="DD35" s="65">
        <f>SUM($DD$4:$DD$34)</f>
        <v>2</v>
      </c>
      <c r="DE35" s="103">
        <f>SUM($DE$4:$DE$34)</f>
        <v>32</v>
      </c>
      <c r="DF35" s="104">
        <f>SUM($DF$4:$DF$34)</f>
        <v>32</v>
      </c>
      <c r="DG35" s="65">
        <f>SUM($DG$4:$DG$34)</f>
        <v>8</v>
      </c>
      <c r="DH35" s="65">
        <f>SUM($DH$4:$DH$34)</f>
        <v>10</v>
      </c>
      <c r="DI35" s="103">
        <f>SUM($DI$4:$DI$34)</f>
        <v>3</v>
      </c>
      <c r="DJ35" s="104">
        <f>SUM($DJ$4:$DJ$34)</f>
        <v>3</v>
      </c>
      <c r="DK35" s="65">
        <f>SUM($DK$4:$DK$34)</f>
        <v>41</v>
      </c>
      <c r="DL35" s="65">
        <f>SUM($DL$4:$DL$34)</f>
        <v>37</v>
      </c>
      <c r="DM35" s="103">
        <f>SUM($DM$4:$DM$34)</f>
        <v>66</v>
      </c>
      <c r="DN35" s="104">
        <f>SUM($DN$4:$DN$34)</f>
        <v>136</v>
      </c>
      <c r="DO35" s="65">
        <f>SUM($DO$4:$DO$34)</f>
        <v>45</v>
      </c>
      <c r="DP35" s="65">
        <f>SUM($DP$4:$DP$34)</f>
        <v>394</v>
      </c>
      <c r="DQ35" s="103">
        <f>SUM($DQ$4:$DQ$34)</f>
        <v>31</v>
      </c>
      <c r="DR35" s="104">
        <f>SUM($DR$4:$DR$34)</f>
        <v>0</v>
      </c>
      <c r="DS35" s="65">
        <f>SUM($DS$4:$DS$34)</f>
        <v>0</v>
      </c>
      <c r="DT35" s="65">
        <f>SUM($DT$4:$DT$34)</f>
        <v>0</v>
      </c>
      <c r="DU35" s="103">
        <f>SUM($DU$4:$DU$34)</f>
        <v>0</v>
      </c>
      <c r="DV35" s="104">
        <f>SUM($DV$4:$DV$34)</f>
        <v>0</v>
      </c>
      <c r="DW35" s="65">
        <f>SUM($DW$4:$DW$34)</f>
        <v>0</v>
      </c>
      <c r="DX35" s="65">
        <f>SUM($DX$4:$DX$34)</f>
        <v>0</v>
      </c>
      <c r="DY35" s="103">
        <f>SUM($DY$4:$DY$34)</f>
        <v>0</v>
      </c>
      <c r="DZ35" s="104">
        <f>SUM($DZ$4:$DZ$34)</f>
        <v>81</v>
      </c>
      <c r="EA35" s="65">
        <f>SUM($EA$4:$EA$34)</f>
        <v>0</v>
      </c>
      <c r="EB35" s="65">
        <f>SUM($EB$4:$EB$34)</f>
        <v>11</v>
      </c>
      <c r="EC35" s="103">
        <f>SUM($EC$4:$EC$34)</f>
        <v>0</v>
      </c>
      <c r="ED35" s="104">
        <f>SUM($ED$4:$ED$34)</f>
        <v>19</v>
      </c>
      <c r="EE35" s="65">
        <f>SUM($EE$4:$EE$34)</f>
        <v>0</v>
      </c>
      <c r="EF35" s="65">
        <f>SUM($EF$4:$EF$34)</f>
        <v>81</v>
      </c>
      <c r="EG35" s="103">
        <f>SUM($EG$4:$EG$34)</f>
        <v>0</v>
      </c>
      <c r="EH35" s="104">
        <f>SUM($EH$4:$EH$34)</f>
        <v>34</v>
      </c>
      <c r="EI35" s="65">
        <f>SUM($EI$4:$EI$34)</f>
        <v>0</v>
      </c>
      <c r="EJ35" s="65">
        <f>SUM($EJ$4:$EJ$34)</f>
        <v>19</v>
      </c>
      <c r="EK35" s="103">
        <f>SUM($EK$4:$EK$34)</f>
        <v>0</v>
      </c>
      <c r="EL35" s="104">
        <f>SUM($EL$4:$EL$34)</f>
        <v>74</v>
      </c>
      <c r="EM35" s="65">
        <f>SUM($EM$4:$EM$34)</f>
        <v>0</v>
      </c>
      <c r="EN35" s="65">
        <f>SUM($EN$4:$EN$34)</f>
        <v>32</v>
      </c>
      <c r="EO35" s="103">
        <f>SUM($EO$4:$EO$34)</f>
        <v>0</v>
      </c>
      <c r="EP35" s="104">
        <f>SUM($EP$4:$EP$34)</f>
        <v>2</v>
      </c>
      <c r="EQ35" s="65">
        <f>SUM($EQ$4:$EQ$34)</f>
        <v>0</v>
      </c>
      <c r="ER35" s="65">
        <f>SUM($ER$4:$ER$34)</f>
        <v>76</v>
      </c>
      <c r="ES35" s="103">
        <f>SUM($ES$4:$ES$34)</f>
        <v>0</v>
      </c>
      <c r="ET35" s="104">
        <f>SUM($ET$4:$ET$34)</f>
        <v>0</v>
      </c>
      <c r="EU35" s="65">
        <f>SUM($EU$4:$EU$34)</f>
        <v>0</v>
      </c>
      <c r="EV35" s="65">
        <f>SUM($EV$4:$EV$34)</f>
        <v>0</v>
      </c>
      <c r="EW35" s="103">
        <f>SUM($EW$4:$EW$34)</f>
        <v>0</v>
      </c>
      <c r="EX35" s="104">
        <f>SUM($EX$4:$EX$34)</f>
        <v>0</v>
      </c>
      <c r="EY35" s="65">
        <f>SUM($EY$4:$EY$34)</f>
        <v>0</v>
      </c>
      <c r="EZ35" s="65">
        <f>SUM($EZ$4:$EZ$34)</f>
        <v>0</v>
      </c>
      <c r="FA35" s="103">
        <f>SUM($FA$4:$FA$34)</f>
        <v>0</v>
      </c>
      <c r="FB35" s="104">
        <f>SUM($FB$4:$FB$34)</f>
        <v>29</v>
      </c>
      <c r="FC35" s="65">
        <f>SUM($FC$4:$FC$34)</f>
        <v>0</v>
      </c>
      <c r="FD35" s="65">
        <f>SUM($FD$4:$FD$34)</f>
        <v>2</v>
      </c>
      <c r="FE35" s="103">
        <f>SUM($FE$4:$FE$34)</f>
        <v>0</v>
      </c>
      <c r="FF35" s="104">
        <f>SUM($FF$4:$FF$34)</f>
        <v>1</v>
      </c>
      <c r="FG35" s="65">
        <f>SUM($FG$4:$FG$34)</f>
        <v>0</v>
      </c>
      <c r="FH35" s="65">
        <f>SUM($FH$4:$FH$34)</f>
        <v>26</v>
      </c>
      <c r="FI35" s="103">
        <f>SUM($FI$4:$FI$34)</f>
        <v>0</v>
      </c>
      <c r="FJ35" s="104">
        <f>SUM($FJ$4:$FJ$34)</f>
        <v>9</v>
      </c>
      <c r="FK35" s="65">
        <f>SUM($FK$4:$FK$34)</f>
        <v>0</v>
      </c>
      <c r="FL35" s="65">
        <f>SUM($FL$4:$FL$34)</f>
        <v>4</v>
      </c>
      <c r="FM35" s="103">
        <f>SUM($FM$4:$FM$34)</f>
        <v>0</v>
      </c>
      <c r="FN35" s="104">
        <f>SUM($FN$4:$FN$34)</f>
        <v>13</v>
      </c>
      <c r="FO35" s="65">
        <f>SUM($FO$4:$FO$34)</f>
        <v>0</v>
      </c>
      <c r="FP35" s="65">
        <f>SUM($FP$4:$FP$34)</f>
        <v>9</v>
      </c>
      <c r="FQ35" s="103">
        <f>SUM($FQ$4:$FQ$34)</f>
        <v>0</v>
      </c>
      <c r="FR35" s="104">
        <f>SUM($FR$4:$FR$34)</f>
        <v>1</v>
      </c>
      <c r="FS35" s="65">
        <f>SUM($FS$4:$FS$34)</f>
        <v>0</v>
      </c>
      <c r="FT35" s="65">
        <f>SUM($FT$4:$FT$34)</f>
        <v>13</v>
      </c>
      <c r="FU35" s="103">
        <f>SUM($FU$4:$FU$34)</f>
        <v>0</v>
      </c>
      <c r="FV35" s="104">
        <f>SUM($FV$4:$FV$34)</f>
        <v>0</v>
      </c>
      <c r="FW35" s="65">
        <f>SUM($FW$4:$FW$34)</f>
        <v>0</v>
      </c>
      <c r="FX35" s="65">
        <f>SUM($FX$4:$FX$34)</f>
        <v>1</v>
      </c>
      <c r="FY35" s="103">
        <f>SUM($FY$4:$FY$34)</f>
        <v>0</v>
      </c>
      <c r="FZ35" s="104">
        <f>SUM($FZ$4:$FZ$34)</f>
        <v>0</v>
      </c>
      <c r="GA35" s="65">
        <f>SUM($GA$4:$GA$34)</f>
        <v>0</v>
      </c>
      <c r="GB35" s="65">
        <f>SUM($GB$4:$GB$34)</f>
        <v>0</v>
      </c>
      <c r="GC35" s="103">
        <f>SUM($GC$4:$GC$34)</f>
        <v>0</v>
      </c>
      <c r="GD35" s="129">
        <f>SUM($GD$4:$GD$34)</f>
        <v>961</v>
      </c>
      <c r="GE35" s="82">
        <f>SUM($GE$4:$GE$34)</f>
        <v>620</v>
      </c>
      <c r="GF35" s="82">
        <f>SUM($GF$4:$GF$34)</f>
        <v>961</v>
      </c>
      <c r="GG35" s="130">
        <f>SUM($GG$4:$GG$34)</f>
        <v>288</v>
      </c>
    </row>
    <row r="36" spans="1:189" ht="12.75" thickBot="1">
      <c r="R36" s="105">
        <f>$R$35</f>
        <v>0</v>
      </c>
      <c r="S36" s="106">
        <f>$S$35</f>
        <v>0</v>
      </c>
      <c r="T36" s="106">
        <f>$T$35</f>
        <v>0</v>
      </c>
      <c r="U36" s="107">
        <f>$U$35</f>
        <v>0</v>
      </c>
      <c r="V36" s="108">
        <f>$V$35+$R$36</f>
        <v>0</v>
      </c>
      <c r="W36" s="106">
        <f>$W$35+$S$36</f>
        <v>0</v>
      </c>
      <c r="X36" s="106">
        <f>$X$35+$T$36</f>
        <v>0</v>
      </c>
      <c r="Y36" s="107">
        <f>$Y$35+$U$36</f>
        <v>0</v>
      </c>
      <c r="Z36" s="108">
        <f>$Z$35+$V$36</f>
        <v>26</v>
      </c>
      <c r="AA36" s="106">
        <f>$AA$35+$W$36</f>
        <v>26</v>
      </c>
      <c r="AB36" s="106">
        <f>$AB$35+$X$36</f>
        <v>0</v>
      </c>
      <c r="AC36" s="107">
        <f>$AC$35+$Y$36</f>
        <v>0</v>
      </c>
      <c r="AD36" s="108">
        <f>$AD$35+$Z$36</f>
        <v>26</v>
      </c>
      <c r="AE36" s="106">
        <f>$AE$35+$AA$36</f>
        <v>26</v>
      </c>
      <c r="AF36" s="106">
        <f>$AF$35+$AB$36</f>
        <v>0</v>
      </c>
      <c r="AG36" s="107">
        <f>$AG$35+$AC$36</f>
        <v>0</v>
      </c>
      <c r="AH36" s="108">
        <f>$AH$35+$AD$36</f>
        <v>51</v>
      </c>
      <c r="AI36" s="106">
        <f>$AI$35+$AE$36</f>
        <v>51</v>
      </c>
      <c r="AJ36" s="106">
        <f>$AJ$35+$AF$36</f>
        <v>0</v>
      </c>
      <c r="AK36" s="107">
        <f>$AK$35+$AG$36</f>
        <v>6</v>
      </c>
      <c r="AL36" s="108">
        <f>$AL$35+$AH$36</f>
        <v>51</v>
      </c>
      <c r="AM36" s="106">
        <f>$AM$35+$AI$36</f>
        <v>51</v>
      </c>
      <c r="AN36" s="106">
        <f>$AN$35+$AJ$36</f>
        <v>0</v>
      </c>
      <c r="AO36" s="107">
        <f>$AO$35+$AK$36</f>
        <v>6</v>
      </c>
      <c r="AP36" s="108">
        <f>$AP$35+$AL$36</f>
        <v>51</v>
      </c>
      <c r="AQ36" s="106">
        <f>$AQ$35+$AM$36</f>
        <v>51</v>
      </c>
      <c r="AR36" s="106">
        <f>$AR$35+$AN$36</f>
        <v>0</v>
      </c>
      <c r="AS36" s="107">
        <f>$AS$35+$AO$36</f>
        <v>6</v>
      </c>
      <c r="AT36" s="108">
        <f>$AT$35+$AP$36</f>
        <v>62</v>
      </c>
      <c r="AU36" s="106">
        <f>$AU$35+$AQ$36</f>
        <v>67</v>
      </c>
      <c r="AV36" s="106">
        <f>$AV$35+$AR$36</f>
        <v>0</v>
      </c>
      <c r="AW36" s="107">
        <f>$AW$35+$AS$36</f>
        <v>6</v>
      </c>
      <c r="AX36" s="108">
        <f>$AX$35+$AT$36</f>
        <v>99</v>
      </c>
      <c r="AY36" s="106">
        <f>$AY$35+$AU$36</f>
        <v>112</v>
      </c>
      <c r="AZ36" s="106">
        <f>$AZ$35+$AV$36</f>
        <v>0</v>
      </c>
      <c r="BA36" s="107">
        <f>$BA$35+$AW$36</f>
        <v>8</v>
      </c>
      <c r="BB36" s="108">
        <f>$BB$35+$AX$36</f>
        <v>125</v>
      </c>
      <c r="BC36" s="106">
        <f>$BC$35+$AY$36</f>
        <v>142</v>
      </c>
      <c r="BD36" s="106">
        <f>$BD$35+$AZ$36</f>
        <v>0</v>
      </c>
      <c r="BE36" s="107">
        <f>$BE$35+$BA$36</f>
        <v>8</v>
      </c>
      <c r="BF36" s="108">
        <f>$BF$35+$BB$36</f>
        <v>138</v>
      </c>
      <c r="BG36" s="106">
        <f>$BG$35+$BC$36</f>
        <v>170</v>
      </c>
      <c r="BH36" s="106">
        <f>$BH$35+$BD$36</f>
        <v>0</v>
      </c>
      <c r="BI36" s="107">
        <f>$BI$35+$BE$36</f>
        <v>8</v>
      </c>
      <c r="BJ36" s="108">
        <f>$BJ$35+$BF$36</f>
        <v>241</v>
      </c>
      <c r="BK36" s="106">
        <f>$BK$35+$BG$36</f>
        <v>207</v>
      </c>
      <c r="BL36" s="106">
        <f>$BL$35+$BH$36</f>
        <v>70</v>
      </c>
      <c r="BM36" s="107">
        <f>$BM$35+$BI$36</f>
        <v>122</v>
      </c>
      <c r="BN36" s="108">
        <f>$BN$35+$BJ$36</f>
        <v>241</v>
      </c>
      <c r="BO36" s="106">
        <f>$BO$35+$BK$36</f>
        <v>207</v>
      </c>
      <c r="BP36" s="106">
        <f>$BP$35+$BL$36</f>
        <v>70</v>
      </c>
      <c r="BQ36" s="107">
        <f>$BQ$35+$BM$36</f>
        <v>122</v>
      </c>
      <c r="BR36" s="108">
        <f>$BR$35+$BN$36</f>
        <v>241</v>
      </c>
      <c r="BS36" s="106">
        <f>$BS$35+$BO$36</f>
        <v>207</v>
      </c>
      <c r="BT36" s="106">
        <f>$BT$35+$BP$36</f>
        <v>70</v>
      </c>
      <c r="BU36" s="107">
        <f>$BU$35+$BQ$36</f>
        <v>122</v>
      </c>
      <c r="BV36" s="108">
        <f>$BV$35+$BR$36</f>
        <v>243</v>
      </c>
      <c r="BW36" s="106">
        <f>$BW$35+$BS$36</f>
        <v>301</v>
      </c>
      <c r="BX36" s="106">
        <f>$BX$35+$BT$36</f>
        <v>70</v>
      </c>
      <c r="BY36" s="107">
        <f>$BY$35+$BU$36</f>
        <v>139</v>
      </c>
      <c r="BZ36" s="108">
        <f>$BZ$35+$BV$36</f>
        <v>257</v>
      </c>
      <c r="CA36" s="106">
        <f>$CA$35+$BW$36</f>
        <v>305</v>
      </c>
      <c r="CB36" s="106">
        <f>$CB$35+$BX$36</f>
        <v>70</v>
      </c>
      <c r="CC36" s="107">
        <f>$CC$35+$BY$36</f>
        <v>144</v>
      </c>
      <c r="CD36" s="108">
        <f>$CD$35+$BZ$36</f>
        <v>259</v>
      </c>
      <c r="CE36" s="106">
        <f>$CE$35+$CA$36</f>
        <v>318</v>
      </c>
      <c r="CF36" s="106">
        <f>$CF$35+$CB$36</f>
        <v>70</v>
      </c>
      <c r="CG36" s="107">
        <f>$CG$35+$CC$36</f>
        <v>144</v>
      </c>
      <c r="CH36" s="108">
        <f>$CH$35+$CD$36</f>
        <v>267</v>
      </c>
      <c r="CI36" s="106">
        <f>$CI$35+$CE$36</f>
        <v>336</v>
      </c>
      <c r="CJ36" s="106">
        <f>$CJ$35+$CF$36</f>
        <v>70</v>
      </c>
      <c r="CK36" s="107">
        <f>$CK$35+$CG$36</f>
        <v>144</v>
      </c>
      <c r="CL36" s="108">
        <f>$CL$35+$CH$36</f>
        <v>497</v>
      </c>
      <c r="CM36" s="106">
        <f>$CM$35+$CI$36</f>
        <v>454</v>
      </c>
      <c r="CN36" s="106">
        <f>$CN$35+$CJ$36</f>
        <v>234</v>
      </c>
      <c r="CO36" s="107">
        <f>$CO$35+$CK$36</f>
        <v>144</v>
      </c>
      <c r="CP36" s="108">
        <f>$CP$35+$CL$36</f>
        <v>497</v>
      </c>
      <c r="CQ36" s="106">
        <f>$CQ$35+$CM$36</f>
        <v>454</v>
      </c>
      <c r="CR36" s="106">
        <f>$CR$35+$CN$36</f>
        <v>234</v>
      </c>
      <c r="CS36" s="107">
        <f>$CS$35+$CO$36</f>
        <v>144</v>
      </c>
      <c r="CT36" s="108">
        <f>$CT$35+$CP$36</f>
        <v>497</v>
      </c>
      <c r="CU36" s="106">
        <f>$CU$35+$CQ$36</f>
        <v>454</v>
      </c>
      <c r="CV36" s="106">
        <f>$CV$35+$CR$36</f>
        <v>234</v>
      </c>
      <c r="CW36" s="107">
        <f>$CW$35+$CS$36</f>
        <v>144</v>
      </c>
      <c r="CX36" s="108">
        <f>$CX$35+$CT$36</f>
        <v>497</v>
      </c>
      <c r="CY36" s="106">
        <f>$CY$35+$CU$36</f>
        <v>474</v>
      </c>
      <c r="CZ36" s="106">
        <f>$CZ$35+$CV$36</f>
        <v>244</v>
      </c>
      <c r="DA36" s="107">
        <f>$DA$35+$CW$36</f>
        <v>156</v>
      </c>
      <c r="DB36" s="108">
        <f>$DB$35+$CX$36</f>
        <v>527</v>
      </c>
      <c r="DC36" s="106">
        <f>$DC$35+$CY$36</f>
        <v>526</v>
      </c>
      <c r="DD36" s="106">
        <f>$DD$35+$CZ$36</f>
        <v>246</v>
      </c>
      <c r="DE36" s="107">
        <f>$DE$35+$DA$36</f>
        <v>188</v>
      </c>
      <c r="DF36" s="108">
        <f>$DF$35+$DB$36</f>
        <v>559</v>
      </c>
      <c r="DG36" s="106">
        <f>$DG$35+$DC$36</f>
        <v>534</v>
      </c>
      <c r="DH36" s="106">
        <f>$DH$35+$DD$36</f>
        <v>256</v>
      </c>
      <c r="DI36" s="107">
        <f>$DI$35+$DE$36</f>
        <v>191</v>
      </c>
      <c r="DJ36" s="108">
        <f>$DJ$35+$DF$36</f>
        <v>562</v>
      </c>
      <c r="DK36" s="106">
        <f>$DK$35+$DG$36</f>
        <v>575</v>
      </c>
      <c r="DL36" s="106">
        <f>$DL$35+$DH$36</f>
        <v>293</v>
      </c>
      <c r="DM36" s="107">
        <f>$DM$35+$DI$36</f>
        <v>257</v>
      </c>
      <c r="DN36" s="108">
        <f>$DN$35+$DJ$36</f>
        <v>698</v>
      </c>
      <c r="DO36" s="106">
        <f>$DO$35+$DK$36</f>
        <v>620</v>
      </c>
      <c r="DP36" s="106">
        <f>$DP$35+$DL$36</f>
        <v>687</v>
      </c>
      <c r="DQ36" s="107">
        <f>$DQ$35+$DM$36</f>
        <v>288</v>
      </c>
      <c r="DR36" s="108">
        <f>$DR$35+$DN$36</f>
        <v>698</v>
      </c>
      <c r="DS36" s="106">
        <f>$DS$35+$DO$36</f>
        <v>620</v>
      </c>
      <c r="DT36" s="106">
        <f>$DT$35+$DP$36</f>
        <v>687</v>
      </c>
      <c r="DU36" s="107">
        <f>$DU$35+$DQ$36</f>
        <v>288</v>
      </c>
      <c r="DV36" s="108">
        <f>$DV$35+$DR$36</f>
        <v>698</v>
      </c>
      <c r="DW36" s="106">
        <f>$DW$35+$DS$36</f>
        <v>620</v>
      </c>
      <c r="DX36" s="106">
        <f>$DX$35+$DT$36</f>
        <v>687</v>
      </c>
      <c r="DY36" s="107">
        <f>$DY$35+$DU$36</f>
        <v>288</v>
      </c>
      <c r="DZ36" s="108">
        <f>$DZ$35+$DV$36</f>
        <v>779</v>
      </c>
      <c r="EA36" s="106">
        <f>$EA$35+$DW$36</f>
        <v>620</v>
      </c>
      <c r="EB36" s="106">
        <f>$EB$35+$DX$36</f>
        <v>698</v>
      </c>
      <c r="EC36" s="107">
        <f>$EC$35+$DY$36</f>
        <v>288</v>
      </c>
      <c r="ED36" s="108">
        <f>$ED$35+$DZ$36</f>
        <v>798</v>
      </c>
      <c r="EE36" s="106">
        <f>$EE$35+$EA$36</f>
        <v>620</v>
      </c>
      <c r="EF36" s="106">
        <f>$EF$35+$EB$36</f>
        <v>779</v>
      </c>
      <c r="EG36" s="107">
        <f>$EG$35+$EC$36</f>
        <v>288</v>
      </c>
      <c r="EH36" s="108">
        <f>$EH$35+$ED$36</f>
        <v>832</v>
      </c>
      <c r="EI36" s="106">
        <f>$EI$35+$EE$36</f>
        <v>620</v>
      </c>
      <c r="EJ36" s="106">
        <f>$EJ$35+$EF$36</f>
        <v>798</v>
      </c>
      <c r="EK36" s="107">
        <f>$EK$35+$EG$36</f>
        <v>288</v>
      </c>
      <c r="EL36" s="108">
        <f>$EL$35+$EH$36</f>
        <v>906</v>
      </c>
      <c r="EM36" s="106">
        <f>$EM$35+$EI$36</f>
        <v>620</v>
      </c>
      <c r="EN36" s="106">
        <f>$EN$35+$EJ$36</f>
        <v>830</v>
      </c>
      <c r="EO36" s="107">
        <f>$EO$35+$EK$36</f>
        <v>288</v>
      </c>
      <c r="EP36" s="108">
        <f>$EP$35+$EL$36</f>
        <v>908</v>
      </c>
      <c r="EQ36" s="106">
        <f>$EQ$35+$EM$36</f>
        <v>620</v>
      </c>
      <c r="ER36" s="106">
        <f>$ER$35+$EN$36</f>
        <v>906</v>
      </c>
      <c r="ES36" s="107">
        <f>$ES$35+$EO$36</f>
        <v>288</v>
      </c>
      <c r="ET36" s="108">
        <f>$ET$35+$EP$36</f>
        <v>908</v>
      </c>
      <c r="EU36" s="106">
        <f>$EU$35+$EQ$36</f>
        <v>620</v>
      </c>
      <c r="EV36" s="106">
        <f>$EV$35+$ER$36</f>
        <v>906</v>
      </c>
      <c r="EW36" s="107">
        <f>$EW$35+$ES$36</f>
        <v>288</v>
      </c>
      <c r="EX36" s="108">
        <f>$EX$35+$ET$36</f>
        <v>908</v>
      </c>
      <c r="EY36" s="106">
        <f>$EY$35+$EU$36</f>
        <v>620</v>
      </c>
      <c r="EZ36" s="106">
        <f>$EZ$35+$EV$36</f>
        <v>906</v>
      </c>
      <c r="FA36" s="107">
        <f>$FA$35+$EW$36</f>
        <v>288</v>
      </c>
      <c r="FB36" s="108">
        <f>$FB$35+$EX$36</f>
        <v>937</v>
      </c>
      <c r="FC36" s="106">
        <f>$FC$35+$EY$36</f>
        <v>620</v>
      </c>
      <c r="FD36" s="106">
        <f>$FD$35+$EZ$36</f>
        <v>908</v>
      </c>
      <c r="FE36" s="107">
        <f>$FE$35+$FA$36</f>
        <v>288</v>
      </c>
      <c r="FF36" s="108">
        <f>$FF$35+$FB$36</f>
        <v>938</v>
      </c>
      <c r="FG36" s="106">
        <f>$FG$35+$FC$36</f>
        <v>620</v>
      </c>
      <c r="FH36" s="106">
        <f>$FH$35+$FD$36</f>
        <v>934</v>
      </c>
      <c r="FI36" s="107">
        <f>$FI$35+$FE$36</f>
        <v>288</v>
      </c>
      <c r="FJ36" s="108">
        <f>$FJ$35+$FF$36</f>
        <v>947</v>
      </c>
      <c r="FK36" s="106">
        <f>$FK$35+$FG$36</f>
        <v>620</v>
      </c>
      <c r="FL36" s="106">
        <f>$FL$35+$FH$36</f>
        <v>938</v>
      </c>
      <c r="FM36" s="107">
        <f>$FM$35+$FI$36</f>
        <v>288</v>
      </c>
      <c r="FN36" s="108">
        <f>$FN$35+$FJ$36</f>
        <v>960</v>
      </c>
      <c r="FO36" s="106">
        <f>$FO$35+$FK$36</f>
        <v>620</v>
      </c>
      <c r="FP36" s="106">
        <f>$FP$35+$FL$36</f>
        <v>947</v>
      </c>
      <c r="FQ36" s="107">
        <f>$FQ$35+$FM$36</f>
        <v>288</v>
      </c>
      <c r="FR36" s="108">
        <f>$FR$35+$FN$36</f>
        <v>961</v>
      </c>
      <c r="FS36" s="106">
        <f>$FS$35+$FO$36</f>
        <v>620</v>
      </c>
      <c r="FT36" s="106">
        <f>$FT$35+$FP$36</f>
        <v>960</v>
      </c>
      <c r="FU36" s="107">
        <f>$FU$35+$FQ$36</f>
        <v>288</v>
      </c>
      <c r="FV36" s="108">
        <f>$FV$35+$FR$36</f>
        <v>961</v>
      </c>
      <c r="FW36" s="106">
        <f>$FW$35+$FS$36</f>
        <v>620</v>
      </c>
      <c r="FX36" s="106">
        <f>$FX$35+$FT$36</f>
        <v>961</v>
      </c>
      <c r="FY36" s="107">
        <f>$FY$35+$FU$36</f>
        <v>288</v>
      </c>
      <c r="FZ36" s="108">
        <f>$FZ$35+$FV$36</f>
        <v>961</v>
      </c>
      <c r="GA36" s="106">
        <f>$GA$35+$FW$36</f>
        <v>620</v>
      </c>
      <c r="GB36" s="106">
        <f>$GB$35+$FX$36</f>
        <v>961</v>
      </c>
      <c r="GC36" s="107">
        <f>$GC$35+$FY$36</f>
        <v>288</v>
      </c>
      <c r="GD36" s="108"/>
      <c r="GE36" s="106"/>
      <c r="GF36" s="106"/>
      <c r="GG36" s="107"/>
    </row>
  </sheetData>
  <autoFilter ref="A3:Q34"/>
  <mergeCells count="12">
    <mergeCell ref="Q1:Q3"/>
    <mergeCell ref="O2:P2"/>
    <mergeCell ref="A1:A2"/>
    <mergeCell ref="B1:C2"/>
    <mergeCell ref="E1:E3"/>
    <mergeCell ref="F1:J1"/>
    <mergeCell ref="G2:H2"/>
    <mergeCell ref="I2:J2"/>
    <mergeCell ref="K2:K3"/>
    <mergeCell ref="L2:M2"/>
    <mergeCell ref="N2:N3"/>
    <mergeCell ref="K1:P1"/>
  </mergeCells>
  <phoneticPr fontId="2"/>
  <dataValidations count="2">
    <dataValidation type="list" allowBlank="1" showInputMessage="1" showErrorMessage="1" sqref="N4:N34">
      <formula1>"有,無"</formula1>
    </dataValidation>
    <dataValidation type="list" allowBlank="1" showInputMessage="1" showErrorMessage="1" sqref="Q4:Q34">
      <formula1>"実施中,精査中,再実施中,再精査中,完了"</formula1>
    </dataValidation>
  </dataValidations>
  <pageMargins left="0.43307086614173229" right="0.47244094488188981" top="0.55118110236220474" bottom="0.59055118110236227" header="0.51181102362204722" footer="0.51181102362204722"/>
  <pageSetup paperSize="9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行Copy">
                <anchor moveWithCells="1" sizeWithCells="1">
                  <from>
                    <xdr:col>2</xdr:col>
                    <xdr:colOff>1285875</xdr:colOff>
                    <xdr:row>0</xdr:row>
                    <xdr:rowOff>38100</xdr:rowOff>
                  </from>
                  <to>
                    <xdr:col>2</xdr:col>
                    <xdr:colOff>1647825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日毎予実管理追加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400050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6" name="Button 6">
              <controlPr defaultSize="0" print="0" autoFill="0" autoPict="0" macro="[0]!行削除">
                <anchor moveWithCells="1" sizeWithCells="1">
                  <from>
                    <xdr:col>0</xdr:col>
                    <xdr:colOff>38100</xdr:colOff>
                    <xdr:row>2</xdr:row>
                    <xdr:rowOff>600075</xdr:rowOff>
                  </from>
                  <to>
                    <xdr:col>0</xdr:col>
                    <xdr:colOff>390525</xdr:colOff>
                    <xdr:row>2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7" name="Button 9">
              <controlPr defaultSize="0" print="0" autoFill="0" autoPict="0" macro="[0]!初期化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390525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2" r:id="rId8" name="Check Box 1022">
              <controlPr defaultSize="0" autoFill="0" autoLine="0" autoPict="0">
                <anchor moveWithCells="1">
                  <from>
                    <xdr:col>1</xdr:col>
                    <xdr:colOff>485775</xdr:colOff>
                    <xdr:row>0</xdr:row>
                    <xdr:rowOff>38100</xdr:rowOff>
                  </from>
                  <to>
                    <xdr:col>2</xdr:col>
                    <xdr:colOff>1190625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1" r:id="rId9" name="Check Box 16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0</xdr:col>
                    <xdr:colOff>295275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2" r:id="rId10" name="Check Box 1686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3" r:id="rId11" name="Check Box 1687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295275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4" r:id="rId12" name="Check Box 1688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295275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5" r:id="rId13" name="Check Box 1689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0</xdr:col>
                    <xdr:colOff>295275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6" r:id="rId14" name="Check Box 1690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295275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7" r:id="rId15" name="Check Box 1691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0</xdr:col>
                    <xdr:colOff>295275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8" r:id="rId16" name="Check Box 1692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0</xdr:col>
                    <xdr:colOff>295275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9" r:id="rId17" name="Check Box 1693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0</xdr:col>
                    <xdr:colOff>295275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0" r:id="rId18" name="Check Box 1694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295275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1" r:id="rId19" name="Check Box 1695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0</xdr:col>
                    <xdr:colOff>295275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2" r:id="rId20" name="Check Box 1696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0</xdr:col>
                    <xdr:colOff>295275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3" r:id="rId21" name="Check Box 1697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0</xdr:col>
                    <xdr:colOff>295275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4" r:id="rId22" name="Check Box 1698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295275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5" r:id="rId23" name="Check Box 1699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0</xdr:col>
                    <xdr:colOff>295275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6" r:id="rId24" name="Check Box 1700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0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7" r:id="rId25" name="Check Box 1701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0</xdr:col>
                    <xdr:colOff>295275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8" r:id="rId26" name="Check Box 1702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0</xdr:col>
                    <xdr:colOff>295275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9" r:id="rId27" name="Check Box 1703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0</xdr:col>
                    <xdr:colOff>295275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0" r:id="rId28" name="Check Box 1704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0</xdr:col>
                    <xdr:colOff>295275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1" r:id="rId29" name="Check Box 1705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0</xdr:col>
                    <xdr:colOff>295275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2" r:id="rId30" name="Check Box 1706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0</xdr:col>
                    <xdr:colOff>295275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3" r:id="rId31" name="Check Box 1707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0</xdr:col>
                    <xdr:colOff>295275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4" r:id="rId32" name="Check Box 1708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0</xdr:col>
                    <xdr:colOff>295275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5" r:id="rId33" name="Check Box 1709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0</xdr:col>
                    <xdr:colOff>295275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6" r:id="rId34" name="Check Box 1710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0</xdr:col>
                    <xdr:colOff>295275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7" r:id="rId35" name="Check Box 1711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0</xdr:col>
                    <xdr:colOff>295275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8" r:id="rId36" name="Check Box 1712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0</xdr:col>
                    <xdr:colOff>295275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9" r:id="rId37" name="Check Box 1713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0</xdr:col>
                    <xdr:colOff>295275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0" r:id="rId38" name="Check Box 1714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0</xdr:col>
                    <xdr:colOff>295275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1" r:id="rId39" name="Check Box 1715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0</xdr:col>
                    <xdr:colOff>295275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30"/>
  <sheetViews>
    <sheetView zoomScale="85" zoomScaleNormal="85" workbookViewId="0">
      <pane xSplit="1" topLeftCell="B1" activePane="topRight" state="frozen"/>
      <selection pane="topRight"/>
    </sheetView>
  </sheetViews>
  <sheetFormatPr defaultColWidth="5.625" defaultRowHeight="20.100000000000001" customHeight="1" outlineLevelCol="1"/>
  <cols>
    <col min="1" max="1" width="14.25" style="50" customWidth="1"/>
    <col min="2" max="13" width="11.25" style="50" hidden="1" customWidth="1" outlineLevel="1"/>
    <col min="14" max="14" width="12.5" style="50" customWidth="1" collapsed="1"/>
    <col min="15" max="15" width="12.5" style="50" customWidth="1"/>
    <col min="16" max="27" width="12.5" style="50" hidden="1" customWidth="1" outlineLevel="1"/>
    <col min="28" max="28" width="12.5" style="50" customWidth="1" collapsed="1"/>
    <col min="29" max="29" width="12.5" style="50" customWidth="1"/>
    <col min="30" max="41" width="12.5" style="50" hidden="1" customWidth="1" outlineLevel="1"/>
    <col min="42" max="42" width="12.5" style="50" customWidth="1" collapsed="1"/>
    <col min="43" max="43" width="12.5" style="50" customWidth="1"/>
    <col min="44" max="55" width="12.5" style="50" hidden="1" customWidth="1" outlineLevel="1"/>
    <col min="56" max="56" width="12.5" style="50" customWidth="1" collapsed="1"/>
    <col min="57" max="57" width="12.5" style="50" customWidth="1"/>
    <col min="58" max="69" width="11.25" style="50" hidden="1" customWidth="1" outlineLevel="1"/>
    <col min="70" max="70" width="11.25" style="50" customWidth="1" collapsed="1"/>
    <col min="71" max="71" width="11.25" style="50" customWidth="1"/>
    <col min="72" max="75" width="11.25" style="50" hidden="1" customWidth="1" outlineLevel="1"/>
    <col min="76" max="83" width="12.5" style="50" hidden="1" customWidth="1" outlineLevel="1"/>
    <col min="84" max="84" width="12.5" style="50" customWidth="1" collapsed="1"/>
    <col min="85" max="85" width="12.5" style="50" customWidth="1"/>
    <col min="86" max="87" width="15.625" style="50" customWidth="1"/>
    <col min="88" max="16384" width="5.625" style="50"/>
  </cols>
  <sheetData>
    <row r="1" spans="1:87" ht="20.100000000000001" customHeight="1">
      <c r="A1" s="49" t="s">
        <v>61</v>
      </c>
      <c r="B1" s="92"/>
    </row>
    <row r="2" spans="1:87" ht="20.100000000000001" customHeight="1" thickBot="1">
      <c r="A2" s="49" t="s">
        <v>100</v>
      </c>
      <c r="B2" s="49" t="s">
        <v>101</v>
      </c>
    </row>
    <row r="3" spans="1:87" ht="39.950000000000003" customHeight="1">
      <c r="A3" s="93">
        <f ca="1">TODAY()</f>
        <v>43553</v>
      </c>
      <c r="B3" s="131">
        <v>43528</v>
      </c>
      <c r="C3" s="83">
        <v>43528</v>
      </c>
      <c r="D3" s="132">
        <v>43529</v>
      </c>
      <c r="E3" s="94">
        <v>43529</v>
      </c>
      <c r="F3" s="131">
        <v>43530</v>
      </c>
      <c r="G3" s="83">
        <v>43530</v>
      </c>
      <c r="H3" s="132">
        <v>43531</v>
      </c>
      <c r="I3" s="94">
        <v>43531</v>
      </c>
      <c r="J3" s="131">
        <v>43532</v>
      </c>
      <c r="K3" s="83">
        <v>43532</v>
      </c>
      <c r="L3" s="132">
        <v>43533</v>
      </c>
      <c r="M3" s="94">
        <v>43533</v>
      </c>
      <c r="N3" s="131">
        <v>43534</v>
      </c>
      <c r="O3" s="83">
        <v>43534</v>
      </c>
      <c r="P3" s="132">
        <v>43535</v>
      </c>
      <c r="Q3" s="94">
        <v>43535</v>
      </c>
      <c r="R3" s="131">
        <v>43536</v>
      </c>
      <c r="S3" s="83">
        <v>43536</v>
      </c>
      <c r="T3" s="132">
        <v>43537</v>
      </c>
      <c r="U3" s="94">
        <v>43537</v>
      </c>
      <c r="V3" s="131">
        <v>43538</v>
      </c>
      <c r="W3" s="83">
        <v>43538</v>
      </c>
      <c r="X3" s="132">
        <v>43539</v>
      </c>
      <c r="Y3" s="94">
        <v>43539</v>
      </c>
      <c r="Z3" s="131">
        <v>43540</v>
      </c>
      <c r="AA3" s="83">
        <v>43540</v>
      </c>
      <c r="AB3" s="132">
        <v>43541</v>
      </c>
      <c r="AC3" s="94">
        <v>43541</v>
      </c>
      <c r="AD3" s="131">
        <v>43542</v>
      </c>
      <c r="AE3" s="83">
        <v>43542</v>
      </c>
      <c r="AF3" s="132">
        <v>43543</v>
      </c>
      <c r="AG3" s="94">
        <v>43543</v>
      </c>
      <c r="AH3" s="131">
        <v>43544</v>
      </c>
      <c r="AI3" s="83">
        <v>43544</v>
      </c>
      <c r="AJ3" s="132">
        <v>43545</v>
      </c>
      <c r="AK3" s="94">
        <v>43545</v>
      </c>
      <c r="AL3" s="131">
        <v>43546</v>
      </c>
      <c r="AM3" s="83">
        <v>43546</v>
      </c>
      <c r="AN3" s="132">
        <v>43547</v>
      </c>
      <c r="AO3" s="94">
        <v>43547</v>
      </c>
      <c r="AP3" s="131">
        <v>43548</v>
      </c>
      <c r="AQ3" s="83">
        <v>43548</v>
      </c>
      <c r="AR3" s="132">
        <v>43549</v>
      </c>
      <c r="AS3" s="94">
        <v>43549</v>
      </c>
      <c r="AT3" s="131">
        <v>43550</v>
      </c>
      <c r="AU3" s="83">
        <v>43550</v>
      </c>
      <c r="AV3" s="132">
        <v>43551</v>
      </c>
      <c r="AW3" s="94">
        <v>43551</v>
      </c>
      <c r="AX3" s="131">
        <v>43552</v>
      </c>
      <c r="AY3" s="83">
        <v>43552</v>
      </c>
      <c r="AZ3" s="132">
        <v>43553</v>
      </c>
      <c r="BA3" s="94">
        <v>43553</v>
      </c>
      <c r="BB3" s="131">
        <v>43554</v>
      </c>
      <c r="BC3" s="83">
        <v>43554</v>
      </c>
      <c r="BD3" s="132">
        <v>43555</v>
      </c>
      <c r="BE3" s="94">
        <v>43555</v>
      </c>
      <c r="BF3" s="131">
        <v>43556</v>
      </c>
      <c r="BG3" s="83">
        <v>43556</v>
      </c>
      <c r="BH3" s="132">
        <v>43557</v>
      </c>
      <c r="BI3" s="94">
        <v>43557</v>
      </c>
      <c r="BJ3" s="131">
        <v>43558</v>
      </c>
      <c r="BK3" s="83">
        <v>43558</v>
      </c>
      <c r="BL3" s="132">
        <v>43559</v>
      </c>
      <c r="BM3" s="94">
        <v>43559</v>
      </c>
      <c r="BN3" s="131">
        <v>43560</v>
      </c>
      <c r="BO3" s="83">
        <v>43560</v>
      </c>
      <c r="BP3" s="132">
        <v>43561</v>
      </c>
      <c r="BQ3" s="94">
        <v>43561</v>
      </c>
      <c r="BR3" s="131">
        <v>43562</v>
      </c>
      <c r="BS3" s="83">
        <v>43562</v>
      </c>
      <c r="BT3" s="132">
        <v>43563</v>
      </c>
      <c r="BU3" s="94">
        <v>43563</v>
      </c>
      <c r="BV3" s="131">
        <v>43564</v>
      </c>
      <c r="BW3" s="83">
        <v>43564</v>
      </c>
      <c r="BX3" s="132">
        <v>43565</v>
      </c>
      <c r="BY3" s="94">
        <v>43565</v>
      </c>
      <c r="BZ3" s="131">
        <v>43566</v>
      </c>
      <c r="CA3" s="83">
        <v>43566</v>
      </c>
      <c r="CB3" s="132">
        <v>43567</v>
      </c>
      <c r="CC3" s="94">
        <v>43567</v>
      </c>
      <c r="CD3" s="131">
        <v>43568</v>
      </c>
      <c r="CE3" s="83">
        <v>43568</v>
      </c>
      <c r="CF3" s="132">
        <v>43569</v>
      </c>
      <c r="CG3" s="94">
        <v>43569</v>
      </c>
      <c r="CH3" s="181" t="s">
        <v>105</v>
      </c>
      <c r="CI3" s="182"/>
    </row>
    <row r="4" spans="1:87" ht="20.100000000000001" customHeight="1" thickBot="1">
      <c r="A4" s="133" t="s">
        <v>102</v>
      </c>
      <c r="B4" s="134" t="s">
        <v>96</v>
      </c>
      <c r="C4" s="135" t="s">
        <v>97</v>
      </c>
      <c r="D4" s="136" t="s">
        <v>96</v>
      </c>
      <c r="E4" s="137" t="s">
        <v>97</v>
      </c>
      <c r="F4" s="134" t="s">
        <v>96</v>
      </c>
      <c r="G4" s="135" t="s">
        <v>97</v>
      </c>
      <c r="H4" s="136" t="s">
        <v>96</v>
      </c>
      <c r="I4" s="137" t="s">
        <v>97</v>
      </c>
      <c r="J4" s="134" t="s">
        <v>96</v>
      </c>
      <c r="K4" s="135" t="s">
        <v>97</v>
      </c>
      <c r="L4" s="136" t="s">
        <v>96</v>
      </c>
      <c r="M4" s="137" t="s">
        <v>97</v>
      </c>
      <c r="N4" s="134" t="s">
        <v>96</v>
      </c>
      <c r="O4" s="135" t="s">
        <v>97</v>
      </c>
      <c r="P4" s="136" t="s">
        <v>96</v>
      </c>
      <c r="Q4" s="137" t="s">
        <v>97</v>
      </c>
      <c r="R4" s="134" t="s">
        <v>96</v>
      </c>
      <c r="S4" s="135" t="s">
        <v>97</v>
      </c>
      <c r="T4" s="136" t="s">
        <v>96</v>
      </c>
      <c r="U4" s="137" t="s">
        <v>97</v>
      </c>
      <c r="V4" s="134" t="s">
        <v>96</v>
      </c>
      <c r="W4" s="135" t="s">
        <v>97</v>
      </c>
      <c r="X4" s="136" t="s">
        <v>96</v>
      </c>
      <c r="Y4" s="137" t="s">
        <v>97</v>
      </c>
      <c r="Z4" s="134" t="s">
        <v>96</v>
      </c>
      <c r="AA4" s="135" t="s">
        <v>97</v>
      </c>
      <c r="AB4" s="136" t="s">
        <v>96</v>
      </c>
      <c r="AC4" s="137" t="s">
        <v>97</v>
      </c>
      <c r="AD4" s="134" t="s">
        <v>96</v>
      </c>
      <c r="AE4" s="135" t="s">
        <v>97</v>
      </c>
      <c r="AF4" s="136" t="s">
        <v>96</v>
      </c>
      <c r="AG4" s="137" t="s">
        <v>97</v>
      </c>
      <c r="AH4" s="134" t="s">
        <v>96</v>
      </c>
      <c r="AI4" s="135" t="s">
        <v>97</v>
      </c>
      <c r="AJ4" s="136" t="s">
        <v>96</v>
      </c>
      <c r="AK4" s="137" t="s">
        <v>97</v>
      </c>
      <c r="AL4" s="134" t="s">
        <v>96</v>
      </c>
      <c r="AM4" s="135" t="s">
        <v>97</v>
      </c>
      <c r="AN4" s="136" t="s">
        <v>96</v>
      </c>
      <c r="AO4" s="137" t="s">
        <v>97</v>
      </c>
      <c r="AP4" s="134" t="s">
        <v>96</v>
      </c>
      <c r="AQ4" s="135" t="s">
        <v>97</v>
      </c>
      <c r="AR4" s="136" t="s">
        <v>96</v>
      </c>
      <c r="AS4" s="137" t="s">
        <v>97</v>
      </c>
      <c r="AT4" s="134" t="s">
        <v>96</v>
      </c>
      <c r="AU4" s="135" t="s">
        <v>97</v>
      </c>
      <c r="AV4" s="136" t="s">
        <v>96</v>
      </c>
      <c r="AW4" s="137" t="s">
        <v>97</v>
      </c>
      <c r="AX4" s="134" t="s">
        <v>96</v>
      </c>
      <c r="AY4" s="135" t="s">
        <v>97</v>
      </c>
      <c r="AZ4" s="136" t="s">
        <v>96</v>
      </c>
      <c r="BA4" s="137" t="s">
        <v>97</v>
      </c>
      <c r="BB4" s="134" t="s">
        <v>96</v>
      </c>
      <c r="BC4" s="135" t="s">
        <v>97</v>
      </c>
      <c r="BD4" s="136" t="s">
        <v>96</v>
      </c>
      <c r="BE4" s="137" t="s">
        <v>97</v>
      </c>
      <c r="BF4" s="134" t="s">
        <v>96</v>
      </c>
      <c r="BG4" s="135" t="s">
        <v>97</v>
      </c>
      <c r="BH4" s="136" t="s">
        <v>96</v>
      </c>
      <c r="BI4" s="137" t="s">
        <v>97</v>
      </c>
      <c r="BJ4" s="134" t="s">
        <v>96</v>
      </c>
      <c r="BK4" s="135" t="s">
        <v>97</v>
      </c>
      <c r="BL4" s="136" t="s">
        <v>96</v>
      </c>
      <c r="BM4" s="137" t="s">
        <v>97</v>
      </c>
      <c r="BN4" s="134" t="s">
        <v>96</v>
      </c>
      <c r="BO4" s="135" t="s">
        <v>97</v>
      </c>
      <c r="BP4" s="136" t="s">
        <v>96</v>
      </c>
      <c r="BQ4" s="137" t="s">
        <v>97</v>
      </c>
      <c r="BR4" s="134" t="s">
        <v>96</v>
      </c>
      <c r="BS4" s="135" t="s">
        <v>97</v>
      </c>
      <c r="BT4" s="136" t="s">
        <v>96</v>
      </c>
      <c r="BU4" s="137" t="s">
        <v>97</v>
      </c>
      <c r="BV4" s="134" t="s">
        <v>96</v>
      </c>
      <c r="BW4" s="135" t="s">
        <v>97</v>
      </c>
      <c r="BX4" s="136" t="s">
        <v>96</v>
      </c>
      <c r="BY4" s="137" t="s">
        <v>97</v>
      </c>
      <c r="BZ4" s="134" t="s">
        <v>96</v>
      </c>
      <c r="CA4" s="135" t="s">
        <v>97</v>
      </c>
      <c r="CB4" s="136" t="s">
        <v>96</v>
      </c>
      <c r="CC4" s="137" t="s">
        <v>97</v>
      </c>
      <c r="CD4" s="134" t="s">
        <v>96</v>
      </c>
      <c r="CE4" s="135" t="s">
        <v>97</v>
      </c>
      <c r="CF4" s="136" t="s">
        <v>96</v>
      </c>
      <c r="CG4" s="137" t="s">
        <v>97</v>
      </c>
      <c r="CH4" s="134" t="s">
        <v>106</v>
      </c>
      <c r="CI4" s="138" t="s">
        <v>107</v>
      </c>
    </row>
    <row r="5" spans="1:87" ht="20.100000000000001" customHeight="1">
      <c r="A5" s="84" t="s">
        <v>143</v>
      </c>
      <c r="B5" s="85">
        <f>SUMPRODUCT((日次管理!$R$1:$GC$1&lt;=$B$3)*(日次管理!$F$4:$F$34=$A$5)*(日次管理!$R$2:$GC$2="実施完了")*(日次管理!$R$3:$GC$3="予定"),日次管理!$R$4:$GC$34)</f>
        <v>0</v>
      </c>
      <c r="C5" s="86">
        <f>SUMPRODUCT((日次管理!$R$1:$GC$1&lt;=$C$3)*(日次管理!$F$4:$F$34=$A$5)*(日次管理!$R$2:$GC$2="実施完了")*(日次管理!$R$3:$GC$3="実績"),日次管理!$R$4:$GC$34)</f>
        <v>0</v>
      </c>
      <c r="D5" s="85">
        <f>SUMPRODUCT((日次管理!$R$1:$GC$1&lt;=$D$3)*(日次管理!$F$4:$F$34=$A$5)*(日次管理!$R$2:$GC$2="実施完了")*(日次管理!$R$3:$GC$3="予定"),日次管理!$R$4:$GC$34)</f>
        <v>0</v>
      </c>
      <c r="E5" s="86">
        <f>SUMPRODUCT((日次管理!$R$1:$GC$1&lt;=$E$3)*(日次管理!$F$4:$F$34=$A$5)*(日次管理!$R$2:$GC$2="実施完了")*(日次管理!$R$3:$GC$3="実績"),日次管理!$R$4:$GC$34)</f>
        <v>0</v>
      </c>
      <c r="F5" s="85">
        <f>SUMPRODUCT((日次管理!$R$1:$GC$1&lt;=$F$3)*(日次管理!$F$4:$F$34=$A$5)*(日次管理!$R$2:$GC$2="実施完了")*(日次管理!$R$3:$GC$3="予定"),日次管理!$R$4:$GC$34)</f>
        <v>0</v>
      </c>
      <c r="G5" s="86">
        <f>SUMPRODUCT((日次管理!$R$1:$GC$1&lt;=$G$3)*(日次管理!$F$4:$F$34=$A$5)*(日次管理!$R$2:$GC$2="実施完了")*(日次管理!$R$3:$GC$3="実績"),日次管理!$R$4:$GC$34)</f>
        <v>0</v>
      </c>
      <c r="H5" s="85">
        <f>SUMPRODUCT((日次管理!$R$1:$GC$1&lt;=$H$3)*(日次管理!$F$4:$F$34=$A$5)*(日次管理!$R$2:$GC$2="実施完了")*(日次管理!$R$3:$GC$3="予定"),日次管理!$R$4:$GC$34)</f>
        <v>0</v>
      </c>
      <c r="I5" s="86">
        <f>SUMPRODUCT((日次管理!$R$1:$GC$1&lt;=$I$3)*(日次管理!$F$4:$F$34=$A$5)*(日次管理!$R$2:$GC$2="実施完了")*(日次管理!$R$3:$GC$3="実績"),日次管理!$R$4:$GC$34)</f>
        <v>0</v>
      </c>
      <c r="J5" s="85">
        <f>SUMPRODUCT((日次管理!$R$1:$GC$1&lt;=$J$3)*(日次管理!$F$4:$F$34=$A$5)*(日次管理!$R$2:$GC$2="実施完了")*(日次管理!$R$3:$GC$3="予定"),日次管理!$R$4:$GC$34)</f>
        <v>0</v>
      </c>
      <c r="K5" s="86">
        <f>SUMPRODUCT((日次管理!$R$1:$GC$1&lt;=$K$3)*(日次管理!$F$4:$F$34=$A$5)*(日次管理!$R$2:$GC$2="実施完了")*(日次管理!$R$3:$GC$3="実績"),日次管理!$R$4:$GC$34)</f>
        <v>0</v>
      </c>
      <c r="L5" s="85">
        <f>SUMPRODUCT((日次管理!$R$1:$GC$1&lt;=$L$3)*(日次管理!$F$4:$F$34=$A$5)*(日次管理!$R$2:$GC$2="実施完了")*(日次管理!$R$3:$GC$3="予定"),日次管理!$R$4:$GC$34)</f>
        <v>0</v>
      </c>
      <c r="M5" s="86">
        <f>SUMPRODUCT((日次管理!$R$1:$GC$1&lt;=$M$3)*(日次管理!$F$4:$F$34=$A$5)*(日次管理!$R$2:$GC$2="実施完了")*(日次管理!$R$3:$GC$3="実績"),日次管理!$R$4:$GC$34)</f>
        <v>0</v>
      </c>
      <c r="N5" s="85">
        <f>SUMPRODUCT((日次管理!$R$1:$GC$1&lt;=$N$3)*(日次管理!$F$4:$F$34=$A$5)*(日次管理!$R$2:$GC$2="実施完了")*(日次管理!$R$3:$GC$3="予定"),日次管理!$R$4:$GC$34)</f>
        <v>0</v>
      </c>
      <c r="O5" s="86">
        <f>SUMPRODUCT((日次管理!$R$1:$GC$1&lt;=$O$3)*(日次管理!$F$4:$F$34=$A$5)*(日次管理!$R$2:$GC$2="実施完了")*(日次管理!$R$3:$GC$3="実績"),日次管理!$R$4:$GC$34)</f>
        <v>0</v>
      </c>
      <c r="P5" s="85">
        <f>SUMPRODUCT((日次管理!$R$1:$GC$1&lt;=$P$3)*(日次管理!$F$4:$F$34=$A$5)*(日次管理!$R$2:$GC$2="実施完了")*(日次管理!$R$3:$GC$3="予定"),日次管理!$R$4:$GC$34)</f>
        <v>0</v>
      </c>
      <c r="Q5" s="86">
        <f>SUMPRODUCT((日次管理!$R$1:$GC$1&lt;=$Q$3)*(日次管理!$F$4:$F$34=$A$5)*(日次管理!$R$2:$GC$2="実施完了")*(日次管理!$R$3:$GC$3="実績"),日次管理!$R$4:$GC$34)</f>
        <v>0</v>
      </c>
      <c r="R5" s="85">
        <f>SUMPRODUCT((日次管理!$R$1:$GC$1&lt;=$R$3)*(日次管理!$F$4:$F$34=$A$5)*(日次管理!$R$2:$GC$2="実施完了")*(日次管理!$R$3:$GC$3="予定"),日次管理!$R$4:$GC$34)</f>
        <v>0</v>
      </c>
      <c r="S5" s="86">
        <f>SUMPRODUCT((日次管理!$R$1:$GC$1&lt;=$S$3)*(日次管理!$F$4:$F$34=$A$5)*(日次管理!$R$2:$GC$2="実施完了")*(日次管理!$R$3:$GC$3="実績"),日次管理!$R$4:$GC$34)</f>
        <v>0</v>
      </c>
      <c r="T5" s="85">
        <f>SUMPRODUCT((日次管理!$R$1:$GC$1&lt;=$T$3)*(日次管理!$F$4:$F$34=$A$5)*(日次管理!$R$2:$GC$2="実施完了")*(日次管理!$R$3:$GC$3="予定"),日次管理!$R$4:$GC$34)</f>
        <v>0</v>
      </c>
      <c r="U5" s="86">
        <f>SUMPRODUCT((日次管理!$R$1:$GC$1&lt;=$U$3)*(日次管理!$F$4:$F$34=$A$5)*(日次管理!$R$2:$GC$2="実施完了")*(日次管理!$R$3:$GC$3="実績"),日次管理!$R$4:$GC$34)</f>
        <v>0</v>
      </c>
      <c r="V5" s="85">
        <f>SUMPRODUCT((日次管理!$R$1:$GC$1&lt;=$V$3)*(日次管理!$F$4:$F$34=$A$5)*(日次管理!$R$2:$GC$2="実施完了")*(日次管理!$R$3:$GC$3="予定"),日次管理!$R$4:$GC$34)</f>
        <v>0</v>
      </c>
      <c r="W5" s="86">
        <f>SUMPRODUCT((日次管理!$R$1:$GC$1&lt;=$W$3)*(日次管理!$F$4:$F$34=$A$5)*(日次管理!$R$2:$GC$2="実施完了")*(日次管理!$R$3:$GC$3="実績"),日次管理!$R$4:$GC$34)</f>
        <v>0</v>
      </c>
      <c r="X5" s="85">
        <f>SUMPRODUCT((日次管理!$R$1:$GC$1&lt;=$X$3)*(日次管理!$F$4:$F$34=$A$5)*(日次管理!$R$2:$GC$2="実施完了")*(日次管理!$R$3:$GC$3="予定"),日次管理!$R$4:$GC$34)</f>
        <v>0</v>
      </c>
      <c r="Y5" s="86">
        <f>SUMPRODUCT((日次管理!$R$1:$GC$1&lt;=$Y$3)*(日次管理!$F$4:$F$34=$A$5)*(日次管理!$R$2:$GC$2="実施完了")*(日次管理!$R$3:$GC$3="実績"),日次管理!$R$4:$GC$34)</f>
        <v>0</v>
      </c>
      <c r="Z5" s="85">
        <f>SUMPRODUCT((日次管理!$R$1:$GC$1&lt;=$Z$3)*(日次管理!$F$4:$F$34=$A$5)*(日次管理!$R$2:$GC$2="実施完了")*(日次管理!$R$3:$GC$3="予定"),日次管理!$R$4:$GC$34)</f>
        <v>0</v>
      </c>
      <c r="AA5" s="86">
        <f>SUMPRODUCT((日次管理!$R$1:$GC$1&lt;=$AA$3)*(日次管理!$F$4:$F$34=$A$5)*(日次管理!$R$2:$GC$2="実施完了")*(日次管理!$R$3:$GC$3="実績"),日次管理!$R$4:$GC$34)</f>
        <v>0</v>
      </c>
      <c r="AB5" s="85">
        <f>SUMPRODUCT((日次管理!$R$1:$GC$1&lt;=$AB$3)*(日次管理!$F$4:$F$34=$A$5)*(日次管理!$R$2:$GC$2="実施完了")*(日次管理!$R$3:$GC$3="予定"),日次管理!$R$4:$GC$34)</f>
        <v>0</v>
      </c>
      <c r="AC5" s="86">
        <f>SUMPRODUCT((日次管理!$R$1:$GC$1&lt;=$AC$3)*(日次管理!$F$4:$F$34=$A$5)*(日次管理!$R$2:$GC$2="実施完了")*(日次管理!$R$3:$GC$3="実績"),日次管理!$R$4:$GC$34)</f>
        <v>0</v>
      </c>
      <c r="AD5" s="85">
        <f>SUMPRODUCT((日次管理!$R$1:$GC$1&lt;=$AD$3)*(日次管理!$F$4:$F$34=$A$5)*(日次管理!$R$2:$GC$2="実施完了")*(日次管理!$R$3:$GC$3="予定"),日次管理!$R$4:$GC$34)</f>
        <v>0</v>
      </c>
      <c r="AE5" s="86">
        <f>SUMPRODUCT((日次管理!$R$1:$GC$1&lt;=$AE$3)*(日次管理!$F$4:$F$34=$A$5)*(日次管理!$R$2:$GC$2="実施完了")*(日次管理!$R$3:$GC$3="実績"),日次管理!$R$4:$GC$34)</f>
        <v>0</v>
      </c>
      <c r="AF5" s="85">
        <f>SUMPRODUCT((日次管理!$R$1:$GC$1&lt;=$AF$3)*(日次管理!$F$4:$F$34=$A$5)*(日次管理!$R$2:$GC$2="実施完了")*(日次管理!$R$3:$GC$3="予定"),日次管理!$R$4:$GC$34)</f>
        <v>0</v>
      </c>
      <c r="AG5" s="86">
        <f>SUMPRODUCT((日次管理!$R$1:$GC$1&lt;=$AG$3)*(日次管理!$F$4:$F$34=$A$5)*(日次管理!$R$2:$GC$2="実施完了")*(日次管理!$R$3:$GC$3="実績"),日次管理!$R$4:$GC$34)</f>
        <v>0</v>
      </c>
      <c r="AH5" s="85">
        <f>SUMPRODUCT((日次管理!$R$1:$GC$1&lt;=$AH$3)*(日次管理!$F$4:$F$34=$A$5)*(日次管理!$R$2:$GC$2="実施完了")*(日次管理!$R$3:$GC$3="予定"),日次管理!$R$4:$GC$34)</f>
        <v>0</v>
      </c>
      <c r="AI5" s="86">
        <f>SUMPRODUCT((日次管理!$R$1:$GC$1&lt;=$AI$3)*(日次管理!$F$4:$F$34=$A$5)*(日次管理!$R$2:$GC$2="実施完了")*(日次管理!$R$3:$GC$3="実績"),日次管理!$R$4:$GC$34)</f>
        <v>0</v>
      </c>
      <c r="AJ5" s="85">
        <f>SUMPRODUCT((日次管理!$R$1:$GC$1&lt;=$AJ$3)*(日次管理!$F$4:$F$34=$A$5)*(日次管理!$R$2:$GC$2="実施完了")*(日次管理!$R$3:$GC$3="予定"),日次管理!$R$4:$GC$34)</f>
        <v>0</v>
      </c>
      <c r="AK5" s="86">
        <f>SUMPRODUCT((日次管理!$R$1:$GC$1&lt;=$AK$3)*(日次管理!$F$4:$F$34=$A$5)*(日次管理!$R$2:$GC$2="実施完了")*(日次管理!$R$3:$GC$3="実績"),日次管理!$R$4:$GC$34)</f>
        <v>0</v>
      </c>
      <c r="AL5" s="85">
        <f>SUMPRODUCT((日次管理!$R$1:$GC$1&lt;=$AL$3)*(日次管理!$F$4:$F$34=$A$5)*(日次管理!$R$2:$GC$2="実施完了")*(日次管理!$R$3:$GC$3="予定"),日次管理!$R$4:$GC$34)</f>
        <v>0</v>
      </c>
      <c r="AM5" s="86">
        <f>SUMPRODUCT((日次管理!$R$1:$GC$1&lt;=$AM$3)*(日次管理!$F$4:$F$34=$A$5)*(日次管理!$R$2:$GC$2="実施完了")*(日次管理!$R$3:$GC$3="実績"),日次管理!$R$4:$GC$34)</f>
        <v>0</v>
      </c>
      <c r="AN5" s="85">
        <f>SUMPRODUCT((日次管理!$R$1:$GC$1&lt;=$AN$3)*(日次管理!$F$4:$F$34=$A$5)*(日次管理!$R$2:$GC$2="実施完了")*(日次管理!$R$3:$GC$3="予定"),日次管理!$R$4:$GC$34)</f>
        <v>0</v>
      </c>
      <c r="AO5" s="86">
        <f>SUMPRODUCT((日次管理!$R$1:$GC$1&lt;=$AO$3)*(日次管理!$F$4:$F$34=$A$5)*(日次管理!$R$2:$GC$2="実施完了")*(日次管理!$R$3:$GC$3="実績"),日次管理!$R$4:$GC$34)</f>
        <v>0</v>
      </c>
      <c r="AP5" s="85">
        <f>SUMPRODUCT((日次管理!$R$1:$GC$1&lt;=$AP$3)*(日次管理!$F$4:$F$34=$A$5)*(日次管理!$R$2:$GC$2="実施完了")*(日次管理!$R$3:$GC$3="予定"),日次管理!$R$4:$GC$34)</f>
        <v>0</v>
      </c>
      <c r="AQ5" s="86">
        <f>SUMPRODUCT((日次管理!$R$1:$GC$1&lt;=$AQ$3)*(日次管理!$F$4:$F$34=$A$5)*(日次管理!$R$2:$GC$2="実施完了")*(日次管理!$R$3:$GC$3="実績"),日次管理!$R$4:$GC$34)</f>
        <v>0</v>
      </c>
      <c r="AR5" s="85">
        <f>SUMPRODUCT((日次管理!$R$1:$GC$1&lt;=$AR$3)*(日次管理!$F$4:$F$34=$A$5)*(日次管理!$R$2:$GC$2="実施完了")*(日次管理!$R$3:$GC$3="予定"),日次管理!$R$4:$GC$34)</f>
        <v>0</v>
      </c>
      <c r="AS5" s="86">
        <f>SUMPRODUCT((日次管理!$R$1:$GC$1&lt;=$AS$3)*(日次管理!$F$4:$F$34=$A$5)*(日次管理!$R$2:$GC$2="実施完了")*(日次管理!$R$3:$GC$3="実績"),日次管理!$R$4:$GC$34)</f>
        <v>0</v>
      </c>
      <c r="AT5" s="85">
        <f>SUMPRODUCT((日次管理!$R$1:$GC$1&lt;=$AT$3)*(日次管理!$F$4:$F$34=$A$5)*(日次管理!$R$2:$GC$2="実施完了")*(日次管理!$R$3:$GC$3="予定"),日次管理!$R$4:$GC$34)</f>
        <v>0</v>
      </c>
      <c r="AU5" s="86">
        <f>SUMPRODUCT((日次管理!$R$1:$GC$1&lt;=$AU$3)*(日次管理!$F$4:$F$34=$A$5)*(日次管理!$R$2:$GC$2="実施完了")*(日次管理!$R$3:$GC$3="実績"),日次管理!$R$4:$GC$34)</f>
        <v>0</v>
      </c>
      <c r="AV5" s="85">
        <f>SUMPRODUCT((日次管理!$R$1:$GC$1&lt;=$AV$3)*(日次管理!$F$4:$F$34=$A$5)*(日次管理!$R$2:$GC$2="実施完了")*(日次管理!$R$3:$GC$3="予定"),日次管理!$R$4:$GC$34)</f>
        <v>32</v>
      </c>
      <c r="AW5" s="86">
        <f>SUMPRODUCT((日次管理!$R$1:$GC$1&lt;=$AW$3)*(日次管理!$F$4:$F$34=$A$5)*(日次管理!$R$2:$GC$2="実施完了")*(日次管理!$R$3:$GC$3="実績"),日次管理!$R$4:$GC$34)</f>
        <v>0</v>
      </c>
      <c r="AX5" s="85">
        <f>SUMPRODUCT((日次管理!$R$1:$GC$1&lt;=$AX$3)*(日次管理!$F$4:$F$34=$A$5)*(日次管理!$R$2:$GC$2="実施完了")*(日次管理!$R$3:$GC$3="予定"),日次管理!$R$4:$GC$34)</f>
        <v>32</v>
      </c>
      <c r="AY5" s="86">
        <f>SUMPRODUCT((日次管理!$R$1:$GC$1&lt;=$AY$3)*(日次管理!$F$4:$F$34=$A$5)*(日次管理!$R$2:$GC$2="実施完了")*(日次管理!$R$3:$GC$3="実績"),日次管理!$R$4:$GC$34)</f>
        <v>29</v>
      </c>
      <c r="AZ5" s="85">
        <f>SUMPRODUCT((日次管理!$R$1:$GC$1&lt;=$AZ$3)*(日次管理!$F$4:$F$34=$A$5)*(日次管理!$R$2:$GC$2="実施完了")*(日次管理!$R$3:$GC$3="予定"),日次管理!$R$4:$GC$34)</f>
        <v>32</v>
      </c>
      <c r="BA5" s="86">
        <f>SUMPRODUCT((日次管理!$R$1:$GC$1&lt;=$BA$3)*(日次管理!$F$4:$F$34=$A$5)*(日次管理!$R$2:$GC$2="実施完了")*(日次管理!$R$3:$GC$3="実績"),日次管理!$R$4:$GC$34)</f>
        <v>32</v>
      </c>
      <c r="BB5" s="85">
        <f>SUMPRODUCT((日次管理!$R$1:$GC$1&lt;=$BB$3)*(日次管理!$F$4:$F$34=$A$5)*(日次管理!$R$2:$GC$2="実施完了")*(日次管理!$R$3:$GC$3="予定"),日次管理!$R$4:$GC$34)</f>
        <v>32</v>
      </c>
      <c r="BC5" s="86">
        <f>SUMPRODUCT((日次管理!$R$1:$GC$1&lt;=$BC$3)*(日次管理!$F$4:$F$34=$A$5)*(日次管理!$R$2:$GC$2="実施完了")*(日次管理!$R$3:$GC$3="実績"),日次管理!$R$4:$GC$34)</f>
        <v>32</v>
      </c>
      <c r="BD5" s="85">
        <f>SUMPRODUCT((日次管理!$R$1:$GC$1&lt;=$BD$3)*(日次管理!$F$4:$F$34=$A$5)*(日次管理!$R$2:$GC$2="実施完了")*(日次管理!$R$3:$GC$3="予定"),日次管理!$R$4:$GC$34)</f>
        <v>32</v>
      </c>
      <c r="BE5" s="86">
        <f>SUMPRODUCT((日次管理!$R$1:$GC$1&lt;=$BE$3)*(日次管理!$F$4:$F$34=$A$5)*(日次管理!$R$2:$GC$2="実施完了")*(日次管理!$R$3:$GC$3="実績"),日次管理!$R$4:$GC$34)</f>
        <v>32</v>
      </c>
      <c r="BF5" s="85">
        <f>SUMPRODUCT((日次管理!$R$1:$GC$1&lt;=$BF$3)*(日次管理!$F$4:$F$34=$A$5)*(日次管理!$R$2:$GC$2="実施完了")*(日次管理!$R$3:$GC$3="予定"),日次管理!$R$4:$GC$34)</f>
        <v>72</v>
      </c>
      <c r="BG5" s="86">
        <f>SUMPRODUCT((日次管理!$R$1:$GC$1&lt;=$BG$3)*(日次管理!$F$4:$F$34=$A$5)*(日次管理!$R$2:$GC$2="実施完了")*(日次管理!$R$3:$GC$3="実績"),日次管理!$R$4:$GC$34)</f>
        <v>32</v>
      </c>
      <c r="BH5" s="85">
        <f>SUMPRODUCT((日次管理!$R$1:$GC$1&lt;=$BH$3)*(日次管理!$F$4:$F$34=$A$5)*(日次管理!$R$2:$GC$2="実施完了")*(日次管理!$R$3:$GC$3="予定"),日次管理!$R$4:$GC$34)</f>
        <v>72</v>
      </c>
      <c r="BI5" s="86">
        <f>SUMPRODUCT((日次管理!$R$1:$GC$1&lt;=$BI$3)*(日次管理!$F$4:$F$34=$A$5)*(日次管理!$R$2:$GC$2="実施完了")*(日次管理!$R$3:$GC$3="実績"),日次管理!$R$4:$GC$34)</f>
        <v>32</v>
      </c>
      <c r="BJ5" s="85">
        <f>SUMPRODUCT((日次管理!$R$1:$GC$1&lt;=$BJ$3)*(日次管理!$F$4:$F$34=$A$5)*(日次管理!$R$2:$GC$2="実施完了")*(日次管理!$R$3:$GC$3="予定"),日次管理!$R$4:$GC$34)</f>
        <v>72</v>
      </c>
      <c r="BK5" s="86">
        <f>SUMPRODUCT((日次管理!$R$1:$GC$1&lt;=$BK$3)*(日次管理!$F$4:$F$34=$A$5)*(日次管理!$R$2:$GC$2="実施完了")*(日次管理!$R$3:$GC$3="実績"),日次管理!$R$4:$GC$34)</f>
        <v>32</v>
      </c>
      <c r="BL5" s="85">
        <f>SUMPRODUCT((日次管理!$R$1:$GC$1&lt;=$BL$3)*(日次管理!$F$4:$F$34=$A$5)*(日次管理!$R$2:$GC$2="実施完了")*(日次管理!$R$3:$GC$3="予定"),日次管理!$R$4:$GC$34)</f>
        <v>145</v>
      </c>
      <c r="BM5" s="86">
        <f>SUMPRODUCT((日次管理!$R$1:$GC$1&lt;=$BM$3)*(日次管理!$F$4:$F$34=$A$5)*(日次管理!$R$2:$GC$2="実施完了")*(日次管理!$R$3:$GC$3="実績"),日次管理!$R$4:$GC$34)</f>
        <v>32</v>
      </c>
      <c r="BN5" s="85">
        <f>SUMPRODUCT((日次管理!$R$1:$GC$1&lt;=$BN$3)*(日次管理!$F$4:$F$34=$A$5)*(日次管理!$R$2:$GC$2="実施完了")*(日次管理!$R$3:$GC$3="予定"),日次管理!$R$4:$GC$34)</f>
        <v>145</v>
      </c>
      <c r="BO5" s="86">
        <f>SUMPRODUCT((日次管理!$R$1:$GC$1&lt;=$BO$3)*(日次管理!$F$4:$F$34=$A$5)*(日次管理!$R$2:$GC$2="実施完了")*(日次管理!$R$3:$GC$3="実績"),日次管理!$R$4:$GC$34)</f>
        <v>32</v>
      </c>
      <c r="BP5" s="85">
        <f>SUMPRODUCT((日次管理!$R$1:$GC$1&lt;=$BP$3)*(日次管理!$F$4:$F$34=$A$5)*(日次管理!$R$2:$GC$2="実施完了")*(日次管理!$R$3:$GC$3="予定"),日次管理!$R$4:$GC$34)</f>
        <v>145</v>
      </c>
      <c r="BQ5" s="86">
        <f>SUMPRODUCT((日次管理!$R$1:$GC$1&lt;=$BQ$3)*(日次管理!$F$4:$F$34=$A$5)*(日次管理!$R$2:$GC$2="実施完了")*(日次管理!$R$3:$GC$3="実績"),日次管理!$R$4:$GC$34)</f>
        <v>32</v>
      </c>
      <c r="BR5" s="85">
        <f>SUMPRODUCT((日次管理!$R$1:$GC$1&lt;=$BR$3)*(日次管理!$F$4:$F$34=$A$5)*(日次管理!$R$2:$GC$2="実施完了")*(日次管理!$R$3:$GC$3="予定"),日次管理!$R$4:$GC$34)</f>
        <v>145</v>
      </c>
      <c r="BS5" s="86">
        <f>SUMPRODUCT((日次管理!$R$1:$GC$1&lt;=$BS$3)*(日次管理!$F$4:$F$34=$A$5)*(日次管理!$R$2:$GC$2="実施完了")*(日次管理!$R$3:$GC$3="実績"),日次管理!$R$4:$GC$34)</f>
        <v>32</v>
      </c>
      <c r="BT5" s="85">
        <f>SUMPRODUCT((日次管理!$R$1:$GC$1&lt;=$BT$3)*(日次管理!$F$4:$F$34=$A$5)*(日次管理!$R$2:$GC$2="実施完了")*(日次管理!$R$3:$GC$3="予定"),日次管理!$R$4:$GC$34)</f>
        <v>170</v>
      </c>
      <c r="BU5" s="86">
        <f>SUMPRODUCT((日次管理!$R$1:$GC$1&lt;=$BU$3)*(日次管理!$F$4:$F$34=$A$5)*(日次管理!$R$2:$GC$2="実施完了")*(日次管理!$R$3:$GC$3="実績"),日次管理!$R$4:$GC$34)</f>
        <v>32</v>
      </c>
      <c r="BV5" s="85">
        <f>SUMPRODUCT((日次管理!$R$1:$GC$1&lt;=$BV$3)*(日次管理!$F$4:$F$34=$A$5)*(日次管理!$R$2:$GC$2="実施完了")*(日次管理!$R$3:$GC$3="予定"),日次管理!$R$4:$GC$34)</f>
        <v>170</v>
      </c>
      <c r="BW5" s="86">
        <f>SUMPRODUCT((日次管理!$R$1:$GC$1&lt;=$BW$3)*(日次管理!$F$4:$F$34=$A$5)*(日次管理!$R$2:$GC$2="実施完了")*(日次管理!$R$3:$GC$3="実績"),日次管理!$R$4:$GC$34)</f>
        <v>32</v>
      </c>
      <c r="BX5" s="85">
        <f>SUMPRODUCT((日次管理!$R$1:$GC$1&lt;=$BX$3)*(日次管理!$F$4:$F$34=$A$5)*(日次管理!$R$2:$GC$2="実施完了")*(日次管理!$R$3:$GC$3="予定"),日次管理!$R$4:$GC$34)</f>
        <v>170</v>
      </c>
      <c r="BY5" s="86">
        <f>SUMPRODUCT((日次管理!$R$1:$GC$1&lt;=$BY$3)*(日次管理!$F$4:$F$34=$A$5)*(日次管理!$R$2:$GC$2="実施完了")*(日次管理!$R$3:$GC$3="実績"),日次管理!$R$4:$GC$34)</f>
        <v>32</v>
      </c>
      <c r="BZ5" s="85">
        <f>SUMPRODUCT((日次管理!$R$1:$GC$1&lt;=$BZ$3)*(日次管理!$F$4:$F$34=$A$5)*(日次管理!$R$2:$GC$2="実施完了")*(日次管理!$R$3:$GC$3="予定"),日次管理!$R$4:$GC$34)</f>
        <v>170</v>
      </c>
      <c r="CA5" s="86">
        <f>SUMPRODUCT((日次管理!$R$1:$GC$1&lt;=$CA$3)*(日次管理!$F$4:$F$34=$A$5)*(日次管理!$R$2:$GC$2="実施完了")*(日次管理!$R$3:$GC$3="実績"),日次管理!$R$4:$GC$34)</f>
        <v>32</v>
      </c>
      <c r="CB5" s="85">
        <f>SUMPRODUCT((日次管理!$R$1:$GC$1&lt;=$CB$3)*(日次管理!$F$4:$F$34=$A$5)*(日次管理!$R$2:$GC$2="実施完了")*(日次管理!$R$3:$GC$3="予定"),日次管理!$R$4:$GC$34)</f>
        <v>170</v>
      </c>
      <c r="CC5" s="86">
        <f>SUMPRODUCT((日次管理!$R$1:$GC$1&lt;=$CC$3)*(日次管理!$F$4:$F$34=$A$5)*(日次管理!$R$2:$GC$2="実施完了")*(日次管理!$R$3:$GC$3="実績"),日次管理!$R$4:$GC$34)</f>
        <v>32</v>
      </c>
      <c r="CD5" s="85">
        <f>SUMPRODUCT((日次管理!$R$1:$GC$1&lt;=$CD$3)*(日次管理!$F$4:$F$34=$A$5)*(日次管理!$R$2:$GC$2="実施完了")*(日次管理!$R$3:$GC$3="予定"),日次管理!$R$4:$GC$34)</f>
        <v>170</v>
      </c>
      <c r="CE5" s="86">
        <f>SUMPRODUCT((日次管理!$R$1:$GC$1&lt;=$CE$3)*(日次管理!$F$4:$F$34=$A$5)*(日次管理!$R$2:$GC$2="実施完了")*(日次管理!$R$3:$GC$3="実績"),日次管理!$R$4:$GC$34)</f>
        <v>32</v>
      </c>
      <c r="CF5" s="85">
        <f>SUMPRODUCT((日次管理!$R$1:$GC$1&lt;=$CF$3)*(日次管理!$F$4:$F$34=$A$5)*(日次管理!$R$2:$GC$2="実施完了")*(日次管理!$R$3:$GC$3="予定"),日次管理!$R$4:$GC$34)</f>
        <v>170</v>
      </c>
      <c r="CG5" s="86">
        <f>SUMPRODUCT((日次管理!$R$1:$GC$1&lt;=$CG$3)*(日次管理!$F$4:$F$34=$A$5)*(日次管理!$R$2:$GC$2="実施完了")*(日次管理!$R$3:$GC$3="実績"),日次管理!$R$4:$GC$34)</f>
        <v>32</v>
      </c>
      <c r="CH5" s="87">
        <f ca="1">SUMPRODUCT(($A$3- WEEKDAY($A$3) + 6 =$B$3:$CG$3)*("実績"=$B$4:$CG$4),$B$5:$CG$5)/SUMPRODUCT(($A$3- WEEKDAY($A$3) + 6 =$B$3:$CG$3)*("予定"=$B$4:$CG$4),$B$5:$CG$5)</f>
        <v>1</v>
      </c>
      <c r="CI5" s="88">
        <f>$CG$5/$CF$5</f>
        <v>0.18823529411764706</v>
      </c>
    </row>
    <row r="6" spans="1:87" ht="20.100000000000001" customHeight="1">
      <c r="A6" s="139" t="s">
        <v>144</v>
      </c>
      <c r="B6" s="140">
        <f>SUMPRODUCT((日次管理!$R$1:$GC$1&lt;=$B$3)*(日次管理!$F$4:$F$34=$A$6)*(日次管理!$R$2:$GC$2="実施完了")*(日次管理!$R$3:$GC$3="予定"),日次管理!$R$4:$GC$34)</f>
        <v>0</v>
      </c>
      <c r="C6" s="89">
        <f>SUMPRODUCT((日次管理!$R$1:$GC$1&lt;=$C$3)*(日次管理!$F$4:$F$34=$A$6)*(日次管理!$R$2:$GC$2="実施完了")*(日次管理!$R$3:$GC$3="実績"),日次管理!$R$4:$GC$34)</f>
        <v>0</v>
      </c>
      <c r="D6" s="140">
        <f>SUMPRODUCT((日次管理!$R$1:$GC$1&lt;=$D$3)*(日次管理!$F$4:$F$34=$A$6)*(日次管理!$R$2:$GC$2="実施完了")*(日次管理!$R$3:$GC$3="予定"),日次管理!$R$4:$GC$34)</f>
        <v>0</v>
      </c>
      <c r="E6" s="89">
        <f>SUMPRODUCT((日次管理!$R$1:$GC$1&lt;=$E$3)*(日次管理!$F$4:$F$34=$A$6)*(日次管理!$R$2:$GC$2="実施完了")*(日次管理!$R$3:$GC$3="実績"),日次管理!$R$4:$GC$34)</f>
        <v>0</v>
      </c>
      <c r="F6" s="140">
        <f>SUMPRODUCT((日次管理!$R$1:$GC$1&lt;=$F$3)*(日次管理!$F$4:$F$34=$A$6)*(日次管理!$R$2:$GC$2="実施完了")*(日次管理!$R$3:$GC$3="予定"),日次管理!$R$4:$GC$34)</f>
        <v>0</v>
      </c>
      <c r="G6" s="89">
        <f>SUMPRODUCT((日次管理!$R$1:$GC$1&lt;=$G$3)*(日次管理!$F$4:$F$34=$A$6)*(日次管理!$R$2:$GC$2="実施完了")*(日次管理!$R$3:$GC$3="実績"),日次管理!$R$4:$GC$34)</f>
        <v>0</v>
      </c>
      <c r="H6" s="140">
        <f>SUMPRODUCT((日次管理!$R$1:$GC$1&lt;=$H$3)*(日次管理!$F$4:$F$34=$A$6)*(日次管理!$R$2:$GC$2="実施完了")*(日次管理!$R$3:$GC$3="予定"),日次管理!$R$4:$GC$34)</f>
        <v>0</v>
      </c>
      <c r="I6" s="89">
        <f>SUMPRODUCT((日次管理!$R$1:$GC$1&lt;=$I$3)*(日次管理!$F$4:$F$34=$A$6)*(日次管理!$R$2:$GC$2="実施完了")*(日次管理!$R$3:$GC$3="実績"),日次管理!$R$4:$GC$34)</f>
        <v>0</v>
      </c>
      <c r="J6" s="140">
        <f>SUMPRODUCT((日次管理!$R$1:$GC$1&lt;=$J$3)*(日次管理!$F$4:$F$34=$A$6)*(日次管理!$R$2:$GC$2="実施完了")*(日次管理!$R$3:$GC$3="予定"),日次管理!$R$4:$GC$34)</f>
        <v>0</v>
      </c>
      <c r="K6" s="89">
        <f>SUMPRODUCT((日次管理!$R$1:$GC$1&lt;=$K$3)*(日次管理!$F$4:$F$34=$A$6)*(日次管理!$R$2:$GC$2="実施完了")*(日次管理!$R$3:$GC$3="実績"),日次管理!$R$4:$GC$34)</f>
        <v>0</v>
      </c>
      <c r="L6" s="140">
        <f>SUMPRODUCT((日次管理!$R$1:$GC$1&lt;=$L$3)*(日次管理!$F$4:$F$34=$A$6)*(日次管理!$R$2:$GC$2="実施完了")*(日次管理!$R$3:$GC$3="予定"),日次管理!$R$4:$GC$34)</f>
        <v>0</v>
      </c>
      <c r="M6" s="89">
        <f>SUMPRODUCT((日次管理!$R$1:$GC$1&lt;=$M$3)*(日次管理!$F$4:$F$34=$A$6)*(日次管理!$R$2:$GC$2="実施完了")*(日次管理!$R$3:$GC$3="実績"),日次管理!$R$4:$GC$34)</f>
        <v>0</v>
      </c>
      <c r="N6" s="140">
        <f>SUMPRODUCT((日次管理!$R$1:$GC$1&lt;=$N$3)*(日次管理!$F$4:$F$34=$A$6)*(日次管理!$R$2:$GC$2="実施完了")*(日次管理!$R$3:$GC$3="予定"),日次管理!$R$4:$GC$34)</f>
        <v>0</v>
      </c>
      <c r="O6" s="89">
        <f>SUMPRODUCT((日次管理!$R$1:$GC$1&lt;=$O$3)*(日次管理!$F$4:$F$34=$A$6)*(日次管理!$R$2:$GC$2="実施完了")*(日次管理!$R$3:$GC$3="実績"),日次管理!$R$4:$GC$34)</f>
        <v>0</v>
      </c>
      <c r="P6" s="140">
        <f>SUMPRODUCT((日次管理!$R$1:$GC$1&lt;=$P$3)*(日次管理!$F$4:$F$34=$A$6)*(日次管理!$R$2:$GC$2="実施完了")*(日次管理!$R$3:$GC$3="予定"),日次管理!$R$4:$GC$34)</f>
        <v>0</v>
      </c>
      <c r="Q6" s="89">
        <f>SUMPRODUCT((日次管理!$R$1:$GC$1&lt;=$Q$3)*(日次管理!$F$4:$F$34=$A$6)*(日次管理!$R$2:$GC$2="実施完了")*(日次管理!$R$3:$GC$3="実績"),日次管理!$R$4:$GC$34)</f>
        <v>0</v>
      </c>
      <c r="R6" s="140">
        <f>SUMPRODUCT((日次管理!$R$1:$GC$1&lt;=$R$3)*(日次管理!$F$4:$F$34=$A$6)*(日次管理!$R$2:$GC$2="実施完了")*(日次管理!$R$3:$GC$3="予定"),日次管理!$R$4:$GC$34)</f>
        <v>0</v>
      </c>
      <c r="S6" s="89">
        <f>SUMPRODUCT((日次管理!$R$1:$GC$1&lt;=$S$3)*(日次管理!$F$4:$F$34=$A$6)*(日次管理!$R$2:$GC$2="実施完了")*(日次管理!$R$3:$GC$3="実績"),日次管理!$R$4:$GC$34)</f>
        <v>0</v>
      </c>
      <c r="T6" s="140">
        <f>SUMPRODUCT((日次管理!$R$1:$GC$1&lt;=$T$3)*(日次管理!$F$4:$F$34=$A$6)*(日次管理!$R$2:$GC$2="実施完了")*(日次管理!$R$3:$GC$3="予定"),日次管理!$R$4:$GC$34)</f>
        <v>0</v>
      </c>
      <c r="U6" s="89">
        <f>SUMPRODUCT((日次管理!$R$1:$GC$1&lt;=$U$3)*(日次管理!$F$4:$F$34=$A$6)*(日次管理!$R$2:$GC$2="実施完了")*(日次管理!$R$3:$GC$3="実績"),日次管理!$R$4:$GC$34)</f>
        <v>0</v>
      </c>
      <c r="V6" s="140">
        <f>SUMPRODUCT((日次管理!$R$1:$GC$1&lt;=$V$3)*(日次管理!$F$4:$F$34=$A$6)*(日次管理!$R$2:$GC$2="実施完了")*(日次管理!$R$3:$GC$3="予定"),日次管理!$R$4:$GC$34)</f>
        <v>0</v>
      </c>
      <c r="W6" s="89">
        <f>SUMPRODUCT((日次管理!$R$1:$GC$1&lt;=$W$3)*(日次管理!$F$4:$F$34=$A$6)*(日次管理!$R$2:$GC$2="実施完了")*(日次管理!$R$3:$GC$3="実績"),日次管理!$R$4:$GC$34)</f>
        <v>0</v>
      </c>
      <c r="X6" s="140">
        <f>SUMPRODUCT((日次管理!$R$1:$GC$1&lt;=$X$3)*(日次管理!$F$4:$F$34=$A$6)*(日次管理!$R$2:$GC$2="実施完了")*(日次管理!$R$3:$GC$3="予定"),日次管理!$R$4:$GC$34)</f>
        <v>0</v>
      </c>
      <c r="Y6" s="89">
        <f>SUMPRODUCT((日次管理!$R$1:$GC$1&lt;=$Y$3)*(日次管理!$F$4:$F$34=$A$6)*(日次管理!$R$2:$GC$2="実施完了")*(日次管理!$R$3:$GC$3="実績"),日次管理!$R$4:$GC$34)</f>
        <v>0</v>
      </c>
      <c r="Z6" s="140">
        <f>SUMPRODUCT((日次管理!$R$1:$GC$1&lt;=$Z$3)*(日次管理!$F$4:$F$34=$A$6)*(日次管理!$R$2:$GC$2="実施完了")*(日次管理!$R$3:$GC$3="予定"),日次管理!$R$4:$GC$34)</f>
        <v>0</v>
      </c>
      <c r="AA6" s="89">
        <f>SUMPRODUCT((日次管理!$R$1:$GC$1&lt;=$AA$3)*(日次管理!$F$4:$F$34=$A$6)*(日次管理!$R$2:$GC$2="実施完了")*(日次管理!$R$3:$GC$3="実績"),日次管理!$R$4:$GC$34)</f>
        <v>0</v>
      </c>
      <c r="AB6" s="140">
        <f>SUMPRODUCT((日次管理!$R$1:$GC$1&lt;=$AB$3)*(日次管理!$F$4:$F$34=$A$6)*(日次管理!$R$2:$GC$2="実施完了")*(日次管理!$R$3:$GC$3="予定"),日次管理!$R$4:$GC$34)</f>
        <v>0</v>
      </c>
      <c r="AC6" s="89">
        <f>SUMPRODUCT((日次管理!$R$1:$GC$1&lt;=$AC$3)*(日次管理!$F$4:$F$34=$A$6)*(日次管理!$R$2:$GC$2="実施完了")*(日次管理!$R$3:$GC$3="実績"),日次管理!$R$4:$GC$34)</f>
        <v>0</v>
      </c>
      <c r="AD6" s="140">
        <f>SUMPRODUCT((日次管理!$R$1:$GC$1&lt;=$AD$3)*(日次管理!$F$4:$F$34=$A$6)*(日次管理!$R$2:$GC$2="実施完了")*(日次管理!$R$3:$GC$3="予定"),日次管理!$R$4:$GC$34)</f>
        <v>0</v>
      </c>
      <c r="AE6" s="89">
        <f>SUMPRODUCT((日次管理!$R$1:$GC$1&lt;=$AE$3)*(日次管理!$F$4:$F$34=$A$6)*(日次管理!$R$2:$GC$2="実施完了")*(日次管理!$R$3:$GC$3="実績"),日次管理!$R$4:$GC$34)</f>
        <v>0</v>
      </c>
      <c r="AF6" s="140">
        <f>SUMPRODUCT((日次管理!$R$1:$GC$1&lt;=$AF$3)*(日次管理!$F$4:$F$34=$A$6)*(日次管理!$R$2:$GC$2="実施完了")*(日次管理!$R$3:$GC$3="予定"),日次管理!$R$4:$GC$34)</f>
        <v>0</v>
      </c>
      <c r="AG6" s="89">
        <f>SUMPRODUCT((日次管理!$R$1:$GC$1&lt;=$AG$3)*(日次管理!$F$4:$F$34=$A$6)*(日次管理!$R$2:$GC$2="実施完了")*(日次管理!$R$3:$GC$3="実績"),日次管理!$R$4:$GC$34)</f>
        <v>0</v>
      </c>
      <c r="AH6" s="140">
        <f>SUMPRODUCT((日次管理!$R$1:$GC$1&lt;=$AH$3)*(日次管理!$F$4:$F$34=$A$6)*(日次管理!$R$2:$GC$2="実施完了")*(日次管理!$R$3:$GC$3="予定"),日次管理!$R$4:$GC$34)</f>
        <v>0</v>
      </c>
      <c r="AI6" s="89">
        <f>SUMPRODUCT((日次管理!$R$1:$GC$1&lt;=$AI$3)*(日次管理!$F$4:$F$34=$A$6)*(日次管理!$R$2:$GC$2="実施完了")*(日次管理!$R$3:$GC$3="実績"),日次管理!$R$4:$GC$34)</f>
        <v>0</v>
      </c>
      <c r="AJ6" s="140">
        <f>SUMPRODUCT((日次管理!$R$1:$GC$1&lt;=$AJ$3)*(日次管理!$F$4:$F$34=$A$6)*(日次管理!$R$2:$GC$2="実施完了")*(日次管理!$R$3:$GC$3="予定"),日次管理!$R$4:$GC$34)</f>
        <v>0</v>
      </c>
      <c r="AK6" s="89">
        <f>SUMPRODUCT((日次管理!$R$1:$GC$1&lt;=$AK$3)*(日次管理!$F$4:$F$34=$A$6)*(日次管理!$R$2:$GC$2="実施完了")*(日次管理!$R$3:$GC$3="実績"),日次管理!$R$4:$GC$34)</f>
        <v>0</v>
      </c>
      <c r="AL6" s="140">
        <f>SUMPRODUCT((日次管理!$R$1:$GC$1&lt;=$AL$3)*(日次管理!$F$4:$F$34=$A$6)*(日次管理!$R$2:$GC$2="実施完了")*(日次管理!$R$3:$GC$3="予定"),日次管理!$R$4:$GC$34)</f>
        <v>0</v>
      </c>
      <c r="AM6" s="89">
        <f>SUMPRODUCT((日次管理!$R$1:$GC$1&lt;=$AM$3)*(日次管理!$F$4:$F$34=$A$6)*(日次管理!$R$2:$GC$2="実施完了")*(日次管理!$R$3:$GC$3="実績"),日次管理!$R$4:$GC$34)</f>
        <v>0</v>
      </c>
      <c r="AN6" s="140">
        <f>SUMPRODUCT((日次管理!$R$1:$GC$1&lt;=$AN$3)*(日次管理!$F$4:$F$34=$A$6)*(日次管理!$R$2:$GC$2="実施完了")*(日次管理!$R$3:$GC$3="予定"),日次管理!$R$4:$GC$34)</f>
        <v>0</v>
      </c>
      <c r="AO6" s="89">
        <f>SUMPRODUCT((日次管理!$R$1:$GC$1&lt;=$AO$3)*(日次管理!$F$4:$F$34=$A$6)*(日次管理!$R$2:$GC$2="実施完了")*(日次管理!$R$3:$GC$3="実績"),日次管理!$R$4:$GC$34)</f>
        <v>0</v>
      </c>
      <c r="AP6" s="140">
        <f>SUMPRODUCT((日次管理!$R$1:$GC$1&lt;=$AP$3)*(日次管理!$F$4:$F$34=$A$6)*(日次管理!$R$2:$GC$2="実施完了")*(日次管理!$R$3:$GC$3="予定"),日次管理!$R$4:$GC$34)</f>
        <v>0</v>
      </c>
      <c r="AQ6" s="89">
        <f>SUMPRODUCT((日次管理!$R$1:$GC$1&lt;=$AQ$3)*(日次管理!$F$4:$F$34=$A$6)*(日次管理!$R$2:$GC$2="実施完了")*(日次管理!$R$3:$GC$3="実績"),日次管理!$R$4:$GC$34)</f>
        <v>0</v>
      </c>
      <c r="AR6" s="140">
        <f>SUMPRODUCT((日次管理!$R$1:$GC$1&lt;=$AR$3)*(日次管理!$F$4:$F$34=$A$6)*(日次管理!$R$2:$GC$2="実施完了")*(日次管理!$R$3:$GC$3="予定"),日次管理!$R$4:$GC$34)</f>
        <v>0</v>
      </c>
      <c r="AS6" s="89">
        <f>SUMPRODUCT((日次管理!$R$1:$GC$1&lt;=$AS$3)*(日次管理!$F$4:$F$34=$A$6)*(日次管理!$R$2:$GC$2="実施完了")*(日次管理!$R$3:$GC$3="実績"),日次管理!$R$4:$GC$34)</f>
        <v>0</v>
      </c>
      <c r="AT6" s="140">
        <f>SUMPRODUCT((日次管理!$R$1:$GC$1&lt;=$AT$3)*(日次管理!$F$4:$F$34=$A$6)*(日次管理!$R$2:$GC$2="実施完了")*(日次管理!$R$3:$GC$3="予定"),日次管理!$R$4:$GC$34)</f>
        <v>0</v>
      </c>
      <c r="AU6" s="89">
        <f>SUMPRODUCT((日次管理!$R$1:$GC$1&lt;=$AU$3)*(日次管理!$F$4:$F$34=$A$6)*(日次管理!$R$2:$GC$2="実施完了")*(日次管理!$R$3:$GC$3="実績"),日次管理!$R$4:$GC$34)</f>
        <v>0</v>
      </c>
      <c r="AV6" s="140">
        <f>SUMPRODUCT((日次管理!$R$1:$GC$1&lt;=$AV$3)*(日次管理!$F$4:$F$34=$A$6)*(日次管理!$R$2:$GC$2="実施完了")*(日次管理!$R$3:$GC$3="予定"),日次管理!$R$4:$GC$34)</f>
        <v>0</v>
      </c>
      <c r="AW6" s="89">
        <f>SUMPRODUCT((日次管理!$R$1:$GC$1&lt;=$AW$3)*(日次管理!$F$4:$F$34=$A$6)*(日次管理!$R$2:$GC$2="実施完了")*(日次管理!$R$3:$GC$3="実績"),日次管理!$R$4:$GC$34)</f>
        <v>0</v>
      </c>
      <c r="AX6" s="140">
        <f>SUMPRODUCT((日次管理!$R$1:$GC$1&lt;=$AX$3)*(日次管理!$F$4:$F$34=$A$6)*(日次管理!$R$2:$GC$2="実施完了")*(日次管理!$R$3:$GC$3="予定"),日次管理!$R$4:$GC$34)</f>
        <v>3</v>
      </c>
      <c r="AY6" s="89">
        <f>SUMPRODUCT((日次管理!$R$1:$GC$1&lt;=$AY$3)*(日次管理!$F$4:$F$34=$A$6)*(日次管理!$R$2:$GC$2="実施完了")*(日次管理!$R$3:$GC$3="実績"),日次管理!$R$4:$GC$34)</f>
        <v>3</v>
      </c>
      <c r="AZ6" s="140">
        <f>SUMPRODUCT((日次管理!$R$1:$GC$1&lt;=$AZ$3)*(日次管理!$F$4:$F$34=$A$6)*(日次管理!$R$2:$GC$2="実施完了")*(日次管理!$R$3:$GC$3="予定"),日次管理!$R$4:$GC$34)</f>
        <v>5</v>
      </c>
      <c r="BA6" s="89">
        <f>SUMPRODUCT((日次管理!$R$1:$GC$1&lt;=$BA$3)*(日次管理!$F$4:$F$34=$A$6)*(日次管理!$R$2:$GC$2="実施完了")*(日次管理!$R$3:$GC$3="実績"),日次管理!$R$4:$GC$34)</f>
        <v>5</v>
      </c>
      <c r="BB6" s="140">
        <f>SUMPRODUCT((日次管理!$R$1:$GC$1&lt;=$BB$3)*(日次管理!$F$4:$F$34=$A$6)*(日次管理!$R$2:$GC$2="実施完了")*(日次管理!$R$3:$GC$3="予定"),日次管理!$R$4:$GC$34)</f>
        <v>5</v>
      </c>
      <c r="BC6" s="89">
        <f>SUMPRODUCT((日次管理!$R$1:$GC$1&lt;=$BC$3)*(日次管理!$F$4:$F$34=$A$6)*(日次管理!$R$2:$GC$2="実施完了")*(日次管理!$R$3:$GC$3="実績"),日次管理!$R$4:$GC$34)</f>
        <v>5</v>
      </c>
      <c r="BD6" s="140">
        <f>SUMPRODUCT((日次管理!$R$1:$GC$1&lt;=$BD$3)*(日次管理!$F$4:$F$34=$A$6)*(日次管理!$R$2:$GC$2="実施完了")*(日次管理!$R$3:$GC$3="予定"),日次管理!$R$4:$GC$34)</f>
        <v>5</v>
      </c>
      <c r="BE6" s="89">
        <f>SUMPRODUCT((日次管理!$R$1:$GC$1&lt;=$BE$3)*(日次管理!$F$4:$F$34=$A$6)*(日次管理!$R$2:$GC$2="実施完了")*(日次管理!$R$3:$GC$3="実績"),日次管理!$R$4:$GC$34)</f>
        <v>5</v>
      </c>
      <c r="BF6" s="140">
        <f>SUMPRODUCT((日次管理!$R$1:$GC$1&lt;=$BF$3)*(日次管理!$F$4:$F$34=$A$6)*(日次管理!$R$2:$GC$2="実施完了")*(日次管理!$R$3:$GC$3="予定"),日次管理!$R$4:$GC$34)</f>
        <v>23</v>
      </c>
      <c r="BG6" s="89">
        <f>SUMPRODUCT((日次管理!$R$1:$GC$1&lt;=$BG$3)*(日次管理!$F$4:$F$34=$A$6)*(日次管理!$R$2:$GC$2="実施完了")*(日次管理!$R$3:$GC$3="実績"),日次管理!$R$4:$GC$34)</f>
        <v>5</v>
      </c>
      <c r="BH6" s="140">
        <f>SUMPRODUCT((日次管理!$R$1:$GC$1&lt;=$BH$3)*(日次管理!$F$4:$F$34=$A$6)*(日次管理!$R$2:$GC$2="実施完了")*(日次管理!$R$3:$GC$3="予定"),日次管理!$R$4:$GC$34)</f>
        <v>34</v>
      </c>
      <c r="BI6" s="89">
        <f>SUMPRODUCT((日次管理!$R$1:$GC$1&lt;=$BI$3)*(日次管理!$F$4:$F$34=$A$6)*(日次管理!$R$2:$GC$2="実施完了")*(日次管理!$R$3:$GC$3="実績"),日次管理!$R$4:$GC$34)</f>
        <v>5</v>
      </c>
      <c r="BJ6" s="140">
        <f>SUMPRODUCT((日次管理!$R$1:$GC$1&lt;=$BJ$3)*(日次管理!$F$4:$F$34=$A$6)*(日次管理!$R$2:$GC$2="実施完了")*(日次管理!$R$3:$GC$3="予定"),日次管理!$R$4:$GC$34)</f>
        <v>34</v>
      </c>
      <c r="BK6" s="89">
        <f>SUMPRODUCT((日次管理!$R$1:$GC$1&lt;=$BK$3)*(日次管理!$F$4:$F$34=$A$6)*(日次管理!$R$2:$GC$2="実施完了")*(日次管理!$R$3:$GC$3="実績"),日次管理!$R$4:$GC$34)</f>
        <v>5</v>
      </c>
      <c r="BL6" s="140">
        <f>SUMPRODUCT((日次管理!$R$1:$GC$1&lt;=$BL$3)*(日次管理!$F$4:$F$34=$A$6)*(日次管理!$R$2:$GC$2="実施完了")*(日次管理!$R$3:$GC$3="予定"),日次管理!$R$4:$GC$34)</f>
        <v>34</v>
      </c>
      <c r="BM6" s="89">
        <f>SUMPRODUCT((日次管理!$R$1:$GC$1&lt;=$BM$3)*(日次管理!$F$4:$F$34=$A$6)*(日次管理!$R$2:$GC$2="実施完了")*(日次管理!$R$3:$GC$3="実績"),日次管理!$R$4:$GC$34)</f>
        <v>5</v>
      </c>
      <c r="BN6" s="140">
        <f>SUMPRODUCT((日次管理!$R$1:$GC$1&lt;=$BN$3)*(日次管理!$F$4:$F$34=$A$6)*(日次管理!$R$2:$GC$2="実施完了")*(日次管理!$R$3:$GC$3="予定"),日次管理!$R$4:$GC$34)</f>
        <v>34</v>
      </c>
      <c r="BO6" s="89">
        <f>SUMPRODUCT((日次管理!$R$1:$GC$1&lt;=$BO$3)*(日次管理!$F$4:$F$34=$A$6)*(日次管理!$R$2:$GC$2="実施完了")*(日次管理!$R$3:$GC$3="実績"),日次管理!$R$4:$GC$34)</f>
        <v>5</v>
      </c>
      <c r="BP6" s="140">
        <f>SUMPRODUCT((日次管理!$R$1:$GC$1&lt;=$BP$3)*(日次管理!$F$4:$F$34=$A$6)*(日次管理!$R$2:$GC$2="実施完了")*(日次管理!$R$3:$GC$3="予定"),日次管理!$R$4:$GC$34)</f>
        <v>34</v>
      </c>
      <c r="BQ6" s="89">
        <f>SUMPRODUCT((日次管理!$R$1:$GC$1&lt;=$BQ$3)*(日次管理!$F$4:$F$34=$A$6)*(日次管理!$R$2:$GC$2="実施完了")*(日次管理!$R$3:$GC$3="実績"),日次管理!$R$4:$GC$34)</f>
        <v>5</v>
      </c>
      <c r="BR6" s="140">
        <f>SUMPRODUCT((日次管理!$R$1:$GC$1&lt;=$BR$3)*(日次管理!$F$4:$F$34=$A$6)*(日次管理!$R$2:$GC$2="実施完了")*(日次管理!$R$3:$GC$3="予定"),日次管理!$R$4:$GC$34)</f>
        <v>34</v>
      </c>
      <c r="BS6" s="89">
        <f>SUMPRODUCT((日次管理!$R$1:$GC$1&lt;=$BS$3)*(日次管理!$F$4:$F$34=$A$6)*(日次管理!$R$2:$GC$2="実施完了")*(日次管理!$R$3:$GC$3="実績"),日次管理!$R$4:$GC$34)</f>
        <v>5</v>
      </c>
      <c r="BT6" s="140">
        <f>SUMPRODUCT((日次管理!$R$1:$GC$1&lt;=$BT$3)*(日次管理!$F$4:$F$34=$A$6)*(日次管理!$R$2:$GC$2="実施完了")*(日次管理!$R$3:$GC$3="予定"),日次管理!$R$4:$GC$34)</f>
        <v>34</v>
      </c>
      <c r="BU6" s="89">
        <f>SUMPRODUCT((日次管理!$R$1:$GC$1&lt;=$BU$3)*(日次管理!$F$4:$F$34=$A$6)*(日次管理!$R$2:$GC$2="実施完了")*(日次管理!$R$3:$GC$3="実績"),日次管理!$R$4:$GC$34)</f>
        <v>5</v>
      </c>
      <c r="BV6" s="140">
        <f>SUMPRODUCT((日次管理!$R$1:$GC$1&lt;=$BV$3)*(日次管理!$F$4:$F$34=$A$6)*(日次管理!$R$2:$GC$2="実施完了")*(日次管理!$R$3:$GC$3="予定"),日次管理!$R$4:$GC$34)</f>
        <v>34</v>
      </c>
      <c r="BW6" s="89">
        <f>SUMPRODUCT((日次管理!$R$1:$GC$1&lt;=$BW$3)*(日次管理!$F$4:$F$34=$A$6)*(日次管理!$R$2:$GC$2="実施完了")*(日次管理!$R$3:$GC$3="実績"),日次管理!$R$4:$GC$34)</f>
        <v>5</v>
      </c>
      <c r="BX6" s="140">
        <f>SUMPRODUCT((日次管理!$R$1:$GC$1&lt;=$BX$3)*(日次管理!$F$4:$F$34=$A$6)*(日次管理!$R$2:$GC$2="実施完了")*(日次管理!$R$3:$GC$3="予定"),日次管理!$R$4:$GC$34)</f>
        <v>34</v>
      </c>
      <c r="BY6" s="89">
        <f>SUMPRODUCT((日次管理!$R$1:$GC$1&lt;=$BY$3)*(日次管理!$F$4:$F$34=$A$6)*(日次管理!$R$2:$GC$2="実施完了")*(日次管理!$R$3:$GC$3="実績"),日次管理!$R$4:$GC$34)</f>
        <v>5</v>
      </c>
      <c r="BZ6" s="140">
        <f>SUMPRODUCT((日次管理!$R$1:$GC$1&lt;=$BZ$3)*(日次管理!$F$4:$F$34=$A$6)*(日次管理!$R$2:$GC$2="実施完了")*(日次管理!$R$3:$GC$3="予定"),日次管理!$R$4:$GC$34)</f>
        <v>34</v>
      </c>
      <c r="CA6" s="89">
        <f>SUMPRODUCT((日次管理!$R$1:$GC$1&lt;=$CA$3)*(日次管理!$F$4:$F$34=$A$6)*(日次管理!$R$2:$GC$2="実施完了")*(日次管理!$R$3:$GC$3="実績"),日次管理!$R$4:$GC$34)</f>
        <v>5</v>
      </c>
      <c r="CB6" s="140">
        <f>SUMPRODUCT((日次管理!$R$1:$GC$1&lt;=$CB$3)*(日次管理!$F$4:$F$34=$A$6)*(日次管理!$R$2:$GC$2="実施完了")*(日次管理!$R$3:$GC$3="予定"),日次管理!$R$4:$GC$34)</f>
        <v>34</v>
      </c>
      <c r="CC6" s="89">
        <f>SUMPRODUCT((日次管理!$R$1:$GC$1&lt;=$CC$3)*(日次管理!$F$4:$F$34=$A$6)*(日次管理!$R$2:$GC$2="実施完了")*(日次管理!$R$3:$GC$3="実績"),日次管理!$R$4:$GC$34)</f>
        <v>5</v>
      </c>
      <c r="CD6" s="140">
        <f>SUMPRODUCT((日次管理!$R$1:$GC$1&lt;=$CD$3)*(日次管理!$F$4:$F$34=$A$6)*(日次管理!$R$2:$GC$2="実施完了")*(日次管理!$R$3:$GC$3="予定"),日次管理!$R$4:$GC$34)</f>
        <v>34</v>
      </c>
      <c r="CE6" s="89">
        <f>SUMPRODUCT((日次管理!$R$1:$GC$1&lt;=$CE$3)*(日次管理!$F$4:$F$34=$A$6)*(日次管理!$R$2:$GC$2="実施完了")*(日次管理!$R$3:$GC$3="実績"),日次管理!$R$4:$GC$34)</f>
        <v>5</v>
      </c>
      <c r="CF6" s="140">
        <f>SUMPRODUCT((日次管理!$R$1:$GC$1&lt;=$CF$3)*(日次管理!$F$4:$F$34=$A$6)*(日次管理!$R$2:$GC$2="実施完了")*(日次管理!$R$3:$GC$3="予定"),日次管理!$R$4:$GC$34)</f>
        <v>34</v>
      </c>
      <c r="CG6" s="89">
        <f>SUMPRODUCT((日次管理!$R$1:$GC$1&lt;=$CG$3)*(日次管理!$F$4:$F$34=$A$6)*(日次管理!$R$2:$GC$2="実施完了")*(日次管理!$R$3:$GC$3="実績"),日次管理!$R$4:$GC$34)</f>
        <v>5</v>
      </c>
      <c r="CH6" s="141">
        <f ca="1">SUMPRODUCT(($A$3- WEEKDAY($A$3) + 6 =$B$3:$CG$3)*("実績"=$B$4:$CG$4),$B$6:$CG$6)/SUMPRODUCT(($A$3- WEEKDAY($A$3) + 6 =$B$3:$CG$3)*("予定"=$B$4:$CG$4),$B$6:$CG$6)</f>
        <v>1</v>
      </c>
      <c r="CI6" s="142">
        <f>$CG$6/$CF$6</f>
        <v>0.14705882352941177</v>
      </c>
    </row>
    <row r="7" spans="1:87" ht="20.100000000000001" customHeight="1">
      <c r="A7" s="143" t="s">
        <v>116</v>
      </c>
      <c r="B7" s="144">
        <f>SUMPRODUCT((日次管理!$R$1:$GC$1&lt;=$B$3)*(日次管理!$F$4:$F$34=$A$7)*(日次管理!$R$2:$GC$2="実施完了")*(日次管理!$R$3:$GC$3="予定"),日次管理!$R$4:$GC$34)</f>
        <v>0</v>
      </c>
      <c r="C7" s="90">
        <f>SUMPRODUCT((日次管理!$R$1:$GC$1&lt;=$C$3)*(日次管理!$F$4:$F$34=$A$7)*(日次管理!$R$2:$GC$2="実施完了")*(日次管理!$R$3:$GC$3="実績"),日次管理!$R$4:$GC$34)</f>
        <v>0</v>
      </c>
      <c r="D7" s="144">
        <f>SUMPRODUCT((日次管理!$R$1:$GC$1&lt;=$D$3)*(日次管理!$F$4:$F$34=$A$7)*(日次管理!$R$2:$GC$2="実施完了")*(日次管理!$R$3:$GC$3="予定"),日次管理!$R$4:$GC$34)</f>
        <v>0</v>
      </c>
      <c r="E7" s="90">
        <f>SUMPRODUCT((日次管理!$R$1:$GC$1&lt;=$E$3)*(日次管理!$F$4:$F$34=$A$7)*(日次管理!$R$2:$GC$2="実施完了")*(日次管理!$R$3:$GC$3="実績"),日次管理!$R$4:$GC$34)</f>
        <v>0</v>
      </c>
      <c r="F7" s="144">
        <f>SUMPRODUCT((日次管理!$R$1:$GC$1&lt;=$F$3)*(日次管理!$F$4:$F$34=$A$7)*(日次管理!$R$2:$GC$2="実施完了")*(日次管理!$R$3:$GC$3="予定"),日次管理!$R$4:$GC$34)</f>
        <v>0</v>
      </c>
      <c r="G7" s="90">
        <f>SUMPRODUCT((日次管理!$R$1:$GC$1&lt;=$G$3)*(日次管理!$F$4:$F$34=$A$7)*(日次管理!$R$2:$GC$2="実施完了")*(日次管理!$R$3:$GC$3="実績"),日次管理!$R$4:$GC$34)</f>
        <v>0</v>
      </c>
      <c r="H7" s="144">
        <f>SUMPRODUCT((日次管理!$R$1:$GC$1&lt;=$H$3)*(日次管理!$F$4:$F$34=$A$7)*(日次管理!$R$2:$GC$2="実施完了")*(日次管理!$R$3:$GC$3="予定"),日次管理!$R$4:$GC$34)</f>
        <v>0</v>
      </c>
      <c r="I7" s="90">
        <f>SUMPRODUCT((日次管理!$R$1:$GC$1&lt;=$I$3)*(日次管理!$F$4:$F$34=$A$7)*(日次管理!$R$2:$GC$2="実施完了")*(日次管理!$R$3:$GC$3="実績"),日次管理!$R$4:$GC$34)</f>
        <v>0</v>
      </c>
      <c r="J7" s="144">
        <f>SUMPRODUCT((日次管理!$R$1:$GC$1&lt;=$J$3)*(日次管理!$F$4:$F$34=$A$7)*(日次管理!$R$2:$GC$2="実施完了")*(日次管理!$R$3:$GC$3="予定"),日次管理!$R$4:$GC$34)</f>
        <v>0</v>
      </c>
      <c r="K7" s="90">
        <f>SUMPRODUCT((日次管理!$R$1:$GC$1&lt;=$K$3)*(日次管理!$F$4:$F$34=$A$7)*(日次管理!$R$2:$GC$2="実施完了")*(日次管理!$R$3:$GC$3="実績"),日次管理!$R$4:$GC$34)</f>
        <v>0</v>
      </c>
      <c r="L7" s="144">
        <f>SUMPRODUCT((日次管理!$R$1:$GC$1&lt;=$L$3)*(日次管理!$F$4:$F$34=$A$7)*(日次管理!$R$2:$GC$2="実施完了")*(日次管理!$R$3:$GC$3="予定"),日次管理!$R$4:$GC$34)</f>
        <v>0</v>
      </c>
      <c r="M7" s="90">
        <f>SUMPRODUCT((日次管理!$R$1:$GC$1&lt;=$M$3)*(日次管理!$F$4:$F$34=$A$7)*(日次管理!$R$2:$GC$2="実施完了")*(日次管理!$R$3:$GC$3="実績"),日次管理!$R$4:$GC$34)</f>
        <v>0</v>
      </c>
      <c r="N7" s="144">
        <f>SUMPRODUCT((日次管理!$R$1:$GC$1&lt;=$N$3)*(日次管理!$F$4:$F$34=$A$7)*(日次管理!$R$2:$GC$2="実施完了")*(日次管理!$R$3:$GC$3="予定"),日次管理!$R$4:$GC$34)</f>
        <v>0</v>
      </c>
      <c r="O7" s="90">
        <f>SUMPRODUCT((日次管理!$R$1:$GC$1&lt;=$O$3)*(日次管理!$F$4:$F$34=$A$7)*(日次管理!$R$2:$GC$2="実施完了")*(日次管理!$R$3:$GC$3="実績"),日次管理!$R$4:$GC$34)</f>
        <v>0</v>
      </c>
      <c r="P7" s="144">
        <f>SUMPRODUCT((日次管理!$R$1:$GC$1&lt;=$P$3)*(日次管理!$F$4:$F$34=$A$7)*(日次管理!$R$2:$GC$2="実施完了")*(日次管理!$R$3:$GC$3="予定"),日次管理!$R$4:$GC$34)</f>
        <v>0</v>
      </c>
      <c r="Q7" s="90">
        <f>SUMPRODUCT((日次管理!$R$1:$GC$1&lt;=$Q$3)*(日次管理!$F$4:$F$34=$A$7)*(日次管理!$R$2:$GC$2="実施完了")*(日次管理!$R$3:$GC$3="実績"),日次管理!$R$4:$GC$34)</f>
        <v>0</v>
      </c>
      <c r="R7" s="144">
        <f>SUMPRODUCT((日次管理!$R$1:$GC$1&lt;=$R$3)*(日次管理!$F$4:$F$34=$A$7)*(日次管理!$R$2:$GC$2="実施完了")*(日次管理!$R$3:$GC$3="予定"),日次管理!$R$4:$GC$34)</f>
        <v>0</v>
      </c>
      <c r="S7" s="90">
        <f>SUMPRODUCT((日次管理!$R$1:$GC$1&lt;=$S$3)*(日次管理!$F$4:$F$34=$A$7)*(日次管理!$R$2:$GC$2="実施完了")*(日次管理!$R$3:$GC$3="実績"),日次管理!$R$4:$GC$34)</f>
        <v>0</v>
      </c>
      <c r="T7" s="144">
        <f>SUMPRODUCT((日次管理!$R$1:$GC$1&lt;=$T$3)*(日次管理!$F$4:$F$34=$A$7)*(日次管理!$R$2:$GC$2="実施完了")*(日次管理!$R$3:$GC$3="予定"),日次管理!$R$4:$GC$34)</f>
        <v>0</v>
      </c>
      <c r="U7" s="90">
        <f>SUMPRODUCT((日次管理!$R$1:$GC$1&lt;=$U$3)*(日次管理!$F$4:$F$34=$A$7)*(日次管理!$R$2:$GC$2="実施完了")*(日次管理!$R$3:$GC$3="実績"),日次管理!$R$4:$GC$34)</f>
        <v>0</v>
      </c>
      <c r="V7" s="144">
        <f>SUMPRODUCT((日次管理!$R$1:$GC$1&lt;=$V$3)*(日次管理!$F$4:$F$34=$A$7)*(日次管理!$R$2:$GC$2="実施完了")*(日次管理!$R$3:$GC$3="予定"),日次管理!$R$4:$GC$34)</f>
        <v>0</v>
      </c>
      <c r="W7" s="90">
        <f>SUMPRODUCT((日次管理!$R$1:$GC$1&lt;=$W$3)*(日次管理!$F$4:$F$34=$A$7)*(日次管理!$R$2:$GC$2="実施完了")*(日次管理!$R$3:$GC$3="実績"),日次管理!$R$4:$GC$34)</f>
        <v>0</v>
      </c>
      <c r="X7" s="144">
        <f>SUMPRODUCT((日次管理!$R$1:$GC$1&lt;=$X$3)*(日次管理!$F$4:$F$34=$A$7)*(日次管理!$R$2:$GC$2="実施完了")*(日次管理!$R$3:$GC$3="予定"),日次管理!$R$4:$GC$34)</f>
        <v>0</v>
      </c>
      <c r="Y7" s="90">
        <f>SUMPRODUCT((日次管理!$R$1:$GC$1&lt;=$Y$3)*(日次管理!$F$4:$F$34=$A$7)*(日次管理!$R$2:$GC$2="実施完了")*(日次管理!$R$3:$GC$3="実績"),日次管理!$R$4:$GC$34)</f>
        <v>0</v>
      </c>
      <c r="Z7" s="144">
        <f>SUMPRODUCT((日次管理!$R$1:$GC$1&lt;=$Z$3)*(日次管理!$F$4:$F$34=$A$7)*(日次管理!$R$2:$GC$2="実施完了")*(日次管理!$R$3:$GC$3="予定"),日次管理!$R$4:$GC$34)</f>
        <v>0</v>
      </c>
      <c r="AA7" s="90">
        <f>SUMPRODUCT((日次管理!$R$1:$GC$1&lt;=$AA$3)*(日次管理!$F$4:$F$34=$A$7)*(日次管理!$R$2:$GC$2="実施完了")*(日次管理!$R$3:$GC$3="実績"),日次管理!$R$4:$GC$34)</f>
        <v>0</v>
      </c>
      <c r="AB7" s="144">
        <f>SUMPRODUCT((日次管理!$R$1:$GC$1&lt;=$AB$3)*(日次管理!$F$4:$F$34=$A$7)*(日次管理!$R$2:$GC$2="実施完了")*(日次管理!$R$3:$GC$3="予定"),日次管理!$R$4:$GC$34)</f>
        <v>0</v>
      </c>
      <c r="AC7" s="90">
        <f>SUMPRODUCT((日次管理!$R$1:$GC$1&lt;=$AC$3)*(日次管理!$F$4:$F$34=$A$7)*(日次管理!$R$2:$GC$2="実施完了")*(日次管理!$R$3:$GC$3="実績"),日次管理!$R$4:$GC$34)</f>
        <v>0</v>
      </c>
      <c r="AD7" s="144">
        <f>SUMPRODUCT((日次管理!$R$1:$GC$1&lt;=$AD$3)*(日次管理!$F$4:$F$34=$A$7)*(日次管理!$R$2:$GC$2="実施完了")*(日次管理!$R$3:$GC$3="予定"),日次管理!$R$4:$GC$34)</f>
        <v>0</v>
      </c>
      <c r="AE7" s="90">
        <f>SUMPRODUCT((日次管理!$R$1:$GC$1&lt;=$AE$3)*(日次管理!$F$4:$F$34=$A$7)*(日次管理!$R$2:$GC$2="実施完了")*(日次管理!$R$3:$GC$3="実績"),日次管理!$R$4:$GC$34)</f>
        <v>0</v>
      </c>
      <c r="AF7" s="144">
        <f>SUMPRODUCT((日次管理!$R$1:$GC$1&lt;=$AF$3)*(日次管理!$F$4:$F$34=$A$7)*(日次管理!$R$2:$GC$2="実施完了")*(日次管理!$R$3:$GC$3="予定"),日次管理!$R$4:$GC$34)</f>
        <v>0</v>
      </c>
      <c r="AG7" s="90">
        <f>SUMPRODUCT((日次管理!$R$1:$GC$1&lt;=$AG$3)*(日次管理!$F$4:$F$34=$A$7)*(日次管理!$R$2:$GC$2="実施完了")*(日次管理!$R$3:$GC$3="実績"),日次管理!$R$4:$GC$34)</f>
        <v>0</v>
      </c>
      <c r="AH7" s="144">
        <f>SUMPRODUCT((日次管理!$R$1:$GC$1&lt;=$AH$3)*(日次管理!$F$4:$F$34=$A$7)*(日次管理!$R$2:$GC$2="実施完了")*(日次管理!$R$3:$GC$3="予定"),日次管理!$R$4:$GC$34)</f>
        <v>0</v>
      </c>
      <c r="AI7" s="90">
        <f>SUMPRODUCT((日次管理!$R$1:$GC$1&lt;=$AI$3)*(日次管理!$F$4:$F$34=$A$7)*(日次管理!$R$2:$GC$2="実施完了")*(日次管理!$R$3:$GC$3="実績"),日次管理!$R$4:$GC$34)</f>
        <v>0</v>
      </c>
      <c r="AJ7" s="144">
        <f>SUMPRODUCT((日次管理!$R$1:$GC$1&lt;=$AJ$3)*(日次管理!$F$4:$F$34=$A$7)*(日次管理!$R$2:$GC$2="実施完了")*(日次管理!$R$3:$GC$3="予定"),日次管理!$R$4:$GC$34)</f>
        <v>0</v>
      </c>
      <c r="AK7" s="90">
        <f>SUMPRODUCT((日次管理!$R$1:$GC$1&lt;=$AK$3)*(日次管理!$F$4:$F$34=$A$7)*(日次管理!$R$2:$GC$2="実施完了")*(日次管理!$R$3:$GC$3="実績"),日次管理!$R$4:$GC$34)</f>
        <v>0</v>
      </c>
      <c r="AL7" s="144">
        <f>SUMPRODUCT((日次管理!$R$1:$GC$1&lt;=$AL$3)*(日次管理!$F$4:$F$34=$A$7)*(日次管理!$R$2:$GC$2="実施完了")*(日次管理!$R$3:$GC$3="予定"),日次管理!$R$4:$GC$34)</f>
        <v>0</v>
      </c>
      <c r="AM7" s="90">
        <f>SUMPRODUCT((日次管理!$R$1:$GC$1&lt;=$AM$3)*(日次管理!$F$4:$F$34=$A$7)*(日次管理!$R$2:$GC$2="実施完了")*(日次管理!$R$3:$GC$3="実績"),日次管理!$R$4:$GC$34)</f>
        <v>0</v>
      </c>
      <c r="AN7" s="144">
        <f>SUMPRODUCT((日次管理!$R$1:$GC$1&lt;=$AN$3)*(日次管理!$F$4:$F$34=$A$7)*(日次管理!$R$2:$GC$2="実施完了")*(日次管理!$R$3:$GC$3="予定"),日次管理!$R$4:$GC$34)</f>
        <v>0</v>
      </c>
      <c r="AO7" s="90">
        <f>SUMPRODUCT((日次管理!$R$1:$GC$1&lt;=$AO$3)*(日次管理!$F$4:$F$34=$A$7)*(日次管理!$R$2:$GC$2="実施完了")*(日次管理!$R$3:$GC$3="実績"),日次管理!$R$4:$GC$34)</f>
        <v>0</v>
      </c>
      <c r="AP7" s="144">
        <f>SUMPRODUCT((日次管理!$R$1:$GC$1&lt;=$AP$3)*(日次管理!$F$4:$F$34=$A$7)*(日次管理!$R$2:$GC$2="実施完了")*(日次管理!$R$3:$GC$3="予定"),日次管理!$R$4:$GC$34)</f>
        <v>0</v>
      </c>
      <c r="AQ7" s="90">
        <f>SUMPRODUCT((日次管理!$R$1:$GC$1&lt;=$AQ$3)*(日次管理!$F$4:$F$34=$A$7)*(日次管理!$R$2:$GC$2="実施完了")*(日次管理!$R$3:$GC$3="実績"),日次管理!$R$4:$GC$34)</f>
        <v>0</v>
      </c>
      <c r="AR7" s="144">
        <f>SUMPRODUCT((日次管理!$R$1:$GC$1&lt;=$AR$3)*(日次管理!$F$4:$F$34=$A$7)*(日次管理!$R$2:$GC$2="実施完了")*(日次管理!$R$3:$GC$3="予定"),日次管理!$R$4:$GC$34)</f>
        <v>0</v>
      </c>
      <c r="AS7" s="90">
        <f>SUMPRODUCT((日次管理!$R$1:$GC$1&lt;=$AS$3)*(日次管理!$F$4:$F$34=$A$7)*(日次管理!$R$2:$GC$2="実施完了")*(日次管理!$R$3:$GC$3="実績"),日次管理!$R$4:$GC$34)</f>
        <v>0</v>
      </c>
      <c r="AT7" s="144">
        <f>SUMPRODUCT((日次管理!$R$1:$GC$1&lt;=$AT$3)*(日次管理!$F$4:$F$34=$A$7)*(日次管理!$R$2:$GC$2="実施完了")*(日次管理!$R$3:$GC$3="予定"),日次管理!$R$4:$GC$34)</f>
        <v>0</v>
      </c>
      <c r="AU7" s="90">
        <f>SUMPRODUCT((日次管理!$R$1:$GC$1&lt;=$AU$3)*(日次管理!$F$4:$F$34=$A$7)*(日次管理!$R$2:$GC$2="実施完了")*(日次管理!$R$3:$GC$3="実績"),日次管理!$R$4:$GC$34)</f>
        <v>0</v>
      </c>
      <c r="AV7" s="144">
        <f>SUMPRODUCT((日次管理!$R$1:$GC$1&lt;=$AV$3)*(日次管理!$F$4:$F$34=$A$7)*(日次管理!$R$2:$GC$2="実施完了")*(日次管理!$R$3:$GC$3="予定"),日次管理!$R$4:$GC$34)</f>
        <v>0</v>
      </c>
      <c r="AW7" s="90">
        <f>SUMPRODUCT((日次管理!$R$1:$GC$1&lt;=$AW$3)*(日次管理!$F$4:$F$34=$A$7)*(日次管理!$R$2:$GC$2="実施完了")*(日次管理!$R$3:$GC$3="実績"),日次管理!$R$4:$GC$34)</f>
        <v>0</v>
      </c>
      <c r="AX7" s="144">
        <f>SUMPRODUCT((日次管理!$R$1:$GC$1&lt;=$AX$3)*(日次管理!$F$4:$F$34=$A$7)*(日次管理!$R$2:$GC$2="実施完了")*(日次管理!$R$3:$GC$3="予定"),日次管理!$R$4:$GC$34)</f>
        <v>0</v>
      </c>
      <c r="AY7" s="90">
        <f>SUMPRODUCT((日次管理!$R$1:$GC$1&lt;=$AY$3)*(日次管理!$F$4:$F$34=$A$7)*(日次管理!$R$2:$GC$2="実施完了")*(日次管理!$R$3:$GC$3="実績"),日次管理!$R$4:$GC$34)</f>
        <v>0</v>
      </c>
      <c r="AZ7" s="144">
        <f>SUMPRODUCT((日次管理!$R$1:$GC$1&lt;=$AZ$3)*(日次管理!$F$4:$F$34=$A$7)*(日次管理!$R$2:$GC$2="実施完了")*(日次管理!$R$3:$GC$3="予定"),日次管理!$R$4:$GC$34)</f>
        <v>11</v>
      </c>
      <c r="BA7" s="90">
        <f>SUMPRODUCT((日次管理!$R$1:$GC$1&lt;=$BA$3)*(日次管理!$F$4:$F$34=$A$7)*(日次管理!$R$2:$GC$2="実施完了")*(日次管理!$R$3:$GC$3="実績"),日次管理!$R$4:$GC$34)</f>
        <v>11</v>
      </c>
      <c r="BB7" s="144">
        <f>SUMPRODUCT((日次管理!$R$1:$GC$1&lt;=$BB$3)*(日次管理!$F$4:$F$34=$A$7)*(日次管理!$R$2:$GC$2="実施完了")*(日次管理!$R$3:$GC$3="予定"),日次管理!$R$4:$GC$34)</f>
        <v>11</v>
      </c>
      <c r="BC7" s="90">
        <f>SUMPRODUCT((日次管理!$R$1:$GC$1&lt;=$BC$3)*(日次管理!$F$4:$F$34=$A$7)*(日次管理!$R$2:$GC$2="実施完了")*(日次管理!$R$3:$GC$3="実績"),日次管理!$R$4:$GC$34)</f>
        <v>11</v>
      </c>
      <c r="BD7" s="144">
        <f>SUMPRODUCT((日次管理!$R$1:$GC$1&lt;=$BD$3)*(日次管理!$F$4:$F$34=$A$7)*(日次管理!$R$2:$GC$2="実施完了")*(日次管理!$R$3:$GC$3="予定"),日次管理!$R$4:$GC$34)</f>
        <v>11</v>
      </c>
      <c r="BE7" s="90">
        <f>SUMPRODUCT((日次管理!$R$1:$GC$1&lt;=$BE$3)*(日次管理!$F$4:$F$34=$A$7)*(日次管理!$R$2:$GC$2="実施完了")*(日次管理!$R$3:$GC$3="実績"),日次管理!$R$4:$GC$34)</f>
        <v>11</v>
      </c>
      <c r="BF7" s="144">
        <f>SUMPRODUCT((日次管理!$R$1:$GC$1&lt;=$BF$3)*(日次管理!$F$4:$F$34=$A$7)*(日次管理!$R$2:$GC$2="実施完了")*(日次管理!$R$3:$GC$3="予定"),日次管理!$R$4:$GC$34)</f>
        <v>11</v>
      </c>
      <c r="BG7" s="90">
        <f>SUMPRODUCT((日次管理!$R$1:$GC$1&lt;=$BG$3)*(日次管理!$F$4:$F$34=$A$7)*(日次管理!$R$2:$GC$2="実施完了")*(日次管理!$R$3:$GC$3="実績"),日次管理!$R$4:$GC$34)</f>
        <v>11</v>
      </c>
      <c r="BH7" s="144">
        <f>SUMPRODUCT((日次管理!$R$1:$GC$1&lt;=$BH$3)*(日次管理!$F$4:$F$34=$A$7)*(日次管理!$R$2:$GC$2="実施完了")*(日次管理!$R$3:$GC$3="予定"),日次管理!$R$4:$GC$34)</f>
        <v>11</v>
      </c>
      <c r="BI7" s="90">
        <f>SUMPRODUCT((日次管理!$R$1:$GC$1&lt;=$BI$3)*(日次管理!$F$4:$F$34=$A$7)*(日次管理!$R$2:$GC$2="実施完了")*(日次管理!$R$3:$GC$3="実績"),日次管理!$R$4:$GC$34)</f>
        <v>11</v>
      </c>
      <c r="BJ7" s="144">
        <f>SUMPRODUCT((日次管理!$R$1:$GC$1&lt;=$BJ$3)*(日次管理!$F$4:$F$34=$A$7)*(日次管理!$R$2:$GC$2="実施完了")*(日次管理!$R$3:$GC$3="予定"),日次管理!$R$4:$GC$34)</f>
        <v>34</v>
      </c>
      <c r="BK7" s="90">
        <f>SUMPRODUCT((日次管理!$R$1:$GC$1&lt;=$BK$3)*(日次管理!$F$4:$F$34=$A$7)*(日次管理!$R$2:$GC$2="実施完了")*(日次管理!$R$3:$GC$3="実績"),日次管理!$R$4:$GC$34)</f>
        <v>11</v>
      </c>
      <c r="BL7" s="144">
        <f>SUMPRODUCT((日次管理!$R$1:$GC$1&lt;=$BL$3)*(日次管理!$F$4:$F$34=$A$7)*(日次管理!$R$2:$GC$2="実施完了")*(日次管理!$R$3:$GC$3="予定"),日次管理!$R$4:$GC$34)</f>
        <v>34</v>
      </c>
      <c r="BM7" s="90">
        <f>SUMPRODUCT((日次管理!$R$1:$GC$1&lt;=$BM$3)*(日次管理!$F$4:$F$34=$A$7)*(日次管理!$R$2:$GC$2="実施完了")*(日次管理!$R$3:$GC$3="実績"),日次管理!$R$4:$GC$34)</f>
        <v>11</v>
      </c>
      <c r="BN7" s="144">
        <f>SUMPRODUCT((日次管理!$R$1:$GC$1&lt;=$BN$3)*(日次管理!$F$4:$F$34=$A$7)*(日次管理!$R$2:$GC$2="実施完了")*(日次管理!$R$3:$GC$3="予定"),日次管理!$R$4:$GC$34)</f>
        <v>34</v>
      </c>
      <c r="BO7" s="90">
        <f>SUMPRODUCT((日次管理!$R$1:$GC$1&lt;=$BO$3)*(日次管理!$F$4:$F$34=$A$7)*(日次管理!$R$2:$GC$2="実施完了")*(日次管理!$R$3:$GC$3="実績"),日次管理!$R$4:$GC$34)</f>
        <v>11</v>
      </c>
      <c r="BP7" s="144">
        <f>SUMPRODUCT((日次管理!$R$1:$GC$1&lt;=$BP$3)*(日次管理!$F$4:$F$34=$A$7)*(日次管理!$R$2:$GC$2="実施完了")*(日次管理!$R$3:$GC$3="予定"),日次管理!$R$4:$GC$34)</f>
        <v>34</v>
      </c>
      <c r="BQ7" s="90">
        <f>SUMPRODUCT((日次管理!$R$1:$GC$1&lt;=$BQ$3)*(日次管理!$F$4:$F$34=$A$7)*(日次管理!$R$2:$GC$2="実施完了")*(日次管理!$R$3:$GC$3="実績"),日次管理!$R$4:$GC$34)</f>
        <v>11</v>
      </c>
      <c r="BR7" s="144">
        <f>SUMPRODUCT((日次管理!$R$1:$GC$1&lt;=$BR$3)*(日次管理!$F$4:$F$34=$A$7)*(日次管理!$R$2:$GC$2="実施完了")*(日次管理!$R$3:$GC$3="予定"),日次管理!$R$4:$GC$34)</f>
        <v>34</v>
      </c>
      <c r="BS7" s="90">
        <f>SUMPRODUCT((日次管理!$R$1:$GC$1&lt;=$BS$3)*(日次管理!$F$4:$F$34=$A$7)*(日次管理!$R$2:$GC$2="実施完了")*(日次管理!$R$3:$GC$3="実績"),日次管理!$R$4:$GC$34)</f>
        <v>11</v>
      </c>
      <c r="BT7" s="144">
        <f>SUMPRODUCT((日次管理!$R$1:$GC$1&lt;=$BT$3)*(日次管理!$F$4:$F$34=$A$7)*(日次管理!$R$2:$GC$2="実施完了")*(日次管理!$R$3:$GC$3="予定"),日次管理!$R$4:$GC$34)</f>
        <v>34</v>
      </c>
      <c r="BU7" s="90">
        <f>SUMPRODUCT((日次管理!$R$1:$GC$1&lt;=$BU$3)*(日次管理!$F$4:$F$34=$A$7)*(日次管理!$R$2:$GC$2="実施完了")*(日次管理!$R$3:$GC$3="実績"),日次管理!$R$4:$GC$34)</f>
        <v>11</v>
      </c>
      <c r="BV7" s="144">
        <f>SUMPRODUCT((日次管理!$R$1:$GC$1&lt;=$BV$3)*(日次管理!$F$4:$F$34=$A$7)*(日次管理!$R$2:$GC$2="実施完了")*(日次管理!$R$3:$GC$3="予定"),日次管理!$R$4:$GC$34)</f>
        <v>34</v>
      </c>
      <c r="BW7" s="90">
        <f>SUMPRODUCT((日次管理!$R$1:$GC$1&lt;=$BW$3)*(日次管理!$F$4:$F$34=$A$7)*(日次管理!$R$2:$GC$2="実施完了")*(日次管理!$R$3:$GC$3="実績"),日次管理!$R$4:$GC$34)</f>
        <v>11</v>
      </c>
      <c r="BX7" s="144">
        <f>SUMPRODUCT((日次管理!$R$1:$GC$1&lt;=$BX$3)*(日次管理!$F$4:$F$34=$A$7)*(日次管理!$R$2:$GC$2="実施完了")*(日次管理!$R$3:$GC$3="予定"),日次管理!$R$4:$GC$34)</f>
        <v>41</v>
      </c>
      <c r="BY7" s="90">
        <f>SUMPRODUCT((日次管理!$R$1:$GC$1&lt;=$BY$3)*(日次管理!$F$4:$F$34=$A$7)*(日次管理!$R$2:$GC$2="実施完了")*(日次管理!$R$3:$GC$3="実績"),日次管理!$R$4:$GC$34)</f>
        <v>11</v>
      </c>
      <c r="BZ7" s="144">
        <f>SUMPRODUCT((日次管理!$R$1:$GC$1&lt;=$BZ$3)*(日次管理!$F$4:$F$34=$A$7)*(日次管理!$R$2:$GC$2="実施完了")*(日次管理!$R$3:$GC$3="予定"),日次管理!$R$4:$GC$34)</f>
        <v>53</v>
      </c>
      <c r="CA7" s="90">
        <f>SUMPRODUCT((日次管理!$R$1:$GC$1&lt;=$CA$3)*(日次管理!$F$4:$F$34=$A$7)*(日次管理!$R$2:$GC$2="実施完了")*(日次管理!$R$3:$GC$3="実績"),日次管理!$R$4:$GC$34)</f>
        <v>11</v>
      </c>
      <c r="CB7" s="144">
        <f>SUMPRODUCT((日次管理!$R$1:$GC$1&lt;=$CB$3)*(日次管理!$F$4:$F$34=$A$7)*(日次管理!$R$2:$GC$2="実施完了")*(日次管理!$R$3:$GC$3="予定"),日次管理!$R$4:$GC$34)</f>
        <v>53</v>
      </c>
      <c r="CC7" s="90">
        <f>SUMPRODUCT((日次管理!$R$1:$GC$1&lt;=$CC$3)*(日次管理!$F$4:$F$34=$A$7)*(日次管理!$R$2:$GC$2="実施完了")*(日次管理!$R$3:$GC$3="実績"),日次管理!$R$4:$GC$34)</f>
        <v>11</v>
      </c>
      <c r="CD7" s="144">
        <f>SUMPRODUCT((日次管理!$R$1:$GC$1&lt;=$CD$3)*(日次管理!$F$4:$F$34=$A$7)*(日次管理!$R$2:$GC$2="実施完了")*(日次管理!$R$3:$GC$3="予定"),日次管理!$R$4:$GC$34)</f>
        <v>53</v>
      </c>
      <c r="CE7" s="90">
        <f>SUMPRODUCT((日次管理!$R$1:$GC$1&lt;=$CE$3)*(日次管理!$F$4:$F$34=$A$7)*(日次管理!$R$2:$GC$2="実施完了")*(日次管理!$R$3:$GC$3="実績"),日次管理!$R$4:$GC$34)</f>
        <v>11</v>
      </c>
      <c r="CF7" s="144">
        <f>SUMPRODUCT((日次管理!$R$1:$GC$1&lt;=$CF$3)*(日次管理!$F$4:$F$34=$A$7)*(日次管理!$R$2:$GC$2="実施完了")*(日次管理!$R$3:$GC$3="予定"),日次管理!$R$4:$GC$34)</f>
        <v>53</v>
      </c>
      <c r="CG7" s="90">
        <f>SUMPRODUCT((日次管理!$R$1:$GC$1&lt;=$CG$3)*(日次管理!$F$4:$F$34=$A$7)*(日次管理!$R$2:$GC$2="実施完了")*(日次管理!$R$3:$GC$3="実績"),日次管理!$R$4:$GC$34)</f>
        <v>11</v>
      </c>
      <c r="CH7" s="145">
        <f ca="1">SUMPRODUCT(($A$3- WEEKDAY($A$3) + 6 =$B$3:$CG$3)*("実績"=$B$4:$CG$4),$B$7:$CG$7)/SUMPRODUCT(($A$3- WEEKDAY($A$3) + 6 =$B$3:$CG$3)*("予定"=$B$4:$CG$4),$B$7:$CG$7)</f>
        <v>1</v>
      </c>
      <c r="CI7" s="146">
        <f>$CG$7/$CF$7</f>
        <v>0.20754716981132076</v>
      </c>
    </row>
    <row r="8" spans="1:87" ht="20.100000000000001" customHeight="1">
      <c r="A8" s="139" t="s">
        <v>145</v>
      </c>
      <c r="B8" s="140">
        <f>SUMPRODUCT((日次管理!$R$1:$GC$1&lt;=$B$3)*(日次管理!$F$4:$F$34=$A$8)*(日次管理!$R$2:$GC$2="実施完了")*(日次管理!$R$3:$GC$3="予定"),日次管理!$R$4:$GC$34)</f>
        <v>0</v>
      </c>
      <c r="C8" s="89">
        <f>SUMPRODUCT((日次管理!$R$1:$GC$1&lt;=$C$3)*(日次管理!$F$4:$F$34=$A$8)*(日次管理!$R$2:$GC$2="実施完了")*(日次管理!$R$3:$GC$3="実績"),日次管理!$R$4:$GC$34)</f>
        <v>0</v>
      </c>
      <c r="D8" s="140">
        <f>SUMPRODUCT((日次管理!$R$1:$GC$1&lt;=$D$3)*(日次管理!$F$4:$F$34=$A$8)*(日次管理!$R$2:$GC$2="実施完了")*(日次管理!$R$3:$GC$3="予定"),日次管理!$R$4:$GC$34)</f>
        <v>0</v>
      </c>
      <c r="E8" s="89">
        <f>SUMPRODUCT((日次管理!$R$1:$GC$1&lt;=$E$3)*(日次管理!$F$4:$F$34=$A$8)*(日次管理!$R$2:$GC$2="実施完了")*(日次管理!$R$3:$GC$3="実績"),日次管理!$R$4:$GC$34)</f>
        <v>0</v>
      </c>
      <c r="F8" s="140">
        <f>SUMPRODUCT((日次管理!$R$1:$GC$1&lt;=$F$3)*(日次管理!$F$4:$F$34=$A$8)*(日次管理!$R$2:$GC$2="実施完了")*(日次管理!$R$3:$GC$3="予定"),日次管理!$R$4:$GC$34)</f>
        <v>26</v>
      </c>
      <c r="G8" s="89">
        <f>SUMPRODUCT((日次管理!$R$1:$GC$1&lt;=$G$3)*(日次管理!$F$4:$F$34=$A$8)*(日次管理!$R$2:$GC$2="実施完了")*(日次管理!$R$3:$GC$3="実績"),日次管理!$R$4:$GC$34)</f>
        <v>26</v>
      </c>
      <c r="H8" s="140">
        <f>SUMPRODUCT((日次管理!$R$1:$GC$1&lt;=$H$3)*(日次管理!$F$4:$F$34=$A$8)*(日次管理!$R$2:$GC$2="実施完了")*(日次管理!$R$3:$GC$3="予定"),日次管理!$R$4:$GC$34)</f>
        <v>26</v>
      </c>
      <c r="I8" s="89">
        <f>SUMPRODUCT((日次管理!$R$1:$GC$1&lt;=$I$3)*(日次管理!$F$4:$F$34=$A$8)*(日次管理!$R$2:$GC$2="実施完了")*(日次管理!$R$3:$GC$3="実績"),日次管理!$R$4:$GC$34)</f>
        <v>26</v>
      </c>
      <c r="J8" s="140">
        <f>SUMPRODUCT((日次管理!$R$1:$GC$1&lt;=$J$3)*(日次管理!$F$4:$F$34=$A$8)*(日次管理!$R$2:$GC$2="実施完了")*(日次管理!$R$3:$GC$3="予定"),日次管理!$R$4:$GC$34)</f>
        <v>26</v>
      </c>
      <c r="K8" s="89">
        <f>SUMPRODUCT((日次管理!$R$1:$GC$1&lt;=$K$3)*(日次管理!$F$4:$F$34=$A$8)*(日次管理!$R$2:$GC$2="実施完了")*(日次管理!$R$3:$GC$3="実績"),日次管理!$R$4:$GC$34)</f>
        <v>26</v>
      </c>
      <c r="L8" s="140">
        <f>SUMPRODUCT((日次管理!$R$1:$GC$1&lt;=$L$3)*(日次管理!$F$4:$F$34=$A$8)*(日次管理!$R$2:$GC$2="実施完了")*(日次管理!$R$3:$GC$3="予定"),日次管理!$R$4:$GC$34)</f>
        <v>26</v>
      </c>
      <c r="M8" s="89">
        <f>SUMPRODUCT((日次管理!$R$1:$GC$1&lt;=$M$3)*(日次管理!$F$4:$F$34=$A$8)*(日次管理!$R$2:$GC$2="実施完了")*(日次管理!$R$3:$GC$3="実績"),日次管理!$R$4:$GC$34)</f>
        <v>26</v>
      </c>
      <c r="N8" s="140">
        <f>SUMPRODUCT((日次管理!$R$1:$GC$1&lt;=$N$3)*(日次管理!$F$4:$F$34=$A$8)*(日次管理!$R$2:$GC$2="実施完了")*(日次管理!$R$3:$GC$3="予定"),日次管理!$R$4:$GC$34)</f>
        <v>26</v>
      </c>
      <c r="O8" s="89">
        <f>SUMPRODUCT((日次管理!$R$1:$GC$1&lt;=$O$3)*(日次管理!$F$4:$F$34=$A$8)*(日次管理!$R$2:$GC$2="実施完了")*(日次管理!$R$3:$GC$3="実績"),日次管理!$R$4:$GC$34)</f>
        <v>26</v>
      </c>
      <c r="P8" s="140">
        <f>SUMPRODUCT((日次管理!$R$1:$GC$1&lt;=$P$3)*(日次管理!$F$4:$F$34=$A$8)*(日次管理!$R$2:$GC$2="実施完了")*(日次管理!$R$3:$GC$3="予定"),日次管理!$R$4:$GC$34)</f>
        <v>26</v>
      </c>
      <c r="Q8" s="89">
        <f>SUMPRODUCT((日次管理!$R$1:$GC$1&lt;=$Q$3)*(日次管理!$F$4:$F$34=$A$8)*(日次管理!$R$2:$GC$2="実施完了")*(日次管理!$R$3:$GC$3="実績"),日次管理!$R$4:$GC$34)</f>
        <v>26</v>
      </c>
      <c r="R8" s="140">
        <f>SUMPRODUCT((日次管理!$R$1:$GC$1&lt;=$R$3)*(日次管理!$F$4:$F$34=$A$8)*(日次管理!$R$2:$GC$2="実施完了")*(日次管理!$R$3:$GC$3="予定"),日次管理!$R$4:$GC$34)</f>
        <v>26</v>
      </c>
      <c r="S8" s="89">
        <f>SUMPRODUCT((日次管理!$R$1:$GC$1&lt;=$S$3)*(日次管理!$F$4:$F$34=$A$8)*(日次管理!$R$2:$GC$2="実施完了")*(日次管理!$R$3:$GC$3="実績"),日次管理!$R$4:$GC$34)</f>
        <v>26</v>
      </c>
      <c r="T8" s="140">
        <f>SUMPRODUCT((日次管理!$R$1:$GC$1&lt;=$T$3)*(日次管理!$F$4:$F$34=$A$8)*(日次管理!$R$2:$GC$2="実施完了")*(日次管理!$R$3:$GC$3="予定"),日次管理!$R$4:$GC$34)</f>
        <v>26</v>
      </c>
      <c r="U8" s="89">
        <f>SUMPRODUCT((日次管理!$R$1:$GC$1&lt;=$U$3)*(日次管理!$F$4:$F$34=$A$8)*(日次管理!$R$2:$GC$2="実施完了")*(日次管理!$R$3:$GC$3="実績"),日次管理!$R$4:$GC$34)</f>
        <v>26</v>
      </c>
      <c r="V8" s="140">
        <f>SUMPRODUCT((日次管理!$R$1:$GC$1&lt;=$V$3)*(日次管理!$F$4:$F$34=$A$8)*(日次管理!$R$2:$GC$2="実施完了")*(日次管理!$R$3:$GC$3="予定"),日次管理!$R$4:$GC$34)</f>
        <v>26</v>
      </c>
      <c r="W8" s="89">
        <f>SUMPRODUCT((日次管理!$R$1:$GC$1&lt;=$W$3)*(日次管理!$F$4:$F$34=$A$8)*(日次管理!$R$2:$GC$2="実施完了")*(日次管理!$R$3:$GC$3="実績"),日次管理!$R$4:$GC$34)</f>
        <v>26</v>
      </c>
      <c r="X8" s="140">
        <f>SUMPRODUCT((日次管理!$R$1:$GC$1&lt;=$X$3)*(日次管理!$F$4:$F$34=$A$8)*(日次管理!$R$2:$GC$2="実施完了")*(日次管理!$R$3:$GC$3="予定"),日次管理!$R$4:$GC$34)</f>
        <v>26</v>
      </c>
      <c r="Y8" s="89">
        <f>SUMPRODUCT((日次管理!$R$1:$GC$1&lt;=$Y$3)*(日次管理!$F$4:$F$34=$A$8)*(日次管理!$R$2:$GC$2="実施完了")*(日次管理!$R$3:$GC$3="実績"),日次管理!$R$4:$GC$34)</f>
        <v>26</v>
      </c>
      <c r="Z8" s="140">
        <f>SUMPRODUCT((日次管理!$R$1:$GC$1&lt;=$Z$3)*(日次管理!$F$4:$F$34=$A$8)*(日次管理!$R$2:$GC$2="実施完了")*(日次管理!$R$3:$GC$3="予定"),日次管理!$R$4:$GC$34)</f>
        <v>26</v>
      </c>
      <c r="AA8" s="89">
        <f>SUMPRODUCT((日次管理!$R$1:$GC$1&lt;=$AA$3)*(日次管理!$F$4:$F$34=$A$8)*(日次管理!$R$2:$GC$2="実施完了")*(日次管理!$R$3:$GC$3="実績"),日次管理!$R$4:$GC$34)</f>
        <v>26</v>
      </c>
      <c r="AB8" s="140">
        <f>SUMPRODUCT((日次管理!$R$1:$GC$1&lt;=$AB$3)*(日次管理!$F$4:$F$34=$A$8)*(日次管理!$R$2:$GC$2="実施完了")*(日次管理!$R$3:$GC$3="予定"),日次管理!$R$4:$GC$34)</f>
        <v>26</v>
      </c>
      <c r="AC8" s="89">
        <f>SUMPRODUCT((日次管理!$R$1:$GC$1&lt;=$AC$3)*(日次管理!$F$4:$F$34=$A$8)*(日次管理!$R$2:$GC$2="実施完了")*(日次管理!$R$3:$GC$3="実績"),日次管理!$R$4:$GC$34)</f>
        <v>26</v>
      </c>
      <c r="AD8" s="140">
        <f>SUMPRODUCT((日次管理!$R$1:$GC$1&lt;=$AD$3)*(日次管理!$F$4:$F$34=$A$8)*(日次管理!$R$2:$GC$2="実施完了")*(日次管理!$R$3:$GC$3="予定"),日次管理!$R$4:$GC$34)</f>
        <v>26</v>
      </c>
      <c r="AE8" s="89">
        <f>SUMPRODUCT((日次管理!$R$1:$GC$1&lt;=$AE$3)*(日次管理!$F$4:$F$34=$A$8)*(日次管理!$R$2:$GC$2="実施完了")*(日次管理!$R$3:$GC$3="実績"),日次管理!$R$4:$GC$34)</f>
        <v>26</v>
      </c>
      <c r="AF8" s="140">
        <f>SUMPRODUCT((日次管理!$R$1:$GC$1&lt;=$AF$3)*(日次管理!$F$4:$F$34=$A$8)*(日次管理!$R$2:$GC$2="実施完了")*(日次管理!$R$3:$GC$3="予定"),日次管理!$R$4:$GC$34)</f>
        <v>26</v>
      </c>
      <c r="AG8" s="89">
        <f>SUMPRODUCT((日次管理!$R$1:$GC$1&lt;=$AG$3)*(日次管理!$F$4:$F$34=$A$8)*(日次管理!$R$2:$GC$2="実施完了")*(日次管理!$R$3:$GC$3="実績"),日次管理!$R$4:$GC$34)</f>
        <v>26</v>
      </c>
      <c r="AH8" s="140">
        <f>SUMPRODUCT((日次管理!$R$1:$GC$1&lt;=$AH$3)*(日次管理!$F$4:$F$34=$A$8)*(日次管理!$R$2:$GC$2="実施完了")*(日次管理!$R$3:$GC$3="予定"),日次管理!$R$4:$GC$34)</f>
        <v>26</v>
      </c>
      <c r="AI8" s="89">
        <f>SUMPRODUCT((日次管理!$R$1:$GC$1&lt;=$AI$3)*(日次管理!$F$4:$F$34=$A$8)*(日次管理!$R$2:$GC$2="実施完了")*(日次管理!$R$3:$GC$3="実績"),日次管理!$R$4:$GC$34)</f>
        <v>26</v>
      </c>
      <c r="AJ8" s="140">
        <f>SUMPRODUCT((日次管理!$R$1:$GC$1&lt;=$AJ$3)*(日次管理!$F$4:$F$34=$A$8)*(日次管理!$R$2:$GC$2="実施完了")*(日次管理!$R$3:$GC$3="予定"),日次管理!$R$4:$GC$34)</f>
        <v>26</v>
      </c>
      <c r="AK8" s="89">
        <f>SUMPRODUCT((日次管理!$R$1:$GC$1&lt;=$AK$3)*(日次管理!$F$4:$F$34=$A$8)*(日次管理!$R$2:$GC$2="実施完了")*(日次管理!$R$3:$GC$3="実績"),日次管理!$R$4:$GC$34)</f>
        <v>26</v>
      </c>
      <c r="AL8" s="140">
        <f>SUMPRODUCT((日次管理!$R$1:$GC$1&lt;=$AL$3)*(日次管理!$F$4:$F$34=$A$8)*(日次管理!$R$2:$GC$2="実施完了")*(日次管理!$R$3:$GC$3="予定"),日次管理!$R$4:$GC$34)</f>
        <v>82</v>
      </c>
      <c r="AM8" s="89">
        <f>SUMPRODUCT((日次管理!$R$1:$GC$1&lt;=$AM$3)*(日次管理!$F$4:$F$34=$A$8)*(日次管理!$R$2:$GC$2="実施完了")*(日次管理!$R$3:$GC$3="実績"),日次管理!$R$4:$GC$34)</f>
        <v>82</v>
      </c>
      <c r="AN8" s="140">
        <f>SUMPRODUCT((日次管理!$R$1:$GC$1&lt;=$AN$3)*(日次管理!$F$4:$F$34=$A$8)*(日次管理!$R$2:$GC$2="実施完了")*(日次管理!$R$3:$GC$3="予定"),日次管理!$R$4:$GC$34)</f>
        <v>82</v>
      </c>
      <c r="AO8" s="89">
        <f>SUMPRODUCT((日次管理!$R$1:$GC$1&lt;=$AO$3)*(日次管理!$F$4:$F$34=$A$8)*(日次管理!$R$2:$GC$2="実施完了")*(日次管理!$R$3:$GC$3="実績"),日次管理!$R$4:$GC$34)</f>
        <v>82</v>
      </c>
      <c r="AP8" s="140">
        <f>SUMPRODUCT((日次管理!$R$1:$GC$1&lt;=$AP$3)*(日次管理!$F$4:$F$34=$A$8)*(日次管理!$R$2:$GC$2="実施完了")*(日次管理!$R$3:$GC$3="予定"),日次管理!$R$4:$GC$34)</f>
        <v>82</v>
      </c>
      <c r="AQ8" s="89">
        <f>SUMPRODUCT((日次管理!$R$1:$GC$1&lt;=$AQ$3)*(日次管理!$F$4:$F$34=$A$8)*(日次管理!$R$2:$GC$2="実施完了")*(日次管理!$R$3:$GC$3="実績"),日次管理!$R$4:$GC$34)</f>
        <v>82</v>
      </c>
      <c r="AR8" s="140">
        <f>SUMPRODUCT((日次管理!$R$1:$GC$1&lt;=$AR$3)*(日次管理!$F$4:$F$34=$A$8)*(日次管理!$R$2:$GC$2="実施完了")*(日次管理!$R$3:$GC$3="予定"),日次管理!$R$4:$GC$34)</f>
        <v>82</v>
      </c>
      <c r="AS8" s="89">
        <f>SUMPRODUCT((日次管理!$R$1:$GC$1&lt;=$AS$3)*(日次管理!$F$4:$F$34=$A$8)*(日次管理!$R$2:$GC$2="実施完了")*(日次管理!$R$3:$GC$3="実績"),日次管理!$R$4:$GC$34)</f>
        <v>93</v>
      </c>
      <c r="AT8" s="140">
        <f>SUMPRODUCT((日次管理!$R$1:$GC$1&lt;=$AT$3)*(日次管理!$F$4:$F$34=$A$8)*(日次管理!$R$2:$GC$2="実施完了")*(日次管理!$R$3:$GC$3="予定"),日次管理!$R$4:$GC$34)</f>
        <v>82</v>
      </c>
      <c r="AU8" s="89">
        <f>SUMPRODUCT((日次管理!$R$1:$GC$1&lt;=$AU$3)*(日次管理!$F$4:$F$34=$A$8)*(日次管理!$R$2:$GC$2="実施完了")*(日次管理!$R$3:$GC$3="実績"),日次管理!$R$4:$GC$34)</f>
        <v>105</v>
      </c>
      <c r="AV8" s="140">
        <f>SUMPRODUCT((日次管理!$R$1:$GC$1&lt;=$AV$3)*(日次管理!$F$4:$F$34=$A$8)*(日次管理!$R$2:$GC$2="実施完了")*(日次管理!$R$3:$GC$3="予定"),日次管理!$R$4:$GC$34)</f>
        <v>82</v>
      </c>
      <c r="AW8" s="89">
        <f>SUMPRODUCT((日次管理!$R$1:$GC$1&lt;=$AW$3)*(日次管理!$F$4:$F$34=$A$8)*(日次管理!$R$2:$GC$2="実施完了")*(日次管理!$R$3:$GC$3="実績"),日次管理!$R$4:$GC$34)</f>
        <v>105</v>
      </c>
      <c r="AX8" s="140">
        <f>SUMPRODUCT((日次管理!$R$1:$GC$1&lt;=$AX$3)*(日次管理!$F$4:$F$34=$A$8)*(日次管理!$R$2:$GC$2="実施完了")*(日次管理!$R$3:$GC$3="予定"),日次管理!$R$4:$GC$34)</f>
        <v>82</v>
      </c>
      <c r="AY8" s="89">
        <f>SUMPRODUCT((日次管理!$R$1:$GC$1&lt;=$AY$3)*(日次管理!$F$4:$F$34=$A$8)*(日次管理!$R$2:$GC$2="実施完了")*(日次管理!$R$3:$GC$3="実績"),日次管理!$R$4:$GC$34)</f>
        <v>105</v>
      </c>
      <c r="AZ8" s="140">
        <f>SUMPRODUCT((日次管理!$R$1:$GC$1&lt;=$AZ$3)*(日次管理!$F$4:$F$34=$A$8)*(日次管理!$R$2:$GC$2="実施完了")*(日次管理!$R$3:$GC$3="予定"),日次管理!$R$4:$GC$34)</f>
        <v>143</v>
      </c>
      <c r="BA8" s="89">
        <f>SUMPRODUCT((日次管理!$R$1:$GC$1&lt;=$BA$3)*(日次管理!$F$4:$F$34=$A$8)*(日次管理!$R$2:$GC$2="実施完了")*(日次管理!$R$3:$GC$3="実績"),日次管理!$R$4:$GC$34)</f>
        <v>105</v>
      </c>
      <c r="BB8" s="140">
        <f>SUMPRODUCT((日次管理!$R$1:$GC$1&lt;=$BB$3)*(日次管理!$F$4:$F$34=$A$8)*(日次管理!$R$2:$GC$2="実施完了")*(日次管理!$R$3:$GC$3="予定"),日次管理!$R$4:$GC$34)</f>
        <v>143</v>
      </c>
      <c r="BC8" s="89">
        <f>SUMPRODUCT((日次管理!$R$1:$GC$1&lt;=$BC$3)*(日次管理!$F$4:$F$34=$A$8)*(日次管理!$R$2:$GC$2="実施完了")*(日次管理!$R$3:$GC$3="実績"),日次管理!$R$4:$GC$34)</f>
        <v>105</v>
      </c>
      <c r="BD8" s="140">
        <f>SUMPRODUCT((日次管理!$R$1:$GC$1&lt;=$BD$3)*(日次管理!$F$4:$F$34=$A$8)*(日次管理!$R$2:$GC$2="実施完了")*(日次管理!$R$3:$GC$3="予定"),日次管理!$R$4:$GC$34)</f>
        <v>143</v>
      </c>
      <c r="BE8" s="89">
        <f>SUMPRODUCT((日次管理!$R$1:$GC$1&lt;=$BE$3)*(日次管理!$F$4:$F$34=$A$8)*(日次管理!$R$2:$GC$2="実施完了")*(日次管理!$R$3:$GC$3="実績"),日次管理!$R$4:$GC$34)</f>
        <v>105</v>
      </c>
      <c r="BF8" s="140">
        <f>SUMPRODUCT((日次管理!$R$1:$GC$1&lt;=$BF$3)*(日次管理!$F$4:$F$34=$A$8)*(日次管理!$R$2:$GC$2="実施完了")*(日次管理!$R$3:$GC$3="予定"),日次管理!$R$4:$GC$34)</f>
        <v>166</v>
      </c>
      <c r="BG8" s="89">
        <f>SUMPRODUCT((日次管理!$R$1:$GC$1&lt;=$BG$3)*(日次管理!$F$4:$F$34=$A$8)*(日次管理!$R$2:$GC$2="実施完了")*(日次管理!$R$3:$GC$3="実績"),日次管理!$R$4:$GC$34)</f>
        <v>105</v>
      </c>
      <c r="BH8" s="140">
        <f>SUMPRODUCT((日次管理!$R$1:$GC$1&lt;=$BH$3)*(日次管理!$F$4:$F$34=$A$8)*(日次管理!$R$2:$GC$2="実施完了")*(日次管理!$R$3:$GC$3="予定"),日次管理!$R$4:$GC$34)</f>
        <v>166</v>
      </c>
      <c r="BI8" s="89">
        <f>SUMPRODUCT((日次管理!$R$1:$GC$1&lt;=$BI$3)*(日次管理!$F$4:$F$34=$A$8)*(日次管理!$R$2:$GC$2="実施完了")*(日次管理!$R$3:$GC$3="実績"),日次管理!$R$4:$GC$34)</f>
        <v>105</v>
      </c>
      <c r="BJ8" s="140">
        <f>SUMPRODUCT((日次管理!$R$1:$GC$1&lt;=$BJ$3)*(日次管理!$F$4:$F$34=$A$8)*(日次管理!$R$2:$GC$2="実施完了")*(日次管理!$R$3:$GC$3="予定"),日次管理!$R$4:$GC$34)</f>
        <v>166</v>
      </c>
      <c r="BK8" s="89">
        <f>SUMPRODUCT((日次管理!$R$1:$GC$1&lt;=$BK$3)*(日次管理!$F$4:$F$34=$A$8)*(日次管理!$R$2:$GC$2="実施完了")*(日次管理!$R$3:$GC$3="実績"),日次管理!$R$4:$GC$34)</f>
        <v>105</v>
      </c>
      <c r="BL8" s="140">
        <f>SUMPRODUCT((日次管理!$R$1:$GC$1&lt;=$BL$3)*(日次管理!$F$4:$F$34=$A$8)*(日次管理!$R$2:$GC$2="実施完了")*(日次管理!$R$3:$GC$3="予定"),日次管理!$R$4:$GC$34)</f>
        <v>166</v>
      </c>
      <c r="BM8" s="89">
        <f>SUMPRODUCT((日次管理!$R$1:$GC$1&lt;=$BM$3)*(日次管理!$F$4:$F$34=$A$8)*(日次管理!$R$2:$GC$2="実施完了")*(日次管理!$R$3:$GC$3="実績"),日次管理!$R$4:$GC$34)</f>
        <v>105</v>
      </c>
      <c r="BN8" s="140">
        <f>SUMPRODUCT((日次管理!$R$1:$GC$1&lt;=$BN$3)*(日次管理!$F$4:$F$34=$A$8)*(日次管理!$R$2:$GC$2="実施完了")*(日次管理!$R$3:$GC$3="予定"),日次管理!$R$4:$GC$34)</f>
        <v>166</v>
      </c>
      <c r="BO8" s="89">
        <f>SUMPRODUCT((日次管理!$R$1:$GC$1&lt;=$BO$3)*(日次管理!$F$4:$F$34=$A$8)*(日次管理!$R$2:$GC$2="実施完了")*(日次管理!$R$3:$GC$3="実績"),日次管理!$R$4:$GC$34)</f>
        <v>105</v>
      </c>
      <c r="BP8" s="140">
        <f>SUMPRODUCT((日次管理!$R$1:$GC$1&lt;=$BP$3)*(日次管理!$F$4:$F$34=$A$8)*(日次管理!$R$2:$GC$2="実施完了")*(日次管理!$R$3:$GC$3="予定"),日次管理!$R$4:$GC$34)</f>
        <v>166</v>
      </c>
      <c r="BQ8" s="89">
        <f>SUMPRODUCT((日次管理!$R$1:$GC$1&lt;=$BQ$3)*(日次管理!$F$4:$F$34=$A$8)*(日次管理!$R$2:$GC$2="実施完了")*(日次管理!$R$3:$GC$3="実績"),日次管理!$R$4:$GC$34)</f>
        <v>105</v>
      </c>
      <c r="BR8" s="140">
        <f>SUMPRODUCT((日次管理!$R$1:$GC$1&lt;=$BR$3)*(日次管理!$F$4:$F$34=$A$8)*(日次管理!$R$2:$GC$2="実施完了")*(日次管理!$R$3:$GC$3="予定"),日次管理!$R$4:$GC$34)</f>
        <v>166</v>
      </c>
      <c r="BS8" s="89">
        <f>SUMPRODUCT((日次管理!$R$1:$GC$1&lt;=$BS$3)*(日次管理!$F$4:$F$34=$A$8)*(日次管理!$R$2:$GC$2="実施完了")*(日次管理!$R$3:$GC$3="実績"),日次管理!$R$4:$GC$34)</f>
        <v>105</v>
      </c>
      <c r="BT8" s="140">
        <f>SUMPRODUCT((日次管理!$R$1:$GC$1&lt;=$BT$3)*(日次管理!$F$4:$F$34=$A$8)*(日次管理!$R$2:$GC$2="実施完了")*(日次管理!$R$3:$GC$3="予定"),日次管理!$R$4:$GC$34)</f>
        <v>166</v>
      </c>
      <c r="BU8" s="89">
        <f>SUMPRODUCT((日次管理!$R$1:$GC$1&lt;=$BU$3)*(日次管理!$F$4:$F$34=$A$8)*(日次管理!$R$2:$GC$2="実施完了")*(日次管理!$R$3:$GC$3="実績"),日次管理!$R$4:$GC$34)</f>
        <v>105</v>
      </c>
      <c r="BV8" s="140">
        <f>SUMPRODUCT((日次管理!$R$1:$GC$1&lt;=$BV$3)*(日次管理!$F$4:$F$34=$A$8)*(日次管理!$R$2:$GC$2="実施完了")*(日次管理!$R$3:$GC$3="予定"),日次管理!$R$4:$GC$34)</f>
        <v>166</v>
      </c>
      <c r="BW8" s="89">
        <f>SUMPRODUCT((日次管理!$R$1:$GC$1&lt;=$BW$3)*(日次管理!$F$4:$F$34=$A$8)*(日次管理!$R$2:$GC$2="実施完了")*(日次管理!$R$3:$GC$3="実績"),日次管理!$R$4:$GC$34)</f>
        <v>105</v>
      </c>
      <c r="BX8" s="140">
        <f>SUMPRODUCT((日次管理!$R$1:$GC$1&lt;=$BX$3)*(日次管理!$F$4:$F$34=$A$8)*(日次管理!$R$2:$GC$2="実施完了")*(日次管理!$R$3:$GC$3="予定"),日次管理!$R$4:$GC$34)</f>
        <v>166</v>
      </c>
      <c r="BY8" s="89">
        <f>SUMPRODUCT((日次管理!$R$1:$GC$1&lt;=$BY$3)*(日次管理!$F$4:$F$34=$A$8)*(日次管理!$R$2:$GC$2="実施完了")*(日次管理!$R$3:$GC$3="実績"),日次管理!$R$4:$GC$34)</f>
        <v>105</v>
      </c>
      <c r="BZ8" s="140">
        <f>SUMPRODUCT((日次管理!$R$1:$GC$1&lt;=$BZ$3)*(日次管理!$F$4:$F$34=$A$8)*(日次管理!$R$2:$GC$2="実施完了")*(日次管理!$R$3:$GC$3="予定"),日次管理!$R$4:$GC$34)</f>
        <v>166</v>
      </c>
      <c r="CA8" s="89">
        <f>SUMPRODUCT((日次管理!$R$1:$GC$1&lt;=$CA$3)*(日次管理!$F$4:$F$34=$A$8)*(日次管理!$R$2:$GC$2="実施完了")*(日次管理!$R$3:$GC$3="実績"),日次管理!$R$4:$GC$34)</f>
        <v>105</v>
      </c>
      <c r="CB8" s="140">
        <f>SUMPRODUCT((日次管理!$R$1:$GC$1&lt;=$CB$3)*(日次管理!$F$4:$F$34=$A$8)*(日次管理!$R$2:$GC$2="実施完了")*(日次管理!$R$3:$GC$3="予定"),日次管理!$R$4:$GC$34)</f>
        <v>166</v>
      </c>
      <c r="CC8" s="89">
        <f>SUMPRODUCT((日次管理!$R$1:$GC$1&lt;=$CC$3)*(日次管理!$F$4:$F$34=$A$8)*(日次管理!$R$2:$GC$2="実施完了")*(日次管理!$R$3:$GC$3="実績"),日次管理!$R$4:$GC$34)</f>
        <v>105</v>
      </c>
      <c r="CD8" s="140">
        <f>SUMPRODUCT((日次管理!$R$1:$GC$1&lt;=$CD$3)*(日次管理!$F$4:$F$34=$A$8)*(日次管理!$R$2:$GC$2="実施完了")*(日次管理!$R$3:$GC$3="予定"),日次管理!$R$4:$GC$34)</f>
        <v>166</v>
      </c>
      <c r="CE8" s="89">
        <f>SUMPRODUCT((日次管理!$R$1:$GC$1&lt;=$CE$3)*(日次管理!$F$4:$F$34=$A$8)*(日次管理!$R$2:$GC$2="実施完了")*(日次管理!$R$3:$GC$3="実績"),日次管理!$R$4:$GC$34)</f>
        <v>105</v>
      </c>
      <c r="CF8" s="140">
        <f>SUMPRODUCT((日次管理!$R$1:$GC$1&lt;=$CF$3)*(日次管理!$F$4:$F$34=$A$8)*(日次管理!$R$2:$GC$2="実施完了")*(日次管理!$R$3:$GC$3="予定"),日次管理!$R$4:$GC$34)</f>
        <v>166</v>
      </c>
      <c r="CG8" s="89">
        <f>SUMPRODUCT((日次管理!$R$1:$GC$1&lt;=$CG$3)*(日次管理!$F$4:$F$34=$A$8)*(日次管理!$R$2:$GC$2="実施完了")*(日次管理!$R$3:$GC$3="実績"),日次管理!$R$4:$GC$34)</f>
        <v>105</v>
      </c>
      <c r="CH8" s="141">
        <f ca="1">SUMPRODUCT(($A$3- WEEKDAY($A$3) + 6 =$B$3:$CG$3)*("実績"=$B$4:$CG$4),$B$8:$CG$8)/SUMPRODUCT(($A$3- WEEKDAY($A$3) + 6 =$B$3:$CG$3)*("予定"=$B$4:$CG$4),$B$8:$CG$8)</f>
        <v>0.73426573426573427</v>
      </c>
      <c r="CI8" s="142">
        <f>$CG$8/$CF$8</f>
        <v>0.63253012048192769</v>
      </c>
    </row>
    <row r="9" spans="1:87" ht="20.100000000000001" customHeight="1">
      <c r="A9" s="143" t="s">
        <v>117</v>
      </c>
      <c r="B9" s="144">
        <f>SUMPRODUCT((日次管理!$R$1:$GC$1&lt;=$B$3)*(日次管理!$F$4:$F$34=$A$9)*(日次管理!$R$2:$GC$2="実施完了")*(日次管理!$R$3:$GC$3="予定"),日次管理!$R$4:$GC$34)</f>
        <v>0</v>
      </c>
      <c r="C9" s="90">
        <f>SUMPRODUCT((日次管理!$R$1:$GC$1&lt;=$C$3)*(日次管理!$F$4:$F$34=$A$9)*(日次管理!$R$2:$GC$2="実施完了")*(日次管理!$R$3:$GC$3="実績"),日次管理!$R$4:$GC$34)</f>
        <v>0</v>
      </c>
      <c r="D9" s="144">
        <f>SUMPRODUCT((日次管理!$R$1:$GC$1&lt;=$D$3)*(日次管理!$F$4:$F$34=$A$9)*(日次管理!$R$2:$GC$2="実施完了")*(日次管理!$R$3:$GC$3="予定"),日次管理!$R$4:$GC$34)</f>
        <v>0</v>
      </c>
      <c r="E9" s="90">
        <f>SUMPRODUCT((日次管理!$R$1:$GC$1&lt;=$E$3)*(日次管理!$F$4:$F$34=$A$9)*(日次管理!$R$2:$GC$2="実施完了")*(日次管理!$R$3:$GC$3="実績"),日次管理!$R$4:$GC$34)</f>
        <v>0</v>
      </c>
      <c r="F9" s="144">
        <f>SUMPRODUCT((日次管理!$R$1:$GC$1&lt;=$F$3)*(日次管理!$F$4:$F$34=$A$9)*(日次管理!$R$2:$GC$2="実施完了")*(日次管理!$R$3:$GC$3="予定"),日次管理!$R$4:$GC$34)</f>
        <v>0</v>
      </c>
      <c r="G9" s="90">
        <f>SUMPRODUCT((日次管理!$R$1:$GC$1&lt;=$G$3)*(日次管理!$F$4:$F$34=$A$9)*(日次管理!$R$2:$GC$2="実施完了")*(日次管理!$R$3:$GC$3="実績"),日次管理!$R$4:$GC$34)</f>
        <v>0</v>
      </c>
      <c r="H9" s="144">
        <f>SUMPRODUCT((日次管理!$R$1:$GC$1&lt;=$H$3)*(日次管理!$F$4:$F$34=$A$9)*(日次管理!$R$2:$GC$2="実施完了")*(日次管理!$R$3:$GC$3="予定"),日次管理!$R$4:$GC$34)</f>
        <v>0</v>
      </c>
      <c r="I9" s="90">
        <f>SUMPRODUCT((日次管理!$R$1:$GC$1&lt;=$I$3)*(日次管理!$F$4:$F$34=$A$9)*(日次管理!$R$2:$GC$2="実施完了")*(日次管理!$R$3:$GC$3="実績"),日次管理!$R$4:$GC$34)</f>
        <v>0</v>
      </c>
      <c r="J9" s="144">
        <f>SUMPRODUCT((日次管理!$R$1:$GC$1&lt;=$J$3)*(日次管理!$F$4:$F$34=$A$9)*(日次管理!$R$2:$GC$2="実施完了")*(日次管理!$R$3:$GC$3="予定"),日次管理!$R$4:$GC$34)</f>
        <v>0</v>
      </c>
      <c r="K9" s="90">
        <f>SUMPRODUCT((日次管理!$R$1:$GC$1&lt;=$K$3)*(日次管理!$F$4:$F$34=$A$9)*(日次管理!$R$2:$GC$2="実施完了")*(日次管理!$R$3:$GC$3="実績"),日次管理!$R$4:$GC$34)</f>
        <v>0</v>
      </c>
      <c r="L9" s="144">
        <f>SUMPRODUCT((日次管理!$R$1:$GC$1&lt;=$L$3)*(日次管理!$F$4:$F$34=$A$9)*(日次管理!$R$2:$GC$2="実施完了")*(日次管理!$R$3:$GC$3="予定"),日次管理!$R$4:$GC$34)</f>
        <v>0</v>
      </c>
      <c r="M9" s="90">
        <f>SUMPRODUCT((日次管理!$R$1:$GC$1&lt;=$M$3)*(日次管理!$F$4:$F$34=$A$9)*(日次管理!$R$2:$GC$2="実施完了")*(日次管理!$R$3:$GC$3="実績"),日次管理!$R$4:$GC$34)</f>
        <v>0</v>
      </c>
      <c r="N9" s="144">
        <f>SUMPRODUCT((日次管理!$R$1:$GC$1&lt;=$N$3)*(日次管理!$F$4:$F$34=$A$9)*(日次管理!$R$2:$GC$2="実施完了")*(日次管理!$R$3:$GC$3="予定"),日次管理!$R$4:$GC$34)</f>
        <v>0</v>
      </c>
      <c r="O9" s="90">
        <f>SUMPRODUCT((日次管理!$R$1:$GC$1&lt;=$O$3)*(日次管理!$F$4:$F$34=$A$9)*(日次管理!$R$2:$GC$2="実施完了")*(日次管理!$R$3:$GC$3="実績"),日次管理!$R$4:$GC$34)</f>
        <v>0</v>
      </c>
      <c r="P9" s="144">
        <f>SUMPRODUCT((日次管理!$R$1:$GC$1&lt;=$P$3)*(日次管理!$F$4:$F$34=$A$9)*(日次管理!$R$2:$GC$2="実施完了")*(日次管理!$R$3:$GC$3="予定"),日次管理!$R$4:$GC$34)</f>
        <v>0</v>
      </c>
      <c r="Q9" s="90">
        <f>SUMPRODUCT((日次管理!$R$1:$GC$1&lt;=$Q$3)*(日次管理!$F$4:$F$34=$A$9)*(日次管理!$R$2:$GC$2="実施完了")*(日次管理!$R$3:$GC$3="実績"),日次管理!$R$4:$GC$34)</f>
        <v>0</v>
      </c>
      <c r="R9" s="144">
        <f>SUMPRODUCT((日次管理!$R$1:$GC$1&lt;=$R$3)*(日次管理!$F$4:$F$34=$A$9)*(日次管理!$R$2:$GC$2="実施完了")*(日次管理!$R$3:$GC$3="予定"),日次管理!$R$4:$GC$34)</f>
        <v>25</v>
      </c>
      <c r="S9" s="90">
        <f>SUMPRODUCT((日次管理!$R$1:$GC$1&lt;=$S$3)*(日次管理!$F$4:$F$34=$A$9)*(日次管理!$R$2:$GC$2="実施完了")*(日次管理!$R$3:$GC$3="実績"),日次管理!$R$4:$GC$34)</f>
        <v>25</v>
      </c>
      <c r="T9" s="144">
        <f>SUMPRODUCT((日次管理!$R$1:$GC$1&lt;=$T$3)*(日次管理!$F$4:$F$34=$A$9)*(日次管理!$R$2:$GC$2="実施完了")*(日次管理!$R$3:$GC$3="予定"),日次管理!$R$4:$GC$34)</f>
        <v>25</v>
      </c>
      <c r="U9" s="90">
        <f>SUMPRODUCT((日次管理!$R$1:$GC$1&lt;=$U$3)*(日次管理!$F$4:$F$34=$A$9)*(日次管理!$R$2:$GC$2="実施完了")*(日次管理!$R$3:$GC$3="実績"),日次管理!$R$4:$GC$34)</f>
        <v>25</v>
      </c>
      <c r="V9" s="144">
        <f>SUMPRODUCT((日次管理!$R$1:$GC$1&lt;=$V$3)*(日次管理!$F$4:$F$34=$A$9)*(日次管理!$R$2:$GC$2="実施完了")*(日次管理!$R$3:$GC$3="予定"),日次管理!$R$4:$GC$34)</f>
        <v>25</v>
      </c>
      <c r="W9" s="90">
        <f>SUMPRODUCT((日次管理!$R$1:$GC$1&lt;=$W$3)*(日次管理!$F$4:$F$34=$A$9)*(日次管理!$R$2:$GC$2="実施完了")*(日次管理!$R$3:$GC$3="実績"),日次管理!$R$4:$GC$34)</f>
        <v>25</v>
      </c>
      <c r="X9" s="144">
        <f>SUMPRODUCT((日次管理!$R$1:$GC$1&lt;=$X$3)*(日次管理!$F$4:$F$34=$A$9)*(日次管理!$R$2:$GC$2="実施完了")*(日次管理!$R$3:$GC$3="予定"),日次管理!$R$4:$GC$34)</f>
        <v>83</v>
      </c>
      <c r="Y9" s="90">
        <f>SUMPRODUCT((日次管理!$R$1:$GC$1&lt;=$Y$3)*(日次管理!$F$4:$F$34=$A$9)*(日次管理!$R$2:$GC$2="実施完了")*(日次管理!$R$3:$GC$3="実績"),日次管理!$R$4:$GC$34)</f>
        <v>59</v>
      </c>
      <c r="Z9" s="144">
        <f>SUMPRODUCT((日次管理!$R$1:$GC$1&lt;=$Z$3)*(日次管理!$F$4:$F$34=$A$9)*(日次管理!$R$2:$GC$2="実施完了")*(日次管理!$R$3:$GC$3="予定"),日次管理!$R$4:$GC$34)</f>
        <v>83</v>
      </c>
      <c r="AA9" s="90">
        <f>SUMPRODUCT((日次管理!$R$1:$GC$1&lt;=$AA$3)*(日次管理!$F$4:$F$34=$A$9)*(日次管理!$R$2:$GC$2="実施完了")*(日次管理!$R$3:$GC$3="実績"),日次管理!$R$4:$GC$34)</f>
        <v>59</v>
      </c>
      <c r="AB9" s="144">
        <f>SUMPRODUCT((日次管理!$R$1:$GC$1&lt;=$AB$3)*(日次管理!$F$4:$F$34=$A$9)*(日次管理!$R$2:$GC$2="実施完了")*(日次管理!$R$3:$GC$3="予定"),日次管理!$R$4:$GC$34)</f>
        <v>83</v>
      </c>
      <c r="AC9" s="90">
        <f>SUMPRODUCT((日次管理!$R$1:$GC$1&lt;=$AC$3)*(日次管理!$F$4:$F$34=$A$9)*(日次管理!$R$2:$GC$2="実施完了")*(日次管理!$R$3:$GC$3="実績"),日次管理!$R$4:$GC$34)</f>
        <v>59</v>
      </c>
      <c r="AD9" s="144">
        <f>SUMPRODUCT((日次管理!$R$1:$GC$1&lt;=$AD$3)*(日次管理!$F$4:$F$34=$A$9)*(日次管理!$R$2:$GC$2="実施完了")*(日次管理!$R$3:$GC$3="予定"),日次管理!$R$4:$GC$34)</f>
        <v>83</v>
      </c>
      <c r="AE9" s="90">
        <f>SUMPRODUCT((日次管理!$R$1:$GC$1&lt;=$AE$3)*(日次管理!$F$4:$F$34=$A$9)*(日次管理!$R$2:$GC$2="実施完了")*(日次管理!$R$3:$GC$3="実績"),日次管理!$R$4:$GC$34)</f>
        <v>59</v>
      </c>
      <c r="AF9" s="144">
        <f>SUMPRODUCT((日次管理!$R$1:$GC$1&lt;=$AF$3)*(日次管理!$F$4:$F$34=$A$9)*(日次管理!$R$2:$GC$2="実施完了")*(日次管理!$R$3:$GC$3="予定"),日次管理!$R$4:$GC$34)</f>
        <v>83</v>
      </c>
      <c r="AG9" s="90">
        <f>SUMPRODUCT((日次管理!$R$1:$GC$1&lt;=$AG$3)*(日次管理!$F$4:$F$34=$A$9)*(日次管理!$R$2:$GC$2="実施完了")*(日次管理!$R$3:$GC$3="実績"),日次管理!$R$4:$GC$34)</f>
        <v>59</v>
      </c>
      <c r="AH9" s="144">
        <f>SUMPRODUCT((日次管理!$R$1:$GC$1&lt;=$AH$3)*(日次管理!$F$4:$F$34=$A$9)*(日次管理!$R$2:$GC$2="実施完了")*(日次管理!$R$3:$GC$3="予定"),日次管理!$R$4:$GC$34)</f>
        <v>83</v>
      </c>
      <c r="AI9" s="90">
        <f>SUMPRODUCT((日次管理!$R$1:$GC$1&lt;=$AI$3)*(日次管理!$F$4:$F$34=$A$9)*(日次管理!$R$2:$GC$2="実施完了")*(日次管理!$R$3:$GC$3="実績"),日次管理!$R$4:$GC$34)</f>
        <v>59</v>
      </c>
      <c r="AJ9" s="144">
        <f>SUMPRODUCT((日次管理!$R$1:$GC$1&lt;=$AJ$3)*(日次管理!$F$4:$F$34=$A$9)*(日次管理!$R$2:$GC$2="実施完了")*(日次管理!$R$3:$GC$3="予定"),日次管理!$R$4:$GC$34)</f>
        <v>83</v>
      </c>
      <c r="AK9" s="90">
        <f>SUMPRODUCT((日次管理!$R$1:$GC$1&lt;=$AK$3)*(日次管理!$F$4:$F$34=$A$9)*(日次管理!$R$2:$GC$2="実施完了")*(日次管理!$R$3:$GC$3="実績"),日次管理!$R$4:$GC$34)</f>
        <v>64</v>
      </c>
      <c r="AL9" s="144">
        <f>SUMPRODUCT((日次管理!$R$1:$GC$1&lt;=$AL$3)*(日次管理!$F$4:$F$34=$A$9)*(日次管理!$R$2:$GC$2="実施完了")*(日次管理!$R$3:$GC$3="予定"),日次管理!$R$4:$GC$34)</f>
        <v>113</v>
      </c>
      <c r="AM9" s="90">
        <f>SUMPRODUCT((日次管理!$R$1:$GC$1&lt;=$AM$3)*(日次管理!$F$4:$F$34=$A$9)*(日次管理!$R$2:$GC$2="実施完了")*(日次管理!$R$3:$GC$3="実績"),日次管理!$R$4:$GC$34)</f>
        <v>96</v>
      </c>
      <c r="AN9" s="144">
        <f>SUMPRODUCT((日次管理!$R$1:$GC$1&lt;=$AN$3)*(日次管理!$F$4:$F$34=$A$9)*(日次管理!$R$2:$GC$2="実施完了")*(日次管理!$R$3:$GC$3="予定"),日次管理!$R$4:$GC$34)</f>
        <v>113</v>
      </c>
      <c r="AO9" s="90">
        <f>SUMPRODUCT((日次管理!$R$1:$GC$1&lt;=$AO$3)*(日次管理!$F$4:$F$34=$A$9)*(日次管理!$R$2:$GC$2="実施完了")*(日次管理!$R$3:$GC$3="実績"),日次管理!$R$4:$GC$34)</f>
        <v>96</v>
      </c>
      <c r="AP9" s="144">
        <f>SUMPRODUCT((日次管理!$R$1:$GC$1&lt;=$AP$3)*(日次管理!$F$4:$F$34=$A$9)*(日次管理!$R$2:$GC$2="実施完了")*(日次管理!$R$3:$GC$3="予定"),日次管理!$R$4:$GC$34)</f>
        <v>113</v>
      </c>
      <c r="AQ9" s="90">
        <f>SUMPRODUCT((日次管理!$R$1:$GC$1&lt;=$AQ$3)*(日次管理!$F$4:$F$34=$A$9)*(日次管理!$R$2:$GC$2="実施完了")*(日次管理!$R$3:$GC$3="実績"),日次管理!$R$4:$GC$34)</f>
        <v>96</v>
      </c>
      <c r="AR9" s="144">
        <f>SUMPRODUCT((日次管理!$R$1:$GC$1&lt;=$AR$3)*(日次管理!$F$4:$F$34=$A$9)*(日次管理!$R$2:$GC$2="実施完了")*(日次管理!$R$3:$GC$3="予定"),日次管理!$R$4:$GC$34)</f>
        <v>113</v>
      </c>
      <c r="AS9" s="90">
        <f>SUMPRODUCT((日次管理!$R$1:$GC$1&lt;=$AS$3)*(日次管理!$F$4:$F$34=$A$9)*(日次管理!$R$2:$GC$2="実施完了")*(日次管理!$R$3:$GC$3="実績"),日次管理!$R$4:$GC$34)</f>
        <v>96</v>
      </c>
      <c r="AT9" s="144">
        <f>SUMPRODUCT((日次管理!$R$1:$GC$1&lt;=$AT$3)*(日次管理!$F$4:$F$34=$A$9)*(日次管理!$R$2:$GC$2="実施完了")*(日次管理!$R$3:$GC$3="予定"),日次管理!$R$4:$GC$34)</f>
        <v>143</v>
      </c>
      <c r="AU9" s="90">
        <f>SUMPRODUCT((日次管理!$R$1:$GC$1&lt;=$AU$3)*(日次管理!$F$4:$F$34=$A$9)*(日次管理!$R$2:$GC$2="実施完了")*(日次管理!$R$3:$GC$3="実績"),日次管理!$R$4:$GC$34)</f>
        <v>126</v>
      </c>
      <c r="AV9" s="144">
        <f>SUMPRODUCT((日次管理!$R$1:$GC$1&lt;=$AV$3)*(日次管理!$F$4:$F$34=$A$9)*(日次管理!$R$2:$GC$2="実施完了")*(日次管理!$R$3:$GC$3="予定"),日次管理!$R$4:$GC$34)</f>
        <v>143</v>
      </c>
      <c r="AW9" s="90">
        <f>SUMPRODUCT((日次管理!$R$1:$GC$1&lt;=$AW$3)*(日次管理!$F$4:$F$34=$A$9)*(日次管理!$R$2:$GC$2="実施完了")*(日次管理!$R$3:$GC$3="実績"),日次管理!$R$4:$GC$34)</f>
        <v>126</v>
      </c>
      <c r="AX9" s="144">
        <f>SUMPRODUCT((日次管理!$R$1:$GC$1&lt;=$AX$3)*(日次管理!$F$4:$F$34=$A$9)*(日次管理!$R$2:$GC$2="実施完了")*(日次管理!$R$3:$GC$3="予定"),日次管理!$R$4:$GC$34)</f>
        <v>143</v>
      </c>
      <c r="AY9" s="90">
        <f>SUMPRODUCT((日次管理!$R$1:$GC$1&lt;=$AY$3)*(日次管理!$F$4:$F$34=$A$9)*(日次管理!$R$2:$GC$2="実施完了")*(日次管理!$R$3:$GC$3="実績"),日次管理!$R$4:$GC$34)</f>
        <v>126</v>
      </c>
      <c r="AZ9" s="144">
        <f>SUMPRODUCT((日次管理!$R$1:$GC$1&lt;=$AZ$3)*(日次管理!$F$4:$F$34=$A$9)*(日次管理!$R$2:$GC$2="実施完了")*(日次管理!$R$3:$GC$3="予定"),日次管理!$R$4:$GC$34)</f>
        <v>159</v>
      </c>
      <c r="BA9" s="90">
        <f>SUMPRODUCT((日次管理!$R$1:$GC$1&lt;=$BA$3)*(日次管理!$F$4:$F$34=$A$9)*(日次管理!$R$2:$GC$2="実施完了")*(日次管理!$R$3:$GC$3="実績"),日次管理!$R$4:$GC$34)</f>
        <v>147</v>
      </c>
      <c r="BB9" s="144">
        <f>SUMPRODUCT((日次管理!$R$1:$GC$1&lt;=$BB$3)*(日次管理!$F$4:$F$34=$A$9)*(日次管理!$R$2:$GC$2="実施完了")*(日次管理!$R$3:$GC$3="予定"),日次管理!$R$4:$GC$34)</f>
        <v>159</v>
      </c>
      <c r="BC9" s="90">
        <f>SUMPRODUCT((日次管理!$R$1:$GC$1&lt;=$BC$3)*(日次管理!$F$4:$F$34=$A$9)*(日次管理!$R$2:$GC$2="実施完了")*(日次管理!$R$3:$GC$3="実績"),日次管理!$R$4:$GC$34)</f>
        <v>147</v>
      </c>
      <c r="BD9" s="144">
        <f>SUMPRODUCT((日次管理!$R$1:$GC$1&lt;=$BD$3)*(日次管理!$F$4:$F$34=$A$9)*(日次管理!$R$2:$GC$2="実施完了")*(日次管理!$R$3:$GC$3="予定"),日次管理!$R$4:$GC$34)</f>
        <v>159</v>
      </c>
      <c r="BE9" s="90">
        <f>SUMPRODUCT((日次管理!$R$1:$GC$1&lt;=$BE$3)*(日次管理!$F$4:$F$34=$A$9)*(日次管理!$R$2:$GC$2="実施完了")*(日次管理!$R$3:$GC$3="実績"),日次管理!$R$4:$GC$34)</f>
        <v>147</v>
      </c>
      <c r="BF9" s="144">
        <f>SUMPRODUCT((日次管理!$R$1:$GC$1&lt;=$BF$3)*(日次管理!$F$4:$F$34=$A$9)*(日次管理!$R$2:$GC$2="実施完了")*(日次管理!$R$3:$GC$3="予定"),日次管理!$R$4:$GC$34)</f>
        <v>159</v>
      </c>
      <c r="BG9" s="90">
        <f>SUMPRODUCT((日次管理!$R$1:$GC$1&lt;=$BG$3)*(日次管理!$F$4:$F$34=$A$9)*(日次管理!$R$2:$GC$2="実施完了")*(日次管理!$R$3:$GC$3="実績"),日次管理!$R$4:$GC$34)</f>
        <v>147</v>
      </c>
      <c r="BH9" s="144">
        <f>SUMPRODUCT((日次管理!$R$1:$GC$1&lt;=$BH$3)*(日次管理!$F$4:$F$34=$A$9)*(日次管理!$R$2:$GC$2="実施完了")*(日次管理!$R$3:$GC$3="予定"),日次管理!$R$4:$GC$34)</f>
        <v>159</v>
      </c>
      <c r="BI9" s="90">
        <f>SUMPRODUCT((日次管理!$R$1:$GC$1&lt;=$BI$3)*(日次管理!$F$4:$F$34=$A$9)*(日次管理!$R$2:$GC$2="実施完了")*(日次管理!$R$3:$GC$3="実績"),日次管理!$R$4:$GC$34)</f>
        <v>147</v>
      </c>
      <c r="BJ9" s="144">
        <f>SUMPRODUCT((日次管理!$R$1:$GC$1&lt;=$BJ$3)*(日次管理!$F$4:$F$34=$A$9)*(日次管理!$R$2:$GC$2="実施完了")*(日次管理!$R$3:$GC$3="予定"),日次管理!$R$4:$GC$34)</f>
        <v>159</v>
      </c>
      <c r="BK9" s="90">
        <f>SUMPRODUCT((日次管理!$R$1:$GC$1&lt;=$BK$3)*(日次管理!$F$4:$F$34=$A$9)*(日次管理!$R$2:$GC$2="実施完了")*(日次管理!$R$3:$GC$3="実績"),日次管理!$R$4:$GC$34)</f>
        <v>147</v>
      </c>
      <c r="BL9" s="144">
        <f>SUMPRODUCT((日次管理!$R$1:$GC$1&lt;=$BL$3)*(日次管理!$F$4:$F$34=$A$9)*(日次管理!$R$2:$GC$2="実施完了")*(日次管理!$R$3:$GC$3="予定"),日次管理!$R$4:$GC$34)</f>
        <v>159</v>
      </c>
      <c r="BM9" s="90">
        <f>SUMPRODUCT((日次管理!$R$1:$GC$1&lt;=$BM$3)*(日次管理!$F$4:$F$34=$A$9)*(日次管理!$R$2:$GC$2="実施完了")*(日次管理!$R$3:$GC$3="実績"),日次管理!$R$4:$GC$34)</f>
        <v>147</v>
      </c>
      <c r="BN9" s="144">
        <f>SUMPRODUCT((日次管理!$R$1:$GC$1&lt;=$BN$3)*(日次管理!$F$4:$F$34=$A$9)*(日次管理!$R$2:$GC$2="実施完了")*(日次管理!$R$3:$GC$3="予定"),日次管理!$R$4:$GC$34)</f>
        <v>159</v>
      </c>
      <c r="BO9" s="90">
        <f>SUMPRODUCT((日次管理!$R$1:$GC$1&lt;=$BO$3)*(日次管理!$F$4:$F$34=$A$9)*(日次管理!$R$2:$GC$2="実施完了")*(日次管理!$R$3:$GC$3="実績"),日次管理!$R$4:$GC$34)</f>
        <v>147</v>
      </c>
      <c r="BP9" s="144">
        <f>SUMPRODUCT((日次管理!$R$1:$GC$1&lt;=$BP$3)*(日次管理!$F$4:$F$34=$A$9)*(日次管理!$R$2:$GC$2="実施完了")*(日次管理!$R$3:$GC$3="予定"),日次管理!$R$4:$GC$34)</f>
        <v>159</v>
      </c>
      <c r="BQ9" s="90">
        <f>SUMPRODUCT((日次管理!$R$1:$GC$1&lt;=$BQ$3)*(日次管理!$F$4:$F$34=$A$9)*(日次管理!$R$2:$GC$2="実施完了")*(日次管理!$R$3:$GC$3="実績"),日次管理!$R$4:$GC$34)</f>
        <v>147</v>
      </c>
      <c r="BR9" s="144">
        <f>SUMPRODUCT((日次管理!$R$1:$GC$1&lt;=$BR$3)*(日次管理!$F$4:$F$34=$A$9)*(日次管理!$R$2:$GC$2="実施完了")*(日次管理!$R$3:$GC$3="予定"),日次管理!$R$4:$GC$34)</f>
        <v>159</v>
      </c>
      <c r="BS9" s="90">
        <f>SUMPRODUCT((日次管理!$R$1:$GC$1&lt;=$BS$3)*(日次管理!$F$4:$F$34=$A$9)*(日次管理!$R$2:$GC$2="実施完了")*(日次管理!$R$3:$GC$3="実績"),日次管理!$R$4:$GC$34)</f>
        <v>147</v>
      </c>
      <c r="BT9" s="144">
        <f>SUMPRODUCT((日次管理!$R$1:$GC$1&lt;=$BT$3)*(日次管理!$F$4:$F$34=$A$9)*(日次管理!$R$2:$GC$2="実施完了")*(日次管理!$R$3:$GC$3="予定"),日次管理!$R$4:$GC$34)</f>
        <v>159</v>
      </c>
      <c r="BU9" s="90">
        <f>SUMPRODUCT((日次管理!$R$1:$GC$1&lt;=$BU$3)*(日次管理!$F$4:$F$34=$A$9)*(日次管理!$R$2:$GC$2="実施完了")*(日次管理!$R$3:$GC$3="実績"),日次管理!$R$4:$GC$34)</f>
        <v>147</v>
      </c>
      <c r="BV9" s="144">
        <f>SUMPRODUCT((日次管理!$R$1:$GC$1&lt;=$BV$3)*(日次管理!$F$4:$F$34=$A$9)*(日次管理!$R$2:$GC$2="実施完了")*(日次管理!$R$3:$GC$3="予定"),日次管理!$R$4:$GC$34)</f>
        <v>159</v>
      </c>
      <c r="BW9" s="90">
        <f>SUMPRODUCT((日次管理!$R$1:$GC$1&lt;=$BW$3)*(日次管理!$F$4:$F$34=$A$9)*(日次管理!$R$2:$GC$2="実施完了")*(日次管理!$R$3:$GC$3="実績"),日次管理!$R$4:$GC$34)</f>
        <v>147</v>
      </c>
      <c r="BX9" s="144">
        <f>SUMPRODUCT((日次管理!$R$1:$GC$1&lt;=$BX$3)*(日次管理!$F$4:$F$34=$A$9)*(日次管理!$R$2:$GC$2="実施完了")*(日次管理!$R$3:$GC$3="予定"),日次管理!$R$4:$GC$34)</f>
        <v>159</v>
      </c>
      <c r="BY9" s="90">
        <f>SUMPRODUCT((日次管理!$R$1:$GC$1&lt;=$BY$3)*(日次管理!$F$4:$F$34=$A$9)*(日次管理!$R$2:$GC$2="実施完了")*(日次管理!$R$3:$GC$3="実績"),日次管理!$R$4:$GC$34)</f>
        <v>147</v>
      </c>
      <c r="BZ9" s="144">
        <f>SUMPRODUCT((日次管理!$R$1:$GC$1&lt;=$BZ$3)*(日次管理!$F$4:$F$34=$A$9)*(日次管理!$R$2:$GC$2="実施完了")*(日次管理!$R$3:$GC$3="予定"),日次管理!$R$4:$GC$34)</f>
        <v>159</v>
      </c>
      <c r="CA9" s="90">
        <f>SUMPRODUCT((日次管理!$R$1:$GC$1&lt;=$CA$3)*(日次管理!$F$4:$F$34=$A$9)*(日次管理!$R$2:$GC$2="実施完了")*(日次管理!$R$3:$GC$3="実績"),日次管理!$R$4:$GC$34)</f>
        <v>147</v>
      </c>
      <c r="CB9" s="144">
        <f>SUMPRODUCT((日次管理!$R$1:$GC$1&lt;=$CB$3)*(日次管理!$F$4:$F$34=$A$9)*(日次管理!$R$2:$GC$2="実施完了")*(日次管理!$R$3:$GC$3="予定"),日次管理!$R$4:$GC$34)</f>
        <v>159</v>
      </c>
      <c r="CC9" s="90">
        <f>SUMPRODUCT((日次管理!$R$1:$GC$1&lt;=$CC$3)*(日次管理!$F$4:$F$34=$A$9)*(日次管理!$R$2:$GC$2="実施完了")*(日次管理!$R$3:$GC$3="実績"),日次管理!$R$4:$GC$34)</f>
        <v>147</v>
      </c>
      <c r="CD9" s="144">
        <f>SUMPRODUCT((日次管理!$R$1:$GC$1&lt;=$CD$3)*(日次管理!$F$4:$F$34=$A$9)*(日次管理!$R$2:$GC$2="実施完了")*(日次管理!$R$3:$GC$3="予定"),日次管理!$R$4:$GC$34)</f>
        <v>159</v>
      </c>
      <c r="CE9" s="90">
        <f>SUMPRODUCT((日次管理!$R$1:$GC$1&lt;=$CE$3)*(日次管理!$F$4:$F$34=$A$9)*(日次管理!$R$2:$GC$2="実施完了")*(日次管理!$R$3:$GC$3="実績"),日次管理!$R$4:$GC$34)</f>
        <v>147</v>
      </c>
      <c r="CF9" s="144">
        <f>SUMPRODUCT((日次管理!$R$1:$GC$1&lt;=$CF$3)*(日次管理!$F$4:$F$34=$A$9)*(日次管理!$R$2:$GC$2="実施完了")*(日次管理!$R$3:$GC$3="予定"),日次管理!$R$4:$GC$34)</f>
        <v>159</v>
      </c>
      <c r="CG9" s="90">
        <f>SUMPRODUCT((日次管理!$R$1:$GC$1&lt;=$CG$3)*(日次管理!$F$4:$F$34=$A$9)*(日次管理!$R$2:$GC$2="実施完了")*(日次管理!$R$3:$GC$3="実績"),日次管理!$R$4:$GC$34)</f>
        <v>147</v>
      </c>
      <c r="CH9" s="145">
        <f ca="1">SUMPRODUCT(($A$3- WEEKDAY($A$3) + 6 =$B$3:$CG$3)*("実績"=$B$4:$CG$4),$B$9:$CG$9)/SUMPRODUCT(($A$3- WEEKDAY($A$3) + 6 =$B$3:$CG$3)*("予定"=$B$4:$CG$4),$B$9:$CG$9)</f>
        <v>0.92452830188679247</v>
      </c>
      <c r="CI9" s="146">
        <f>$CG$9/$CF$9</f>
        <v>0.92452830188679247</v>
      </c>
    </row>
    <row r="10" spans="1:87" ht="20.100000000000001" customHeight="1">
      <c r="A10" s="139" t="s">
        <v>132</v>
      </c>
      <c r="B10" s="140">
        <f>SUMPRODUCT((日次管理!$R$1:$GC$1&lt;=$B$3)*(日次管理!$F$4:$F$34=$A$10)*(日次管理!$R$2:$GC$2="実施完了")*(日次管理!$R$3:$GC$3="予定"),日次管理!$R$4:$GC$34)</f>
        <v>0</v>
      </c>
      <c r="C10" s="89">
        <f>SUMPRODUCT((日次管理!$R$1:$GC$1&lt;=$C$3)*(日次管理!$F$4:$F$34=$A$10)*(日次管理!$R$2:$GC$2="実施完了")*(日次管理!$R$3:$GC$3="実績"),日次管理!$R$4:$GC$34)</f>
        <v>0</v>
      </c>
      <c r="D10" s="140">
        <f>SUMPRODUCT((日次管理!$R$1:$GC$1&lt;=$D$3)*(日次管理!$F$4:$F$34=$A$10)*(日次管理!$R$2:$GC$2="実施完了")*(日次管理!$R$3:$GC$3="予定"),日次管理!$R$4:$GC$34)</f>
        <v>0</v>
      </c>
      <c r="E10" s="89">
        <f>SUMPRODUCT((日次管理!$R$1:$GC$1&lt;=$E$3)*(日次管理!$F$4:$F$34=$A$10)*(日次管理!$R$2:$GC$2="実施完了")*(日次管理!$R$3:$GC$3="実績"),日次管理!$R$4:$GC$34)</f>
        <v>0</v>
      </c>
      <c r="F10" s="140">
        <f>SUMPRODUCT((日次管理!$R$1:$GC$1&lt;=$F$3)*(日次管理!$F$4:$F$34=$A$10)*(日次管理!$R$2:$GC$2="実施完了")*(日次管理!$R$3:$GC$3="予定"),日次管理!$R$4:$GC$34)</f>
        <v>0</v>
      </c>
      <c r="G10" s="89">
        <f>SUMPRODUCT((日次管理!$R$1:$GC$1&lt;=$G$3)*(日次管理!$F$4:$F$34=$A$10)*(日次管理!$R$2:$GC$2="実施完了")*(日次管理!$R$3:$GC$3="実績"),日次管理!$R$4:$GC$34)</f>
        <v>0</v>
      </c>
      <c r="H10" s="140">
        <f>SUMPRODUCT((日次管理!$R$1:$GC$1&lt;=$H$3)*(日次管理!$F$4:$F$34=$A$10)*(日次管理!$R$2:$GC$2="実施完了")*(日次管理!$R$3:$GC$3="予定"),日次管理!$R$4:$GC$34)</f>
        <v>0</v>
      </c>
      <c r="I10" s="89">
        <f>SUMPRODUCT((日次管理!$R$1:$GC$1&lt;=$I$3)*(日次管理!$F$4:$F$34=$A$10)*(日次管理!$R$2:$GC$2="実施完了")*(日次管理!$R$3:$GC$3="実績"),日次管理!$R$4:$GC$34)</f>
        <v>0</v>
      </c>
      <c r="J10" s="140">
        <f>SUMPRODUCT((日次管理!$R$1:$GC$1&lt;=$J$3)*(日次管理!$F$4:$F$34=$A$10)*(日次管理!$R$2:$GC$2="実施完了")*(日次管理!$R$3:$GC$3="予定"),日次管理!$R$4:$GC$34)</f>
        <v>25</v>
      </c>
      <c r="K10" s="89">
        <f>SUMPRODUCT((日次管理!$R$1:$GC$1&lt;=$K$3)*(日次管理!$F$4:$F$34=$A$10)*(日次管理!$R$2:$GC$2="実施完了")*(日次管理!$R$3:$GC$3="実績"),日次管理!$R$4:$GC$34)</f>
        <v>25</v>
      </c>
      <c r="L10" s="140">
        <f>SUMPRODUCT((日次管理!$R$1:$GC$1&lt;=$L$3)*(日次管理!$F$4:$F$34=$A$10)*(日次管理!$R$2:$GC$2="実施完了")*(日次管理!$R$3:$GC$3="予定"),日次管理!$R$4:$GC$34)</f>
        <v>25</v>
      </c>
      <c r="M10" s="89">
        <f>SUMPRODUCT((日次管理!$R$1:$GC$1&lt;=$M$3)*(日次管理!$F$4:$F$34=$A$10)*(日次管理!$R$2:$GC$2="実施完了")*(日次管理!$R$3:$GC$3="実績"),日次管理!$R$4:$GC$34)</f>
        <v>25</v>
      </c>
      <c r="N10" s="140">
        <f>SUMPRODUCT((日次管理!$R$1:$GC$1&lt;=$N$3)*(日次管理!$F$4:$F$34=$A$10)*(日次管理!$R$2:$GC$2="実施完了")*(日次管理!$R$3:$GC$3="予定"),日次管理!$R$4:$GC$34)</f>
        <v>25</v>
      </c>
      <c r="O10" s="89">
        <f>SUMPRODUCT((日次管理!$R$1:$GC$1&lt;=$O$3)*(日次管理!$F$4:$F$34=$A$10)*(日次管理!$R$2:$GC$2="実施完了")*(日次管理!$R$3:$GC$3="実績"),日次管理!$R$4:$GC$34)</f>
        <v>25</v>
      </c>
      <c r="P10" s="140">
        <f>SUMPRODUCT((日次管理!$R$1:$GC$1&lt;=$P$3)*(日次管理!$F$4:$F$34=$A$10)*(日次管理!$R$2:$GC$2="実施完了")*(日次管理!$R$3:$GC$3="予定"),日次管理!$R$4:$GC$34)</f>
        <v>25</v>
      </c>
      <c r="Q10" s="89">
        <f>SUMPRODUCT((日次管理!$R$1:$GC$1&lt;=$Q$3)*(日次管理!$F$4:$F$34=$A$10)*(日次管理!$R$2:$GC$2="実施完了")*(日次管理!$R$3:$GC$3="実績"),日次管理!$R$4:$GC$34)</f>
        <v>30</v>
      </c>
      <c r="R10" s="140">
        <f>SUMPRODUCT((日次管理!$R$1:$GC$1&lt;=$R$3)*(日次管理!$F$4:$F$34=$A$10)*(日次管理!$R$2:$GC$2="実施完了")*(日次管理!$R$3:$GC$3="予定"),日次管理!$R$4:$GC$34)</f>
        <v>25</v>
      </c>
      <c r="S10" s="89">
        <f>SUMPRODUCT((日次管理!$R$1:$GC$1&lt;=$S$3)*(日次管理!$F$4:$F$34=$A$10)*(日次管理!$R$2:$GC$2="実施完了")*(日次管理!$R$3:$GC$3="実績"),日次管理!$R$4:$GC$34)</f>
        <v>38</v>
      </c>
      <c r="T10" s="140">
        <f>SUMPRODUCT((日次管理!$R$1:$GC$1&lt;=$T$3)*(日次管理!$F$4:$F$34=$A$10)*(日次管理!$R$2:$GC$2="実施完了")*(日次管理!$R$3:$GC$3="予定"),日次管理!$R$4:$GC$34)</f>
        <v>25</v>
      </c>
      <c r="U10" s="89">
        <f>SUMPRODUCT((日次管理!$R$1:$GC$1&lt;=$U$3)*(日次管理!$F$4:$F$34=$A$10)*(日次管理!$R$2:$GC$2="実施完了")*(日次管理!$R$3:$GC$3="実績"),日次管理!$R$4:$GC$34)</f>
        <v>40</v>
      </c>
      <c r="V10" s="140">
        <f>SUMPRODUCT((日次管理!$R$1:$GC$1&lt;=$V$3)*(日次管理!$F$4:$F$34=$A$10)*(日次管理!$R$2:$GC$2="実施完了")*(日次管理!$R$3:$GC$3="予定"),日次管理!$R$4:$GC$34)</f>
        <v>25</v>
      </c>
      <c r="W10" s="89">
        <f>SUMPRODUCT((日次管理!$R$1:$GC$1&lt;=$W$3)*(日次管理!$F$4:$F$34=$A$10)*(日次管理!$R$2:$GC$2="実施完了")*(日次管理!$R$3:$GC$3="実績"),日次管理!$R$4:$GC$34)</f>
        <v>40</v>
      </c>
      <c r="X10" s="140">
        <f>SUMPRODUCT((日次管理!$R$1:$GC$1&lt;=$X$3)*(日次管理!$F$4:$F$34=$A$10)*(日次管理!$R$2:$GC$2="実施完了")*(日次管理!$R$3:$GC$3="予定"),日次管理!$R$4:$GC$34)</f>
        <v>44</v>
      </c>
      <c r="Y10" s="89">
        <f>SUMPRODUCT((日次管理!$R$1:$GC$1&lt;=$Y$3)*(日次管理!$F$4:$F$34=$A$10)*(日次管理!$R$2:$GC$2="実施完了")*(日次管理!$R$3:$GC$3="実績"),日次管理!$R$4:$GC$34)</f>
        <v>40</v>
      </c>
      <c r="Z10" s="140">
        <f>SUMPRODUCT((日次管理!$R$1:$GC$1&lt;=$Z$3)*(日次管理!$F$4:$F$34=$A$10)*(日次管理!$R$2:$GC$2="実施完了")*(日次管理!$R$3:$GC$3="予定"),日次管理!$R$4:$GC$34)</f>
        <v>44</v>
      </c>
      <c r="AA10" s="89">
        <f>SUMPRODUCT((日次管理!$R$1:$GC$1&lt;=$AA$3)*(日次管理!$F$4:$F$34=$A$10)*(日次管理!$R$2:$GC$2="実施完了")*(日次管理!$R$3:$GC$3="実績"),日次管理!$R$4:$GC$34)</f>
        <v>40</v>
      </c>
      <c r="AB10" s="140">
        <f>SUMPRODUCT((日次管理!$R$1:$GC$1&lt;=$AB$3)*(日次管理!$F$4:$F$34=$A$10)*(日次管理!$R$2:$GC$2="実施完了")*(日次管理!$R$3:$GC$3="予定"),日次管理!$R$4:$GC$34)</f>
        <v>44</v>
      </c>
      <c r="AC10" s="89">
        <f>SUMPRODUCT((日次管理!$R$1:$GC$1&lt;=$AC$3)*(日次管理!$F$4:$F$34=$A$10)*(日次管理!$R$2:$GC$2="実施完了")*(日次管理!$R$3:$GC$3="実績"),日次管理!$R$4:$GC$34)</f>
        <v>40</v>
      </c>
      <c r="AD10" s="140">
        <f>SUMPRODUCT((日次管理!$R$1:$GC$1&lt;=$AD$3)*(日次管理!$F$4:$F$34=$A$10)*(日次管理!$R$2:$GC$2="実施完了")*(日次管理!$R$3:$GC$3="予定"),日次管理!$R$4:$GC$34)</f>
        <v>44</v>
      </c>
      <c r="AE10" s="89">
        <f>SUMPRODUCT((日次管理!$R$1:$GC$1&lt;=$AE$3)*(日次管理!$F$4:$F$34=$A$10)*(日次管理!$R$2:$GC$2="実施完了")*(日次管理!$R$3:$GC$3="実績"),日次管理!$R$4:$GC$34)</f>
        <v>118</v>
      </c>
      <c r="AF10" s="140">
        <f>SUMPRODUCT((日次管理!$R$1:$GC$1&lt;=$AF$3)*(日次管理!$F$4:$F$34=$A$10)*(日次管理!$R$2:$GC$2="実施完了")*(日次管理!$R$3:$GC$3="予定"),日次管理!$R$4:$GC$34)</f>
        <v>44</v>
      </c>
      <c r="AG10" s="89">
        <f>SUMPRODUCT((日次管理!$R$1:$GC$1&lt;=$AG$3)*(日次管理!$F$4:$F$34=$A$10)*(日次管理!$R$2:$GC$2="実施完了")*(日次管理!$R$3:$GC$3="実績"),日次管理!$R$4:$GC$34)</f>
        <v>118</v>
      </c>
      <c r="AH10" s="140">
        <f>SUMPRODUCT((日次管理!$R$1:$GC$1&lt;=$AH$3)*(日次管理!$F$4:$F$34=$A$10)*(日次管理!$R$2:$GC$2="実施完了")*(日次管理!$R$3:$GC$3="予定"),日次管理!$R$4:$GC$34)</f>
        <v>44</v>
      </c>
      <c r="AI10" s="89">
        <f>SUMPRODUCT((日次管理!$R$1:$GC$1&lt;=$AI$3)*(日次管理!$F$4:$F$34=$A$10)*(日次管理!$R$2:$GC$2="実施完了")*(日次管理!$R$3:$GC$3="実績"),日次管理!$R$4:$GC$34)</f>
        <v>129</v>
      </c>
      <c r="AJ10" s="140">
        <f>SUMPRODUCT((日次管理!$R$1:$GC$1&lt;=$AJ$3)*(日次管理!$F$4:$F$34=$A$10)*(日次管理!$R$2:$GC$2="実施完了")*(日次管理!$R$3:$GC$3="予定"),日次管理!$R$4:$GC$34)</f>
        <v>44</v>
      </c>
      <c r="AK10" s="89">
        <f>SUMPRODUCT((日次管理!$R$1:$GC$1&lt;=$AK$3)*(日次管理!$F$4:$F$34=$A$10)*(日次管理!$R$2:$GC$2="実施完了")*(日次管理!$R$3:$GC$3="実績"),日次管理!$R$4:$GC$34)</f>
        <v>137</v>
      </c>
      <c r="AL10" s="140">
        <f>SUMPRODUCT((日次管理!$R$1:$GC$1&lt;=$AL$3)*(日次管理!$F$4:$F$34=$A$10)*(日次管理!$R$2:$GC$2="実施完了")*(日次管理!$R$3:$GC$3="予定"),日次管理!$R$4:$GC$34)</f>
        <v>185</v>
      </c>
      <c r="AM10" s="89">
        <f>SUMPRODUCT((日次管理!$R$1:$GC$1&lt;=$AM$3)*(日次管理!$F$4:$F$34=$A$10)*(日次管理!$R$2:$GC$2="実施完了")*(日次管理!$R$3:$GC$3="実績"),日次管理!$R$4:$GC$34)</f>
        <v>160</v>
      </c>
      <c r="AN10" s="140">
        <f>SUMPRODUCT((日次管理!$R$1:$GC$1&lt;=$AN$3)*(日次管理!$F$4:$F$34=$A$10)*(日次管理!$R$2:$GC$2="実施完了")*(日次管理!$R$3:$GC$3="予定"),日次管理!$R$4:$GC$34)</f>
        <v>185</v>
      </c>
      <c r="AO10" s="89">
        <f>SUMPRODUCT((日次管理!$R$1:$GC$1&lt;=$AO$3)*(日次管理!$F$4:$F$34=$A$10)*(日次管理!$R$2:$GC$2="実施完了")*(日次管理!$R$3:$GC$3="実績"),日次管理!$R$4:$GC$34)</f>
        <v>160</v>
      </c>
      <c r="AP10" s="140">
        <f>SUMPRODUCT((日次管理!$R$1:$GC$1&lt;=$AP$3)*(日次管理!$F$4:$F$34=$A$10)*(日次管理!$R$2:$GC$2="実施完了")*(日次管理!$R$3:$GC$3="予定"),日次管理!$R$4:$GC$34)</f>
        <v>185</v>
      </c>
      <c r="AQ10" s="89">
        <f>SUMPRODUCT((日次管理!$R$1:$GC$1&lt;=$AQ$3)*(日次管理!$F$4:$F$34=$A$10)*(日次管理!$R$2:$GC$2="実施完了")*(日次管理!$R$3:$GC$3="実績"),日次管理!$R$4:$GC$34)</f>
        <v>160</v>
      </c>
      <c r="AR10" s="140">
        <f>SUMPRODUCT((日次管理!$R$1:$GC$1&lt;=$AR$3)*(日次管理!$F$4:$F$34=$A$10)*(日次管理!$R$2:$GC$2="実施完了")*(日次管理!$R$3:$GC$3="予定"),日次管理!$R$4:$GC$34)</f>
        <v>185</v>
      </c>
      <c r="AS10" s="89">
        <f>SUMPRODUCT((日次管理!$R$1:$GC$1&lt;=$AS$3)*(日次管理!$F$4:$F$34=$A$10)*(日次管理!$R$2:$GC$2="実施完了")*(日次管理!$R$3:$GC$3="実績"),日次管理!$R$4:$GC$34)</f>
        <v>169</v>
      </c>
      <c r="AT10" s="140">
        <f>SUMPRODUCT((日次管理!$R$1:$GC$1&lt;=$AT$3)*(日次管理!$F$4:$F$34=$A$10)*(日次管理!$R$2:$GC$2="実施完了")*(日次管理!$R$3:$GC$3="予定"),日次管理!$R$4:$GC$34)</f>
        <v>185</v>
      </c>
      <c r="AU10" s="89">
        <f>SUMPRODUCT((日次管理!$R$1:$GC$1&lt;=$AU$3)*(日次管理!$F$4:$F$34=$A$10)*(日次管理!$R$2:$GC$2="実施完了")*(日次管理!$R$3:$GC$3="実績"),日次管理!$R$4:$GC$34)</f>
        <v>179</v>
      </c>
      <c r="AV10" s="140">
        <f>SUMPRODUCT((日次管理!$R$1:$GC$1&lt;=$AV$3)*(日次管理!$F$4:$F$34=$A$10)*(日次管理!$R$2:$GC$2="実施完了")*(日次管理!$R$3:$GC$3="予定"),日次管理!$R$4:$GC$34)</f>
        <v>185</v>
      </c>
      <c r="AW10" s="89">
        <f>SUMPRODUCT((日次管理!$R$1:$GC$1&lt;=$AW$3)*(日次管理!$F$4:$F$34=$A$10)*(日次管理!$R$2:$GC$2="実施完了")*(日次管理!$R$3:$GC$3="実績"),日次管理!$R$4:$GC$34)</f>
        <v>187</v>
      </c>
      <c r="AX10" s="140">
        <f>SUMPRODUCT((日次管理!$R$1:$GC$1&lt;=$AX$3)*(日次管理!$F$4:$F$34=$A$10)*(日次管理!$R$2:$GC$2="実施完了")*(日次管理!$R$3:$GC$3="予定"),日次管理!$R$4:$GC$34)</f>
        <v>185</v>
      </c>
      <c r="AY10" s="89">
        <f>SUMPRODUCT((日次管理!$R$1:$GC$1&lt;=$AY$3)*(日次管理!$F$4:$F$34=$A$10)*(日次管理!$R$2:$GC$2="実施完了")*(日次管理!$R$3:$GC$3="実績"),日次管理!$R$4:$GC$34)</f>
        <v>196</v>
      </c>
      <c r="AZ10" s="140">
        <f>SUMPRODUCT((日次管理!$R$1:$GC$1&lt;=$AZ$3)*(日次管理!$F$4:$F$34=$A$10)*(日次管理!$R$2:$GC$2="実施完了")*(日次管理!$R$3:$GC$3="予定"),日次管理!$R$4:$GC$34)</f>
        <v>225</v>
      </c>
      <c r="BA10" s="89">
        <f>SUMPRODUCT((日次管理!$R$1:$GC$1&lt;=$BA$3)*(日次管理!$F$4:$F$34=$A$10)*(日次管理!$R$2:$GC$2="実施完了")*(日次管理!$R$3:$GC$3="実績"),日次管理!$R$4:$GC$34)</f>
        <v>204</v>
      </c>
      <c r="BB10" s="140">
        <f>SUMPRODUCT((日次管理!$R$1:$GC$1&lt;=$BB$3)*(日次管理!$F$4:$F$34=$A$10)*(日次管理!$R$2:$GC$2="実施完了")*(日次管理!$R$3:$GC$3="予定"),日次管理!$R$4:$GC$34)</f>
        <v>225</v>
      </c>
      <c r="BC10" s="89">
        <f>SUMPRODUCT((日次管理!$R$1:$GC$1&lt;=$BC$3)*(日次管理!$F$4:$F$34=$A$10)*(日次管理!$R$2:$GC$2="実施完了")*(日次管理!$R$3:$GC$3="実績"),日次管理!$R$4:$GC$34)</f>
        <v>204</v>
      </c>
      <c r="BD10" s="140">
        <f>SUMPRODUCT((日次管理!$R$1:$GC$1&lt;=$BD$3)*(日次管理!$F$4:$F$34=$A$10)*(日次管理!$R$2:$GC$2="実施完了")*(日次管理!$R$3:$GC$3="予定"),日次管理!$R$4:$GC$34)</f>
        <v>225</v>
      </c>
      <c r="BE10" s="89">
        <f>SUMPRODUCT((日次管理!$R$1:$GC$1&lt;=$BE$3)*(日次管理!$F$4:$F$34=$A$10)*(日次管理!$R$2:$GC$2="実施完了")*(日次管理!$R$3:$GC$3="実績"),日次管理!$R$4:$GC$34)</f>
        <v>204</v>
      </c>
      <c r="BF10" s="140">
        <f>SUMPRODUCT((日次管理!$R$1:$GC$1&lt;=$BF$3)*(日次管理!$F$4:$F$34=$A$10)*(日次管理!$R$2:$GC$2="実施完了")*(日次管理!$R$3:$GC$3="予定"),日次管理!$R$4:$GC$34)</f>
        <v>225</v>
      </c>
      <c r="BG10" s="89">
        <f>SUMPRODUCT((日次管理!$R$1:$GC$1&lt;=$BG$3)*(日次管理!$F$4:$F$34=$A$10)*(日次管理!$R$2:$GC$2="実施完了")*(日次管理!$R$3:$GC$3="実績"),日次管理!$R$4:$GC$34)</f>
        <v>204</v>
      </c>
      <c r="BH10" s="140">
        <f>SUMPRODUCT((日次管理!$R$1:$GC$1&lt;=$BH$3)*(日次管理!$F$4:$F$34=$A$10)*(日次管理!$R$2:$GC$2="実施完了")*(日次管理!$R$3:$GC$3="予定"),日次管理!$R$4:$GC$34)</f>
        <v>225</v>
      </c>
      <c r="BI10" s="89">
        <f>SUMPRODUCT((日次管理!$R$1:$GC$1&lt;=$BI$3)*(日次管理!$F$4:$F$34=$A$10)*(日次管理!$R$2:$GC$2="実施完了")*(日次管理!$R$3:$GC$3="実績"),日次管理!$R$4:$GC$34)</f>
        <v>204</v>
      </c>
      <c r="BJ10" s="140">
        <f>SUMPRODUCT((日次管理!$R$1:$GC$1&lt;=$BJ$3)*(日次管理!$F$4:$F$34=$A$10)*(日次管理!$R$2:$GC$2="実施完了")*(日次管理!$R$3:$GC$3="予定"),日次管理!$R$4:$GC$34)</f>
        <v>225</v>
      </c>
      <c r="BK10" s="89">
        <f>SUMPRODUCT((日次管理!$R$1:$GC$1&lt;=$BK$3)*(日次管理!$F$4:$F$34=$A$10)*(日次管理!$R$2:$GC$2="実施完了")*(日次管理!$R$3:$GC$3="実績"),日次管理!$R$4:$GC$34)</f>
        <v>204</v>
      </c>
      <c r="BL10" s="140">
        <f>SUMPRODUCT((日次管理!$R$1:$GC$1&lt;=$BL$3)*(日次管理!$F$4:$F$34=$A$10)*(日次管理!$R$2:$GC$2="実施完了")*(日次管理!$R$3:$GC$3="予定"),日次管理!$R$4:$GC$34)</f>
        <v>225</v>
      </c>
      <c r="BM10" s="89">
        <f>SUMPRODUCT((日次管理!$R$1:$GC$1&lt;=$BM$3)*(日次管理!$F$4:$F$34=$A$10)*(日次管理!$R$2:$GC$2="実施完了")*(日次管理!$R$3:$GC$3="実績"),日次管理!$R$4:$GC$34)</f>
        <v>204</v>
      </c>
      <c r="BN10" s="140">
        <f>SUMPRODUCT((日次管理!$R$1:$GC$1&lt;=$BN$3)*(日次管理!$F$4:$F$34=$A$10)*(日次管理!$R$2:$GC$2="実施完了")*(日次管理!$R$3:$GC$3="予定"),日次管理!$R$4:$GC$34)</f>
        <v>225</v>
      </c>
      <c r="BO10" s="89">
        <f>SUMPRODUCT((日次管理!$R$1:$GC$1&lt;=$BO$3)*(日次管理!$F$4:$F$34=$A$10)*(日次管理!$R$2:$GC$2="実施完了")*(日次管理!$R$3:$GC$3="実績"),日次管理!$R$4:$GC$34)</f>
        <v>204</v>
      </c>
      <c r="BP10" s="140">
        <f>SUMPRODUCT((日次管理!$R$1:$GC$1&lt;=$BP$3)*(日次管理!$F$4:$F$34=$A$10)*(日次管理!$R$2:$GC$2="実施完了")*(日次管理!$R$3:$GC$3="予定"),日次管理!$R$4:$GC$34)</f>
        <v>225</v>
      </c>
      <c r="BQ10" s="89">
        <f>SUMPRODUCT((日次管理!$R$1:$GC$1&lt;=$BQ$3)*(日次管理!$F$4:$F$34=$A$10)*(日次管理!$R$2:$GC$2="実施完了")*(日次管理!$R$3:$GC$3="実績"),日次管理!$R$4:$GC$34)</f>
        <v>204</v>
      </c>
      <c r="BR10" s="140">
        <f>SUMPRODUCT((日次管理!$R$1:$GC$1&lt;=$BR$3)*(日次管理!$F$4:$F$34=$A$10)*(日次管理!$R$2:$GC$2="実施完了")*(日次管理!$R$3:$GC$3="予定"),日次管理!$R$4:$GC$34)</f>
        <v>225</v>
      </c>
      <c r="BS10" s="89">
        <f>SUMPRODUCT((日次管理!$R$1:$GC$1&lt;=$BS$3)*(日次管理!$F$4:$F$34=$A$10)*(日次管理!$R$2:$GC$2="実施完了")*(日次管理!$R$3:$GC$3="実績"),日次管理!$R$4:$GC$34)</f>
        <v>204</v>
      </c>
      <c r="BT10" s="140">
        <f>SUMPRODUCT((日次管理!$R$1:$GC$1&lt;=$BT$3)*(日次管理!$F$4:$F$34=$A$10)*(日次管理!$R$2:$GC$2="実施完了")*(日次管理!$R$3:$GC$3="予定"),日次管理!$R$4:$GC$34)</f>
        <v>225</v>
      </c>
      <c r="BU10" s="89">
        <f>SUMPRODUCT((日次管理!$R$1:$GC$1&lt;=$BU$3)*(日次管理!$F$4:$F$34=$A$10)*(日次管理!$R$2:$GC$2="実施完了")*(日次管理!$R$3:$GC$3="実績"),日次管理!$R$4:$GC$34)</f>
        <v>204</v>
      </c>
      <c r="BV10" s="140">
        <f>SUMPRODUCT((日次管理!$R$1:$GC$1&lt;=$BV$3)*(日次管理!$F$4:$F$34=$A$10)*(日次管理!$R$2:$GC$2="実施完了")*(日次管理!$R$3:$GC$3="予定"),日次管理!$R$4:$GC$34)</f>
        <v>225</v>
      </c>
      <c r="BW10" s="89">
        <f>SUMPRODUCT((日次管理!$R$1:$GC$1&lt;=$BW$3)*(日次管理!$F$4:$F$34=$A$10)*(日次管理!$R$2:$GC$2="実施完了")*(日次管理!$R$3:$GC$3="実績"),日次管理!$R$4:$GC$34)</f>
        <v>204</v>
      </c>
      <c r="BX10" s="140">
        <f>SUMPRODUCT((日次管理!$R$1:$GC$1&lt;=$BX$3)*(日次管理!$F$4:$F$34=$A$10)*(日次管理!$R$2:$GC$2="実施完了")*(日次管理!$R$3:$GC$3="予定"),日次管理!$R$4:$GC$34)</f>
        <v>225</v>
      </c>
      <c r="BY10" s="89">
        <f>SUMPRODUCT((日次管理!$R$1:$GC$1&lt;=$BY$3)*(日次管理!$F$4:$F$34=$A$10)*(日次管理!$R$2:$GC$2="実施完了")*(日次管理!$R$3:$GC$3="実績"),日次管理!$R$4:$GC$34)</f>
        <v>204</v>
      </c>
      <c r="BZ10" s="140">
        <f>SUMPRODUCT((日次管理!$R$1:$GC$1&lt;=$BZ$3)*(日次管理!$F$4:$F$34=$A$10)*(日次管理!$R$2:$GC$2="実施完了")*(日次管理!$R$3:$GC$3="予定"),日次管理!$R$4:$GC$34)</f>
        <v>225</v>
      </c>
      <c r="CA10" s="89">
        <f>SUMPRODUCT((日次管理!$R$1:$GC$1&lt;=$CA$3)*(日次管理!$F$4:$F$34=$A$10)*(日次管理!$R$2:$GC$2="実施完了")*(日次管理!$R$3:$GC$3="実績"),日次管理!$R$4:$GC$34)</f>
        <v>204</v>
      </c>
      <c r="CB10" s="140">
        <f>SUMPRODUCT((日次管理!$R$1:$GC$1&lt;=$CB$3)*(日次管理!$F$4:$F$34=$A$10)*(日次管理!$R$2:$GC$2="実施完了")*(日次管理!$R$3:$GC$3="予定"),日次管理!$R$4:$GC$34)</f>
        <v>225</v>
      </c>
      <c r="CC10" s="89">
        <f>SUMPRODUCT((日次管理!$R$1:$GC$1&lt;=$CC$3)*(日次管理!$F$4:$F$34=$A$10)*(日次管理!$R$2:$GC$2="実施完了")*(日次管理!$R$3:$GC$3="実績"),日次管理!$R$4:$GC$34)</f>
        <v>204</v>
      </c>
      <c r="CD10" s="140">
        <f>SUMPRODUCT((日次管理!$R$1:$GC$1&lt;=$CD$3)*(日次管理!$F$4:$F$34=$A$10)*(日次管理!$R$2:$GC$2="実施完了")*(日次管理!$R$3:$GC$3="予定"),日次管理!$R$4:$GC$34)</f>
        <v>225</v>
      </c>
      <c r="CE10" s="89">
        <f>SUMPRODUCT((日次管理!$R$1:$GC$1&lt;=$CE$3)*(日次管理!$F$4:$F$34=$A$10)*(日次管理!$R$2:$GC$2="実施完了")*(日次管理!$R$3:$GC$3="実績"),日次管理!$R$4:$GC$34)</f>
        <v>204</v>
      </c>
      <c r="CF10" s="140">
        <f>SUMPRODUCT((日次管理!$R$1:$GC$1&lt;=$CF$3)*(日次管理!$F$4:$F$34=$A$10)*(日次管理!$R$2:$GC$2="実施完了")*(日次管理!$R$3:$GC$3="予定"),日次管理!$R$4:$GC$34)</f>
        <v>225</v>
      </c>
      <c r="CG10" s="89">
        <f>SUMPRODUCT((日次管理!$R$1:$GC$1&lt;=$CG$3)*(日次管理!$F$4:$F$34=$A$10)*(日次管理!$R$2:$GC$2="実施完了")*(日次管理!$R$3:$GC$3="実績"),日次管理!$R$4:$GC$34)</f>
        <v>204</v>
      </c>
      <c r="CH10" s="141">
        <f ca="1">SUMPRODUCT(($A$3- WEEKDAY($A$3) + 6 =$B$3:$CG$3)*("実績"=$B$4:$CG$4),$B$10:$CG$10)/SUMPRODUCT(($A$3- WEEKDAY($A$3) + 6 =$B$3:$CG$3)*("予定"=$B$4:$CG$4),$B$10:$CG$10)</f>
        <v>0.90666666666666662</v>
      </c>
      <c r="CI10" s="142">
        <f>$CG$10/$CF$10</f>
        <v>0.90666666666666662</v>
      </c>
    </row>
    <row r="11" spans="1:87" ht="20.100000000000001" customHeight="1">
      <c r="A11" s="143" t="s">
        <v>103</v>
      </c>
      <c r="B11" s="144">
        <f>SUMPRODUCT((日次管理!$R$1:$GC$1&lt;=$B$3)*(日次管理!$F$4:$F$34=$A$11)*(日次管理!$R$2:$GC$2="実施完了")*(日次管理!$R$3:$GC$3="予定"),日次管理!$R$4:$GC$34)</f>
        <v>0</v>
      </c>
      <c r="C11" s="90">
        <f>SUMPRODUCT((日次管理!$R$1:$GC$1&lt;=$C$3)*(日次管理!$F$4:$F$34=$A$11)*(日次管理!$R$2:$GC$2="実施完了")*(日次管理!$R$3:$GC$3="実績"),日次管理!$R$4:$GC$34)</f>
        <v>0</v>
      </c>
      <c r="D11" s="144">
        <f>SUMPRODUCT((日次管理!$R$1:$GC$1&lt;=$D$3)*(日次管理!$F$4:$F$34=$A$11)*(日次管理!$R$2:$GC$2="実施完了")*(日次管理!$R$3:$GC$3="予定"),日次管理!$R$4:$GC$34)</f>
        <v>0</v>
      </c>
      <c r="E11" s="90">
        <f>SUMPRODUCT((日次管理!$R$1:$GC$1&lt;=$E$3)*(日次管理!$F$4:$F$34=$A$11)*(日次管理!$R$2:$GC$2="実施完了")*(日次管理!$R$3:$GC$3="実績"),日次管理!$R$4:$GC$34)</f>
        <v>0</v>
      </c>
      <c r="F11" s="144">
        <f>SUMPRODUCT((日次管理!$R$1:$GC$1&lt;=$F$3)*(日次管理!$F$4:$F$34=$A$11)*(日次管理!$R$2:$GC$2="実施完了")*(日次管理!$R$3:$GC$3="予定"),日次管理!$R$4:$GC$34)</f>
        <v>0</v>
      </c>
      <c r="G11" s="90">
        <f>SUMPRODUCT((日次管理!$R$1:$GC$1&lt;=$G$3)*(日次管理!$F$4:$F$34=$A$11)*(日次管理!$R$2:$GC$2="実施完了")*(日次管理!$R$3:$GC$3="実績"),日次管理!$R$4:$GC$34)</f>
        <v>0</v>
      </c>
      <c r="H11" s="144">
        <f>SUMPRODUCT((日次管理!$R$1:$GC$1&lt;=$H$3)*(日次管理!$F$4:$F$34=$A$11)*(日次管理!$R$2:$GC$2="実施完了")*(日次管理!$R$3:$GC$3="予定"),日次管理!$R$4:$GC$34)</f>
        <v>0</v>
      </c>
      <c r="I11" s="90">
        <f>SUMPRODUCT((日次管理!$R$1:$GC$1&lt;=$I$3)*(日次管理!$F$4:$F$34=$A$11)*(日次管理!$R$2:$GC$2="実施完了")*(日次管理!$R$3:$GC$3="実績"),日次管理!$R$4:$GC$34)</f>
        <v>0</v>
      </c>
      <c r="J11" s="144">
        <f>SUMPRODUCT((日次管理!$R$1:$GC$1&lt;=$J$3)*(日次管理!$F$4:$F$34=$A$11)*(日次管理!$R$2:$GC$2="実施完了")*(日次管理!$R$3:$GC$3="予定"),日次管理!$R$4:$GC$34)</f>
        <v>0</v>
      </c>
      <c r="K11" s="90">
        <f>SUMPRODUCT((日次管理!$R$1:$GC$1&lt;=$K$3)*(日次管理!$F$4:$F$34=$A$11)*(日次管理!$R$2:$GC$2="実施完了")*(日次管理!$R$3:$GC$3="実績"),日次管理!$R$4:$GC$34)</f>
        <v>0</v>
      </c>
      <c r="L11" s="144">
        <f>SUMPRODUCT((日次管理!$R$1:$GC$1&lt;=$L$3)*(日次管理!$F$4:$F$34=$A$11)*(日次管理!$R$2:$GC$2="実施完了")*(日次管理!$R$3:$GC$3="予定"),日次管理!$R$4:$GC$34)</f>
        <v>0</v>
      </c>
      <c r="M11" s="90">
        <f>SUMPRODUCT((日次管理!$R$1:$GC$1&lt;=$M$3)*(日次管理!$F$4:$F$34=$A$11)*(日次管理!$R$2:$GC$2="実施完了")*(日次管理!$R$3:$GC$3="実績"),日次管理!$R$4:$GC$34)</f>
        <v>0</v>
      </c>
      <c r="N11" s="144">
        <f>SUMPRODUCT((日次管理!$R$1:$GC$1&lt;=$N$3)*(日次管理!$F$4:$F$34=$A$11)*(日次管理!$R$2:$GC$2="実施完了")*(日次管理!$R$3:$GC$3="予定"),日次管理!$R$4:$GC$34)</f>
        <v>0</v>
      </c>
      <c r="O11" s="90">
        <f>SUMPRODUCT((日次管理!$R$1:$GC$1&lt;=$O$3)*(日次管理!$F$4:$F$34=$A$11)*(日次管理!$R$2:$GC$2="実施完了")*(日次管理!$R$3:$GC$3="実績"),日次管理!$R$4:$GC$34)</f>
        <v>0</v>
      </c>
      <c r="P11" s="144">
        <f>SUMPRODUCT((日次管理!$R$1:$GC$1&lt;=$P$3)*(日次管理!$F$4:$F$34=$A$11)*(日次管理!$R$2:$GC$2="実施完了")*(日次管理!$R$3:$GC$3="予定"),日次管理!$R$4:$GC$34)</f>
        <v>11</v>
      </c>
      <c r="Q11" s="90">
        <f>SUMPRODUCT((日次管理!$R$1:$GC$1&lt;=$Q$3)*(日次管理!$F$4:$F$34=$A$11)*(日次管理!$R$2:$GC$2="実施完了")*(日次管理!$R$3:$GC$3="実績"),日次管理!$R$4:$GC$34)</f>
        <v>11</v>
      </c>
      <c r="R11" s="144">
        <f>SUMPRODUCT((日次管理!$R$1:$GC$1&lt;=$R$3)*(日次管理!$F$4:$F$34=$A$11)*(日次管理!$R$2:$GC$2="実施完了")*(日次管理!$R$3:$GC$3="予定"),日次管理!$R$4:$GC$34)</f>
        <v>23</v>
      </c>
      <c r="S11" s="90">
        <f>SUMPRODUCT((日次管理!$R$1:$GC$1&lt;=$S$3)*(日次管理!$F$4:$F$34=$A$11)*(日次管理!$R$2:$GC$2="実施完了")*(日次管理!$R$3:$GC$3="実績"),日次管理!$R$4:$GC$34)</f>
        <v>23</v>
      </c>
      <c r="T11" s="144">
        <f>SUMPRODUCT((日次管理!$R$1:$GC$1&lt;=$T$3)*(日次管理!$F$4:$F$34=$A$11)*(日次管理!$R$2:$GC$2="実施完了")*(日次管理!$R$3:$GC$3="予定"),日次管理!$R$4:$GC$34)</f>
        <v>34</v>
      </c>
      <c r="U11" s="90">
        <f>SUMPRODUCT((日次管理!$R$1:$GC$1&lt;=$U$3)*(日次管理!$F$4:$F$34=$A$11)*(日次管理!$R$2:$GC$2="実施完了")*(日次管理!$R$3:$GC$3="実績"),日次管理!$R$4:$GC$34)</f>
        <v>35</v>
      </c>
      <c r="V11" s="144">
        <f>SUMPRODUCT((日次管理!$R$1:$GC$1&lt;=$V$3)*(日次管理!$F$4:$F$34=$A$11)*(日次管理!$R$2:$GC$2="実施完了")*(日次管理!$R$3:$GC$3="予定"),日次管理!$R$4:$GC$34)</f>
        <v>45</v>
      </c>
      <c r="W11" s="90">
        <f>SUMPRODUCT((日次管理!$R$1:$GC$1&lt;=$W$3)*(日次管理!$F$4:$F$34=$A$11)*(日次管理!$R$2:$GC$2="実施完了")*(日次管理!$R$3:$GC$3="実績"),日次管理!$R$4:$GC$34)</f>
        <v>56</v>
      </c>
      <c r="X11" s="144">
        <f>SUMPRODUCT((日次管理!$R$1:$GC$1&lt;=$X$3)*(日次管理!$F$4:$F$34=$A$11)*(日次管理!$R$2:$GC$2="実施完了")*(日次管理!$R$3:$GC$3="予定"),日次管理!$R$4:$GC$34)</f>
        <v>56</v>
      </c>
      <c r="Y11" s="90">
        <f>SUMPRODUCT((日次管理!$R$1:$GC$1&lt;=$Y$3)*(日次管理!$F$4:$F$34=$A$11)*(日次管理!$R$2:$GC$2="実施完了")*(日次管理!$R$3:$GC$3="実績"),日次管理!$R$4:$GC$34)</f>
        <v>56</v>
      </c>
      <c r="Z11" s="144">
        <f>SUMPRODUCT((日次管理!$R$1:$GC$1&lt;=$Z$3)*(日次管理!$F$4:$F$34=$A$11)*(日次管理!$R$2:$GC$2="実施完了")*(日次管理!$R$3:$GC$3="予定"),日次管理!$R$4:$GC$34)</f>
        <v>56</v>
      </c>
      <c r="AA11" s="90">
        <f>SUMPRODUCT((日次管理!$R$1:$GC$1&lt;=$AA$3)*(日次管理!$F$4:$F$34=$A$11)*(日次管理!$R$2:$GC$2="実施完了")*(日次管理!$R$3:$GC$3="実績"),日次管理!$R$4:$GC$34)</f>
        <v>56</v>
      </c>
      <c r="AB11" s="144">
        <f>SUMPRODUCT((日次管理!$R$1:$GC$1&lt;=$AB$3)*(日次管理!$F$4:$F$34=$A$11)*(日次管理!$R$2:$GC$2="実施完了")*(日次管理!$R$3:$GC$3="予定"),日次管理!$R$4:$GC$34)</f>
        <v>56</v>
      </c>
      <c r="AC11" s="90">
        <f>SUMPRODUCT((日次管理!$R$1:$GC$1&lt;=$AC$3)*(日次管理!$F$4:$F$34=$A$11)*(日次管理!$R$2:$GC$2="実施完了")*(日次管理!$R$3:$GC$3="実績"),日次管理!$R$4:$GC$34)</f>
        <v>56</v>
      </c>
      <c r="AD11" s="144">
        <f>SUMPRODUCT((日次管理!$R$1:$GC$1&lt;=$AD$3)*(日次管理!$F$4:$F$34=$A$11)*(日次管理!$R$2:$GC$2="実施完了")*(日次管理!$R$3:$GC$3="予定"),日次管理!$R$4:$GC$34)</f>
        <v>56</v>
      </c>
      <c r="AE11" s="90">
        <f>SUMPRODUCT((日次管理!$R$1:$GC$1&lt;=$AE$3)*(日次管理!$F$4:$F$34=$A$11)*(日次管理!$R$2:$GC$2="実施完了")*(日次管理!$R$3:$GC$3="実績"),日次管理!$R$4:$GC$34)</f>
        <v>56</v>
      </c>
      <c r="AF11" s="144">
        <f>SUMPRODUCT((日次管理!$R$1:$GC$1&lt;=$AF$3)*(日次管理!$F$4:$F$34=$A$11)*(日次管理!$R$2:$GC$2="実施完了")*(日次管理!$R$3:$GC$3="予定"),日次管理!$R$4:$GC$34)</f>
        <v>56</v>
      </c>
      <c r="AG11" s="90">
        <f>SUMPRODUCT((日次管理!$R$1:$GC$1&lt;=$AG$3)*(日次管理!$F$4:$F$34=$A$11)*(日次管理!$R$2:$GC$2="実施完了")*(日次管理!$R$3:$GC$3="実績"),日次管理!$R$4:$GC$34)</f>
        <v>56</v>
      </c>
      <c r="AH11" s="144">
        <f>SUMPRODUCT((日次管理!$R$1:$GC$1&lt;=$AH$3)*(日次管理!$F$4:$F$34=$A$11)*(日次管理!$R$2:$GC$2="実施完了")*(日次管理!$R$3:$GC$3="予定"),日次管理!$R$4:$GC$34)</f>
        <v>56</v>
      </c>
      <c r="AI11" s="90">
        <f>SUMPRODUCT((日次管理!$R$1:$GC$1&lt;=$AI$3)*(日次管理!$F$4:$F$34=$A$11)*(日次管理!$R$2:$GC$2="実施完了")*(日次管理!$R$3:$GC$3="実績"),日次管理!$R$4:$GC$34)</f>
        <v>56</v>
      </c>
      <c r="AJ11" s="144">
        <f>SUMPRODUCT((日次管理!$R$1:$GC$1&lt;=$AJ$3)*(日次管理!$F$4:$F$34=$A$11)*(日次管理!$R$2:$GC$2="実施完了")*(日次管理!$R$3:$GC$3="予定"),日次管理!$R$4:$GC$34)</f>
        <v>56</v>
      </c>
      <c r="AK11" s="90">
        <f>SUMPRODUCT((日次管理!$R$1:$GC$1&lt;=$AK$3)*(日次管理!$F$4:$F$34=$A$11)*(日次管理!$R$2:$GC$2="実施完了")*(日次管理!$R$3:$GC$3="実績"),日次管理!$R$4:$GC$34)</f>
        <v>56</v>
      </c>
      <c r="AL11" s="144">
        <f>SUMPRODUCT((日次管理!$R$1:$GC$1&lt;=$AL$3)*(日次管理!$F$4:$F$34=$A$11)*(日次管理!$R$2:$GC$2="実施完了")*(日次管理!$R$3:$GC$3="予定"),日次管理!$R$4:$GC$34)</f>
        <v>56</v>
      </c>
      <c r="AM11" s="90">
        <f>SUMPRODUCT((日次管理!$R$1:$GC$1&lt;=$AM$3)*(日次管理!$F$4:$F$34=$A$11)*(日次管理!$R$2:$GC$2="実施完了")*(日次管理!$R$3:$GC$3="実績"),日次管理!$R$4:$GC$34)</f>
        <v>56</v>
      </c>
      <c r="AN11" s="144">
        <f>SUMPRODUCT((日次管理!$R$1:$GC$1&lt;=$AN$3)*(日次管理!$F$4:$F$34=$A$11)*(日次管理!$R$2:$GC$2="実施完了")*(日次管理!$R$3:$GC$3="予定"),日次管理!$R$4:$GC$34)</f>
        <v>56</v>
      </c>
      <c r="AO11" s="90">
        <f>SUMPRODUCT((日次管理!$R$1:$GC$1&lt;=$AO$3)*(日次管理!$F$4:$F$34=$A$11)*(日次管理!$R$2:$GC$2="実施完了")*(日次管理!$R$3:$GC$3="実績"),日次管理!$R$4:$GC$34)</f>
        <v>56</v>
      </c>
      <c r="AP11" s="144">
        <f>SUMPRODUCT((日次管理!$R$1:$GC$1&lt;=$AP$3)*(日次管理!$F$4:$F$34=$A$11)*(日次管理!$R$2:$GC$2="実施完了")*(日次管理!$R$3:$GC$3="予定"),日次管理!$R$4:$GC$34)</f>
        <v>56</v>
      </c>
      <c r="AQ11" s="90">
        <f>SUMPRODUCT((日次管理!$R$1:$GC$1&lt;=$AQ$3)*(日次管理!$F$4:$F$34=$A$11)*(日次管理!$R$2:$GC$2="実施完了")*(日次管理!$R$3:$GC$3="実績"),日次管理!$R$4:$GC$34)</f>
        <v>56</v>
      </c>
      <c r="AR11" s="144">
        <f>SUMPRODUCT((日次管理!$R$1:$GC$1&lt;=$AR$3)*(日次管理!$F$4:$F$34=$A$11)*(日次管理!$R$2:$GC$2="実施完了")*(日次管理!$R$3:$GC$3="予定"),日次管理!$R$4:$GC$34)</f>
        <v>56</v>
      </c>
      <c r="AS11" s="90">
        <f>SUMPRODUCT((日次管理!$R$1:$GC$1&lt;=$AS$3)*(日次管理!$F$4:$F$34=$A$11)*(日次管理!$R$2:$GC$2="実施完了")*(日次管理!$R$3:$GC$3="実績"),日次管理!$R$4:$GC$34)</f>
        <v>56</v>
      </c>
      <c r="AT11" s="144">
        <f>SUMPRODUCT((日次管理!$R$1:$GC$1&lt;=$AT$3)*(日次管理!$F$4:$F$34=$A$11)*(日次管理!$R$2:$GC$2="実施完了")*(日次管理!$R$3:$GC$3="予定"),日次管理!$R$4:$GC$34)</f>
        <v>56</v>
      </c>
      <c r="AU11" s="90">
        <f>SUMPRODUCT((日次管理!$R$1:$GC$1&lt;=$AU$3)*(日次管理!$F$4:$F$34=$A$11)*(日次管理!$R$2:$GC$2="実施完了")*(日次管理!$R$3:$GC$3="実績"),日次管理!$R$4:$GC$34)</f>
        <v>56</v>
      </c>
      <c r="AV11" s="144">
        <f>SUMPRODUCT((日次管理!$R$1:$GC$1&lt;=$AV$3)*(日次管理!$F$4:$F$34=$A$11)*(日次管理!$R$2:$GC$2="実施完了")*(日次管理!$R$3:$GC$3="予定"),日次管理!$R$4:$GC$34)</f>
        <v>56</v>
      </c>
      <c r="AW11" s="90">
        <f>SUMPRODUCT((日次管理!$R$1:$GC$1&lt;=$AW$3)*(日次管理!$F$4:$F$34=$A$11)*(日次管理!$R$2:$GC$2="実施完了")*(日次管理!$R$3:$GC$3="実績"),日次管理!$R$4:$GC$34)</f>
        <v>56</v>
      </c>
      <c r="AX11" s="144">
        <f>SUMPRODUCT((日次管理!$R$1:$GC$1&lt;=$AX$3)*(日次管理!$F$4:$F$34=$A$11)*(日次管理!$R$2:$GC$2="実施完了")*(日次管理!$R$3:$GC$3="予定"),日次管理!$R$4:$GC$34)</f>
        <v>56</v>
      </c>
      <c r="AY11" s="90">
        <f>SUMPRODUCT((日次管理!$R$1:$GC$1&lt;=$AY$3)*(日次管理!$F$4:$F$34=$A$11)*(日次管理!$R$2:$GC$2="実施完了")*(日次管理!$R$3:$GC$3="実績"),日次管理!$R$4:$GC$34)</f>
        <v>56</v>
      </c>
      <c r="AZ11" s="144">
        <f>SUMPRODUCT((日次管理!$R$1:$GC$1&lt;=$AZ$3)*(日次管理!$F$4:$F$34=$A$11)*(日次管理!$R$2:$GC$2="実施完了")*(日次管理!$R$3:$GC$3="予定"),日次管理!$R$4:$GC$34)</f>
        <v>56</v>
      </c>
      <c r="BA11" s="90">
        <f>SUMPRODUCT((日次管理!$R$1:$GC$1&lt;=$BA$3)*(日次管理!$F$4:$F$34=$A$11)*(日次管理!$R$2:$GC$2="実施完了")*(日次管理!$R$3:$GC$3="実績"),日次管理!$R$4:$GC$34)</f>
        <v>56</v>
      </c>
      <c r="BB11" s="144">
        <f>SUMPRODUCT((日次管理!$R$1:$GC$1&lt;=$BB$3)*(日次管理!$F$4:$F$34=$A$11)*(日次管理!$R$2:$GC$2="実施完了")*(日次管理!$R$3:$GC$3="予定"),日次管理!$R$4:$GC$34)</f>
        <v>56</v>
      </c>
      <c r="BC11" s="90">
        <f>SUMPRODUCT((日次管理!$R$1:$GC$1&lt;=$BC$3)*(日次管理!$F$4:$F$34=$A$11)*(日次管理!$R$2:$GC$2="実施完了")*(日次管理!$R$3:$GC$3="実績"),日次管理!$R$4:$GC$34)</f>
        <v>56</v>
      </c>
      <c r="BD11" s="144">
        <f>SUMPRODUCT((日次管理!$R$1:$GC$1&lt;=$BD$3)*(日次管理!$F$4:$F$34=$A$11)*(日次管理!$R$2:$GC$2="実施完了")*(日次管理!$R$3:$GC$3="予定"),日次管理!$R$4:$GC$34)</f>
        <v>56</v>
      </c>
      <c r="BE11" s="90">
        <f>SUMPRODUCT((日次管理!$R$1:$GC$1&lt;=$BE$3)*(日次管理!$F$4:$F$34=$A$11)*(日次管理!$R$2:$GC$2="実施完了")*(日次管理!$R$3:$GC$3="実績"),日次管理!$R$4:$GC$34)</f>
        <v>56</v>
      </c>
      <c r="BF11" s="144">
        <f>SUMPRODUCT((日次管理!$R$1:$GC$1&lt;=$BF$3)*(日次管理!$F$4:$F$34=$A$11)*(日次管理!$R$2:$GC$2="実施完了")*(日次管理!$R$3:$GC$3="予定"),日次管理!$R$4:$GC$34)</f>
        <v>56</v>
      </c>
      <c r="BG11" s="90">
        <f>SUMPRODUCT((日次管理!$R$1:$GC$1&lt;=$BG$3)*(日次管理!$F$4:$F$34=$A$11)*(日次管理!$R$2:$GC$2="実施完了")*(日次管理!$R$3:$GC$3="実績"),日次管理!$R$4:$GC$34)</f>
        <v>56</v>
      </c>
      <c r="BH11" s="144">
        <f>SUMPRODUCT((日次管理!$R$1:$GC$1&lt;=$BH$3)*(日次管理!$F$4:$F$34=$A$11)*(日次管理!$R$2:$GC$2="実施完了")*(日次管理!$R$3:$GC$3="予定"),日次管理!$R$4:$GC$34)</f>
        <v>56</v>
      </c>
      <c r="BI11" s="90">
        <f>SUMPRODUCT((日次管理!$R$1:$GC$1&lt;=$BI$3)*(日次管理!$F$4:$F$34=$A$11)*(日次管理!$R$2:$GC$2="実施完了")*(日次管理!$R$3:$GC$3="実績"),日次管理!$R$4:$GC$34)</f>
        <v>56</v>
      </c>
      <c r="BJ11" s="144">
        <f>SUMPRODUCT((日次管理!$R$1:$GC$1&lt;=$BJ$3)*(日次管理!$F$4:$F$34=$A$11)*(日次管理!$R$2:$GC$2="実施完了")*(日次管理!$R$3:$GC$3="予定"),日次管理!$R$4:$GC$34)</f>
        <v>57</v>
      </c>
      <c r="BK11" s="90">
        <f>SUMPRODUCT((日次管理!$R$1:$GC$1&lt;=$BK$3)*(日次管理!$F$4:$F$34=$A$11)*(日次管理!$R$2:$GC$2="実施完了")*(日次管理!$R$3:$GC$3="実績"),日次管理!$R$4:$GC$34)</f>
        <v>56</v>
      </c>
      <c r="BL11" s="144">
        <f>SUMPRODUCT((日次管理!$R$1:$GC$1&lt;=$BL$3)*(日次管理!$F$4:$F$34=$A$11)*(日次管理!$R$2:$GC$2="実施完了")*(日次管理!$R$3:$GC$3="予定"),日次管理!$R$4:$GC$34)</f>
        <v>58</v>
      </c>
      <c r="BM11" s="90">
        <f>SUMPRODUCT((日次管理!$R$1:$GC$1&lt;=$BM$3)*(日次管理!$F$4:$F$34=$A$11)*(日次管理!$R$2:$GC$2="実施完了")*(日次管理!$R$3:$GC$3="実績"),日次管理!$R$4:$GC$34)</f>
        <v>56</v>
      </c>
      <c r="BN11" s="144">
        <f>SUMPRODUCT((日次管理!$R$1:$GC$1&lt;=$BN$3)*(日次管理!$F$4:$F$34=$A$11)*(日次管理!$R$2:$GC$2="実施完了")*(日次管理!$R$3:$GC$3="予定"),日次管理!$R$4:$GC$34)</f>
        <v>60</v>
      </c>
      <c r="BO11" s="90">
        <f>SUMPRODUCT((日次管理!$R$1:$GC$1&lt;=$BO$3)*(日次管理!$F$4:$F$34=$A$11)*(日次管理!$R$2:$GC$2="実施完了")*(日次管理!$R$3:$GC$3="実績"),日次管理!$R$4:$GC$34)</f>
        <v>56</v>
      </c>
      <c r="BP11" s="144">
        <f>SUMPRODUCT((日次管理!$R$1:$GC$1&lt;=$BP$3)*(日次管理!$F$4:$F$34=$A$11)*(日次管理!$R$2:$GC$2="実施完了")*(日次管理!$R$3:$GC$3="予定"),日次管理!$R$4:$GC$34)</f>
        <v>60</v>
      </c>
      <c r="BQ11" s="90">
        <f>SUMPRODUCT((日次管理!$R$1:$GC$1&lt;=$BQ$3)*(日次管理!$F$4:$F$34=$A$11)*(日次管理!$R$2:$GC$2="実施完了")*(日次管理!$R$3:$GC$3="実績"),日次管理!$R$4:$GC$34)</f>
        <v>56</v>
      </c>
      <c r="BR11" s="144">
        <f>SUMPRODUCT((日次管理!$R$1:$GC$1&lt;=$BR$3)*(日次管理!$F$4:$F$34=$A$11)*(日次管理!$R$2:$GC$2="実施完了")*(日次管理!$R$3:$GC$3="予定"),日次管理!$R$4:$GC$34)</f>
        <v>60</v>
      </c>
      <c r="BS11" s="90">
        <f>SUMPRODUCT((日次管理!$R$1:$GC$1&lt;=$BS$3)*(日次管理!$F$4:$F$34=$A$11)*(日次管理!$R$2:$GC$2="実施完了")*(日次管理!$R$3:$GC$3="実績"),日次管理!$R$4:$GC$34)</f>
        <v>56</v>
      </c>
      <c r="BT11" s="144">
        <f>SUMPRODUCT((日次管理!$R$1:$GC$1&lt;=$BT$3)*(日次管理!$F$4:$F$34=$A$11)*(日次管理!$R$2:$GC$2="実施完了")*(日次管理!$R$3:$GC$3="予定"),日次管理!$R$4:$GC$34)</f>
        <v>61</v>
      </c>
      <c r="BU11" s="90">
        <f>SUMPRODUCT((日次管理!$R$1:$GC$1&lt;=$BU$3)*(日次管理!$F$4:$F$34=$A$11)*(日次管理!$R$2:$GC$2="実施完了")*(日次管理!$R$3:$GC$3="実績"),日次管理!$R$4:$GC$34)</f>
        <v>56</v>
      </c>
      <c r="BV11" s="144">
        <f>SUMPRODUCT((日次管理!$R$1:$GC$1&lt;=$BV$3)*(日次管理!$F$4:$F$34=$A$11)*(日次管理!$R$2:$GC$2="実施完了")*(日次管理!$R$3:$GC$3="予定"),日次管理!$R$4:$GC$34)</f>
        <v>62</v>
      </c>
      <c r="BW11" s="90">
        <f>SUMPRODUCT((日次管理!$R$1:$GC$1&lt;=$BW$3)*(日次管理!$F$4:$F$34=$A$11)*(日次管理!$R$2:$GC$2="実施完了")*(日次管理!$R$3:$GC$3="実績"),日次管理!$R$4:$GC$34)</f>
        <v>56</v>
      </c>
      <c r="BX11" s="144">
        <f>SUMPRODUCT((日次管理!$R$1:$GC$1&lt;=$BX$3)*(日次管理!$F$4:$F$34=$A$11)*(日次管理!$R$2:$GC$2="実施完了")*(日次管理!$R$3:$GC$3="予定"),日次管理!$R$4:$GC$34)</f>
        <v>64</v>
      </c>
      <c r="BY11" s="90">
        <f>SUMPRODUCT((日次管理!$R$1:$GC$1&lt;=$BY$3)*(日次管理!$F$4:$F$34=$A$11)*(日次管理!$R$2:$GC$2="実施完了")*(日次管理!$R$3:$GC$3="実績"),日次管理!$R$4:$GC$34)</f>
        <v>56</v>
      </c>
      <c r="BZ11" s="144">
        <f>SUMPRODUCT((日次管理!$R$1:$GC$1&lt;=$BZ$3)*(日次管理!$F$4:$F$34=$A$11)*(日次管理!$R$2:$GC$2="実施完了")*(日次管理!$R$3:$GC$3="予定"),日次管理!$R$4:$GC$34)</f>
        <v>65</v>
      </c>
      <c r="CA11" s="90">
        <f>SUMPRODUCT((日次管理!$R$1:$GC$1&lt;=$CA$3)*(日次管理!$F$4:$F$34=$A$11)*(日次管理!$R$2:$GC$2="実施完了")*(日次管理!$R$3:$GC$3="実績"),日次管理!$R$4:$GC$34)</f>
        <v>56</v>
      </c>
      <c r="CB11" s="144">
        <f>SUMPRODUCT((日次管理!$R$1:$GC$1&lt;=$CB$3)*(日次管理!$F$4:$F$34=$A$11)*(日次管理!$R$2:$GC$2="実施完了")*(日次管理!$R$3:$GC$3="予定"),日次管理!$R$4:$GC$34)</f>
        <v>66</v>
      </c>
      <c r="CC11" s="90">
        <f>SUMPRODUCT((日次管理!$R$1:$GC$1&lt;=$CC$3)*(日次管理!$F$4:$F$34=$A$11)*(日次管理!$R$2:$GC$2="実施完了")*(日次管理!$R$3:$GC$3="実績"),日次管理!$R$4:$GC$34)</f>
        <v>56</v>
      </c>
      <c r="CD11" s="144">
        <f>SUMPRODUCT((日次管理!$R$1:$GC$1&lt;=$CD$3)*(日次管理!$F$4:$F$34=$A$11)*(日次管理!$R$2:$GC$2="実施完了")*(日次管理!$R$3:$GC$3="予定"),日次管理!$R$4:$GC$34)</f>
        <v>66</v>
      </c>
      <c r="CE11" s="90">
        <f>SUMPRODUCT((日次管理!$R$1:$GC$1&lt;=$CE$3)*(日次管理!$F$4:$F$34=$A$11)*(日次管理!$R$2:$GC$2="実施完了")*(日次管理!$R$3:$GC$3="実績"),日次管理!$R$4:$GC$34)</f>
        <v>56</v>
      </c>
      <c r="CF11" s="144">
        <f>SUMPRODUCT((日次管理!$R$1:$GC$1&lt;=$CF$3)*(日次管理!$F$4:$F$34=$A$11)*(日次管理!$R$2:$GC$2="実施完了")*(日次管理!$R$3:$GC$3="予定"),日次管理!$R$4:$GC$34)</f>
        <v>66</v>
      </c>
      <c r="CG11" s="90">
        <f>SUMPRODUCT((日次管理!$R$1:$GC$1&lt;=$CG$3)*(日次管理!$F$4:$F$34=$A$11)*(日次管理!$R$2:$GC$2="実施完了")*(日次管理!$R$3:$GC$3="実績"),日次管理!$R$4:$GC$34)</f>
        <v>56</v>
      </c>
      <c r="CH11" s="145">
        <f ca="1">SUMPRODUCT(($A$3- WEEKDAY($A$3) + 6 =$B$3:$CG$3)*("実績"=$B$4:$CG$4),$B$11:$CG$11)/SUMPRODUCT(($A$3- WEEKDAY($A$3) + 6 =$B$3:$CG$3)*("予定"=$B$4:$CG$4),$B$11:$CG$11)</f>
        <v>1</v>
      </c>
      <c r="CI11" s="146">
        <f>$CG$11/$CF$11</f>
        <v>0.84848484848484851</v>
      </c>
    </row>
    <row r="12" spans="1:87" ht="20.100000000000001" customHeight="1">
      <c r="A12" s="139" t="s">
        <v>118</v>
      </c>
      <c r="B12" s="140">
        <f>SUMPRODUCT((日次管理!$R$1:$GC$1&lt;=$B$3)*(日次管理!$F$4:$F$34=$A$12)*(日次管理!$R$2:$GC$2="実施完了")*(日次管理!$R$3:$GC$3="予定"),日次管理!$R$4:$GC$34)</f>
        <v>0</v>
      </c>
      <c r="C12" s="89">
        <f>SUMPRODUCT((日次管理!$R$1:$GC$1&lt;=$C$3)*(日次管理!$F$4:$F$34=$A$12)*(日次管理!$R$2:$GC$2="実施完了")*(日次管理!$R$3:$GC$3="実績"),日次管理!$R$4:$GC$34)</f>
        <v>0</v>
      </c>
      <c r="D12" s="140">
        <f>SUMPRODUCT((日次管理!$R$1:$GC$1&lt;=$D$3)*(日次管理!$F$4:$F$34=$A$12)*(日次管理!$R$2:$GC$2="実施完了")*(日次管理!$R$3:$GC$3="予定"),日次管理!$R$4:$GC$34)</f>
        <v>0</v>
      </c>
      <c r="E12" s="89">
        <f>SUMPRODUCT((日次管理!$R$1:$GC$1&lt;=$E$3)*(日次管理!$F$4:$F$34=$A$12)*(日次管理!$R$2:$GC$2="実施完了")*(日次管理!$R$3:$GC$3="実績"),日次管理!$R$4:$GC$34)</f>
        <v>0</v>
      </c>
      <c r="F12" s="140">
        <f>SUMPRODUCT((日次管理!$R$1:$GC$1&lt;=$F$3)*(日次管理!$F$4:$F$34=$A$12)*(日次管理!$R$2:$GC$2="実施完了")*(日次管理!$R$3:$GC$3="予定"),日次管理!$R$4:$GC$34)</f>
        <v>0</v>
      </c>
      <c r="G12" s="89">
        <f>SUMPRODUCT((日次管理!$R$1:$GC$1&lt;=$G$3)*(日次管理!$F$4:$F$34=$A$12)*(日次管理!$R$2:$GC$2="実施完了")*(日次管理!$R$3:$GC$3="実績"),日次管理!$R$4:$GC$34)</f>
        <v>0</v>
      </c>
      <c r="H12" s="140">
        <f>SUMPRODUCT((日次管理!$R$1:$GC$1&lt;=$H$3)*(日次管理!$F$4:$F$34=$A$12)*(日次管理!$R$2:$GC$2="実施完了")*(日次管理!$R$3:$GC$3="予定"),日次管理!$R$4:$GC$34)</f>
        <v>0</v>
      </c>
      <c r="I12" s="89">
        <f>SUMPRODUCT((日次管理!$R$1:$GC$1&lt;=$I$3)*(日次管理!$F$4:$F$34=$A$12)*(日次管理!$R$2:$GC$2="実施完了")*(日次管理!$R$3:$GC$3="実績"),日次管理!$R$4:$GC$34)</f>
        <v>0</v>
      </c>
      <c r="J12" s="140">
        <f>SUMPRODUCT((日次管理!$R$1:$GC$1&lt;=$J$3)*(日次管理!$F$4:$F$34=$A$12)*(日次管理!$R$2:$GC$2="実施完了")*(日次管理!$R$3:$GC$3="予定"),日次管理!$R$4:$GC$34)</f>
        <v>0</v>
      </c>
      <c r="K12" s="89">
        <f>SUMPRODUCT((日次管理!$R$1:$GC$1&lt;=$K$3)*(日次管理!$F$4:$F$34=$A$12)*(日次管理!$R$2:$GC$2="実施完了")*(日次管理!$R$3:$GC$3="実績"),日次管理!$R$4:$GC$34)</f>
        <v>0</v>
      </c>
      <c r="L12" s="140">
        <f>SUMPRODUCT((日次管理!$R$1:$GC$1&lt;=$L$3)*(日次管理!$F$4:$F$34=$A$12)*(日次管理!$R$2:$GC$2="実施完了")*(日次管理!$R$3:$GC$3="予定"),日次管理!$R$4:$GC$34)</f>
        <v>0</v>
      </c>
      <c r="M12" s="89">
        <f>SUMPRODUCT((日次管理!$R$1:$GC$1&lt;=$M$3)*(日次管理!$F$4:$F$34=$A$12)*(日次管理!$R$2:$GC$2="実施完了")*(日次管理!$R$3:$GC$3="実績"),日次管理!$R$4:$GC$34)</f>
        <v>0</v>
      </c>
      <c r="N12" s="140">
        <f>SUMPRODUCT((日次管理!$R$1:$GC$1&lt;=$N$3)*(日次管理!$F$4:$F$34=$A$12)*(日次管理!$R$2:$GC$2="実施完了")*(日次管理!$R$3:$GC$3="予定"),日次管理!$R$4:$GC$34)</f>
        <v>0</v>
      </c>
      <c r="O12" s="89">
        <f>SUMPRODUCT((日次管理!$R$1:$GC$1&lt;=$O$3)*(日次管理!$F$4:$F$34=$A$12)*(日次管理!$R$2:$GC$2="実施完了")*(日次管理!$R$3:$GC$3="実績"),日次管理!$R$4:$GC$34)</f>
        <v>0</v>
      </c>
      <c r="P12" s="140">
        <f>SUMPRODUCT((日次管理!$R$1:$GC$1&lt;=$P$3)*(日次管理!$F$4:$F$34=$A$12)*(日次管理!$R$2:$GC$2="実施完了")*(日次管理!$R$3:$GC$3="予定"),日次管理!$R$4:$GC$34)</f>
        <v>0</v>
      </c>
      <c r="Q12" s="89">
        <f>SUMPRODUCT((日次管理!$R$1:$GC$1&lt;=$Q$3)*(日次管理!$F$4:$F$34=$A$12)*(日次管理!$R$2:$GC$2="実施完了")*(日次管理!$R$3:$GC$3="実績"),日次管理!$R$4:$GC$34)</f>
        <v>0</v>
      </c>
      <c r="R12" s="140">
        <f>SUMPRODUCT((日次管理!$R$1:$GC$1&lt;=$R$3)*(日次管理!$F$4:$F$34=$A$12)*(日次管理!$R$2:$GC$2="実施完了")*(日次管理!$R$3:$GC$3="予定"),日次管理!$R$4:$GC$34)</f>
        <v>0</v>
      </c>
      <c r="S12" s="89">
        <f>SUMPRODUCT((日次管理!$R$1:$GC$1&lt;=$S$3)*(日次管理!$F$4:$F$34=$A$12)*(日次管理!$R$2:$GC$2="実施完了")*(日次管理!$R$3:$GC$3="実績"),日次管理!$R$4:$GC$34)</f>
        <v>0</v>
      </c>
      <c r="T12" s="140">
        <f>SUMPRODUCT((日次管理!$R$1:$GC$1&lt;=$T$3)*(日次管理!$F$4:$F$34=$A$12)*(日次管理!$R$2:$GC$2="実施完了")*(日次管理!$R$3:$GC$3="予定"),日次管理!$R$4:$GC$34)</f>
        <v>15</v>
      </c>
      <c r="U12" s="89">
        <f>SUMPRODUCT((日次管理!$R$1:$GC$1&lt;=$U$3)*(日次管理!$F$4:$F$34=$A$12)*(日次管理!$R$2:$GC$2="実施完了")*(日次管理!$R$3:$GC$3="実績"),日次管理!$R$4:$GC$34)</f>
        <v>15</v>
      </c>
      <c r="V12" s="140">
        <f>SUMPRODUCT((日次管理!$R$1:$GC$1&lt;=$V$3)*(日次管理!$F$4:$F$34=$A$12)*(日次管理!$R$2:$GC$2="実施完了")*(日次管理!$R$3:$GC$3="予定"),日次管理!$R$4:$GC$34)</f>
        <v>17</v>
      </c>
      <c r="W12" s="89">
        <f>SUMPRODUCT((日次管理!$R$1:$GC$1&lt;=$W$3)*(日次管理!$F$4:$F$34=$A$12)*(日次管理!$R$2:$GC$2="実施完了")*(日次管理!$R$3:$GC$3="実績"),日次管理!$R$4:$GC$34)</f>
        <v>22</v>
      </c>
      <c r="X12" s="140">
        <f>SUMPRODUCT((日次管理!$R$1:$GC$1&lt;=$X$3)*(日次管理!$F$4:$F$34=$A$12)*(日次管理!$R$2:$GC$2="実施完了")*(日次管理!$R$3:$GC$3="予定"),日次管理!$R$4:$GC$34)</f>
        <v>22</v>
      </c>
      <c r="Y12" s="89">
        <f>SUMPRODUCT((日次管理!$R$1:$GC$1&lt;=$Y$3)*(日次管理!$F$4:$F$34=$A$12)*(日次管理!$R$2:$GC$2="実施完了")*(日次管理!$R$3:$GC$3="実績"),日次管理!$R$4:$GC$34)</f>
        <v>22</v>
      </c>
      <c r="Z12" s="140">
        <f>SUMPRODUCT((日次管理!$R$1:$GC$1&lt;=$Z$3)*(日次管理!$F$4:$F$34=$A$12)*(日次管理!$R$2:$GC$2="実施完了")*(日次管理!$R$3:$GC$3="予定"),日次管理!$R$4:$GC$34)</f>
        <v>22</v>
      </c>
      <c r="AA12" s="89">
        <f>SUMPRODUCT((日次管理!$R$1:$GC$1&lt;=$AA$3)*(日次管理!$F$4:$F$34=$A$12)*(日次管理!$R$2:$GC$2="実施完了")*(日次管理!$R$3:$GC$3="実績"),日次管理!$R$4:$GC$34)</f>
        <v>22</v>
      </c>
      <c r="AB12" s="140">
        <f>SUMPRODUCT((日次管理!$R$1:$GC$1&lt;=$AB$3)*(日次管理!$F$4:$F$34=$A$12)*(日次管理!$R$2:$GC$2="実施完了")*(日次管理!$R$3:$GC$3="予定"),日次管理!$R$4:$GC$34)</f>
        <v>22</v>
      </c>
      <c r="AC12" s="89">
        <f>SUMPRODUCT((日次管理!$R$1:$GC$1&lt;=$AC$3)*(日次管理!$F$4:$F$34=$A$12)*(日次管理!$R$2:$GC$2="実施完了")*(日次管理!$R$3:$GC$3="実績"),日次管理!$R$4:$GC$34)</f>
        <v>22</v>
      </c>
      <c r="AD12" s="140">
        <f>SUMPRODUCT((日次管理!$R$1:$GC$1&lt;=$AD$3)*(日次管理!$F$4:$F$34=$A$12)*(日次管理!$R$2:$GC$2="実施完了")*(日次管理!$R$3:$GC$3="予定"),日次管理!$R$4:$GC$34)</f>
        <v>22</v>
      </c>
      <c r="AE12" s="89">
        <f>SUMPRODUCT((日次管理!$R$1:$GC$1&lt;=$AE$3)*(日次管理!$F$4:$F$34=$A$12)*(日次管理!$R$2:$GC$2="実施完了")*(日次管理!$R$3:$GC$3="実績"),日次管理!$R$4:$GC$34)</f>
        <v>22</v>
      </c>
      <c r="AF12" s="140">
        <f>SUMPRODUCT((日次管理!$R$1:$GC$1&lt;=$AF$3)*(日次管理!$F$4:$F$34=$A$12)*(日次管理!$R$2:$GC$2="実施完了")*(日次管理!$R$3:$GC$3="予定"),日次管理!$R$4:$GC$34)</f>
        <v>22</v>
      </c>
      <c r="AG12" s="89">
        <f>SUMPRODUCT((日次管理!$R$1:$GC$1&lt;=$AG$3)*(日次管理!$F$4:$F$34=$A$12)*(日次管理!$R$2:$GC$2="実施完了")*(日次管理!$R$3:$GC$3="実績"),日次管理!$R$4:$GC$34)</f>
        <v>22</v>
      </c>
      <c r="AH12" s="140">
        <f>SUMPRODUCT((日次管理!$R$1:$GC$1&lt;=$AH$3)*(日次管理!$F$4:$F$34=$A$12)*(日次管理!$R$2:$GC$2="実施完了")*(日次管理!$R$3:$GC$3="予定"),日次管理!$R$4:$GC$34)</f>
        <v>22</v>
      </c>
      <c r="AI12" s="89">
        <f>SUMPRODUCT((日次管理!$R$1:$GC$1&lt;=$AI$3)*(日次管理!$F$4:$F$34=$A$12)*(日次管理!$R$2:$GC$2="実施完了")*(日次管理!$R$3:$GC$3="実績"),日次管理!$R$4:$GC$34)</f>
        <v>22</v>
      </c>
      <c r="AJ12" s="140">
        <f>SUMPRODUCT((日次管理!$R$1:$GC$1&lt;=$AJ$3)*(日次管理!$F$4:$F$34=$A$12)*(日次管理!$R$2:$GC$2="実施完了")*(日次管理!$R$3:$GC$3="予定"),日次管理!$R$4:$GC$34)</f>
        <v>22</v>
      </c>
      <c r="AK12" s="89">
        <f>SUMPRODUCT((日次管理!$R$1:$GC$1&lt;=$AK$3)*(日次管理!$F$4:$F$34=$A$12)*(日次管理!$R$2:$GC$2="実施完了")*(日次管理!$R$3:$GC$3="実績"),日次管理!$R$4:$GC$34)</f>
        <v>22</v>
      </c>
      <c r="AL12" s="140">
        <f>SUMPRODUCT((日次管理!$R$1:$GC$1&lt;=$AL$3)*(日次管理!$F$4:$F$34=$A$12)*(日次管理!$R$2:$GC$2="実施完了")*(日次管理!$R$3:$GC$3="予定"),日次管理!$R$4:$GC$34)</f>
        <v>22</v>
      </c>
      <c r="AM12" s="89">
        <f>SUMPRODUCT((日次管理!$R$1:$GC$1&lt;=$AM$3)*(日次管理!$F$4:$F$34=$A$12)*(日次管理!$R$2:$GC$2="実施完了")*(日次管理!$R$3:$GC$3="実績"),日次管理!$R$4:$GC$34)</f>
        <v>22</v>
      </c>
      <c r="AN12" s="140">
        <f>SUMPRODUCT((日次管理!$R$1:$GC$1&lt;=$AN$3)*(日次管理!$F$4:$F$34=$A$12)*(日次管理!$R$2:$GC$2="実施完了")*(日次管理!$R$3:$GC$3="予定"),日次管理!$R$4:$GC$34)</f>
        <v>22</v>
      </c>
      <c r="AO12" s="89">
        <f>SUMPRODUCT((日次管理!$R$1:$GC$1&lt;=$AO$3)*(日次管理!$F$4:$F$34=$A$12)*(日次管理!$R$2:$GC$2="実施完了")*(日次管理!$R$3:$GC$3="実績"),日次管理!$R$4:$GC$34)</f>
        <v>22</v>
      </c>
      <c r="AP12" s="140">
        <f>SUMPRODUCT((日次管理!$R$1:$GC$1&lt;=$AP$3)*(日次管理!$F$4:$F$34=$A$12)*(日次管理!$R$2:$GC$2="実施完了")*(日次管理!$R$3:$GC$3="予定"),日次管理!$R$4:$GC$34)</f>
        <v>22</v>
      </c>
      <c r="AQ12" s="89">
        <f>SUMPRODUCT((日次管理!$R$1:$GC$1&lt;=$AQ$3)*(日次管理!$F$4:$F$34=$A$12)*(日次管理!$R$2:$GC$2="実施完了")*(日次管理!$R$3:$GC$3="実績"),日次管理!$R$4:$GC$34)</f>
        <v>22</v>
      </c>
      <c r="AR12" s="140">
        <f>SUMPRODUCT((日次管理!$R$1:$GC$1&lt;=$AR$3)*(日次管理!$F$4:$F$34=$A$12)*(日次管理!$R$2:$GC$2="実施完了")*(日次管理!$R$3:$GC$3="予定"),日次管理!$R$4:$GC$34)</f>
        <v>22</v>
      </c>
      <c r="AS12" s="89">
        <f>SUMPRODUCT((日次管理!$R$1:$GC$1&lt;=$AS$3)*(日次管理!$F$4:$F$34=$A$12)*(日次管理!$R$2:$GC$2="実施完了")*(日次管理!$R$3:$GC$3="実績"),日次管理!$R$4:$GC$34)</f>
        <v>22</v>
      </c>
      <c r="AT12" s="140">
        <f>SUMPRODUCT((日次管理!$R$1:$GC$1&lt;=$AT$3)*(日次管理!$F$4:$F$34=$A$12)*(日次管理!$R$2:$GC$2="実施完了")*(日次管理!$R$3:$GC$3="予定"),日次管理!$R$4:$GC$34)</f>
        <v>22</v>
      </c>
      <c r="AU12" s="89">
        <f>SUMPRODUCT((日次管理!$R$1:$GC$1&lt;=$AU$3)*(日次管理!$F$4:$F$34=$A$12)*(日次管理!$R$2:$GC$2="実施完了")*(日次管理!$R$3:$GC$3="実績"),日次管理!$R$4:$GC$34)</f>
        <v>22</v>
      </c>
      <c r="AV12" s="140">
        <f>SUMPRODUCT((日次管理!$R$1:$GC$1&lt;=$AV$3)*(日次管理!$F$4:$F$34=$A$12)*(日次管理!$R$2:$GC$2="実施完了")*(日次管理!$R$3:$GC$3="予定"),日次管理!$R$4:$GC$34)</f>
        <v>22</v>
      </c>
      <c r="AW12" s="89">
        <f>SUMPRODUCT((日次管理!$R$1:$GC$1&lt;=$AW$3)*(日次管理!$F$4:$F$34=$A$12)*(日次管理!$R$2:$GC$2="実施完了")*(日次管理!$R$3:$GC$3="実績"),日次管理!$R$4:$GC$34)</f>
        <v>22</v>
      </c>
      <c r="AX12" s="140">
        <f>SUMPRODUCT((日次管理!$R$1:$GC$1&lt;=$AX$3)*(日次管理!$F$4:$F$34=$A$12)*(日次管理!$R$2:$GC$2="実施完了")*(日次管理!$R$3:$GC$3="予定"),日次管理!$R$4:$GC$34)</f>
        <v>22</v>
      </c>
      <c r="AY12" s="89">
        <f>SUMPRODUCT((日次管理!$R$1:$GC$1&lt;=$AY$3)*(日次管理!$F$4:$F$34=$A$12)*(日次管理!$R$2:$GC$2="実施完了")*(日次管理!$R$3:$GC$3="実績"),日次管理!$R$4:$GC$34)</f>
        <v>22</v>
      </c>
      <c r="AZ12" s="140">
        <f>SUMPRODUCT((日次管理!$R$1:$GC$1&lt;=$AZ$3)*(日次管理!$F$4:$F$34=$A$12)*(日次管理!$R$2:$GC$2="実施完了")*(日次管理!$R$3:$GC$3="予定"),日次管理!$R$4:$GC$34)</f>
        <v>22</v>
      </c>
      <c r="BA12" s="89">
        <f>SUMPRODUCT((日次管理!$R$1:$GC$1&lt;=$BA$3)*(日次管理!$F$4:$F$34=$A$12)*(日次管理!$R$2:$GC$2="実施完了")*(日次管理!$R$3:$GC$3="実績"),日次管理!$R$4:$GC$34)</f>
        <v>22</v>
      </c>
      <c r="BB12" s="140">
        <f>SUMPRODUCT((日次管理!$R$1:$GC$1&lt;=$BB$3)*(日次管理!$F$4:$F$34=$A$12)*(日次管理!$R$2:$GC$2="実施完了")*(日次管理!$R$3:$GC$3="予定"),日次管理!$R$4:$GC$34)</f>
        <v>22</v>
      </c>
      <c r="BC12" s="89">
        <f>SUMPRODUCT((日次管理!$R$1:$GC$1&lt;=$BC$3)*(日次管理!$F$4:$F$34=$A$12)*(日次管理!$R$2:$GC$2="実施完了")*(日次管理!$R$3:$GC$3="実績"),日次管理!$R$4:$GC$34)</f>
        <v>22</v>
      </c>
      <c r="BD12" s="140">
        <f>SUMPRODUCT((日次管理!$R$1:$GC$1&lt;=$BD$3)*(日次管理!$F$4:$F$34=$A$12)*(日次管理!$R$2:$GC$2="実施完了")*(日次管理!$R$3:$GC$3="予定"),日次管理!$R$4:$GC$34)</f>
        <v>22</v>
      </c>
      <c r="BE12" s="89">
        <f>SUMPRODUCT((日次管理!$R$1:$GC$1&lt;=$BE$3)*(日次管理!$F$4:$F$34=$A$12)*(日次管理!$R$2:$GC$2="実施完了")*(日次管理!$R$3:$GC$3="実績"),日次管理!$R$4:$GC$34)</f>
        <v>22</v>
      </c>
      <c r="BF12" s="140">
        <f>SUMPRODUCT((日次管理!$R$1:$GC$1&lt;=$BF$3)*(日次管理!$F$4:$F$34=$A$12)*(日次管理!$R$2:$GC$2="実施完了")*(日次管理!$R$3:$GC$3="予定"),日次管理!$R$4:$GC$34)</f>
        <v>22</v>
      </c>
      <c r="BG12" s="89">
        <f>SUMPRODUCT((日次管理!$R$1:$GC$1&lt;=$BG$3)*(日次管理!$F$4:$F$34=$A$12)*(日次管理!$R$2:$GC$2="実施完了")*(日次管理!$R$3:$GC$3="実績"),日次管理!$R$4:$GC$34)</f>
        <v>22</v>
      </c>
      <c r="BH12" s="140">
        <f>SUMPRODUCT((日次管理!$R$1:$GC$1&lt;=$BH$3)*(日次管理!$F$4:$F$34=$A$12)*(日次管理!$R$2:$GC$2="実施完了")*(日次管理!$R$3:$GC$3="予定"),日次管理!$R$4:$GC$34)</f>
        <v>22</v>
      </c>
      <c r="BI12" s="89">
        <f>SUMPRODUCT((日次管理!$R$1:$GC$1&lt;=$BI$3)*(日次管理!$F$4:$F$34=$A$12)*(日次管理!$R$2:$GC$2="実施完了")*(日次管理!$R$3:$GC$3="実績"),日次管理!$R$4:$GC$34)</f>
        <v>22</v>
      </c>
      <c r="BJ12" s="140">
        <f>SUMPRODUCT((日次管理!$R$1:$GC$1&lt;=$BJ$3)*(日次管理!$F$4:$F$34=$A$12)*(日次管理!$R$2:$GC$2="実施完了")*(日次管理!$R$3:$GC$3="予定"),日次管理!$R$4:$GC$34)</f>
        <v>22</v>
      </c>
      <c r="BK12" s="89">
        <f>SUMPRODUCT((日次管理!$R$1:$GC$1&lt;=$BK$3)*(日次管理!$F$4:$F$34=$A$12)*(日次管理!$R$2:$GC$2="実施完了")*(日次管理!$R$3:$GC$3="実績"),日次管理!$R$4:$GC$34)</f>
        <v>22</v>
      </c>
      <c r="BL12" s="140">
        <f>SUMPRODUCT((日次管理!$R$1:$GC$1&lt;=$BL$3)*(日次管理!$F$4:$F$34=$A$12)*(日次管理!$R$2:$GC$2="実施完了")*(日次管理!$R$3:$GC$3="予定"),日次管理!$R$4:$GC$34)</f>
        <v>22</v>
      </c>
      <c r="BM12" s="89">
        <f>SUMPRODUCT((日次管理!$R$1:$GC$1&lt;=$BM$3)*(日次管理!$F$4:$F$34=$A$12)*(日次管理!$R$2:$GC$2="実施完了")*(日次管理!$R$3:$GC$3="実績"),日次管理!$R$4:$GC$34)</f>
        <v>22</v>
      </c>
      <c r="BN12" s="140">
        <f>SUMPRODUCT((日次管理!$R$1:$GC$1&lt;=$BN$3)*(日次管理!$F$4:$F$34=$A$12)*(日次管理!$R$2:$GC$2="実施完了")*(日次管理!$R$3:$GC$3="予定"),日次管理!$R$4:$GC$34)</f>
        <v>22</v>
      </c>
      <c r="BO12" s="89">
        <f>SUMPRODUCT((日次管理!$R$1:$GC$1&lt;=$BO$3)*(日次管理!$F$4:$F$34=$A$12)*(日次管理!$R$2:$GC$2="実施完了")*(日次管理!$R$3:$GC$3="実績"),日次管理!$R$4:$GC$34)</f>
        <v>22</v>
      </c>
      <c r="BP12" s="140">
        <f>SUMPRODUCT((日次管理!$R$1:$GC$1&lt;=$BP$3)*(日次管理!$F$4:$F$34=$A$12)*(日次管理!$R$2:$GC$2="実施完了")*(日次管理!$R$3:$GC$3="予定"),日次管理!$R$4:$GC$34)</f>
        <v>22</v>
      </c>
      <c r="BQ12" s="89">
        <f>SUMPRODUCT((日次管理!$R$1:$GC$1&lt;=$BQ$3)*(日次管理!$F$4:$F$34=$A$12)*(日次管理!$R$2:$GC$2="実施完了")*(日次管理!$R$3:$GC$3="実績"),日次管理!$R$4:$GC$34)</f>
        <v>22</v>
      </c>
      <c r="BR12" s="140">
        <f>SUMPRODUCT((日次管理!$R$1:$GC$1&lt;=$BR$3)*(日次管理!$F$4:$F$34=$A$12)*(日次管理!$R$2:$GC$2="実施完了")*(日次管理!$R$3:$GC$3="予定"),日次管理!$R$4:$GC$34)</f>
        <v>22</v>
      </c>
      <c r="BS12" s="89">
        <f>SUMPRODUCT((日次管理!$R$1:$GC$1&lt;=$BS$3)*(日次管理!$F$4:$F$34=$A$12)*(日次管理!$R$2:$GC$2="実施完了")*(日次管理!$R$3:$GC$3="実績"),日次管理!$R$4:$GC$34)</f>
        <v>22</v>
      </c>
      <c r="BT12" s="140">
        <f>SUMPRODUCT((日次管理!$R$1:$GC$1&lt;=$BT$3)*(日次管理!$F$4:$F$34=$A$12)*(日次管理!$R$2:$GC$2="実施完了")*(日次管理!$R$3:$GC$3="予定"),日次管理!$R$4:$GC$34)</f>
        <v>22</v>
      </c>
      <c r="BU12" s="89">
        <f>SUMPRODUCT((日次管理!$R$1:$GC$1&lt;=$BU$3)*(日次管理!$F$4:$F$34=$A$12)*(日次管理!$R$2:$GC$2="実施完了")*(日次管理!$R$3:$GC$3="実績"),日次管理!$R$4:$GC$34)</f>
        <v>22</v>
      </c>
      <c r="BV12" s="140">
        <f>SUMPRODUCT((日次管理!$R$1:$GC$1&lt;=$BV$3)*(日次管理!$F$4:$F$34=$A$12)*(日次管理!$R$2:$GC$2="実施完了")*(日次管理!$R$3:$GC$3="予定"),日次管理!$R$4:$GC$34)</f>
        <v>22</v>
      </c>
      <c r="BW12" s="89">
        <f>SUMPRODUCT((日次管理!$R$1:$GC$1&lt;=$BW$3)*(日次管理!$F$4:$F$34=$A$12)*(日次管理!$R$2:$GC$2="実施完了")*(日次管理!$R$3:$GC$3="実績"),日次管理!$R$4:$GC$34)</f>
        <v>22</v>
      </c>
      <c r="BX12" s="140">
        <f>SUMPRODUCT((日次管理!$R$1:$GC$1&lt;=$BX$3)*(日次管理!$F$4:$F$34=$A$12)*(日次管理!$R$2:$GC$2="実施完了")*(日次管理!$R$3:$GC$3="予定"),日次管理!$R$4:$GC$34)</f>
        <v>22</v>
      </c>
      <c r="BY12" s="89">
        <f>SUMPRODUCT((日次管理!$R$1:$GC$1&lt;=$BY$3)*(日次管理!$F$4:$F$34=$A$12)*(日次管理!$R$2:$GC$2="実施完了")*(日次管理!$R$3:$GC$3="実績"),日次管理!$R$4:$GC$34)</f>
        <v>22</v>
      </c>
      <c r="BZ12" s="140">
        <f>SUMPRODUCT((日次管理!$R$1:$GC$1&lt;=$BZ$3)*(日次管理!$F$4:$F$34=$A$12)*(日次管理!$R$2:$GC$2="実施完了")*(日次管理!$R$3:$GC$3="予定"),日次管理!$R$4:$GC$34)</f>
        <v>22</v>
      </c>
      <c r="CA12" s="89">
        <f>SUMPRODUCT((日次管理!$R$1:$GC$1&lt;=$CA$3)*(日次管理!$F$4:$F$34=$A$12)*(日次管理!$R$2:$GC$2="実施完了")*(日次管理!$R$3:$GC$3="実績"),日次管理!$R$4:$GC$34)</f>
        <v>22</v>
      </c>
      <c r="CB12" s="140">
        <f>SUMPRODUCT((日次管理!$R$1:$GC$1&lt;=$CB$3)*(日次管理!$F$4:$F$34=$A$12)*(日次管理!$R$2:$GC$2="実施完了")*(日次管理!$R$3:$GC$3="予定"),日次管理!$R$4:$GC$34)</f>
        <v>22</v>
      </c>
      <c r="CC12" s="89">
        <f>SUMPRODUCT((日次管理!$R$1:$GC$1&lt;=$CC$3)*(日次管理!$F$4:$F$34=$A$12)*(日次管理!$R$2:$GC$2="実施完了")*(日次管理!$R$3:$GC$3="実績"),日次管理!$R$4:$GC$34)</f>
        <v>22</v>
      </c>
      <c r="CD12" s="140">
        <f>SUMPRODUCT((日次管理!$R$1:$GC$1&lt;=$CD$3)*(日次管理!$F$4:$F$34=$A$12)*(日次管理!$R$2:$GC$2="実施完了")*(日次管理!$R$3:$GC$3="予定"),日次管理!$R$4:$GC$34)</f>
        <v>22</v>
      </c>
      <c r="CE12" s="89">
        <f>SUMPRODUCT((日次管理!$R$1:$GC$1&lt;=$CE$3)*(日次管理!$F$4:$F$34=$A$12)*(日次管理!$R$2:$GC$2="実施完了")*(日次管理!$R$3:$GC$3="実績"),日次管理!$R$4:$GC$34)</f>
        <v>22</v>
      </c>
      <c r="CF12" s="140">
        <f>SUMPRODUCT((日次管理!$R$1:$GC$1&lt;=$CF$3)*(日次管理!$F$4:$F$34=$A$12)*(日次管理!$R$2:$GC$2="実施完了")*(日次管理!$R$3:$GC$3="予定"),日次管理!$R$4:$GC$34)</f>
        <v>22</v>
      </c>
      <c r="CG12" s="89">
        <f>SUMPRODUCT((日次管理!$R$1:$GC$1&lt;=$CG$3)*(日次管理!$F$4:$F$34=$A$12)*(日次管理!$R$2:$GC$2="実施完了")*(日次管理!$R$3:$GC$3="実績"),日次管理!$R$4:$GC$34)</f>
        <v>22</v>
      </c>
      <c r="CH12" s="141">
        <f ca="1">SUMPRODUCT(($A$3- WEEKDAY($A$3) + 6 =$B$3:$CG$3)*("実績"=$B$4:$CG$4),$B$12:$CG$12)/SUMPRODUCT(($A$3- WEEKDAY($A$3) + 6 =$B$3:$CG$3)*("予定"=$B$4:$CG$4),$B$12:$CG$12)</f>
        <v>1</v>
      </c>
      <c r="CI12" s="142">
        <f>$CG$12/$CF$12</f>
        <v>1</v>
      </c>
    </row>
    <row r="13" spans="1:87" ht="20.100000000000001" customHeight="1">
      <c r="A13" s="143" t="s">
        <v>146</v>
      </c>
      <c r="B13" s="144">
        <f>SUMPRODUCT((日次管理!$R$1:$GC$1&lt;=$B$3)*(日次管理!$F$4:$F$34=$A$13)*(日次管理!$R$2:$GC$2="実施完了")*(日次管理!$R$3:$GC$3="予定"),日次管理!$R$4:$GC$34)</f>
        <v>0</v>
      </c>
      <c r="C13" s="90">
        <f>SUMPRODUCT((日次管理!$R$1:$GC$1&lt;=$C$3)*(日次管理!$F$4:$F$34=$A$13)*(日次管理!$R$2:$GC$2="実施完了")*(日次管理!$R$3:$GC$3="実績"),日次管理!$R$4:$GC$34)</f>
        <v>0</v>
      </c>
      <c r="D13" s="144">
        <f>SUMPRODUCT((日次管理!$R$1:$GC$1&lt;=$D$3)*(日次管理!$F$4:$F$34=$A$13)*(日次管理!$R$2:$GC$2="実施完了")*(日次管理!$R$3:$GC$3="予定"),日次管理!$R$4:$GC$34)</f>
        <v>0</v>
      </c>
      <c r="E13" s="90">
        <f>SUMPRODUCT((日次管理!$R$1:$GC$1&lt;=$E$3)*(日次管理!$F$4:$F$34=$A$13)*(日次管理!$R$2:$GC$2="実施完了")*(日次管理!$R$3:$GC$3="実績"),日次管理!$R$4:$GC$34)</f>
        <v>0</v>
      </c>
      <c r="F13" s="144">
        <f>SUMPRODUCT((日次管理!$R$1:$GC$1&lt;=$F$3)*(日次管理!$F$4:$F$34=$A$13)*(日次管理!$R$2:$GC$2="実施完了")*(日次管理!$R$3:$GC$3="予定"),日次管理!$R$4:$GC$34)</f>
        <v>0</v>
      </c>
      <c r="G13" s="90">
        <f>SUMPRODUCT((日次管理!$R$1:$GC$1&lt;=$G$3)*(日次管理!$F$4:$F$34=$A$13)*(日次管理!$R$2:$GC$2="実施完了")*(日次管理!$R$3:$GC$3="実績"),日次管理!$R$4:$GC$34)</f>
        <v>0</v>
      </c>
      <c r="H13" s="144">
        <f>SUMPRODUCT((日次管理!$R$1:$GC$1&lt;=$H$3)*(日次管理!$F$4:$F$34=$A$13)*(日次管理!$R$2:$GC$2="実施完了")*(日次管理!$R$3:$GC$3="予定"),日次管理!$R$4:$GC$34)</f>
        <v>0</v>
      </c>
      <c r="I13" s="90">
        <f>SUMPRODUCT((日次管理!$R$1:$GC$1&lt;=$I$3)*(日次管理!$F$4:$F$34=$A$13)*(日次管理!$R$2:$GC$2="実施完了")*(日次管理!$R$3:$GC$3="実績"),日次管理!$R$4:$GC$34)</f>
        <v>0</v>
      </c>
      <c r="J13" s="144">
        <f>SUMPRODUCT((日次管理!$R$1:$GC$1&lt;=$J$3)*(日次管理!$F$4:$F$34=$A$13)*(日次管理!$R$2:$GC$2="実施完了")*(日次管理!$R$3:$GC$3="予定"),日次管理!$R$4:$GC$34)</f>
        <v>0</v>
      </c>
      <c r="K13" s="90">
        <f>SUMPRODUCT((日次管理!$R$1:$GC$1&lt;=$K$3)*(日次管理!$F$4:$F$34=$A$13)*(日次管理!$R$2:$GC$2="実施完了")*(日次管理!$R$3:$GC$3="実績"),日次管理!$R$4:$GC$34)</f>
        <v>0</v>
      </c>
      <c r="L13" s="144">
        <f>SUMPRODUCT((日次管理!$R$1:$GC$1&lt;=$L$3)*(日次管理!$F$4:$F$34=$A$13)*(日次管理!$R$2:$GC$2="実施完了")*(日次管理!$R$3:$GC$3="予定"),日次管理!$R$4:$GC$34)</f>
        <v>0</v>
      </c>
      <c r="M13" s="90">
        <f>SUMPRODUCT((日次管理!$R$1:$GC$1&lt;=$M$3)*(日次管理!$F$4:$F$34=$A$13)*(日次管理!$R$2:$GC$2="実施完了")*(日次管理!$R$3:$GC$3="実績"),日次管理!$R$4:$GC$34)</f>
        <v>0</v>
      </c>
      <c r="N13" s="144">
        <f>SUMPRODUCT((日次管理!$R$1:$GC$1&lt;=$N$3)*(日次管理!$F$4:$F$34=$A$13)*(日次管理!$R$2:$GC$2="実施完了")*(日次管理!$R$3:$GC$3="予定"),日次管理!$R$4:$GC$34)</f>
        <v>0</v>
      </c>
      <c r="O13" s="90">
        <f>SUMPRODUCT((日次管理!$R$1:$GC$1&lt;=$O$3)*(日次管理!$F$4:$F$34=$A$13)*(日次管理!$R$2:$GC$2="実施完了")*(日次管理!$R$3:$GC$3="実績"),日次管理!$R$4:$GC$34)</f>
        <v>0</v>
      </c>
      <c r="P13" s="144">
        <f>SUMPRODUCT((日次管理!$R$1:$GC$1&lt;=$P$3)*(日次管理!$F$4:$F$34=$A$13)*(日次管理!$R$2:$GC$2="実施完了")*(日次管理!$R$3:$GC$3="予定"),日次管理!$R$4:$GC$34)</f>
        <v>0</v>
      </c>
      <c r="Q13" s="90">
        <f>SUMPRODUCT((日次管理!$R$1:$GC$1&lt;=$Q$3)*(日次管理!$F$4:$F$34=$A$13)*(日次管理!$R$2:$GC$2="実施完了")*(日次管理!$R$3:$GC$3="実績"),日次管理!$R$4:$GC$34)</f>
        <v>0</v>
      </c>
      <c r="R13" s="144">
        <f>SUMPRODUCT((日次管理!$R$1:$GC$1&lt;=$R$3)*(日次管理!$F$4:$F$34=$A$13)*(日次管理!$R$2:$GC$2="実施完了")*(日次管理!$R$3:$GC$3="予定"),日次管理!$R$4:$GC$34)</f>
        <v>0</v>
      </c>
      <c r="S13" s="90">
        <f>SUMPRODUCT((日次管理!$R$1:$GC$1&lt;=$S$3)*(日次管理!$F$4:$F$34=$A$13)*(日次管理!$R$2:$GC$2="実施完了")*(日次管理!$R$3:$GC$3="実績"),日次管理!$R$4:$GC$34)</f>
        <v>0</v>
      </c>
      <c r="T13" s="144">
        <f>SUMPRODUCT((日次管理!$R$1:$GC$1&lt;=$T$3)*(日次管理!$F$4:$F$34=$A$13)*(日次管理!$R$2:$GC$2="実施完了")*(日次管理!$R$3:$GC$3="予定"),日次管理!$R$4:$GC$34)</f>
        <v>0</v>
      </c>
      <c r="U13" s="90">
        <f>SUMPRODUCT((日次管理!$R$1:$GC$1&lt;=$U$3)*(日次管理!$F$4:$F$34=$A$13)*(日次管理!$R$2:$GC$2="実施完了")*(日次管理!$R$3:$GC$3="実績"),日次管理!$R$4:$GC$34)</f>
        <v>1</v>
      </c>
      <c r="V13" s="144">
        <f>SUMPRODUCT((日次管理!$R$1:$GC$1&lt;=$V$3)*(日次管理!$F$4:$F$34=$A$13)*(日次管理!$R$2:$GC$2="実施完了")*(日次管理!$R$3:$GC$3="予定"),日次管理!$R$4:$GC$34)</f>
        <v>0</v>
      </c>
      <c r="W13" s="90">
        <f>SUMPRODUCT((日次管理!$R$1:$GC$1&lt;=$W$3)*(日次管理!$F$4:$F$34=$A$13)*(日次管理!$R$2:$GC$2="実施完了")*(日次管理!$R$3:$GC$3="実績"),日次管理!$R$4:$GC$34)</f>
        <v>1</v>
      </c>
      <c r="X13" s="144">
        <f>SUMPRODUCT((日次管理!$R$1:$GC$1&lt;=$X$3)*(日次管理!$F$4:$F$34=$A$13)*(日次管理!$R$2:$GC$2="実施完了")*(日次管理!$R$3:$GC$3="予定"),日次管理!$R$4:$GC$34)</f>
        <v>8</v>
      </c>
      <c r="Y13" s="90">
        <f>SUMPRODUCT((日次管理!$R$1:$GC$1&lt;=$Y$3)*(日次管理!$F$4:$F$34=$A$13)*(日次管理!$R$2:$GC$2="実施完了")*(日次管理!$R$3:$GC$3="実績"),日次管理!$R$4:$GC$34)</f>
        <v>4</v>
      </c>
      <c r="Z13" s="144">
        <f>SUMPRODUCT((日次管理!$R$1:$GC$1&lt;=$Z$3)*(日次管理!$F$4:$F$34=$A$13)*(日次管理!$R$2:$GC$2="実施完了")*(日次管理!$R$3:$GC$3="予定"),日次管理!$R$4:$GC$34)</f>
        <v>8</v>
      </c>
      <c r="AA13" s="90">
        <f>SUMPRODUCT((日次管理!$R$1:$GC$1&lt;=$AA$3)*(日次管理!$F$4:$F$34=$A$13)*(日次管理!$R$2:$GC$2="実施完了")*(日次管理!$R$3:$GC$3="実績"),日次管理!$R$4:$GC$34)</f>
        <v>4</v>
      </c>
      <c r="AB13" s="144">
        <f>SUMPRODUCT((日次管理!$R$1:$GC$1&lt;=$AB$3)*(日次管理!$F$4:$F$34=$A$13)*(日次管理!$R$2:$GC$2="実施完了")*(日次管理!$R$3:$GC$3="予定"),日次管理!$R$4:$GC$34)</f>
        <v>8</v>
      </c>
      <c r="AC13" s="90">
        <f>SUMPRODUCT((日次管理!$R$1:$GC$1&lt;=$AC$3)*(日次管理!$F$4:$F$34=$A$13)*(日次管理!$R$2:$GC$2="実施完了")*(日次管理!$R$3:$GC$3="実績"),日次管理!$R$4:$GC$34)</f>
        <v>4</v>
      </c>
      <c r="AD13" s="144">
        <f>SUMPRODUCT((日次管理!$R$1:$GC$1&lt;=$AD$3)*(日次管理!$F$4:$F$34=$A$13)*(日次管理!$R$2:$GC$2="実施完了")*(日次管理!$R$3:$GC$3="予定"),日次管理!$R$4:$GC$34)</f>
        <v>8</v>
      </c>
      <c r="AE13" s="90">
        <f>SUMPRODUCT((日次管理!$R$1:$GC$1&lt;=$AE$3)*(日次管理!$F$4:$F$34=$A$13)*(日次管理!$R$2:$GC$2="実施完了")*(日次管理!$R$3:$GC$3="実績"),日次管理!$R$4:$GC$34)</f>
        <v>13</v>
      </c>
      <c r="AF13" s="144">
        <f>SUMPRODUCT((日次管理!$R$1:$GC$1&lt;=$AF$3)*(日次管理!$F$4:$F$34=$A$13)*(日次管理!$R$2:$GC$2="実施完了")*(日次管理!$R$3:$GC$3="予定"),日次管理!$R$4:$GC$34)</f>
        <v>20</v>
      </c>
      <c r="AG13" s="90">
        <f>SUMPRODUCT((日次管理!$R$1:$GC$1&lt;=$AG$3)*(日次管理!$F$4:$F$34=$A$13)*(日次管理!$R$2:$GC$2="実施完了")*(日次管理!$R$3:$GC$3="実績"),日次管理!$R$4:$GC$34)</f>
        <v>17</v>
      </c>
      <c r="AH13" s="144">
        <f>SUMPRODUCT((日次管理!$R$1:$GC$1&lt;=$AH$3)*(日次管理!$F$4:$F$34=$A$13)*(日次管理!$R$2:$GC$2="実施完了")*(日次管理!$R$3:$GC$3="予定"),日次管理!$R$4:$GC$34)</f>
        <v>20</v>
      </c>
      <c r="AI13" s="90">
        <f>SUMPRODUCT((日次管理!$R$1:$GC$1&lt;=$AI$3)*(日次管理!$F$4:$F$34=$A$13)*(日次管理!$R$2:$GC$2="実施完了")*(日次管理!$R$3:$GC$3="実績"),日次管理!$R$4:$GC$34)</f>
        <v>17</v>
      </c>
      <c r="AJ13" s="144">
        <f>SUMPRODUCT((日次管理!$R$1:$GC$1&lt;=$AJ$3)*(日次管理!$F$4:$F$34=$A$13)*(日次管理!$R$2:$GC$2="実施完了")*(日次管理!$R$3:$GC$3="予定"),日次管理!$R$4:$GC$34)</f>
        <v>28</v>
      </c>
      <c r="AK13" s="90">
        <f>SUMPRODUCT((日次管理!$R$1:$GC$1&lt;=$AK$3)*(日次管理!$F$4:$F$34=$A$13)*(日次管理!$R$2:$GC$2="実施完了")*(日次管理!$R$3:$GC$3="実績"),日次管理!$R$4:$GC$34)</f>
        <v>22</v>
      </c>
      <c r="AL13" s="144">
        <f>SUMPRODUCT((日次管理!$R$1:$GC$1&lt;=$AL$3)*(日次管理!$F$4:$F$34=$A$13)*(日次管理!$R$2:$GC$2="実施完了")*(日次管理!$R$3:$GC$3="予定"),日次管理!$R$4:$GC$34)</f>
        <v>28</v>
      </c>
      <c r="AM13" s="90">
        <f>SUMPRODUCT((日次管理!$R$1:$GC$1&lt;=$AM$3)*(日次管理!$F$4:$F$34=$A$13)*(日次管理!$R$2:$GC$2="実施完了")*(日次管理!$R$3:$GC$3="実績"),日次管理!$R$4:$GC$34)</f>
        <v>28</v>
      </c>
      <c r="AN13" s="144">
        <f>SUMPRODUCT((日次管理!$R$1:$GC$1&lt;=$AN$3)*(日次管理!$F$4:$F$34=$A$13)*(日次管理!$R$2:$GC$2="実施完了")*(日次管理!$R$3:$GC$3="予定"),日次管理!$R$4:$GC$34)</f>
        <v>28</v>
      </c>
      <c r="AO13" s="90">
        <f>SUMPRODUCT((日次管理!$R$1:$GC$1&lt;=$AO$3)*(日次管理!$F$4:$F$34=$A$13)*(日次管理!$R$2:$GC$2="実施完了")*(日次管理!$R$3:$GC$3="実績"),日次管理!$R$4:$GC$34)</f>
        <v>28</v>
      </c>
      <c r="AP13" s="144">
        <f>SUMPRODUCT((日次管理!$R$1:$GC$1&lt;=$AP$3)*(日次管理!$F$4:$F$34=$A$13)*(日次管理!$R$2:$GC$2="実施完了")*(日次管理!$R$3:$GC$3="予定"),日次管理!$R$4:$GC$34)</f>
        <v>28</v>
      </c>
      <c r="AQ13" s="90">
        <f>SUMPRODUCT((日次管理!$R$1:$GC$1&lt;=$AQ$3)*(日次管理!$F$4:$F$34=$A$13)*(日次管理!$R$2:$GC$2="実施完了")*(日次管理!$R$3:$GC$3="実績"),日次管理!$R$4:$GC$34)</f>
        <v>28</v>
      </c>
      <c r="AR13" s="144">
        <f>SUMPRODUCT((日次管理!$R$1:$GC$1&lt;=$AR$3)*(日次管理!$F$4:$F$34=$A$13)*(日次管理!$R$2:$GC$2="実施完了")*(日次管理!$R$3:$GC$3="予定"),日次管理!$R$4:$GC$34)</f>
        <v>28</v>
      </c>
      <c r="AS13" s="90">
        <f>SUMPRODUCT((日次管理!$R$1:$GC$1&lt;=$AS$3)*(日次管理!$F$4:$F$34=$A$13)*(日次管理!$R$2:$GC$2="実施完了")*(日次管理!$R$3:$GC$3="実績"),日次管理!$R$4:$GC$34)</f>
        <v>28</v>
      </c>
      <c r="AT13" s="144">
        <f>SUMPRODUCT((日次管理!$R$1:$GC$1&lt;=$AT$3)*(日次管理!$F$4:$F$34=$A$13)*(日次管理!$R$2:$GC$2="実施完了")*(日次管理!$R$3:$GC$3="予定"),日次管理!$R$4:$GC$34)</f>
        <v>28</v>
      </c>
      <c r="AU13" s="90">
        <f>SUMPRODUCT((日次管理!$R$1:$GC$1&lt;=$AU$3)*(日次管理!$F$4:$F$34=$A$13)*(日次管理!$R$2:$GC$2="実施完了")*(日次管理!$R$3:$GC$3="実績"),日次管理!$R$4:$GC$34)</f>
        <v>28</v>
      </c>
      <c r="AV13" s="144">
        <f>SUMPRODUCT((日次管理!$R$1:$GC$1&lt;=$AV$3)*(日次管理!$F$4:$F$34=$A$13)*(日次管理!$R$2:$GC$2="実施完了")*(日次管理!$R$3:$GC$3="予定"),日次管理!$R$4:$GC$34)</f>
        <v>28</v>
      </c>
      <c r="AW13" s="90">
        <f>SUMPRODUCT((日次管理!$R$1:$GC$1&lt;=$AW$3)*(日次管理!$F$4:$F$34=$A$13)*(日次管理!$R$2:$GC$2="実施完了")*(日次管理!$R$3:$GC$3="実績"),日次管理!$R$4:$GC$34)</f>
        <v>28</v>
      </c>
      <c r="AX13" s="144">
        <f>SUMPRODUCT((日次管理!$R$1:$GC$1&lt;=$AX$3)*(日次管理!$F$4:$F$34=$A$13)*(日次管理!$R$2:$GC$2="実施完了")*(日次管理!$R$3:$GC$3="予定"),日次管理!$R$4:$GC$34)</f>
        <v>28</v>
      </c>
      <c r="AY13" s="90">
        <f>SUMPRODUCT((日次管理!$R$1:$GC$1&lt;=$AY$3)*(日次管理!$F$4:$F$34=$A$13)*(日次管理!$R$2:$GC$2="実施完了")*(日次管理!$R$3:$GC$3="実績"),日次管理!$R$4:$GC$34)</f>
        <v>28</v>
      </c>
      <c r="AZ13" s="144">
        <f>SUMPRODUCT((日次管理!$R$1:$GC$1&lt;=$AZ$3)*(日次管理!$F$4:$F$34=$A$13)*(日次管理!$R$2:$GC$2="実施完了")*(日次管理!$R$3:$GC$3="予定"),日次管理!$R$4:$GC$34)</f>
        <v>28</v>
      </c>
      <c r="BA13" s="90">
        <f>SUMPRODUCT((日次管理!$R$1:$GC$1&lt;=$BA$3)*(日次管理!$F$4:$F$34=$A$13)*(日次管理!$R$2:$GC$2="実施完了")*(日次管理!$R$3:$GC$3="実績"),日次管理!$R$4:$GC$34)</f>
        <v>28</v>
      </c>
      <c r="BB13" s="144">
        <f>SUMPRODUCT((日次管理!$R$1:$GC$1&lt;=$BB$3)*(日次管理!$F$4:$F$34=$A$13)*(日次管理!$R$2:$GC$2="実施完了")*(日次管理!$R$3:$GC$3="予定"),日次管理!$R$4:$GC$34)</f>
        <v>28</v>
      </c>
      <c r="BC13" s="90">
        <f>SUMPRODUCT((日次管理!$R$1:$GC$1&lt;=$BC$3)*(日次管理!$F$4:$F$34=$A$13)*(日次管理!$R$2:$GC$2="実施完了")*(日次管理!$R$3:$GC$3="実績"),日次管理!$R$4:$GC$34)</f>
        <v>28</v>
      </c>
      <c r="BD13" s="144">
        <f>SUMPRODUCT((日次管理!$R$1:$GC$1&lt;=$BD$3)*(日次管理!$F$4:$F$34=$A$13)*(日次管理!$R$2:$GC$2="実施完了")*(日次管理!$R$3:$GC$3="予定"),日次管理!$R$4:$GC$34)</f>
        <v>28</v>
      </c>
      <c r="BE13" s="90">
        <f>SUMPRODUCT((日次管理!$R$1:$GC$1&lt;=$BE$3)*(日次管理!$F$4:$F$34=$A$13)*(日次管理!$R$2:$GC$2="実施完了")*(日次管理!$R$3:$GC$3="実績"),日次管理!$R$4:$GC$34)</f>
        <v>28</v>
      </c>
      <c r="BF13" s="144">
        <f>SUMPRODUCT((日次管理!$R$1:$GC$1&lt;=$BF$3)*(日次管理!$F$4:$F$34=$A$13)*(日次管理!$R$2:$GC$2="実施完了")*(日次管理!$R$3:$GC$3="予定"),日次管理!$R$4:$GC$34)</f>
        <v>28</v>
      </c>
      <c r="BG13" s="90">
        <f>SUMPRODUCT((日次管理!$R$1:$GC$1&lt;=$BG$3)*(日次管理!$F$4:$F$34=$A$13)*(日次管理!$R$2:$GC$2="実施完了")*(日次管理!$R$3:$GC$3="実績"),日次管理!$R$4:$GC$34)</f>
        <v>28</v>
      </c>
      <c r="BH13" s="144">
        <f>SUMPRODUCT((日次管理!$R$1:$GC$1&lt;=$BH$3)*(日次管理!$F$4:$F$34=$A$13)*(日次管理!$R$2:$GC$2="実施完了")*(日次管理!$R$3:$GC$3="予定"),日次管理!$R$4:$GC$34)</f>
        <v>36</v>
      </c>
      <c r="BI13" s="90">
        <f>SUMPRODUCT((日次管理!$R$1:$GC$1&lt;=$BI$3)*(日次管理!$F$4:$F$34=$A$13)*(日次管理!$R$2:$GC$2="実施完了")*(日次管理!$R$3:$GC$3="実績"),日次管理!$R$4:$GC$34)</f>
        <v>28</v>
      </c>
      <c r="BJ13" s="144">
        <f>SUMPRODUCT((日次管理!$R$1:$GC$1&lt;=$BJ$3)*(日次管理!$F$4:$F$34=$A$13)*(日次管理!$R$2:$GC$2="実施完了")*(日次管理!$R$3:$GC$3="予定"),日次管理!$R$4:$GC$34)</f>
        <v>44</v>
      </c>
      <c r="BK13" s="90">
        <f>SUMPRODUCT((日次管理!$R$1:$GC$1&lt;=$BK$3)*(日次管理!$F$4:$F$34=$A$13)*(日次管理!$R$2:$GC$2="実施完了")*(日次管理!$R$3:$GC$3="実績"),日次管理!$R$4:$GC$34)</f>
        <v>28</v>
      </c>
      <c r="BL13" s="144">
        <f>SUMPRODUCT((日次管理!$R$1:$GC$1&lt;=$BL$3)*(日次管理!$F$4:$F$34=$A$13)*(日次管理!$R$2:$GC$2="実施完了")*(日次管理!$R$3:$GC$3="予定"),日次管理!$R$4:$GC$34)</f>
        <v>44</v>
      </c>
      <c r="BM13" s="90">
        <f>SUMPRODUCT((日次管理!$R$1:$GC$1&lt;=$BM$3)*(日次管理!$F$4:$F$34=$A$13)*(日次管理!$R$2:$GC$2="実施完了")*(日次管理!$R$3:$GC$3="実績"),日次管理!$R$4:$GC$34)</f>
        <v>28</v>
      </c>
      <c r="BN13" s="144">
        <f>SUMPRODUCT((日次管理!$R$1:$GC$1&lt;=$BN$3)*(日次管理!$F$4:$F$34=$A$13)*(日次管理!$R$2:$GC$2="実施完了")*(日次管理!$R$3:$GC$3="予定"),日次管理!$R$4:$GC$34)</f>
        <v>44</v>
      </c>
      <c r="BO13" s="90">
        <f>SUMPRODUCT((日次管理!$R$1:$GC$1&lt;=$BO$3)*(日次管理!$F$4:$F$34=$A$13)*(日次管理!$R$2:$GC$2="実施完了")*(日次管理!$R$3:$GC$3="実績"),日次管理!$R$4:$GC$34)</f>
        <v>28</v>
      </c>
      <c r="BP13" s="144">
        <f>SUMPRODUCT((日次管理!$R$1:$GC$1&lt;=$BP$3)*(日次管理!$F$4:$F$34=$A$13)*(日次管理!$R$2:$GC$2="実施完了")*(日次管理!$R$3:$GC$3="予定"),日次管理!$R$4:$GC$34)</f>
        <v>44</v>
      </c>
      <c r="BQ13" s="90">
        <f>SUMPRODUCT((日次管理!$R$1:$GC$1&lt;=$BQ$3)*(日次管理!$F$4:$F$34=$A$13)*(日次管理!$R$2:$GC$2="実施完了")*(日次管理!$R$3:$GC$3="実績"),日次管理!$R$4:$GC$34)</f>
        <v>28</v>
      </c>
      <c r="BR13" s="144">
        <f>SUMPRODUCT((日次管理!$R$1:$GC$1&lt;=$BR$3)*(日次管理!$F$4:$F$34=$A$13)*(日次管理!$R$2:$GC$2="実施完了")*(日次管理!$R$3:$GC$3="予定"),日次管理!$R$4:$GC$34)</f>
        <v>44</v>
      </c>
      <c r="BS13" s="90">
        <f>SUMPRODUCT((日次管理!$R$1:$GC$1&lt;=$BS$3)*(日次管理!$F$4:$F$34=$A$13)*(日次管理!$R$2:$GC$2="実施完了")*(日次管理!$R$3:$GC$3="実績"),日次管理!$R$4:$GC$34)</f>
        <v>28</v>
      </c>
      <c r="BT13" s="144">
        <f>SUMPRODUCT((日次管理!$R$1:$GC$1&lt;=$BT$3)*(日次管理!$F$4:$F$34=$A$13)*(日次管理!$R$2:$GC$2="実施完了")*(日次管理!$R$3:$GC$3="予定"),日次管理!$R$4:$GC$34)</f>
        <v>44</v>
      </c>
      <c r="BU13" s="90">
        <f>SUMPRODUCT((日次管理!$R$1:$GC$1&lt;=$BU$3)*(日次管理!$F$4:$F$34=$A$13)*(日次管理!$R$2:$GC$2="実施完了")*(日次管理!$R$3:$GC$3="実績"),日次管理!$R$4:$GC$34)</f>
        <v>28</v>
      </c>
      <c r="BV13" s="144">
        <f>SUMPRODUCT((日次管理!$R$1:$GC$1&lt;=$BV$3)*(日次管理!$F$4:$F$34=$A$13)*(日次管理!$R$2:$GC$2="実施完了")*(日次管理!$R$3:$GC$3="予定"),日次管理!$R$4:$GC$34)</f>
        <v>44</v>
      </c>
      <c r="BW13" s="90">
        <f>SUMPRODUCT((日次管理!$R$1:$GC$1&lt;=$BW$3)*(日次管理!$F$4:$F$34=$A$13)*(日次管理!$R$2:$GC$2="実施完了")*(日次管理!$R$3:$GC$3="実績"),日次管理!$R$4:$GC$34)</f>
        <v>28</v>
      </c>
      <c r="BX13" s="144">
        <f>SUMPRODUCT((日次管理!$R$1:$GC$1&lt;=$BX$3)*(日次管理!$F$4:$F$34=$A$13)*(日次管理!$R$2:$GC$2="実施完了")*(日次管理!$R$3:$GC$3="予定"),日次管理!$R$4:$GC$34)</f>
        <v>44</v>
      </c>
      <c r="BY13" s="90">
        <f>SUMPRODUCT((日次管理!$R$1:$GC$1&lt;=$BY$3)*(日次管理!$F$4:$F$34=$A$13)*(日次管理!$R$2:$GC$2="実施完了")*(日次管理!$R$3:$GC$3="実績"),日次管理!$R$4:$GC$34)</f>
        <v>28</v>
      </c>
      <c r="BZ13" s="144">
        <f>SUMPRODUCT((日次管理!$R$1:$GC$1&lt;=$BZ$3)*(日次管理!$F$4:$F$34=$A$13)*(日次管理!$R$2:$GC$2="実施完了")*(日次管理!$R$3:$GC$3="予定"),日次管理!$R$4:$GC$34)</f>
        <v>44</v>
      </c>
      <c r="CA13" s="90">
        <f>SUMPRODUCT((日次管理!$R$1:$GC$1&lt;=$CA$3)*(日次管理!$F$4:$F$34=$A$13)*(日次管理!$R$2:$GC$2="実施完了")*(日次管理!$R$3:$GC$3="実績"),日次管理!$R$4:$GC$34)</f>
        <v>28</v>
      </c>
      <c r="CB13" s="144">
        <f>SUMPRODUCT((日次管理!$R$1:$GC$1&lt;=$CB$3)*(日次管理!$F$4:$F$34=$A$13)*(日次管理!$R$2:$GC$2="実施完了")*(日次管理!$R$3:$GC$3="予定"),日次管理!$R$4:$GC$34)</f>
        <v>44</v>
      </c>
      <c r="CC13" s="90">
        <f>SUMPRODUCT((日次管理!$R$1:$GC$1&lt;=$CC$3)*(日次管理!$F$4:$F$34=$A$13)*(日次管理!$R$2:$GC$2="実施完了")*(日次管理!$R$3:$GC$3="実績"),日次管理!$R$4:$GC$34)</f>
        <v>28</v>
      </c>
      <c r="CD13" s="144">
        <f>SUMPRODUCT((日次管理!$R$1:$GC$1&lt;=$CD$3)*(日次管理!$F$4:$F$34=$A$13)*(日次管理!$R$2:$GC$2="実施完了")*(日次管理!$R$3:$GC$3="予定"),日次管理!$R$4:$GC$34)</f>
        <v>44</v>
      </c>
      <c r="CE13" s="90">
        <f>SUMPRODUCT((日次管理!$R$1:$GC$1&lt;=$CE$3)*(日次管理!$F$4:$F$34=$A$13)*(日次管理!$R$2:$GC$2="実施完了")*(日次管理!$R$3:$GC$3="実績"),日次管理!$R$4:$GC$34)</f>
        <v>28</v>
      </c>
      <c r="CF13" s="144">
        <f>SUMPRODUCT((日次管理!$R$1:$GC$1&lt;=$CF$3)*(日次管理!$F$4:$F$34=$A$13)*(日次管理!$R$2:$GC$2="実施完了")*(日次管理!$R$3:$GC$3="予定"),日次管理!$R$4:$GC$34)</f>
        <v>44</v>
      </c>
      <c r="CG13" s="90">
        <f>SUMPRODUCT((日次管理!$R$1:$GC$1&lt;=$CG$3)*(日次管理!$F$4:$F$34=$A$13)*(日次管理!$R$2:$GC$2="実施完了")*(日次管理!$R$3:$GC$3="実績"),日次管理!$R$4:$GC$34)</f>
        <v>28</v>
      </c>
      <c r="CH13" s="145">
        <f ca="1">SUMPRODUCT(($A$3- WEEKDAY($A$3) + 6 =$B$3:$CG$3)*("実績"=$B$4:$CG$4),$B$13:$CG$13)/SUMPRODUCT(($A$3- WEEKDAY($A$3) + 6 =$B$3:$CG$3)*("予定"=$B$4:$CG$4),$B$13:$CG$13)</f>
        <v>1</v>
      </c>
      <c r="CI13" s="146">
        <f>$CG$13/$CF$13</f>
        <v>0.63636363636363635</v>
      </c>
    </row>
    <row r="14" spans="1:87" ht="20.100000000000001" customHeight="1">
      <c r="A14" s="139" t="s">
        <v>119</v>
      </c>
      <c r="B14" s="140">
        <f>SUMPRODUCT((日次管理!$R$1:$GC$1&lt;=$B$3)*(日次管理!$F$4:$F$34=$A$14)*(日次管理!$R$2:$GC$2="実施完了")*(日次管理!$R$3:$GC$3="予定"),日次管理!$R$4:$GC$34)</f>
        <v>0</v>
      </c>
      <c r="C14" s="89">
        <f>SUMPRODUCT((日次管理!$R$1:$GC$1&lt;=$C$3)*(日次管理!$F$4:$F$34=$A$14)*(日次管理!$R$2:$GC$2="実施完了")*(日次管理!$R$3:$GC$3="実績"),日次管理!$R$4:$GC$34)</f>
        <v>0</v>
      </c>
      <c r="D14" s="140">
        <f>SUMPRODUCT((日次管理!$R$1:$GC$1&lt;=$D$3)*(日次管理!$F$4:$F$34=$A$14)*(日次管理!$R$2:$GC$2="実施完了")*(日次管理!$R$3:$GC$3="予定"),日次管理!$R$4:$GC$34)</f>
        <v>0</v>
      </c>
      <c r="E14" s="89">
        <f>SUMPRODUCT((日次管理!$R$1:$GC$1&lt;=$E$3)*(日次管理!$F$4:$F$34=$A$14)*(日次管理!$R$2:$GC$2="実施完了")*(日次管理!$R$3:$GC$3="実績"),日次管理!$R$4:$GC$34)</f>
        <v>0</v>
      </c>
      <c r="F14" s="140">
        <f>SUMPRODUCT((日次管理!$R$1:$GC$1&lt;=$F$3)*(日次管理!$F$4:$F$34=$A$14)*(日次管理!$R$2:$GC$2="実施完了")*(日次管理!$R$3:$GC$3="予定"),日次管理!$R$4:$GC$34)</f>
        <v>0</v>
      </c>
      <c r="G14" s="89">
        <f>SUMPRODUCT((日次管理!$R$1:$GC$1&lt;=$G$3)*(日次管理!$F$4:$F$34=$A$14)*(日次管理!$R$2:$GC$2="実施完了")*(日次管理!$R$3:$GC$3="実績"),日次管理!$R$4:$GC$34)</f>
        <v>0</v>
      </c>
      <c r="H14" s="140">
        <f>SUMPRODUCT((日次管理!$R$1:$GC$1&lt;=$H$3)*(日次管理!$F$4:$F$34=$A$14)*(日次管理!$R$2:$GC$2="実施完了")*(日次管理!$R$3:$GC$3="予定"),日次管理!$R$4:$GC$34)</f>
        <v>0</v>
      </c>
      <c r="I14" s="89">
        <f>SUMPRODUCT((日次管理!$R$1:$GC$1&lt;=$I$3)*(日次管理!$F$4:$F$34=$A$14)*(日次管理!$R$2:$GC$2="実施完了")*(日次管理!$R$3:$GC$3="実績"),日次管理!$R$4:$GC$34)</f>
        <v>0</v>
      </c>
      <c r="J14" s="140">
        <f>SUMPRODUCT((日次管理!$R$1:$GC$1&lt;=$J$3)*(日次管理!$F$4:$F$34=$A$14)*(日次管理!$R$2:$GC$2="実施完了")*(日次管理!$R$3:$GC$3="予定"),日次管理!$R$4:$GC$34)</f>
        <v>0</v>
      </c>
      <c r="K14" s="89">
        <f>SUMPRODUCT((日次管理!$R$1:$GC$1&lt;=$K$3)*(日次管理!$F$4:$F$34=$A$14)*(日次管理!$R$2:$GC$2="実施完了")*(日次管理!$R$3:$GC$3="実績"),日次管理!$R$4:$GC$34)</f>
        <v>0</v>
      </c>
      <c r="L14" s="140">
        <f>SUMPRODUCT((日次管理!$R$1:$GC$1&lt;=$L$3)*(日次管理!$F$4:$F$34=$A$14)*(日次管理!$R$2:$GC$2="実施完了")*(日次管理!$R$3:$GC$3="予定"),日次管理!$R$4:$GC$34)</f>
        <v>0</v>
      </c>
      <c r="M14" s="89">
        <f>SUMPRODUCT((日次管理!$R$1:$GC$1&lt;=$M$3)*(日次管理!$F$4:$F$34=$A$14)*(日次管理!$R$2:$GC$2="実施完了")*(日次管理!$R$3:$GC$3="実績"),日次管理!$R$4:$GC$34)</f>
        <v>0</v>
      </c>
      <c r="N14" s="140">
        <f>SUMPRODUCT((日次管理!$R$1:$GC$1&lt;=$N$3)*(日次管理!$F$4:$F$34=$A$14)*(日次管理!$R$2:$GC$2="実施完了")*(日次管理!$R$3:$GC$3="予定"),日次管理!$R$4:$GC$34)</f>
        <v>0</v>
      </c>
      <c r="O14" s="89">
        <f>SUMPRODUCT((日次管理!$R$1:$GC$1&lt;=$O$3)*(日次管理!$F$4:$F$34=$A$14)*(日次管理!$R$2:$GC$2="実施完了")*(日次管理!$R$3:$GC$3="実績"),日次管理!$R$4:$GC$34)</f>
        <v>0</v>
      </c>
      <c r="P14" s="140">
        <f>SUMPRODUCT((日次管理!$R$1:$GC$1&lt;=$P$3)*(日次管理!$F$4:$F$34=$A$14)*(日次管理!$R$2:$GC$2="実施完了")*(日次管理!$R$3:$GC$3="予定"),日次管理!$R$4:$GC$34)</f>
        <v>0</v>
      </c>
      <c r="Q14" s="89">
        <f>SUMPRODUCT((日次管理!$R$1:$GC$1&lt;=$Q$3)*(日次管理!$F$4:$F$34=$A$14)*(日次管理!$R$2:$GC$2="実施完了")*(日次管理!$R$3:$GC$3="実績"),日次管理!$R$4:$GC$34)</f>
        <v>0</v>
      </c>
      <c r="R14" s="140">
        <f>SUMPRODUCT((日次管理!$R$1:$GC$1&lt;=$R$3)*(日次管理!$F$4:$F$34=$A$14)*(日次管理!$R$2:$GC$2="実施完了")*(日次管理!$R$3:$GC$3="予定"),日次管理!$R$4:$GC$34)</f>
        <v>0</v>
      </c>
      <c r="S14" s="89">
        <f>SUMPRODUCT((日次管理!$R$1:$GC$1&lt;=$S$3)*(日次管理!$F$4:$F$34=$A$14)*(日次管理!$R$2:$GC$2="実施完了")*(日次管理!$R$3:$GC$3="実績"),日次管理!$R$4:$GC$34)</f>
        <v>0</v>
      </c>
      <c r="T14" s="140">
        <f>SUMPRODUCT((日次管理!$R$1:$GC$1&lt;=$T$3)*(日次管理!$F$4:$F$34=$A$14)*(日次管理!$R$2:$GC$2="実施完了")*(日次管理!$R$3:$GC$3="予定"),日次管理!$R$4:$GC$34)</f>
        <v>0</v>
      </c>
      <c r="U14" s="89">
        <f>SUMPRODUCT((日次管理!$R$1:$GC$1&lt;=$U$3)*(日次管理!$F$4:$F$34=$A$14)*(日次管理!$R$2:$GC$2="実施完了")*(日次管理!$R$3:$GC$3="実績"),日次管理!$R$4:$GC$34)</f>
        <v>0</v>
      </c>
      <c r="V14" s="140">
        <f>SUMPRODUCT((日次管理!$R$1:$GC$1&lt;=$V$3)*(日次管理!$F$4:$F$34=$A$14)*(日次管理!$R$2:$GC$2="実施完了")*(日次管理!$R$3:$GC$3="予定"),日次管理!$R$4:$GC$34)</f>
        <v>0</v>
      </c>
      <c r="W14" s="89">
        <f>SUMPRODUCT((日次管理!$R$1:$GC$1&lt;=$W$3)*(日次管理!$F$4:$F$34=$A$14)*(日次管理!$R$2:$GC$2="実施完了")*(日次管理!$R$3:$GC$3="実績"),日次管理!$R$4:$GC$34)</f>
        <v>0</v>
      </c>
      <c r="X14" s="140">
        <f>SUMPRODUCT((日次管理!$R$1:$GC$1&lt;=$X$3)*(日次管理!$F$4:$F$34=$A$14)*(日次管理!$R$2:$GC$2="実施完了")*(日次管理!$R$3:$GC$3="予定"),日次管理!$R$4:$GC$34)</f>
        <v>0</v>
      </c>
      <c r="Y14" s="89">
        <f>SUMPRODUCT((日次管理!$R$1:$GC$1&lt;=$Y$3)*(日次管理!$F$4:$F$34=$A$14)*(日次管理!$R$2:$GC$2="実施完了")*(日次管理!$R$3:$GC$3="実績"),日次管理!$R$4:$GC$34)</f>
        <v>0</v>
      </c>
      <c r="Z14" s="140">
        <f>SUMPRODUCT((日次管理!$R$1:$GC$1&lt;=$Z$3)*(日次管理!$F$4:$F$34=$A$14)*(日次管理!$R$2:$GC$2="実施完了")*(日次管理!$R$3:$GC$3="予定"),日次管理!$R$4:$GC$34)</f>
        <v>0</v>
      </c>
      <c r="AA14" s="89">
        <f>SUMPRODUCT((日次管理!$R$1:$GC$1&lt;=$AA$3)*(日次管理!$F$4:$F$34=$A$14)*(日次管理!$R$2:$GC$2="実施完了")*(日次管理!$R$3:$GC$3="実績"),日次管理!$R$4:$GC$34)</f>
        <v>0</v>
      </c>
      <c r="AB14" s="140">
        <f>SUMPRODUCT((日次管理!$R$1:$GC$1&lt;=$AB$3)*(日次管理!$F$4:$F$34=$A$14)*(日次管理!$R$2:$GC$2="実施完了")*(日次管理!$R$3:$GC$3="予定"),日次管理!$R$4:$GC$34)</f>
        <v>0</v>
      </c>
      <c r="AC14" s="89">
        <f>SUMPRODUCT((日次管理!$R$1:$GC$1&lt;=$AC$3)*(日次管理!$F$4:$F$34=$A$14)*(日次管理!$R$2:$GC$2="実施完了")*(日次管理!$R$3:$GC$3="実績"),日次管理!$R$4:$GC$34)</f>
        <v>0</v>
      </c>
      <c r="AD14" s="140">
        <f>SUMPRODUCT((日次管理!$R$1:$GC$1&lt;=$AD$3)*(日次管理!$F$4:$F$34=$A$14)*(日次管理!$R$2:$GC$2="実施完了")*(日次管理!$R$3:$GC$3="予定"),日次管理!$R$4:$GC$34)</f>
        <v>0</v>
      </c>
      <c r="AE14" s="89">
        <f>SUMPRODUCT((日次管理!$R$1:$GC$1&lt;=$AE$3)*(日次管理!$F$4:$F$34=$A$14)*(日次管理!$R$2:$GC$2="実施完了")*(日次管理!$R$3:$GC$3="実績"),日次管理!$R$4:$GC$34)</f>
        <v>0</v>
      </c>
      <c r="AF14" s="140">
        <f>SUMPRODUCT((日次管理!$R$1:$GC$1&lt;=$AF$3)*(日次管理!$F$4:$F$34=$A$14)*(日次管理!$R$2:$GC$2="実施完了")*(日次管理!$R$3:$GC$3="予定"),日次管理!$R$4:$GC$34)</f>
        <v>0</v>
      </c>
      <c r="AG14" s="89">
        <f>SUMPRODUCT((日次管理!$R$1:$GC$1&lt;=$AG$3)*(日次管理!$F$4:$F$34=$A$14)*(日次管理!$R$2:$GC$2="実施完了")*(日次管理!$R$3:$GC$3="実績"),日次管理!$R$4:$GC$34)</f>
        <v>0</v>
      </c>
      <c r="AH14" s="140">
        <f>SUMPRODUCT((日次管理!$R$1:$GC$1&lt;=$AH$3)*(日次管理!$F$4:$F$34=$A$14)*(日次管理!$R$2:$GC$2="実施完了")*(日次管理!$R$3:$GC$3="予定"),日次管理!$R$4:$GC$34)</f>
        <v>0</v>
      </c>
      <c r="AI14" s="89">
        <f>SUMPRODUCT((日次管理!$R$1:$GC$1&lt;=$AI$3)*(日次管理!$F$4:$F$34=$A$14)*(日次管理!$R$2:$GC$2="実施完了")*(日次管理!$R$3:$GC$3="実績"),日次管理!$R$4:$GC$34)</f>
        <v>0</v>
      </c>
      <c r="AJ14" s="140">
        <f>SUMPRODUCT((日次管理!$R$1:$GC$1&lt;=$AJ$3)*(日次管理!$F$4:$F$34=$A$14)*(日次管理!$R$2:$GC$2="実施完了")*(日次管理!$R$3:$GC$3="予定"),日次管理!$R$4:$GC$34)</f>
        <v>0</v>
      </c>
      <c r="AK14" s="89">
        <f>SUMPRODUCT((日次管理!$R$1:$GC$1&lt;=$AK$3)*(日次管理!$F$4:$F$34=$A$14)*(日次管理!$R$2:$GC$2="実施完了")*(日次管理!$R$3:$GC$3="実績"),日次管理!$R$4:$GC$34)</f>
        <v>0</v>
      </c>
      <c r="AL14" s="140">
        <f>SUMPRODUCT((日次管理!$R$1:$GC$1&lt;=$AL$3)*(日次管理!$F$4:$F$34=$A$14)*(日次管理!$R$2:$GC$2="実施完了")*(日次管理!$R$3:$GC$3="予定"),日次管理!$R$4:$GC$34)</f>
        <v>1</v>
      </c>
      <c r="AM14" s="89">
        <f>SUMPRODUCT((日次管理!$R$1:$GC$1&lt;=$AM$3)*(日次管理!$F$4:$F$34=$A$14)*(日次管理!$R$2:$GC$2="実施完了")*(日次管理!$R$3:$GC$3="実績"),日次管理!$R$4:$GC$34)</f>
        <v>0</v>
      </c>
      <c r="AN14" s="140">
        <f>SUMPRODUCT((日次管理!$R$1:$GC$1&lt;=$AN$3)*(日次管理!$F$4:$F$34=$A$14)*(日次管理!$R$2:$GC$2="実施完了")*(日次管理!$R$3:$GC$3="予定"),日次管理!$R$4:$GC$34)</f>
        <v>1</v>
      </c>
      <c r="AO14" s="89">
        <f>SUMPRODUCT((日次管理!$R$1:$GC$1&lt;=$AO$3)*(日次管理!$F$4:$F$34=$A$14)*(日次管理!$R$2:$GC$2="実施完了")*(日次管理!$R$3:$GC$3="実績"),日次管理!$R$4:$GC$34)</f>
        <v>0</v>
      </c>
      <c r="AP14" s="140">
        <f>SUMPRODUCT((日次管理!$R$1:$GC$1&lt;=$AP$3)*(日次管理!$F$4:$F$34=$A$14)*(日次管理!$R$2:$GC$2="実施完了")*(日次管理!$R$3:$GC$3="予定"),日次管理!$R$4:$GC$34)</f>
        <v>1</v>
      </c>
      <c r="AQ14" s="89">
        <f>SUMPRODUCT((日次管理!$R$1:$GC$1&lt;=$AQ$3)*(日次管理!$F$4:$F$34=$A$14)*(日次管理!$R$2:$GC$2="実施完了")*(日次管理!$R$3:$GC$3="実績"),日次管理!$R$4:$GC$34)</f>
        <v>0</v>
      </c>
      <c r="AR14" s="140">
        <f>SUMPRODUCT((日次管理!$R$1:$GC$1&lt;=$AR$3)*(日次管理!$F$4:$F$34=$A$14)*(日次管理!$R$2:$GC$2="実施完了")*(日次管理!$R$3:$GC$3="予定"),日次管理!$R$4:$GC$34)</f>
        <v>1</v>
      </c>
      <c r="AS14" s="89">
        <f>SUMPRODUCT((日次管理!$R$1:$GC$1&lt;=$AS$3)*(日次管理!$F$4:$F$34=$A$14)*(日次管理!$R$2:$GC$2="実施完了")*(日次管理!$R$3:$GC$3="実績"),日次管理!$R$4:$GC$34)</f>
        <v>0</v>
      </c>
      <c r="AT14" s="140">
        <f>SUMPRODUCT((日次管理!$R$1:$GC$1&lt;=$AT$3)*(日次管理!$F$4:$F$34=$A$14)*(日次管理!$R$2:$GC$2="実施完了")*(日次管理!$R$3:$GC$3="予定"),日次管理!$R$4:$GC$34)</f>
        <v>1</v>
      </c>
      <c r="AU14" s="89">
        <f>SUMPRODUCT((日次管理!$R$1:$GC$1&lt;=$AU$3)*(日次管理!$F$4:$F$34=$A$14)*(日次管理!$R$2:$GC$2="実施完了")*(日次管理!$R$3:$GC$3="実績"),日次管理!$R$4:$GC$34)</f>
        <v>0</v>
      </c>
      <c r="AV14" s="140">
        <f>SUMPRODUCT((日次管理!$R$1:$GC$1&lt;=$AV$3)*(日次管理!$F$4:$F$34=$A$14)*(日次管理!$R$2:$GC$2="実施完了")*(日次管理!$R$3:$GC$3="予定"),日次管理!$R$4:$GC$34)</f>
        <v>1</v>
      </c>
      <c r="AW14" s="89">
        <f>SUMPRODUCT((日次管理!$R$1:$GC$1&lt;=$AW$3)*(日次管理!$F$4:$F$34=$A$14)*(日次管理!$R$2:$GC$2="実施完了")*(日次管理!$R$3:$GC$3="実績"),日次管理!$R$4:$GC$34)</f>
        <v>0</v>
      </c>
      <c r="AX14" s="140">
        <f>SUMPRODUCT((日次管理!$R$1:$GC$1&lt;=$AX$3)*(日次管理!$F$4:$F$34=$A$14)*(日次管理!$R$2:$GC$2="実施完了")*(日次管理!$R$3:$GC$3="予定"),日次管理!$R$4:$GC$34)</f>
        <v>1</v>
      </c>
      <c r="AY14" s="89">
        <f>SUMPRODUCT((日次管理!$R$1:$GC$1&lt;=$AY$3)*(日次管理!$F$4:$F$34=$A$14)*(日次管理!$R$2:$GC$2="実施完了")*(日次管理!$R$3:$GC$3="実績"),日次管理!$R$4:$GC$34)</f>
        <v>0</v>
      </c>
      <c r="AZ14" s="140">
        <f>SUMPRODUCT((日次管理!$R$1:$GC$1&lt;=$AZ$3)*(日次管理!$F$4:$F$34=$A$14)*(日次管理!$R$2:$GC$2="実施完了")*(日次管理!$R$3:$GC$3="予定"),日次管理!$R$4:$GC$34)</f>
        <v>7</v>
      </c>
      <c r="BA14" s="89">
        <f>SUMPRODUCT((日次管理!$R$1:$GC$1&lt;=$BA$3)*(日次管理!$F$4:$F$34=$A$14)*(日次管理!$R$2:$GC$2="実施完了")*(日次管理!$R$3:$GC$3="実績"),日次管理!$R$4:$GC$34)</f>
        <v>0</v>
      </c>
      <c r="BB14" s="140">
        <f>SUMPRODUCT((日次管理!$R$1:$GC$1&lt;=$BB$3)*(日次管理!$F$4:$F$34=$A$14)*(日次管理!$R$2:$GC$2="実施完了")*(日次管理!$R$3:$GC$3="予定"),日次管理!$R$4:$GC$34)</f>
        <v>7</v>
      </c>
      <c r="BC14" s="89">
        <f>SUMPRODUCT((日次管理!$R$1:$GC$1&lt;=$BC$3)*(日次管理!$F$4:$F$34=$A$14)*(日次管理!$R$2:$GC$2="実施完了")*(日次管理!$R$3:$GC$3="実績"),日次管理!$R$4:$GC$34)</f>
        <v>0</v>
      </c>
      <c r="BD14" s="140">
        <f>SUMPRODUCT((日次管理!$R$1:$GC$1&lt;=$BD$3)*(日次管理!$F$4:$F$34=$A$14)*(日次管理!$R$2:$GC$2="実施完了")*(日次管理!$R$3:$GC$3="予定"),日次管理!$R$4:$GC$34)</f>
        <v>7</v>
      </c>
      <c r="BE14" s="89">
        <f>SUMPRODUCT((日次管理!$R$1:$GC$1&lt;=$BE$3)*(日次管理!$F$4:$F$34=$A$14)*(日次管理!$R$2:$GC$2="実施完了")*(日次管理!$R$3:$GC$3="実績"),日次管理!$R$4:$GC$34)</f>
        <v>0</v>
      </c>
      <c r="BF14" s="140">
        <f>SUMPRODUCT((日次管理!$R$1:$GC$1&lt;=$BF$3)*(日次管理!$F$4:$F$34=$A$14)*(日次管理!$R$2:$GC$2="実施完了")*(日次管理!$R$3:$GC$3="予定"),日次管理!$R$4:$GC$34)</f>
        <v>7</v>
      </c>
      <c r="BG14" s="89">
        <f>SUMPRODUCT((日次管理!$R$1:$GC$1&lt;=$BG$3)*(日次管理!$F$4:$F$34=$A$14)*(日次管理!$R$2:$GC$2="実施完了")*(日次管理!$R$3:$GC$3="実績"),日次管理!$R$4:$GC$34)</f>
        <v>0</v>
      </c>
      <c r="BH14" s="140">
        <f>SUMPRODUCT((日次管理!$R$1:$GC$1&lt;=$BH$3)*(日次管理!$F$4:$F$34=$A$14)*(日次管理!$R$2:$GC$2="実施完了")*(日次管理!$R$3:$GC$3="予定"),日次管理!$R$4:$GC$34)</f>
        <v>7</v>
      </c>
      <c r="BI14" s="89">
        <f>SUMPRODUCT((日次管理!$R$1:$GC$1&lt;=$BI$3)*(日次管理!$F$4:$F$34=$A$14)*(日次管理!$R$2:$GC$2="実施完了")*(日次管理!$R$3:$GC$3="実績"),日次管理!$R$4:$GC$34)</f>
        <v>0</v>
      </c>
      <c r="BJ14" s="140">
        <f>SUMPRODUCT((日次管理!$R$1:$GC$1&lt;=$BJ$3)*(日次管理!$F$4:$F$34=$A$14)*(日次管理!$R$2:$GC$2="実施完了")*(日次管理!$R$3:$GC$3="予定"),日次管理!$R$4:$GC$34)</f>
        <v>9</v>
      </c>
      <c r="BK14" s="89">
        <f>SUMPRODUCT((日次管理!$R$1:$GC$1&lt;=$BK$3)*(日次管理!$F$4:$F$34=$A$14)*(日次管理!$R$2:$GC$2="実施完了")*(日次管理!$R$3:$GC$3="実績"),日次管理!$R$4:$GC$34)</f>
        <v>0</v>
      </c>
      <c r="BL14" s="140">
        <f>SUMPRODUCT((日次管理!$R$1:$GC$1&lt;=$BL$3)*(日次管理!$F$4:$F$34=$A$14)*(日次管理!$R$2:$GC$2="実施完了")*(日次管理!$R$3:$GC$3="予定"),日次管理!$R$4:$GC$34)</f>
        <v>9</v>
      </c>
      <c r="BM14" s="89">
        <f>SUMPRODUCT((日次管理!$R$1:$GC$1&lt;=$BM$3)*(日次管理!$F$4:$F$34=$A$14)*(日次管理!$R$2:$GC$2="実施完了")*(日次管理!$R$3:$GC$3="実績"),日次管理!$R$4:$GC$34)</f>
        <v>0</v>
      </c>
      <c r="BN14" s="140">
        <f>SUMPRODUCT((日次管理!$R$1:$GC$1&lt;=$BN$3)*(日次管理!$F$4:$F$34=$A$14)*(日次管理!$R$2:$GC$2="実施完了")*(日次管理!$R$3:$GC$3="予定"),日次管理!$R$4:$GC$34)</f>
        <v>9</v>
      </c>
      <c r="BO14" s="89">
        <f>SUMPRODUCT((日次管理!$R$1:$GC$1&lt;=$BO$3)*(日次管理!$F$4:$F$34=$A$14)*(日次管理!$R$2:$GC$2="実施完了")*(日次管理!$R$3:$GC$3="実績"),日次管理!$R$4:$GC$34)</f>
        <v>0</v>
      </c>
      <c r="BP14" s="140">
        <f>SUMPRODUCT((日次管理!$R$1:$GC$1&lt;=$BP$3)*(日次管理!$F$4:$F$34=$A$14)*(日次管理!$R$2:$GC$2="実施完了")*(日次管理!$R$3:$GC$3="予定"),日次管理!$R$4:$GC$34)</f>
        <v>9</v>
      </c>
      <c r="BQ14" s="89">
        <f>SUMPRODUCT((日次管理!$R$1:$GC$1&lt;=$BQ$3)*(日次管理!$F$4:$F$34=$A$14)*(日次管理!$R$2:$GC$2="実施完了")*(日次管理!$R$3:$GC$3="実績"),日次管理!$R$4:$GC$34)</f>
        <v>0</v>
      </c>
      <c r="BR14" s="140">
        <f>SUMPRODUCT((日次管理!$R$1:$GC$1&lt;=$BR$3)*(日次管理!$F$4:$F$34=$A$14)*(日次管理!$R$2:$GC$2="実施完了")*(日次管理!$R$3:$GC$3="予定"),日次管理!$R$4:$GC$34)</f>
        <v>9</v>
      </c>
      <c r="BS14" s="89">
        <f>SUMPRODUCT((日次管理!$R$1:$GC$1&lt;=$BS$3)*(日次管理!$F$4:$F$34=$A$14)*(日次管理!$R$2:$GC$2="実施完了")*(日次管理!$R$3:$GC$3="実績"),日次管理!$R$4:$GC$34)</f>
        <v>0</v>
      </c>
      <c r="BT14" s="140">
        <f>SUMPRODUCT((日次管理!$R$1:$GC$1&lt;=$BT$3)*(日次管理!$F$4:$F$34=$A$14)*(日次管理!$R$2:$GC$2="実施完了")*(日次管理!$R$3:$GC$3="予定"),日次管理!$R$4:$GC$34)</f>
        <v>12</v>
      </c>
      <c r="BU14" s="89">
        <f>SUMPRODUCT((日次管理!$R$1:$GC$1&lt;=$BU$3)*(日次管理!$F$4:$F$34=$A$14)*(日次管理!$R$2:$GC$2="実施完了")*(日次管理!$R$3:$GC$3="実績"),日次管理!$R$4:$GC$34)</f>
        <v>0</v>
      </c>
      <c r="BV14" s="140">
        <f>SUMPRODUCT((日次管理!$R$1:$GC$1&lt;=$BV$3)*(日次管理!$F$4:$F$34=$A$14)*(日次管理!$R$2:$GC$2="実施完了")*(日次管理!$R$3:$GC$3="予定"),日次管理!$R$4:$GC$34)</f>
        <v>12</v>
      </c>
      <c r="BW14" s="89">
        <f>SUMPRODUCT((日次管理!$R$1:$GC$1&lt;=$BW$3)*(日次管理!$F$4:$F$34=$A$14)*(日次管理!$R$2:$GC$2="実施完了")*(日次管理!$R$3:$GC$3="実績"),日次管理!$R$4:$GC$34)</f>
        <v>0</v>
      </c>
      <c r="BX14" s="140">
        <f>SUMPRODUCT((日次管理!$R$1:$GC$1&lt;=$BX$3)*(日次管理!$F$4:$F$34=$A$14)*(日次管理!$R$2:$GC$2="実施完了")*(日次管理!$R$3:$GC$3="予定"),日次管理!$R$4:$GC$34)</f>
        <v>12</v>
      </c>
      <c r="BY14" s="89">
        <f>SUMPRODUCT((日次管理!$R$1:$GC$1&lt;=$BY$3)*(日次管理!$F$4:$F$34=$A$14)*(日次管理!$R$2:$GC$2="実施完了")*(日次管理!$R$3:$GC$3="実績"),日次管理!$R$4:$GC$34)</f>
        <v>0</v>
      </c>
      <c r="BZ14" s="140">
        <f>SUMPRODUCT((日次管理!$R$1:$GC$1&lt;=$BZ$3)*(日次管理!$F$4:$F$34=$A$14)*(日次管理!$R$2:$GC$2="実施完了")*(日次管理!$R$3:$GC$3="予定"),日次管理!$R$4:$GC$34)</f>
        <v>12</v>
      </c>
      <c r="CA14" s="89">
        <f>SUMPRODUCT((日次管理!$R$1:$GC$1&lt;=$CA$3)*(日次管理!$F$4:$F$34=$A$14)*(日次管理!$R$2:$GC$2="実施完了")*(日次管理!$R$3:$GC$3="実績"),日次管理!$R$4:$GC$34)</f>
        <v>0</v>
      </c>
      <c r="CB14" s="140">
        <f>SUMPRODUCT((日次管理!$R$1:$GC$1&lt;=$CB$3)*(日次管理!$F$4:$F$34=$A$14)*(日次管理!$R$2:$GC$2="実施完了")*(日次管理!$R$3:$GC$3="予定"),日次管理!$R$4:$GC$34)</f>
        <v>12</v>
      </c>
      <c r="CC14" s="89">
        <f>SUMPRODUCT((日次管理!$R$1:$GC$1&lt;=$CC$3)*(日次管理!$F$4:$F$34=$A$14)*(日次管理!$R$2:$GC$2="実施完了")*(日次管理!$R$3:$GC$3="実績"),日次管理!$R$4:$GC$34)</f>
        <v>0</v>
      </c>
      <c r="CD14" s="140">
        <f>SUMPRODUCT((日次管理!$R$1:$GC$1&lt;=$CD$3)*(日次管理!$F$4:$F$34=$A$14)*(日次管理!$R$2:$GC$2="実施完了")*(日次管理!$R$3:$GC$3="予定"),日次管理!$R$4:$GC$34)</f>
        <v>12</v>
      </c>
      <c r="CE14" s="89">
        <f>SUMPRODUCT((日次管理!$R$1:$GC$1&lt;=$CE$3)*(日次管理!$F$4:$F$34=$A$14)*(日次管理!$R$2:$GC$2="実施完了")*(日次管理!$R$3:$GC$3="実績"),日次管理!$R$4:$GC$34)</f>
        <v>0</v>
      </c>
      <c r="CF14" s="140">
        <f>SUMPRODUCT((日次管理!$R$1:$GC$1&lt;=$CF$3)*(日次管理!$F$4:$F$34=$A$14)*(日次管理!$R$2:$GC$2="実施完了")*(日次管理!$R$3:$GC$3="予定"),日次管理!$R$4:$GC$34)</f>
        <v>12</v>
      </c>
      <c r="CG14" s="89">
        <f>SUMPRODUCT((日次管理!$R$1:$GC$1&lt;=$CG$3)*(日次管理!$F$4:$F$34=$A$14)*(日次管理!$R$2:$GC$2="実施完了")*(日次管理!$R$3:$GC$3="実績"),日次管理!$R$4:$GC$34)</f>
        <v>0</v>
      </c>
      <c r="CH14" s="141">
        <f ca="1">SUMPRODUCT(($A$3- WEEKDAY($A$3) + 6 =$B$3:$CG$3)*("実績"=$B$4:$CG$4),$B$14:$CG$14)/SUMPRODUCT(($A$3- WEEKDAY($A$3) + 6 =$B$3:$CG$3)*("予定"=$B$4:$CG$4),$B$14:$CG$14)</f>
        <v>0</v>
      </c>
      <c r="CI14" s="142">
        <f>$CG$14/$CF$14</f>
        <v>0</v>
      </c>
    </row>
    <row r="15" spans="1:87" ht="20.100000000000001" customHeight="1">
      <c r="A15" s="143" t="s">
        <v>120</v>
      </c>
      <c r="B15" s="144">
        <f>SUMPRODUCT((日次管理!$R$1:$GC$1&lt;=$B$3)*(日次管理!$F$4:$F$34=$A$15)*(日次管理!$R$2:$GC$2="実施完了")*(日次管理!$R$3:$GC$3="予定"),日次管理!$R$4:$GC$34)</f>
        <v>0</v>
      </c>
      <c r="C15" s="90">
        <f>SUMPRODUCT((日次管理!$R$1:$GC$1&lt;=$C$3)*(日次管理!$F$4:$F$34=$A$15)*(日次管理!$R$2:$GC$2="実施完了")*(日次管理!$R$3:$GC$3="実績"),日次管理!$R$4:$GC$34)</f>
        <v>0</v>
      </c>
      <c r="D15" s="144">
        <f>SUMPRODUCT((日次管理!$R$1:$GC$1&lt;=$D$3)*(日次管理!$F$4:$F$34=$A$15)*(日次管理!$R$2:$GC$2="実施完了")*(日次管理!$R$3:$GC$3="予定"),日次管理!$R$4:$GC$34)</f>
        <v>0</v>
      </c>
      <c r="E15" s="90">
        <f>SUMPRODUCT((日次管理!$R$1:$GC$1&lt;=$E$3)*(日次管理!$F$4:$F$34=$A$15)*(日次管理!$R$2:$GC$2="実施完了")*(日次管理!$R$3:$GC$3="実績"),日次管理!$R$4:$GC$34)</f>
        <v>0</v>
      </c>
      <c r="F15" s="144">
        <f>SUMPRODUCT((日次管理!$R$1:$GC$1&lt;=$F$3)*(日次管理!$F$4:$F$34=$A$15)*(日次管理!$R$2:$GC$2="実施完了")*(日次管理!$R$3:$GC$3="予定"),日次管理!$R$4:$GC$34)</f>
        <v>0</v>
      </c>
      <c r="G15" s="90">
        <f>SUMPRODUCT((日次管理!$R$1:$GC$1&lt;=$G$3)*(日次管理!$F$4:$F$34=$A$15)*(日次管理!$R$2:$GC$2="実施完了")*(日次管理!$R$3:$GC$3="実績"),日次管理!$R$4:$GC$34)</f>
        <v>0</v>
      </c>
      <c r="H15" s="144">
        <f>SUMPRODUCT((日次管理!$R$1:$GC$1&lt;=$H$3)*(日次管理!$F$4:$F$34=$A$15)*(日次管理!$R$2:$GC$2="実施完了")*(日次管理!$R$3:$GC$3="予定"),日次管理!$R$4:$GC$34)</f>
        <v>0</v>
      </c>
      <c r="I15" s="90">
        <f>SUMPRODUCT((日次管理!$R$1:$GC$1&lt;=$I$3)*(日次管理!$F$4:$F$34=$A$15)*(日次管理!$R$2:$GC$2="実施完了")*(日次管理!$R$3:$GC$3="実績"),日次管理!$R$4:$GC$34)</f>
        <v>0</v>
      </c>
      <c r="J15" s="144">
        <f>SUMPRODUCT((日次管理!$R$1:$GC$1&lt;=$J$3)*(日次管理!$F$4:$F$34=$A$15)*(日次管理!$R$2:$GC$2="実施完了")*(日次管理!$R$3:$GC$3="予定"),日次管理!$R$4:$GC$34)</f>
        <v>0</v>
      </c>
      <c r="K15" s="90">
        <f>SUMPRODUCT((日次管理!$R$1:$GC$1&lt;=$K$3)*(日次管理!$F$4:$F$34=$A$15)*(日次管理!$R$2:$GC$2="実施完了")*(日次管理!$R$3:$GC$3="実績"),日次管理!$R$4:$GC$34)</f>
        <v>0</v>
      </c>
      <c r="L15" s="144">
        <f>SUMPRODUCT((日次管理!$R$1:$GC$1&lt;=$L$3)*(日次管理!$F$4:$F$34=$A$15)*(日次管理!$R$2:$GC$2="実施完了")*(日次管理!$R$3:$GC$3="予定"),日次管理!$R$4:$GC$34)</f>
        <v>0</v>
      </c>
      <c r="M15" s="90">
        <f>SUMPRODUCT((日次管理!$R$1:$GC$1&lt;=$M$3)*(日次管理!$F$4:$F$34=$A$15)*(日次管理!$R$2:$GC$2="実施完了")*(日次管理!$R$3:$GC$3="実績"),日次管理!$R$4:$GC$34)</f>
        <v>0</v>
      </c>
      <c r="N15" s="144">
        <f>SUMPRODUCT((日次管理!$R$1:$GC$1&lt;=$N$3)*(日次管理!$F$4:$F$34=$A$15)*(日次管理!$R$2:$GC$2="実施完了")*(日次管理!$R$3:$GC$3="予定"),日次管理!$R$4:$GC$34)</f>
        <v>0</v>
      </c>
      <c r="O15" s="90">
        <f>SUMPRODUCT((日次管理!$R$1:$GC$1&lt;=$O$3)*(日次管理!$F$4:$F$34=$A$15)*(日次管理!$R$2:$GC$2="実施完了")*(日次管理!$R$3:$GC$3="実績"),日次管理!$R$4:$GC$34)</f>
        <v>0</v>
      </c>
      <c r="P15" s="144">
        <f>SUMPRODUCT((日次管理!$R$1:$GC$1&lt;=$P$3)*(日次管理!$F$4:$F$34=$A$15)*(日次管理!$R$2:$GC$2="実施完了")*(日次管理!$R$3:$GC$3="予定"),日次管理!$R$4:$GC$34)</f>
        <v>0</v>
      </c>
      <c r="Q15" s="90">
        <f>SUMPRODUCT((日次管理!$R$1:$GC$1&lt;=$Q$3)*(日次管理!$F$4:$F$34=$A$15)*(日次管理!$R$2:$GC$2="実施完了")*(日次管理!$R$3:$GC$3="実績"),日次管理!$R$4:$GC$34)</f>
        <v>0</v>
      </c>
      <c r="R15" s="144">
        <f>SUMPRODUCT((日次管理!$R$1:$GC$1&lt;=$R$3)*(日次管理!$F$4:$F$34=$A$15)*(日次管理!$R$2:$GC$2="実施完了")*(日次管理!$R$3:$GC$3="予定"),日次管理!$R$4:$GC$34)</f>
        <v>0</v>
      </c>
      <c r="S15" s="90">
        <f>SUMPRODUCT((日次管理!$R$1:$GC$1&lt;=$S$3)*(日次管理!$F$4:$F$34=$A$15)*(日次管理!$R$2:$GC$2="実施完了")*(日次管理!$R$3:$GC$3="実績"),日次管理!$R$4:$GC$34)</f>
        <v>0</v>
      </c>
      <c r="T15" s="144">
        <f>SUMPRODUCT((日次管理!$R$1:$GC$1&lt;=$T$3)*(日次管理!$F$4:$F$34=$A$15)*(日次管理!$R$2:$GC$2="実施完了")*(日次管理!$R$3:$GC$3="予定"),日次管理!$R$4:$GC$34)</f>
        <v>0</v>
      </c>
      <c r="U15" s="90">
        <f>SUMPRODUCT((日次管理!$R$1:$GC$1&lt;=$U$3)*(日次管理!$F$4:$F$34=$A$15)*(日次管理!$R$2:$GC$2="実施完了")*(日次管理!$R$3:$GC$3="実績"),日次管理!$R$4:$GC$34)</f>
        <v>0</v>
      </c>
      <c r="V15" s="144">
        <f>SUMPRODUCT((日次管理!$R$1:$GC$1&lt;=$V$3)*(日次管理!$F$4:$F$34=$A$15)*(日次管理!$R$2:$GC$2="実施完了")*(日次管理!$R$3:$GC$3="予定"),日次管理!$R$4:$GC$34)</f>
        <v>0</v>
      </c>
      <c r="W15" s="90">
        <f>SUMPRODUCT((日次管理!$R$1:$GC$1&lt;=$W$3)*(日次管理!$F$4:$F$34=$A$15)*(日次管理!$R$2:$GC$2="実施完了")*(日次管理!$R$3:$GC$3="実績"),日次管理!$R$4:$GC$34)</f>
        <v>0</v>
      </c>
      <c r="X15" s="144">
        <f>SUMPRODUCT((日次管理!$R$1:$GC$1&lt;=$X$3)*(日次管理!$F$4:$F$34=$A$15)*(日次管理!$R$2:$GC$2="実施完了")*(日次管理!$R$3:$GC$3="予定"),日次管理!$R$4:$GC$34)</f>
        <v>2</v>
      </c>
      <c r="Y15" s="90">
        <f>SUMPRODUCT((日次管理!$R$1:$GC$1&lt;=$Y$3)*(日次管理!$F$4:$F$34=$A$15)*(日次管理!$R$2:$GC$2="実施完了")*(日次管理!$R$3:$GC$3="実績"),日次管理!$R$4:$GC$34)</f>
        <v>0</v>
      </c>
      <c r="Z15" s="144">
        <f>SUMPRODUCT((日次管理!$R$1:$GC$1&lt;=$Z$3)*(日次管理!$F$4:$F$34=$A$15)*(日次管理!$R$2:$GC$2="実施完了")*(日次管理!$R$3:$GC$3="予定"),日次管理!$R$4:$GC$34)</f>
        <v>2</v>
      </c>
      <c r="AA15" s="90">
        <f>SUMPRODUCT((日次管理!$R$1:$GC$1&lt;=$AA$3)*(日次管理!$F$4:$F$34=$A$15)*(日次管理!$R$2:$GC$2="実施完了")*(日次管理!$R$3:$GC$3="実績"),日次管理!$R$4:$GC$34)</f>
        <v>0</v>
      </c>
      <c r="AB15" s="144">
        <f>SUMPRODUCT((日次管理!$R$1:$GC$1&lt;=$AB$3)*(日次管理!$F$4:$F$34=$A$15)*(日次管理!$R$2:$GC$2="実施完了")*(日次管理!$R$3:$GC$3="予定"),日次管理!$R$4:$GC$34)</f>
        <v>2</v>
      </c>
      <c r="AC15" s="90">
        <f>SUMPRODUCT((日次管理!$R$1:$GC$1&lt;=$AC$3)*(日次管理!$F$4:$F$34=$A$15)*(日次管理!$R$2:$GC$2="実施完了")*(日次管理!$R$3:$GC$3="実績"),日次管理!$R$4:$GC$34)</f>
        <v>0</v>
      </c>
      <c r="AD15" s="144">
        <f>SUMPRODUCT((日次管理!$R$1:$GC$1&lt;=$AD$3)*(日次管理!$F$4:$F$34=$A$15)*(日次管理!$R$2:$GC$2="実施完了")*(日次管理!$R$3:$GC$3="予定"),日次管理!$R$4:$GC$34)</f>
        <v>4</v>
      </c>
      <c r="AE15" s="90">
        <f>SUMPRODUCT((日次管理!$R$1:$GC$1&lt;=$AE$3)*(日次管理!$F$4:$F$34=$A$15)*(日次管理!$R$2:$GC$2="実施完了")*(日次管理!$R$3:$GC$3="実績"),日次管理!$R$4:$GC$34)</f>
        <v>7</v>
      </c>
      <c r="AF15" s="144">
        <f>SUMPRODUCT((日次管理!$R$1:$GC$1&lt;=$AF$3)*(日次管理!$F$4:$F$34=$A$15)*(日次管理!$R$2:$GC$2="実施完了")*(日次管理!$R$3:$GC$3="予定"),日次管理!$R$4:$GC$34)</f>
        <v>6</v>
      </c>
      <c r="AG15" s="90">
        <f>SUMPRODUCT((日次管理!$R$1:$GC$1&lt;=$AG$3)*(日次管理!$F$4:$F$34=$A$15)*(日次管理!$R$2:$GC$2="実施完了")*(日次管理!$R$3:$GC$3="実績"),日次管理!$R$4:$GC$34)</f>
        <v>7</v>
      </c>
      <c r="AH15" s="144">
        <f>SUMPRODUCT((日次管理!$R$1:$GC$1&lt;=$AH$3)*(日次管理!$F$4:$F$34=$A$15)*(日次管理!$R$2:$GC$2="実施完了")*(日次管理!$R$3:$GC$3="予定"),日次管理!$R$4:$GC$34)</f>
        <v>8</v>
      </c>
      <c r="AI15" s="90">
        <f>SUMPRODUCT((日次管理!$R$1:$GC$1&lt;=$AI$3)*(日次管理!$F$4:$F$34=$A$15)*(日次管理!$R$2:$GC$2="実施完了")*(日次管理!$R$3:$GC$3="実績"),日次管理!$R$4:$GC$34)</f>
        <v>9</v>
      </c>
      <c r="AJ15" s="144">
        <f>SUMPRODUCT((日次管理!$R$1:$GC$1&lt;=$AJ$3)*(日次管理!$F$4:$F$34=$A$15)*(日次管理!$R$2:$GC$2="実施完了")*(日次管理!$R$3:$GC$3="予定"),日次管理!$R$4:$GC$34)</f>
        <v>8</v>
      </c>
      <c r="AK15" s="90">
        <f>SUMPRODUCT((日次管理!$R$1:$GC$1&lt;=$AK$3)*(日次管理!$F$4:$F$34=$A$15)*(日次管理!$R$2:$GC$2="実施完了")*(日次管理!$R$3:$GC$3="実績"),日次管理!$R$4:$GC$34)</f>
        <v>9</v>
      </c>
      <c r="AL15" s="144">
        <f>SUMPRODUCT((日次管理!$R$1:$GC$1&lt;=$AL$3)*(日次管理!$F$4:$F$34=$A$15)*(日次管理!$R$2:$GC$2="実施完了")*(日次管理!$R$3:$GC$3="予定"),日次管理!$R$4:$GC$34)</f>
        <v>10</v>
      </c>
      <c r="AM15" s="90">
        <f>SUMPRODUCT((日次管理!$R$1:$GC$1&lt;=$AM$3)*(日次管理!$F$4:$F$34=$A$15)*(日次管理!$R$2:$GC$2="実施完了")*(日次管理!$R$3:$GC$3="実績"),日次管理!$R$4:$GC$34)</f>
        <v>10</v>
      </c>
      <c r="AN15" s="144">
        <f>SUMPRODUCT((日次管理!$R$1:$GC$1&lt;=$AN$3)*(日次管理!$F$4:$F$34=$A$15)*(日次管理!$R$2:$GC$2="実施完了")*(日次管理!$R$3:$GC$3="予定"),日次管理!$R$4:$GC$34)</f>
        <v>10</v>
      </c>
      <c r="AO15" s="90">
        <f>SUMPRODUCT((日次管理!$R$1:$GC$1&lt;=$AO$3)*(日次管理!$F$4:$F$34=$A$15)*(日次管理!$R$2:$GC$2="実施完了")*(日次管理!$R$3:$GC$3="実績"),日次管理!$R$4:$GC$34)</f>
        <v>10</v>
      </c>
      <c r="AP15" s="144">
        <f>SUMPRODUCT((日次管理!$R$1:$GC$1&lt;=$AP$3)*(日次管理!$F$4:$F$34=$A$15)*(日次管理!$R$2:$GC$2="実施完了")*(日次管理!$R$3:$GC$3="予定"),日次管理!$R$4:$GC$34)</f>
        <v>10</v>
      </c>
      <c r="AQ15" s="90">
        <f>SUMPRODUCT((日次管理!$R$1:$GC$1&lt;=$AQ$3)*(日次管理!$F$4:$F$34=$A$15)*(日次管理!$R$2:$GC$2="実施完了")*(日次管理!$R$3:$GC$3="実績"),日次管理!$R$4:$GC$34)</f>
        <v>10</v>
      </c>
      <c r="AR15" s="144">
        <f>SUMPRODUCT((日次管理!$R$1:$GC$1&lt;=$AR$3)*(日次管理!$F$4:$F$34=$A$15)*(日次管理!$R$2:$GC$2="実施完了")*(日次管理!$R$3:$GC$3="予定"),日次管理!$R$4:$GC$34)</f>
        <v>10</v>
      </c>
      <c r="AS15" s="90">
        <f>SUMPRODUCT((日次管理!$R$1:$GC$1&lt;=$AS$3)*(日次管理!$F$4:$F$34=$A$15)*(日次管理!$R$2:$GC$2="実施完了")*(日次管理!$R$3:$GC$3="実績"),日次管理!$R$4:$GC$34)</f>
        <v>10</v>
      </c>
      <c r="AT15" s="144">
        <f>SUMPRODUCT((日次管理!$R$1:$GC$1&lt;=$AT$3)*(日次管理!$F$4:$F$34=$A$15)*(日次管理!$R$2:$GC$2="実施完了")*(日次管理!$R$3:$GC$3="予定"),日次管理!$R$4:$GC$34)</f>
        <v>10</v>
      </c>
      <c r="AU15" s="90">
        <f>SUMPRODUCT((日次管理!$R$1:$GC$1&lt;=$AU$3)*(日次管理!$F$4:$F$34=$A$15)*(日次管理!$R$2:$GC$2="実施完了")*(日次管理!$R$3:$GC$3="実績"),日次管理!$R$4:$GC$34)</f>
        <v>10</v>
      </c>
      <c r="AV15" s="144">
        <f>SUMPRODUCT((日次管理!$R$1:$GC$1&lt;=$AV$3)*(日次管理!$F$4:$F$34=$A$15)*(日次管理!$R$2:$GC$2="実施完了")*(日次管理!$R$3:$GC$3="予定"),日次管理!$R$4:$GC$34)</f>
        <v>10</v>
      </c>
      <c r="AW15" s="90">
        <f>SUMPRODUCT((日次管理!$R$1:$GC$1&lt;=$AW$3)*(日次管理!$F$4:$F$34=$A$15)*(日次管理!$R$2:$GC$2="実施完了")*(日次管理!$R$3:$GC$3="実績"),日次管理!$R$4:$GC$34)</f>
        <v>10</v>
      </c>
      <c r="AX15" s="144">
        <f>SUMPRODUCT((日次管理!$R$1:$GC$1&lt;=$AX$3)*(日次管理!$F$4:$F$34=$A$15)*(日次管理!$R$2:$GC$2="実施完了")*(日次管理!$R$3:$GC$3="予定"),日次管理!$R$4:$GC$34)</f>
        <v>10</v>
      </c>
      <c r="AY15" s="90">
        <f>SUMPRODUCT((日次管理!$R$1:$GC$1&lt;=$AY$3)*(日次管理!$F$4:$F$34=$A$15)*(日次管理!$R$2:$GC$2="実施完了")*(日次管理!$R$3:$GC$3="実績"),日次管理!$R$4:$GC$34)</f>
        <v>10</v>
      </c>
      <c r="AZ15" s="144">
        <f>SUMPRODUCT((日次管理!$R$1:$GC$1&lt;=$AZ$3)*(日次管理!$F$4:$F$34=$A$15)*(日次管理!$R$2:$GC$2="実施完了")*(日次管理!$R$3:$GC$3="予定"),日次管理!$R$4:$GC$34)</f>
        <v>10</v>
      </c>
      <c r="BA15" s="90">
        <f>SUMPRODUCT((日次管理!$R$1:$GC$1&lt;=$BA$3)*(日次管理!$F$4:$F$34=$A$15)*(日次管理!$R$2:$GC$2="実施完了")*(日次管理!$R$3:$GC$3="実績"),日次管理!$R$4:$GC$34)</f>
        <v>10</v>
      </c>
      <c r="BB15" s="144">
        <f>SUMPRODUCT((日次管理!$R$1:$GC$1&lt;=$BB$3)*(日次管理!$F$4:$F$34=$A$15)*(日次管理!$R$2:$GC$2="実施完了")*(日次管理!$R$3:$GC$3="予定"),日次管理!$R$4:$GC$34)</f>
        <v>10</v>
      </c>
      <c r="BC15" s="90">
        <f>SUMPRODUCT((日次管理!$R$1:$GC$1&lt;=$BC$3)*(日次管理!$F$4:$F$34=$A$15)*(日次管理!$R$2:$GC$2="実施完了")*(日次管理!$R$3:$GC$3="実績"),日次管理!$R$4:$GC$34)</f>
        <v>10</v>
      </c>
      <c r="BD15" s="144">
        <f>SUMPRODUCT((日次管理!$R$1:$GC$1&lt;=$BD$3)*(日次管理!$F$4:$F$34=$A$15)*(日次管理!$R$2:$GC$2="実施完了")*(日次管理!$R$3:$GC$3="予定"),日次管理!$R$4:$GC$34)</f>
        <v>10</v>
      </c>
      <c r="BE15" s="90">
        <f>SUMPRODUCT((日次管理!$R$1:$GC$1&lt;=$BE$3)*(日次管理!$F$4:$F$34=$A$15)*(日次管理!$R$2:$GC$2="実施完了")*(日次管理!$R$3:$GC$3="実績"),日次管理!$R$4:$GC$34)</f>
        <v>10</v>
      </c>
      <c r="BF15" s="144">
        <f>SUMPRODUCT((日次管理!$R$1:$GC$1&lt;=$BF$3)*(日次管理!$F$4:$F$34=$A$15)*(日次管理!$R$2:$GC$2="実施完了")*(日次管理!$R$3:$GC$3="予定"),日次管理!$R$4:$GC$34)</f>
        <v>10</v>
      </c>
      <c r="BG15" s="90">
        <f>SUMPRODUCT((日次管理!$R$1:$GC$1&lt;=$BG$3)*(日次管理!$F$4:$F$34=$A$15)*(日次管理!$R$2:$GC$2="実施完了")*(日次管理!$R$3:$GC$3="実績"),日次管理!$R$4:$GC$34)</f>
        <v>10</v>
      </c>
      <c r="BH15" s="144">
        <f>SUMPRODUCT((日次管理!$R$1:$GC$1&lt;=$BH$3)*(日次管理!$F$4:$F$34=$A$15)*(日次管理!$R$2:$GC$2="実施完了")*(日次管理!$R$3:$GC$3="予定"),日次管理!$R$4:$GC$34)</f>
        <v>10</v>
      </c>
      <c r="BI15" s="90">
        <f>SUMPRODUCT((日次管理!$R$1:$GC$1&lt;=$BI$3)*(日次管理!$F$4:$F$34=$A$15)*(日次管理!$R$2:$GC$2="実施完了")*(日次管理!$R$3:$GC$3="実績"),日次管理!$R$4:$GC$34)</f>
        <v>10</v>
      </c>
      <c r="BJ15" s="144">
        <f>SUMPRODUCT((日次管理!$R$1:$GC$1&lt;=$BJ$3)*(日次管理!$F$4:$F$34=$A$15)*(日次管理!$R$2:$GC$2="実施完了")*(日次管理!$R$3:$GC$3="予定"),日次管理!$R$4:$GC$34)</f>
        <v>10</v>
      </c>
      <c r="BK15" s="90">
        <f>SUMPRODUCT((日次管理!$R$1:$GC$1&lt;=$BK$3)*(日次管理!$F$4:$F$34=$A$15)*(日次管理!$R$2:$GC$2="実施完了")*(日次管理!$R$3:$GC$3="実績"),日次管理!$R$4:$GC$34)</f>
        <v>10</v>
      </c>
      <c r="BL15" s="144">
        <f>SUMPRODUCT((日次管理!$R$1:$GC$1&lt;=$BL$3)*(日次管理!$F$4:$F$34=$A$15)*(日次管理!$R$2:$GC$2="実施完了")*(日次管理!$R$3:$GC$3="予定"),日次管理!$R$4:$GC$34)</f>
        <v>10</v>
      </c>
      <c r="BM15" s="90">
        <f>SUMPRODUCT((日次管理!$R$1:$GC$1&lt;=$BM$3)*(日次管理!$F$4:$F$34=$A$15)*(日次管理!$R$2:$GC$2="実施完了")*(日次管理!$R$3:$GC$3="実績"),日次管理!$R$4:$GC$34)</f>
        <v>10</v>
      </c>
      <c r="BN15" s="144">
        <f>SUMPRODUCT((日次管理!$R$1:$GC$1&lt;=$BN$3)*(日次管理!$F$4:$F$34=$A$15)*(日次管理!$R$2:$GC$2="実施完了")*(日次管理!$R$3:$GC$3="予定"),日次管理!$R$4:$GC$34)</f>
        <v>10</v>
      </c>
      <c r="BO15" s="90">
        <f>SUMPRODUCT((日次管理!$R$1:$GC$1&lt;=$BO$3)*(日次管理!$F$4:$F$34=$A$15)*(日次管理!$R$2:$GC$2="実施完了")*(日次管理!$R$3:$GC$3="実績"),日次管理!$R$4:$GC$34)</f>
        <v>10</v>
      </c>
      <c r="BP15" s="144">
        <f>SUMPRODUCT((日次管理!$R$1:$GC$1&lt;=$BP$3)*(日次管理!$F$4:$F$34=$A$15)*(日次管理!$R$2:$GC$2="実施完了")*(日次管理!$R$3:$GC$3="予定"),日次管理!$R$4:$GC$34)</f>
        <v>10</v>
      </c>
      <c r="BQ15" s="90">
        <f>SUMPRODUCT((日次管理!$R$1:$GC$1&lt;=$BQ$3)*(日次管理!$F$4:$F$34=$A$15)*(日次管理!$R$2:$GC$2="実施完了")*(日次管理!$R$3:$GC$3="実績"),日次管理!$R$4:$GC$34)</f>
        <v>10</v>
      </c>
      <c r="BR15" s="144">
        <f>SUMPRODUCT((日次管理!$R$1:$GC$1&lt;=$BR$3)*(日次管理!$F$4:$F$34=$A$15)*(日次管理!$R$2:$GC$2="実施完了")*(日次管理!$R$3:$GC$3="予定"),日次管理!$R$4:$GC$34)</f>
        <v>10</v>
      </c>
      <c r="BS15" s="90">
        <f>SUMPRODUCT((日次管理!$R$1:$GC$1&lt;=$BS$3)*(日次管理!$F$4:$F$34=$A$15)*(日次管理!$R$2:$GC$2="実施完了")*(日次管理!$R$3:$GC$3="実績"),日次管理!$R$4:$GC$34)</f>
        <v>10</v>
      </c>
      <c r="BT15" s="144">
        <f>SUMPRODUCT((日次管理!$R$1:$GC$1&lt;=$BT$3)*(日次管理!$F$4:$F$34=$A$15)*(日次管理!$R$2:$GC$2="実施完了")*(日次管理!$R$3:$GC$3="予定"),日次管理!$R$4:$GC$34)</f>
        <v>10</v>
      </c>
      <c r="BU15" s="90">
        <f>SUMPRODUCT((日次管理!$R$1:$GC$1&lt;=$BU$3)*(日次管理!$F$4:$F$34=$A$15)*(日次管理!$R$2:$GC$2="実施完了")*(日次管理!$R$3:$GC$3="実績"),日次管理!$R$4:$GC$34)</f>
        <v>10</v>
      </c>
      <c r="BV15" s="144">
        <f>SUMPRODUCT((日次管理!$R$1:$GC$1&lt;=$BV$3)*(日次管理!$F$4:$F$34=$A$15)*(日次管理!$R$2:$GC$2="実施完了")*(日次管理!$R$3:$GC$3="予定"),日次管理!$R$4:$GC$34)</f>
        <v>10</v>
      </c>
      <c r="BW15" s="90">
        <f>SUMPRODUCT((日次管理!$R$1:$GC$1&lt;=$BW$3)*(日次管理!$F$4:$F$34=$A$15)*(日次管理!$R$2:$GC$2="実施完了")*(日次管理!$R$3:$GC$3="実績"),日次管理!$R$4:$GC$34)</f>
        <v>10</v>
      </c>
      <c r="BX15" s="144">
        <f>SUMPRODUCT((日次管理!$R$1:$GC$1&lt;=$BX$3)*(日次管理!$F$4:$F$34=$A$15)*(日次管理!$R$2:$GC$2="実施完了")*(日次管理!$R$3:$GC$3="予定"),日次管理!$R$4:$GC$34)</f>
        <v>10</v>
      </c>
      <c r="BY15" s="90">
        <f>SUMPRODUCT((日次管理!$R$1:$GC$1&lt;=$BY$3)*(日次管理!$F$4:$F$34=$A$15)*(日次管理!$R$2:$GC$2="実施完了")*(日次管理!$R$3:$GC$3="実績"),日次管理!$R$4:$GC$34)</f>
        <v>10</v>
      </c>
      <c r="BZ15" s="144">
        <f>SUMPRODUCT((日次管理!$R$1:$GC$1&lt;=$BZ$3)*(日次管理!$F$4:$F$34=$A$15)*(日次管理!$R$2:$GC$2="実施完了")*(日次管理!$R$3:$GC$3="予定"),日次管理!$R$4:$GC$34)</f>
        <v>10</v>
      </c>
      <c r="CA15" s="90">
        <f>SUMPRODUCT((日次管理!$R$1:$GC$1&lt;=$CA$3)*(日次管理!$F$4:$F$34=$A$15)*(日次管理!$R$2:$GC$2="実施完了")*(日次管理!$R$3:$GC$3="実績"),日次管理!$R$4:$GC$34)</f>
        <v>10</v>
      </c>
      <c r="CB15" s="144">
        <f>SUMPRODUCT((日次管理!$R$1:$GC$1&lt;=$CB$3)*(日次管理!$F$4:$F$34=$A$15)*(日次管理!$R$2:$GC$2="実施完了")*(日次管理!$R$3:$GC$3="予定"),日次管理!$R$4:$GC$34)</f>
        <v>10</v>
      </c>
      <c r="CC15" s="90">
        <f>SUMPRODUCT((日次管理!$R$1:$GC$1&lt;=$CC$3)*(日次管理!$F$4:$F$34=$A$15)*(日次管理!$R$2:$GC$2="実施完了")*(日次管理!$R$3:$GC$3="実績"),日次管理!$R$4:$GC$34)</f>
        <v>10</v>
      </c>
      <c r="CD15" s="144">
        <f>SUMPRODUCT((日次管理!$R$1:$GC$1&lt;=$CD$3)*(日次管理!$F$4:$F$34=$A$15)*(日次管理!$R$2:$GC$2="実施完了")*(日次管理!$R$3:$GC$3="予定"),日次管理!$R$4:$GC$34)</f>
        <v>10</v>
      </c>
      <c r="CE15" s="90">
        <f>SUMPRODUCT((日次管理!$R$1:$GC$1&lt;=$CE$3)*(日次管理!$F$4:$F$34=$A$15)*(日次管理!$R$2:$GC$2="実施完了")*(日次管理!$R$3:$GC$3="実績"),日次管理!$R$4:$GC$34)</f>
        <v>10</v>
      </c>
      <c r="CF15" s="144">
        <f>SUMPRODUCT((日次管理!$R$1:$GC$1&lt;=$CF$3)*(日次管理!$F$4:$F$34=$A$15)*(日次管理!$R$2:$GC$2="実施完了")*(日次管理!$R$3:$GC$3="予定"),日次管理!$R$4:$GC$34)</f>
        <v>10</v>
      </c>
      <c r="CG15" s="90">
        <f>SUMPRODUCT((日次管理!$R$1:$GC$1&lt;=$CG$3)*(日次管理!$F$4:$F$34=$A$15)*(日次管理!$R$2:$GC$2="実施完了")*(日次管理!$R$3:$GC$3="実績"),日次管理!$R$4:$GC$34)</f>
        <v>10</v>
      </c>
      <c r="CH15" s="145">
        <f ca="1">SUMPRODUCT(($A$3- WEEKDAY($A$3) + 6 =$B$3:$CG$3)*("実績"=$B$4:$CG$4),$B$15:$CG$15)/SUMPRODUCT(($A$3- WEEKDAY($A$3) + 6 =$B$3:$CG$3)*("予定"=$B$4:$CG$4),$B$15:$CG$15)</f>
        <v>1</v>
      </c>
      <c r="CI15" s="146">
        <f>$CG$15/$CF$15</f>
        <v>1</v>
      </c>
    </row>
    <row r="16" spans="1:87" ht="20.100000000000001" customHeight="1" thickBot="1">
      <c r="A16" s="147" t="s">
        <v>104</v>
      </c>
      <c r="B16" s="148">
        <f>SUM($B$5:$B$15)</f>
        <v>0</v>
      </c>
      <c r="C16" s="149">
        <f>SUM($C$5:$C$15)</f>
        <v>0</v>
      </c>
      <c r="D16" s="148">
        <f>SUM($D$5:$D$15)</f>
        <v>0</v>
      </c>
      <c r="E16" s="149">
        <f>SUM($E$5:$E$15)</f>
        <v>0</v>
      </c>
      <c r="F16" s="148">
        <f>SUM($F$5:$F$15)</f>
        <v>26</v>
      </c>
      <c r="G16" s="149">
        <f>SUM($G$5:$G$15)</f>
        <v>26</v>
      </c>
      <c r="H16" s="148">
        <f>SUM($H$5:$H$15)</f>
        <v>26</v>
      </c>
      <c r="I16" s="149">
        <f>SUM($I$5:$I$15)</f>
        <v>26</v>
      </c>
      <c r="J16" s="148">
        <f>SUM($J$5:$J$15)</f>
        <v>51</v>
      </c>
      <c r="K16" s="149">
        <f>SUM($K$5:$K$15)</f>
        <v>51</v>
      </c>
      <c r="L16" s="148">
        <f>SUM($L$5:$L$15)</f>
        <v>51</v>
      </c>
      <c r="M16" s="149">
        <f>SUM($M$5:$M$15)</f>
        <v>51</v>
      </c>
      <c r="N16" s="148">
        <f>SUM($N$5:$N$15)</f>
        <v>51</v>
      </c>
      <c r="O16" s="149">
        <f>SUM($O$5:$O$15)</f>
        <v>51</v>
      </c>
      <c r="P16" s="148">
        <f>SUM($P$5:$P$15)</f>
        <v>62</v>
      </c>
      <c r="Q16" s="149">
        <f>SUM($Q$5:$Q$15)</f>
        <v>67</v>
      </c>
      <c r="R16" s="148">
        <f>SUM($R$5:$R$15)</f>
        <v>99</v>
      </c>
      <c r="S16" s="149">
        <f>SUM($S$5:$S$15)</f>
        <v>112</v>
      </c>
      <c r="T16" s="148">
        <f>SUM($T$5:$T$15)</f>
        <v>125</v>
      </c>
      <c r="U16" s="149">
        <f>SUM($U$5:$U$15)</f>
        <v>142</v>
      </c>
      <c r="V16" s="148">
        <f>SUM($V$5:$V$15)</f>
        <v>138</v>
      </c>
      <c r="W16" s="149">
        <f>SUM($W$5:$W$15)</f>
        <v>170</v>
      </c>
      <c r="X16" s="148">
        <f>SUM($X$5:$X$15)</f>
        <v>241</v>
      </c>
      <c r="Y16" s="149">
        <f>SUM($Y$5:$Y$15)</f>
        <v>207</v>
      </c>
      <c r="Z16" s="148">
        <f>SUM($Z$5:$Z$15)</f>
        <v>241</v>
      </c>
      <c r="AA16" s="149">
        <f>SUM($AA$5:$AA$15)</f>
        <v>207</v>
      </c>
      <c r="AB16" s="148">
        <f>SUM($AB$5:$AB$15)</f>
        <v>241</v>
      </c>
      <c r="AC16" s="149">
        <f>SUM($AC$5:$AC$15)</f>
        <v>207</v>
      </c>
      <c r="AD16" s="148">
        <f>SUM($AD$5:$AD$15)</f>
        <v>243</v>
      </c>
      <c r="AE16" s="149">
        <f>SUM($AE$5:$AE$15)</f>
        <v>301</v>
      </c>
      <c r="AF16" s="148">
        <f>SUM($AF$5:$AF$15)</f>
        <v>257</v>
      </c>
      <c r="AG16" s="149">
        <f>SUM($AG$5:$AG$15)</f>
        <v>305</v>
      </c>
      <c r="AH16" s="148">
        <f>SUM($AH$5:$AH$15)</f>
        <v>259</v>
      </c>
      <c r="AI16" s="149">
        <f>SUM($AI$5:$AI$15)</f>
        <v>318</v>
      </c>
      <c r="AJ16" s="148">
        <f>SUM($AJ$5:$AJ$15)</f>
        <v>267</v>
      </c>
      <c r="AK16" s="149">
        <f>SUM($AK$5:$AK$15)</f>
        <v>336</v>
      </c>
      <c r="AL16" s="148">
        <f>SUM($AL$5:$AL$15)</f>
        <v>497</v>
      </c>
      <c r="AM16" s="149">
        <f>SUM($AM$5:$AM$15)</f>
        <v>454</v>
      </c>
      <c r="AN16" s="148">
        <f>SUM($AN$5:$AN$15)</f>
        <v>497</v>
      </c>
      <c r="AO16" s="149">
        <f>SUM($AO$5:$AO$15)</f>
        <v>454</v>
      </c>
      <c r="AP16" s="148">
        <f>SUM($AP$5:$AP$15)</f>
        <v>497</v>
      </c>
      <c r="AQ16" s="149">
        <f>SUM($AQ$5:$AQ$15)</f>
        <v>454</v>
      </c>
      <c r="AR16" s="148">
        <f>SUM($AR$5:$AR$15)</f>
        <v>497</v>
      </c>
      <c r="AS16" s="149">
        <f>SUM($AS$5:$AS$15)</f>
        <v>474</v>
      </c>
      <c r="AT16" s="148">
        <f>SUM($AT$5:$AT$15)</f>
        <v>527</v>
      </c>
      <c r="AU16" s="149">
        <f>SUM($AU$5:$AU$15)</f>
        <v>526</v>
      </c>
      <c r="AV16" s="148">
        <f>SUM($AV$5:$AV$15)</f>
        <v>559</v>
      </c>
      <c r="AW16" s="149">
        <f>SUM($AW$5:$AW$15)</f>
        <v>534</v>
      </c>
      <c r="AX16" s="148">
        <f>SUM($AX$5:$AX$15)</f>
        <v>562</v>
      </c>
      <c r="AY16" s="149">
        <f>SUM($AY$5:$AY$15)</f>
        <v>575</v>
      </c>
      <c r="AZ16" s="148">
        <f>SUM($AZ$5:$AZ$15)</f>
        <v>698</v>
      </c>
      <c r="BA16" s="149">
        <f>SUM($BA$5:$BA$15)</f>
        <v>620</v>
      </c>
      <c r="BB16" s="148">
        <f>SUM($BB$5:$BB$15)</f>
        <v>698</v>
      </c>
      <c r="BC16" s="149">
        <f>SUM($BC$5:$BC$15)</f>
        <v>620</v>
      </c>
      <c r="BD16" s="148">
        <f>SUM($BD$5:$BD$15)</f>
        <v>698</v>
      </c>
      <c r="BE16" s="149">
        <f>SUM($BE$5:$BE$15)</f>
        <v>620</v>
      </c>
      <c r="BF16" s="148">
        <f>SUM($BF$5:$BF$15)</f>
        <v>779</v>
      </c>
      <c r="BG16" s="149">
        <f>SUM($BG$5:$BG$15)</f>
        <v>620</v>
      </c>
      <c r="BH16" s="148">
        <f>SUM($BH$5:$BH$15)</f>
        <v>798</v>
      </c>
      <c r="BI16" s="149">
        <f>SUM($BI$5:$BI$15)</f>
        <v>620</v>
      </c>
      <c r="BJ16" s="148">
        <f>SUM($BJ$5:$BJ$15)</f>
        <v>832</v>
      </c>
      <c r="BK16" s="149">
        <f>SUM($BK$5:$BK$15)</f>
        <v>620</v>
      </c>
      <c r="BL16" s="148">
        <f>SUM($BL$5:$BL$15)</f>
        <v>906</v>
      </c>
      <c r="BM16" s="149">
        <f>SUM($BM$5:$BM$15)</f>
        <v>620</v>
      </c>
      <c r="BN16" s="148">
        <f>SUM($BN$5:$BN$15)</f>
        <v>908</v>
      </c>
      <c r="BO16" s="149">
        <f>SUM($BO$5:$BO$15)</f>
        <v>620</v>
      </c>
      <c r="BP16" s="148">
        <f>SUM($BP$5:$BP$15)</f>
        <v>908</v>
      </c>
      <c r="BQ16" s="149">
        <f>SUM($BQ$5:$BQ$15)</f>
        <v>620</v>
      </c>
      <c r="BR16" s="148">
        <f>SUM($BR$5:$BR$15)</f>
        <v>908</v>
      </c>
      <c r="BS16" s="149">
        <f>SUM($BS$5:$BS$15)</f>
        <v>620</v>
      </c>
      <c r="BT16" s="148">
        <f>SUM($BT$5:$BT$15)</f>
        <v>937</v>
      </c>
      <c r="BU16" s="149">
        <f>SUM($BU$5:$BU$15)</f>
        <v>620</v>
      </c>
      <c r="BV16" s="148">
        <f>SUM($BV$5:$BV$15)</f>
        <v>938</v>
      </c>
      <c r="BW16" s="149">
        <f>SUM($BW$5:$BW$15)</f>
        <v>620</v>
      </c>
      <c r="BX16" s="148">
        <f>SUM($BX$5:$BX$15)</f>
        <v>947</v>
      </c>
      <c r="BY16" s="149">
        <f>SUM($BY$5:$BY$15)</f>
        <v>620</v>
      </c>
      <c r="BZ16" s="148">
        <f>SUM($BZ$5:$BZ$15)</f>
        <v>960</v>
      </c>
      <c r="CA16" s="149">
        <f>SUM($CA$5:$CA$15)</f>
        <v>620</v>
      </c>
      <c r="CB16" s="148">
        <f>SUM($CB$5:$CB$15)</f>
        <v>961</v>
      </c>
      <c r="CC16" s="149">
        <f>SUM($CC$5:$CC$15)</f>
        <v>620</v>
      </c>
      <c r="CD16" s="148">
        <f>SUM($CD$5:$CD$15)</f>
        <v>961</v>
      </c>
      <c r="CE16" s="149">
        <f>SUM($CE$5:$CE$15)</f>
        <v>620</v>
      </c>
      <c r="CF16" s="148">
        <f>SUM($CF$5:$CF$15)</f>
        <v>961</v>
      </c>
      <c r="CG16" s="149">
        <f>SUM($CG$5:$CG$15)</f>
        <v>620</v>
      </c>
      <c r="CH16" s="150">
        <f ca="1">SUMPRODUCT(($A$3- WEEKDAY($A$3) + 6 =$B$3:$CG$3)*("実績"=$B$4:$CG$4),$B$16:$CG$16)/SUMPRODUCT(($A$3- WEEKDAY($A$3) + 6 =$B$3:$CG$3)*("予定"=$B$4:$CG$4),$B$16:$CG$16)</f>
        <v>0.88825214899713467</v>
      </c>
      <c r="CI16" s="151">
        <f>$CG$16/$CF$16</f>
        <v>0.64516129032258063</v>
      </c>
    </row>
    <row r="19" spans="1:87" ht="20.100000000000001" customHeight="1" thickBot="1">
      <c r="A19" s="49" t="s">
        <v>108</v>
      </c>
      <c r="B19" s="49" t="s">
        <v>101</v>
      </c>
    </row>
    <row r="20" spans="1:87" ht="39.950000000000003" customHeight="1">
      <c r="A20" s="93">
        <f ca="1">TODAY()</f>
        <v>43553</v>
      </c>
      <c r="B20" s="131">
        <v>43528</v>
      </c>
      <c r="C20" s="83">
        <v>43528</v>
      </c>
      <c r="D20" s="132">
        <v>43529</v>
      </c>
      <c r="E20" s="94">
        <v>43529</v>
      </c>
      <c r="F20" s="131">
        <v>43530</v>
      </c>
      <c r="G20" s="83">
        <v>43530</v>
      </c>
      <c r="H20" s="132">
        <v>43531</v>
      </c>
      <c r="I20" s="94">
        <v>43531</v>
      </c>
      <c r="J20" s="131">
        <v>43532</v>
      </c>
      <c r="K20" s="83">
        <v>43532</v>
      </c>
      <c r="L20" s="132">
        <v>43533</v>
      </c>
      <c r="M20" s="94">
        <v>43533</v>
      </c>
      <c r="N20" s="131">
        <v>43534</v>
      </c>
      <c r="O20" s="83">
        <v>43534</v>
      </c>
      <c r="P20" s="132">
        <v>43535</v>
      </c>
      <c r="Q20" s="94">
        <v>43535</v>
      </c>
      <c r="R20" s="131">
        <v>43536</v>
      </c>
      <c r="S20" s="83">
        <v>43536</v>
      </c>
      <c r="T20" s="132">
        <v>43537</v>
      </c>
      <c r="U20" s="94">
        <v>43537</v>
      </c>
      <c r="V20" s="131">
        <v>43538</v>
      </c>
      <c r="W20" s="83">
        <v>43538</v>
      </c>
      <c r="X20" s="132">
        <v>43539</v>
      </c>
      <c r="Y20" s="94">
        <v>43539</v>
      </c>
      <c r="Z20" s="131">
        <v>43540</v>
      </c>
      <c r="AA20" s="83">
        <v>43540</v>
      </c>
      <c r="AB20" s="132">
        <v>43541</v>
      </c>
      <c r="AC20" s="94">
        <v>43541</v>
      </c>
      <c r="AD20" s="131">
        <v>43542</v>
      </c>
      <c r="AE20" s="83">
        <v>43542</v>
      </c>
      <c r="AF20" s="132">
        <v>43543</v>
      </c>
      <c r="AG20" s="94">
        <v>43543</v>
      </c>
      <c r="AH20" s="131">
        <v>43544</v>
      </c>
      <c r="AI20" s="83">
        <v>43544</v>
      </c>
      <c r="AJ20" s="132">
        <v>43545</v>
      </c>
      <c r="AK20" s="94">
        <v>43545</v>
      </c>
      <c r="AL20" s="131">
        <v>43546</v>
      </c>
      <c r="AM20" s="83">
        <v>43546</v>
      </c>
      <c r="AN20" s="132">
        <v>43547</v>
      </c>
      <c r="AO20" s="94">
        <v>43547</v>
      </c>
      <c r="AP20" s="131">
        <v>43548</v>
      </c>
      <c r="AQ20" s="83">
        <v>43548</v>
      </c>
      <c r="AR20" s="132">
        <v>43549</v>
      </c>
      <c r="AS20" s="94">
        <v>43549</v>
      </c>
      <c r="AT20" s="131">
        <v>43550</v>
      </c>
      <c r="AU20" s="83">
        <v>43550</v>
      </c>
      <c r="AV20" s="132">
        <v>43551</v>
      </c>
      <c r="AW20" s="94">
        <v>43551</v>
      </c>
      <c r="AX20" s="131">
        <v>43552</v>
      </c>
      <c r="AY20" s="83">
        <v>43552</v>
      </c>
      <c r="AZ20" s="132">
        <v>43553</v>
      </c>
      <c r="BA20" s="94">
        <v>43553</v>
      </c>
      <c r="BB20" s="131">
        <v>43554</v>
      </c>
      <c r="BC20" s="83">
        <v>43554</v>
      </c>
      <c r="BD20" s="132">
        <v>43555</v>
      </c>
      <c r="BE20" s="94">
        <v>43555</v>
      </c>
      <c r="BF20" s="131">
        <v>43556</v>
      </c>
      <c r="BG20" s="83">
        <v>43556</v>
      </c>
      <c r="BH20" s="132">
        <v>43557</v>
      </c>
      <c r="BI20" s="94">
        <v>43557</v>
      </c>
      <c r="BJ20" s="131">
        <v>43558</v>
      </c>
      <c r="BK20" s="83">
        <v>43558</v>
      </c>
      <c r="BL20" s="132">
        <v>43559</v>
      </c>
      <c r="BM20" s="94">
        <v>43559</v>
      </c>
      <c r="BN20" s="131">
        <v>43560</v>
      </c>
      <c r="BO20" s="83">
        <v>43560</v>
      </c>
      <c r="BP20" s="132">
        <v>43561</v>
      </c>
      <c r="BQ20" s="94">
        <v>43561</v>
      </c>
      <c r="BR20" s="131">
        <v>43562</v>
      </c>
      <c r="BS20" s="83">
        <v>43562</v>
      </c>
      <c r="BT20" s="132">
        <v>43563</v>
      </c>
      <c r="BU20" s="94">
        <v>43563</v>
      </c>
      <c r="BV20" s="131">
        <v>43564</v>
      </c>
      <c r="BW20" s="83">
        <v>43564</v>
      </c>
      <c r="BX20" s="132">
        <v>43565</v>
      </c>
      <c r="BY20" s="94">
        <v>43565</v>
      </c>
      <c r="BZ20" s="131">
        <v>43566</v>
      </c>
      <c r="CA20" s="83">
        <v>43566</v>
      </c>
      <c r="CB20" s="132">
        <v>43567</v>
      </c>
      <c r="CC20" s="94">
        <v>43567</v>
      </c>
      <c r="CD20" s="131">
        <v>43568</v>
      </c>
      <c r="CE20" s="83">
        <v>43568</v>
      </c>
      <c r="CF20" s="132">
        <v>43569</v>
      </c>
      <c r="CG20" s="94">
        <v>43569</v>
      </c>
      <c r="CH20" s="181" t="s">
        <v>105</v>
      </c>
      <c r="CI20" s="182"/>
    </row>
    <row r="21" spans="1:87" ht="20.100000000000001" customHeight="1" thickBot="1">
      <c r="A21" s="133" t="s">
        <v>102</v>
      </c>
      <c r="B21" s="134" t="s">
        <v>96</v>
      </c>
      <c r="C21" s="135" t="s">
        <v>97</v>
      </c>
      <c r="D21" s="136" t="s">
        <v>96</v>
      </c>
      <c r="E21" s="137" t="s">
        <v>97</v>
      </c>
      <c r="F21" s="134" t="s">
        <v>96</v>
      </c>
      <c r="G21" s="135" t="s">
        <v>97</v>
      </c>
      <c r="H21" s="136" t="s">
        <v>96</v>
      </c>
      <c r="I21" s="137" t="s">
        <v>97</v>
      </c>
      <c r="J21" s="134" t="s">
        <v>96</v>
      </c>
      <c r="K21" s="135" t="s">
        <v>97</v>
      </c>
      <c r="L21" s="136" t="s">
        <v>96</v>
      </c>
      <c r="M21" s="137" t="s">
        <v>97</v>
      </c>
      <c r="N21" s="134" t="s">
        <v>96</v>
      </c>
      <c r="O21" s="135" t="s">
        <v>97</v>
      </c>
      <c r="P21" s="136" t="s">
        <v>96</v>
      </c>
      <c r="Q21" s="137" t="s">
        <v>97</v>
      </c>
      <c r="R21" s="134" t="s">
        <v>96</v>
      </c>
      <c r="S21" s="135" t="s">
        <v>97</v>
      </c>
      <c r="T21" s="136" t="s">
        <v>96</v>
      </c>
      <c r="U21" s="137" t="s">
        <v>97</v>
      </c>
      <c r="V21" s="134" t="s">
        <v>96</v>
      </c>
      <c r="W21" s="135" t="s">
        <v>97</v>
      </c>
      <c r="X21" s="136" t="s">
        <v>96</v>
      </c>
      <c r="Y21" s="137" t="s">
        <v>97</v>
      </c>
      <c r="Z21" s="134" t="s">
        <v>96</v>
      </c>
      <c r="AA21" s="135" t="s">
        <v>97</v>
      </c>
      <c r="AB21" s="136" t="s">
        <v>96</v>
      </c>
      <c r="AC21" s="137" t="s">
        <v>97</v>
      </c>
      <c r="AD21" s="134" t="s">
        <v>96</v>
      </c>
      <c r="AE21" s="135" t="s">
        <v>97</v>
      </c>
      <c r="AF21" s="136" t="s">
        <v>96</v>
      </c>
      <c r="AG21" s="137" t="s">
        <v>97</v>
      </c>
      <c r="AH21" s="134" t="s">
        <v>96</v>
      </c>
      <c r="AI21" s="135" t="s">
        <v>97</v>
      </c>
      <c r="AJ21" s="136" t="s">
        <v>96</v>
      </c>
      <c r="AK21" s="137" t="s">
        <v>97</v>
      </c>
      <c r="AL21" s="134" t="s">
        <v>96</v>
      </c>
      <c r="AM21" s="135" t="s">
        <v>97</v>
      </c>
      <c r="AN21" s="136" t="s">
        <v>96</v>
      </c>
      <c r="AO21" s="137" t="s">
        <v>97</v>
      </c>
      <c r="AP21" s="134" t="s">
        <v>96</v>
      </c>
      <c r="AQ21" s="135" t="s">
        <v>97</v>
      </c>
      <c r="AR21" s="136" t="s">
        <v>96</v>
      </c>
      <c r="AS21" s="137" t="s">
        <v>97</v>
      </c>
      <c r="AT21" s="134" t="s">
        <v>96</v>
      </c>
      <c r="AU21" s="135" t="s">
        <v>97</v>
      </c>
      <c r="AV21" s="136" t="s">
        <v>96</v>
      </c>
      <c r="AW21" s="137" t="s">
        <v>97</v>
      </c>
      <c r="AX21" s="134" t="s">
        <v>96</v>
      </c>
      <c r="AY21" s="135" t="s">
        <v>97</v>
      </c>
      <c r="AZ21" s="136" t="s">
        <v>96</v>
      </c>
      <c r="BA21" s="137" t="s">
        <v>97</v>
      </c>
      <c r="BB21" s="134" t="s">
        <v>96</v>
      </c>
      <c r="BC21" s="135" t="s">
        <v>97</v>
      </c>
      <c r="BD21" s="136" t="s">
        <v>96</v>
      </c>
      <c r="BE21" s="137" t="s">
        <v>97</v>
      </c>
      <c r="BF21" s="134" t="s">
        <v>96</v>
      </c>
      <c r="BG21" s="135" t="s">
        <v>97</v>
      </c>
      <c r="BH21" s="136" t="s">
        <v>96</v>
      </c>
      <c r="BI21" s="137" t="s">
        <v>97</v>
      </c>
      <c r="BJ21" s="134" t="s">
        <v>96</v>
      </c>
      <c r="BK21" s="135" t="s">
        <v>97</v>
      </c>
      <c r="BL21" s="136" t="s">
        <v>96</v>
      </c>
      <c r="BM21" s="137" t="s">
        <v>97</v>
      </c>
      <c r="BN21" s="134" t="s">
        <v>96</v>
      </c>
      <c r="BO21" s="135" t="s">
        <v>97</v>
      </c>
      <c r="BP21" s="136" t="s">
        <v>96</v>
      </c>
      <c r="BQ21" s="137" t="s">
        <v>97</v>
      </c>
      <c r="BR21" s="134" t="s">
        <v>96</v>
      </c>
      <c r="BS21" s="135" t="s">
        <v>97</v>
      </c>
      <c r="BT21" s="136" t="s">
        <v>96</v>
      </c>
      <c r="BU21" s="137" t="s">
        <v>97</v>
      </c>
      <c r="BV21" s="134" t="s">
        <v>96</v>
      </c>
      <c r="BW21" s="135" t="s">
        <v>97</v>
      </c>
      <c r="BX21" s="136" t="s">
        <v>96</v>
      </c>
      <c r="BY21" s="137" t="s">
        <v>97</v>
      </c>
      <c r="BZ21" s="134" t="s">
        <v>96</v>
      </c>
      <c r="CA21" s="135" t="s">
        <v>97</v>
      </c>
      <c r="CB21" s="136" t="s">
        <v>96</v>
      </c>
      <c r="CC21" s="137" t="s">
        <v>97</v>
      </c>
      <c r="CD21" s="134" t="s">
        <v>96</v>
      </c>
      <c r="CE21" s="135" t="s">
        <v>97</v>
      </c>
      <c r="CF21" s="136" t="s">
        <v>96</v>
      </c>
      <c r="CG21" s="137" t="s">
        <v>97</v>
      </c>
      <c r="CH21" s="134" t="s">
        <v>106</v>
      </c>
      <c r="CI21" s="138" t="s">
        <v>107</v>
      </c>
    </row>
    <row r="22" spans="1:87" ht="20.100000000000001" customHeight="1">
      <c r="A22" s="84" t="s">
        <v>136</v>
      </c>
      <c r="B22" s="85">
        <f>SUMPRODUCT((日次管理!$R$1:$GC$1&lt;=$B$20)*(日次管理!$K$4:$K$34=$A$22)*(日次管理!$R$2:$GC$2="精査完了")*(日次管理!$R$3:$GC$3="予定"),日次管理!$R$4:$GC$34)</f>
        <v>0</v>
      </c>
      <c r="C22" s="86">
        <f>SUMPRODUCT((日次管理!$R$1:$GC$1&lt;=$C$20)*(日次管理!$K$4:$K$34=$A$22)*(日次管理!$R$2:$GC$2="精査完了")*(日次管理!$R$3:$GC$3="実績"),日次管理!$R$4:$GC$34)</f>
        <v>0</v>
      </c>
      <c r="D22" s="85">
        <f>SUMPRODUCT((日次管理!$R$1:$GC$1&lt;=$D$20)*(日次管理!$K$4:$K$34=$A$22)*(日次管理!$R$2:$GC$2="精査完了")*(日次管理!$R$3:$GC$3="予定"),日次管理!$R$4:$GC$34)</f>
        <v>0</v>
      </c>
      <c r="E22" s="86">
        <f>SUMPRODUCT((日次管理!$R$1:$GC$1&lt;=$E$20)*(日次管理!$K$4:$K$34=$A$22)*(日次管理!$R$2:$GC$2="精査完了")*(日次管理!$R$3:$GC$3="実績"),日次管理!$R$4:$GC$34)</f>
        <v>0</v>
      </c>
      <c r="F22" s="85">
        <f>SUMPRODUCT((日次管理!$R$1:$GC$1&lt;=$F$20)*(日次管理!$K$4:$K$34=$A$22)*(日次管理!$R$2:$GC$2="精査完了")*(日次管理!$R$3:$GC$3="予定"),日次管理!$R$4:$GC$34)</f>
        <v>0</v>
      </c>
      <c r="G22" s="86">
        <f>SUMPRODUCT((日次管理!$R$1:$GC$1&lt;=$G$20)*(日次管理!$K$4:$K$34=$A$22)*(日次管理!$R$2:$GC$2="精査完了")*(日次管理!$R$3:$GC$3="実績"),日次管理!$R$4:$GC$34)</f>
        <v>0</v>
      </c>
      <c r="H22" s="85">
        <f>SUMPRODUCT((日次管理!$R$1:$GC$1&lt;=$H$20)*(日次管理!$K$4:$K$34=$A$22)*(日次管理!$R$2:$GC$2="精査完了")*(日次管理!$R$3:$GC$3="予定"),日次管理!$R$4:$GC$34)</f>
        <v>0</v>
      </c>
      <c r="I22" s="86">
        <f>SUMPRODUCT((日次管理!$R$1:$GC$1&lt;=$I$20)*(日次管理!$K$4:$K$34=$A$22)*(日次管理!$R$2:$GC$2="精査完了")*(日次管理!$R$3:$GC$3="実績"),日次管理!$R$4:$GC$34)</f>
        <v>0</v>
      </c>
      <c r="J22" s="85">
        <f>SUMPRODUCT((日次管理!$R$1:$GC$1&lt;=$J$20)*(日次管理!$K$4:$K$34=$A$22)*(日次管理!$R$2:$GC$2="精査完了")*(日次管理!$R$3:$GC$3="予定"),日次管理!$R$4:$GC$34)</f>
        <v>0</v>
      </c>
      <c r="K22" s="86">
        <f>SUMPRODUCT((日次管理!$R$1:$GC$1&lt;=$K$20)*(日次管理!$K$4:$K$34=$A$22)*(日次管理!$R$2:$GC$2="精査完了")*(日次管理!$R$3:$GC$3="実績"),日次管理!$R$4:$GC$34)</f>
        <v>0</v>
      </c>
      <c r="L22" s="85">
        <f>SUMPRODUCT((日次管理!$R$1:$GC$1&lt;=$L$20)*(日次管理!$K$4:$K$34=$A$22)*(日次管理!$R$2:$GC$2="精査完了")*(日次管理!$R$3:$GC$3="予定"),日次管理!$R$4:$GC$34)</f>
        <v>0</v>
      </c>
      <c r="M22" s="86">
        <f>SUMPRODUCT((日次管理!$R$1:$GC$1&lt;=$M$20)*(日次管理!$K$4:$K$34=$A$22)*(日次管理!$R$2:$GC$2="精査完了")*(日次管理!$R$3:$GC$3="実績"),日次管理!$R$4:$GC$34)</f>
        <v>0</v>
      </c>
      <c r="N22" s="85">
        <f>SUMPRODUCT((日次管理!$R$1:$GC$1&lt;=$N$20)*(日次管理!$K$4:$K$34=$A$22)*(日次管理!$R$2:$GC$2="精査完了")*(日次管理!$R$3:$GC$3="予定"),日次管理!$R$4:$GC$34)</f>
        <v>0</v>
      </c>
      <c r="O22" s="86">
        <f>SUMPRODUCT((日次管理!$R$1:$GC$1&lt;=$O$20)*(日次管理!$K$4:$K$34=$A$22)*(日次管理!$R$2:$GC$2="精査完了")*(日次管理!$R$3:$GC$3="実績"),日次管理!$R$4:$GC$34)</f>
        <v>0</v>
      </c>
      <c r="P22" s="85">
        <f>SUMPRODUCT((日次管理!$R$1:$GC$1&lt;=$P$20)*(日次管理!$K$4:$K$34=$A$22)*(日次管理!$R$2:$GC$2="精査完了")*(日次管理!$R$3:$GC$3="予定"),日次管理!$R$4:$GC$34)</f>
        <v>0</v>
      </c>
      <c r="Q22" s="86">
        <f>SUMPRODUCT((日次管理!$R$1:$GC$1&lt;=$Q$20)*(日次管理!$K$4:$K$34=$A$22)*(日次管理!$R$2:$GC$2="精査完了")*(日次管理!$R$3:$GC$3="実績"),日次管理!$R$4:$GC$34)</f>
        <v>0</v>
      </c>
      <c r="R22" s="85">
        <f>SUMPRODUCT((日次管理!$R$1:$GC$1&lt;=$R$20)*(日次管理!$K$4:$K$34=$A$22)*(日次管理!$R$2:$GC$2="精査完了")*(日次管理!$R$3:$GC$3="予定"),日次管理!$R$4:$GC$34)</f>
        <v>0</v>
      </c>
      <c r="S22" s="86">
        <f>SUMPRODUCT((日次管理!$R$1:$GC$1&lt;=$S$20)*(日次管理!$K$4:$K$34=$A$22)*(日次管理!$R$2:$GC$2="精査完了")*(日次管理!$R$3:$GC$3="実績"),日次管理!$R$4:$GC$34)</f>
        <v>0</v>
      </c>
      <c r="T22" s="85">
        <f>SUMPRODUCT((日次管理!$R$1:$GC$1&lt;=$T$20)*(日次管理!$K$4:$K$34=$A$22)*(日次管理!$R$2:$GC$2="精査完了")*(日次管理!$R$3:$GC$3="予定"),日次管理!$R$4:$GC$34)</f>
        <v>0</v>
      </c>
      <c r="U22" s="86">
        <f>SUMPRODUCT((日次管理!$R$1:$GC$1&lt;=$U$20)*(日次管理!$K$4:$K$34=$A$22)*(日次管理!$R$2:$GC$2="精査完了")*(日次管理!$R$3:$GC$3="実績"),日次管理!$R$4:$GC$34)</f>
        <v>0</v>
      </c>
      <c r="V22" s="85">
        <f>SUMPRODUCT((日次管理!$R$1:$GC$1&lt;=$V$20)*(日次管理!$K$4:$K$34=$A$22)*(日次管理!$R$2:$GC$2="精査完了")*(日次管理!$R$3:$GC$3="予定"),日次管理!$R$4:$GC$34)</f>
        <v>0</v>
      </c>
      <c r="W22" s="86">
        <f>SUMPRODUCT((日次管理!$R$1:$GC$1&lt;=$W$20)*(日次管理!$K$4:$K$34=$A$22)*(日次管理!$R$2:$GC$2="精査完了")*(日次管理!$R$3:$GC$3="実績"),日次管理!$R$4:$GC$34)</f>
        <v>0</v>
      </c>
      <c r="X22" s="85">
        <f>SUMPRODUCT((日次管理!$R$1:$GC$1&lt;=$X$20)*(日次管理!$K$4:$K$34=$A$22)*(日次管理!$R$2:$GC$2="精査完了")*(日次管理!$R$3:$GC$3="予定"),日次管理!$R$4:$GC$34)</f>
        <v>0</v>
      </c>
      <c r="Y22" s="86">
        <f>SUMPRODUCT((日次管理!$R$1:$GC$1&lt;=$Y$20)*(日次管理!$K$4:$K$34=$A$22)*(日次管理!$R$2:$GC$2="精査完了")*(日次管理!$R$3:$GC$3="実績"),日次管理!$R$4:$GC$34)</f>
        <v>0</v>
      </c>
      <c r="Z22" s="85">
        <f>SUMPRODUCT((日次管理!$R$1:$GC$1&lt;=$Z$20)*(日次管理!$K$4:$K$34=$A$22)*(日次管理!$R$2:$GC$2="精査完了")*(日次管理!$R$3:$GC$3="予定"),日次管理!$R$4:$GC$34)</f>
        <v>0</v>
      </c>
      <c r="AA22" s="86">
        <f>SUMPRODUCT((日次管理!$R$1:$GC$1&lt;=$AA$20)*(日次管理!$K$4:$K$34=$A$22)*(日次管理!$R$2:$GC$2="精査完了")*(日次管理!$R$3:$GC$3="実績"),日次管理!$R$4:$GC$34)</f>
        <v>0</v>
      </c>
      <c r="AB22" s="85">
        <f>SUMPRODUCT((日次管理!$R$1:$GC$1&lt;=$AB$20)*(日次管理!$K$4:$K$34=$A$22)*(日次管理!$R$2:$GC$2="精査完了")*(日次管理!$R$3:$GC$3="予定"),日次管理!$R$4:$GC$34)</f>
        <v>0</v>
      </c>
      <c r="AC22" s="86">
        <f>SUMPRODUCT((日次管理!$R$1:$GC$1&lt;=$AC$20)*(日次管理!$K$4:$K$34=$A$22)*(日次管理!$R$2:$GC$2="精査完了")*(日次管理!$R$3:$GC$3="実績"),日次管理!$R$4:$GC$34)</f>
        <v>0</v>
      </c>
      <c r="AD22" s="85">
        <f>SUMPRODUCT((日次管理!$R$1:$GC$1&lt;=$AD$20)*(日次管理!$K$4:$K$34=$A$22)*(日次管理!$R$2:$GC$2="精査完了")*(日次管理!$R$3:$GC$3="予定"),日次管理!$R$4:$GC$34)</f>
        <v>0</v>
      </c>
      <c r="AE22" s="86">
        <f>SUMPRODUCT((日次管理!$R$1:$GC$1&lt;=$AE$20)*(日次管理!$K$4:$K$34=$A$22)*(日次管理!$R$2:$GC$2="精査完了")*(日次管理!$R$3:$GC$3="実績"),日次管理!$R$4:$GC$34)</f>
        <v>0</v>
      </c>
      <c r="AF22" s="85">
        <f>SUMPRODUCT((日次管理!$R$1:$GC$1&lt;=$AF$20)*(日次管理!$K$4:$K$34=$A$22)*(日次管理!$R$2:$GC$2="精査完了")*(日次管理!$R$3:$GC$3="予定"),日次管理!$R$4:$GC$34)</f>
        <v>0</v>
      </c>
      <c r="AG22" s="86">
        <f>SUMPRODUCT((日次管理!$R$1:$GC$1&lt;=$AG$20)*(日次管理!$K$4:$K$34=$A$22)*(日次管理!$R$2:$GC$2="精査完了")*(日次管理!$R$3:$GC$3="実績"),日次管理!$R$4:$GC$34)</f>
        <v>0</v>
      </c>
      <c r="AH22" s="85">
        <f>SUMPRODUCT((日次管理!$R$1:$GC$1&lt;=$AH$20)*(日次管理!$K$4:$K$34=$A$22)*(日次管理!$R$2:$GC$2="精査完了")*(日次管理!$R$3:$GC$3="予定"),日次管理!$R$4:$GC$34)</f>
        <v>0</v>
      </c>
      <c r="AI22" s="86">
        <f>SUMPRODUCT((日次管理!$R$1:$GC$1&lt;=$AI$20)*(日次管理!$K$4:$K$34=$A$22)*(日次管理!$R$2:$GC$2="精査完了")*(日次管理!$R$3:$GC$3="実績"),日次管理!$R$4:$GC$34)</f>
        <v>0</v>
      </c>
      <c r="AJ22" s="85">
        <f>SUMPRODUCT((日次管理!$R$1:$GC$1&lt;=$AJ$20)*(日次管理!$K$4:$K$34=$A$22)*(日次管理!$R$2:$GC$2="精査完了")*(日次管理!$R$3:$GC$3="予定"),日次管理!$R$4:$GC$34)</f>
        <v>0</v>
      </c>
      <c r="AK22" s="86">
        <f>SUMPRODUCT((日次管理!$R$1:$GC$1&lt;=$AK$20)*(日次管理!$K$4:$K$34=$A$22)*(日次管理!$R$2:$GC$2="精査完了")*(日次管理!$R$3:$GC$3="実績"),日次管理!$R$4:$GC$34)</f>
        <v>0</v>
      </c>
      <c r="AL22" s="85">
        <f>SUMPRODUCT((日次管理!$R$1:$GC$1&lt;=$AL$20)*(日次管理!$K$4:$K$34=$A$22)*(日次管理!$R$2:$GC$2="精査完了")*(日次管理!$R$3:$GC$3="予定"),日次管理!$R$4:$GC$34)</f>
        <v>0</v>
      </c>
      <c r="AM22" s="86">
        <f>SUMPRODUCT((日次管理!$R$1:$GC$1&lt;=$AM$20)*(日次管理!$K$4:$K$34=$A$22)*(日次管理!$R$2:$GC$2="精査完了")*(日次管理!$R$3:$GC$3="実績"),日次管理!$R$4:$GC$34)</f>
        <v>0</v>
      </c>
      <c r="AN22" s="85">
        <f>SUMPRODUCT((日次管理!$R$1:$GC$1&lt;=$AN$20)*(日次管理!$K$4:$K$34=$A$22)*(日次管理!$R$2:$GC$2="精査完了")*(日次管理!$R$3:$GC$3="予定"),日次管理!$R$4:$GC$34)</f>
        <v>0</v>
      </c>
      <c r="AO22" s="86">
        <f>SUMPRODUCT((日次管理!$R$1:$GC$1&lt;=$AO$20)*(日次管理!$K$4:$K$34=$A$22)*(日次管理!$R$2:$GC$2="精査完了")*(日次管理!$R$3:$GC$3="実績"),日次管理!$R$4:$GC$34)</f>
        <v>0</v>
      </c>
      <c r="AP22" s="85">
        <f>SUMPRODUCT((日次管理!$R$1:$GC$1&lt;=$AP$20)*(日次管理!$K$4:$K$34=$A$22)*(日次管理!$R$2:$GC$2="精査完了")*(日次管理!$R$3:$GC$3="予定"),日次管理!$R$4:$GC$34)</f>
        <v>0</v>
      </c>
      <c r="AQ22" s="86">
        <f>SUMPRODUCT((日次管理!$R$1:$GC$1&lt;=$AQ$20)*(日次管理!$K$4:$K$34=$A$22)*(日次管理!$R$2:$GC$2="精査完了")*(日次管理!$R$3:$GC$3="実績"),日次管理!$R$4:$GC$34)</f>
        <v>0</v>
      </c>
      <c r="AR22" s="85">
        <f>SUMPRODUCT((日次管理!$R$1:$GC$1&lt;=$AR$20)*(日次管理!$K$4:$K$34=$A$22)*(日次管理!$R$2:$GC$2="精査完了")*(日次管理!$R$3:$GC$3="予定"),日次管理!$R$4:$GC$34)</f>
        <v>0</v>
      </c>
      <c r="AS22" s="86">
        <f>SUMPRODUCT((日次管理!$R$1:$GC$1&lt;=$AS$20)*(日次管理!$K$4:$K$34=$A$22)*(日次管理!$R$2:$GC$2="精査完了")*(日次管理!$R$3:$GC$3="実績"),日次管理!$R$4:$GC$34)</f>
        <v>0</v>
      </c>
      <c r="AT22" s="85">
        <f>SUMPRODUCT((日次管理!$R$1:$GC$1&lt;=$AT$20)*(日次管理!$K$4:$K$34=$A$22)*(日次管理!$R$2:$GC$2="精査完了")*(日次管理!$R$3:$GC$3="予定"),日次管理!$R$4:$GC$34)</f>
        <v>0</v>
      </c>
      <c r="AU22" s="86">
        <f>SUMPRODUCT((日次管理!$R$1:$GC$1&lt;=$AU$20)*(日次管理!$K$4:$K$34=$A$22)*(日次管理!$R$2:$GC$2="精査完了")*(日次管理!$R$3:$GC$3="実績"),日次管理!$R$4:$GC$34)</f>
        <v>0</v>
      </c>
      <c r="AV22" s="85">
        <f>SUMPRODUCT((日次管理!$R$1:$GC$1&lt;=$AV$20)*(日次管理!$K$4:$K$34=$A$22)*(日次管理!$R$2:$GC$2="精査完了")*(日次管理!$R$3:$GC$3="予定"),日次管理!$R$4:$GC$34)</f>
        <v>0</v>
      </c>
      <c r="AW22" s="86">
        <f>SUMPRODUCT((日次管理!$R$1:$GC$1&lt;=$AW$20)*(日次管理!$K$4:$K$34=$A$22)*(日次管理!$R$2:$GC$2="精査完了")*(日次管理!$R$3:$GC$3="実績"),日次管理!$R$4:$GC$34)</f>
        <v>0</v>
      </c>
      <c r="AX22" s="85">
        <f>SUMPRODUCT((日次管理!$R$1:$GC$1&lt;=$AX$20)*(日次管理!$K$4:$K$34=$A$22)*(日次管理!$R$2:$GC$2="精査完了")*(日次管理!$R$3:$GC$3="予定"),日次管理!$R$4:$GC$34)</f>
        <v>32</v>
      </c>
      <c r="AY22" s="86">
        <f>SUMPRODUCT((日次管理!$R$1:$GC$1&lt;=$AY$20)*(日次管理!$K$4:$K$34=$A$22)*(日次管理!$R$2:$GC$2="精査完了")*(日次管理!$R$3:$GC$3="実績"),日次管理!$R$4:$GC$34)</f>
        <v>22</v>
      </c>
      <c r="AZ22" s="85">
        <f>SUMPRODUCT((日次管理!$R$1:$GC$1&lt;=$AZ$20)*(日次管理!$K$4:$K$34=$A$22)*(日次管理!$R$2:$GC$2="精査完了")*(日次管理!$R$3:$GC$3="予定"),日次管理!$R$4:$GC$34)</f>
        <v>32</v>
      </c>
      <c r="BA22" s="86">
        <f>SUMPRODUCT((日次管理!$R$1:$GC$1&lt;=$BA$20)*(日次管理!$K$4:$K$34=$A$22)*(日次管理!$R$2:$GC$2="精査完了")*(日次管理!$R$3:$GC$3="実績"),日次管理!$R$4:$GC$34)</f>
        <v>22</v>
      </c>
      <c r="BB22" s="85">
        <f>SUMPRODUCT((日次管理!$R$1:$GC$1&lt;=$BB$20)*(日次管理!$K$4:$K$34=$A$22)*(日次管理!$R$2:$GC$2="精査完了")*(日次管理!$R$3:$GC$3="予定"),日次管理!$R$4:$GC$34)</f>
        <v>32</v>
      </c>
      <c r="BC22" s="86">
        <f>SUMPRODUCT((日次管理!$R$1:$GC$1&lt;=$BC$20)*(日次管理!$K$4:$K$34=$A$22)*(日次管理!$R$2:$GC$2="精査完了")*(日次管理!$R$3:$GC$3="実績"),日次管理!$R$4:$GC$34)</f>
        <v>22</v>
      </c>
      <c r="BD22" s="85">
        <f>SUMPRODUCT((日次管理!$R$1:$GC$1&lt;=$BD$20)*(日次管理!$K$4:$K$34=$A$22)*(日次管理!$R$2:$GC$2="精査完了")*(日次管理!$R$3:$GC$3="予定"),日次管理!$R$4:$GC$34)</f>
        <v>32</v>
      </c>
      <c r="BE22" s="86">
        <f>SUMPRODUCT((日次管理!$R$1:$GC$1&lt;=$BE$20)*(日次管理!$K$4:$K$34=$A$22)*(日次管理!$R$2:$GC$2="精査完了")*(日次管理!$R$3:$GC$3="実績"),日次管理!$R$4:$GC$34)</f>
        <v>22</v>
      </c>
      <c r="BF22" s="85">
        <f>SUMPRODUCT((日次管理!$R$1:$GC$1&lt;=$BF$20)*(日次管理!$K$4:$K$34=$A$22)*(日次管理!$R$2:$GC$2="精査完了")*(日次管理!$R$3:$GC$3="予定"),日次管理!$R$4:$GC$34)</f>
        <v>32</v>
      </c>
      <c r="BG22" s="86">
        <f>SUMPRODUCT((日次管理!$R$1:$GC$1&lt;=$BG$20)*(日次管理!$K$4:$K$34=$A$22)*(日次管理!$R$2:$GC$2="精査完了")*(日次管理!$R$3:$GC$3="実績"),日次管理!$R$4:$GC$34)</f>
        <v>22</v>
      </c>
      <c r="BH22" s="85">
        <f>SUMPRODUCT((日次管理!$R$1:$GC$1&lt;=$BH$20)*(日次管理!$K$4:$K$34=$A$22)*(日次管理!$R$2:$GC$2="精査完了")*(日次管理!$R$3:$GC$3="予定"),日次管理!$R$4:$GC$34)</f>
        <v>79</v>
      </c>
      <c r="BI22" s="86">
        <f>SUMPRODUCT((日次管理!$R$1:$GC$1&lt;=$BI$20)*(日次管理!$K$4:$K$34=$A$22)*(日次管理!$R$2:$GC$2="精査完了")*(日次管理!$R$3:$GC$3="実績"),日次管理!$R$4:$GC$34)</f>
        <v>22</v>
      </c>
      <c r="BJ22" s="85">
        <f>SUMPRODUCT((日次管理!$R$1:$GC$1&lt;=$BJ$20)*(日次管理!$K$4:$K$34=$A$22)*(日次管理!$R$2:$GC$2="精査完了")*(日次管理!$R$3:$GC$3="予定"),日次管理!$R$4:$GC$34)</f>
        <v>79</v>
      </c>
      <c r="BK22" s="86">
        <f>SUMPRODUCT((日次管理!$R$1:$GC$1&lt;=$BK$20)*(日次管理!$K$4:$K$34=$A$22)*(日次管理!$R$2:$GC$2="精査完了")*(日次管理!$R$3:$GC$3="実績"),日次管理!$R$4:$GC$34)</f>
        <v>22</v>
      </c>
      <c r="BL22" s="85">
        <f>SUMPRODUCT((日次管理!$R$1:$GC$1&lt;=$BL$20)*(日次管理!$K$4:$K$34=$A$22)*(日次管理!$R$2:$GC$2="精査完了")*(日次管理!$R$3:$GC$3="予定"),日次管理!$R$4:$GC$34)</f>
        <v>79</v>
      </c>
      <c r="BM22" s="86">
        <f>SUMPRODUCT((日次管理!$R$1:$GC$1&lt;=$BM$20)*(日次管理!$K$4:$K$34=$A$22)*(日次管理!$R$2:$GC$2="精査完了")*(日次管理!$R$3:$GC$3="実績"),日次管理!$R$4:$GC$34)</f>
        <v>22</v>
      </c>
      <c r="BN22" s="85">
        <f>SUMPRODUCT((日次管理!$R$1:$GC$1&lt;=$BN$20)*(日次管理!$K$4:$K$34=$A$22)*(日次管理!$R$2:$GC$2="精査完了")*(日次管理!$R$3:$GC$3="予定"),日次管理!$R$4:$GC$34)</f>
        <v>104</v>
      </c>
      <c r="BO22" s="86">
        <f>SUMPRODUCT((日次管理!$R$1:$GC$1&lt;=$BO$20)*(日次管理!$K$4:$K$34=$A$22)*(日次管理!$R$2:$GC$2="精査完了")*(日次管理!$R$3:$GC$3="実績"),日次管理!$R$4:$GC$34)</f>
        <v>22</v>
      </c>
      <c r="BP22" s="85">
        <f>SUMPRODUCT((日次管理!$R$1:$GC$1&lt;=$BP$20)*(日次管理!$K$4:$K$34=$A$22)*(日次管理!$R$2:$GC$2="精査完了")*(日次管理!$R$3:$GC$3="予定"),日次管理!$R$4:$GC$34)</f>
        <v>104</v>
      </c>
      <c r="BQ22" s="86">
        <f>SUMPRODUCT((日次管理!$R$1:$GC$1&lt;=$BQ$20)*(日次管理!$K$4:$K$34=$A$22)*(日次管理!$R$2:$GC$2="精査完了")*(日次管理!$R$3:$GC$3="実績"),日次管理!$R$4:$GC$34)</f>
        <v>22</v>
      </c>
      <c r="BR22" s="85">
        <f>SUMPRODUCT((日次管理!$R$1:$GC$1&lt;=$BR$20)*(日次管理!$K$4:$K$34=$A$22)*(日次管理!$R$2:$GC$2="精査完了")*(日次管理!$R$3:$GC$3="予定"),日次管理!$R$4:$GC$34)</f>
        <v>104</v>
      </c>
      <c r="BS22" s="86">
        <f>SUMPRODUCT((日次管理!$R$1:$GC$1&lt;=$BS$20)*(日次管理!$K$4:$K$34=$A$22)*(日次管理!$R$2:$GC$2="精査完了")*(日次管理!$R$3:$GC$3="実績"),日次管理!$R$4:$GC$34)</f>
        <v>22</v>
      </c>
      <c r="BT22" s="85">
        <f>SUMPRODUCT((日次管理!$R$1:$GC$1&lt;=$BT$20)*(日次管理!$K$4:$K$34=$A$22)*(日次管理!$R$2:$GC$2="精査完了")*(日次管理!$R$3:$GC$3="予定"),日次管理!$R$4:$GC$34)</f>
        <v>104</v>
      </c>
      <c r="BU22" s="86">
        <f>SUMPRODUCT((日次管理!$R$1:$GC$1&lt;=$BU$20)*(日次管理!$K$4:$K$34=$A$22)*(日次管理!$R$2:$GC$2="精査完了")*(日次管理!$R$3:$GC$3="実績"),日次管理!$R$4:$GC$34)</f>
        <v>22</v>
      </c>
      <c r="BV22" s="85">
        <f>SUMPRODUCT((日次管理!$R$1:$GC$1&lt;=$BV$20)*(日次管理!$K$4:$K$34=$A$22)*(日次管理!$R$2:$GC$2="精査完了")*(日次管理!$R$3:$GC$3="予定"),日次管理!$R$4:$GC$34)</f>
        <v>129</v>
      </c>
      <c r="BW22" s="86">
        <f>SUMPRODUCT((日次管理!$R$1:$GC$1&lt;=$BW$20)*(日次管理!$K$4:$K$34=$A$22)*(日次管理!$R$2:$GC$2="精査完了")*(日次管理!$R$3:$GC$3="実績"),日次管理!$R$4:$GC$34)</f>
        <v>22</v>
      </c>
      <c r="BX22" s="85">
        <f>SUMPRODUCT((日次管理!$R$1:$GC$1&lt;=$BX$20)*(日次管理!$K$4:$K$34=$A$22)*(日次管理!$R$2:$GC$2="精査完了")*(日次管理!$R$3:$GC$3="予定"),日次管理!$R$4:$GC$34)</f>
        <v>129</v>
      </c>
      <c r="BY22" s="86">
        <f>SUMPRODUCT((日次管理!$R$1:$GC$1&lt;=$BY$20)*(日次管理!$K$4:$K$34=$A$22)*(日次管理!$R$2:$GC$2="精査完了")*(日次管理!$R$3:$GC$3="実績"),日次管理!$R$4:$GC$34)</f>
        <v>22</v>
      </c>
      <c r="BZ22" s="85">
        <f>SUMPRODUCT((日次管理!$R$1:$GC$1&lt;=$BZ$20)*(日次管理!$K$4:$K$34=$A$22)*(日次管理!$R$2:$GC$2="精査完了")*(日次管理!$R$3:$GC$3="予定"),日次管理!$R$4:$GC$34)</f>
        <v>129</v>
      </c>
      <c r="CA22" s="86">
        <f>SUMPRODUCT((日次管理!$R$1:$GC$1&lt;=$CA$20)*(日次管理!$K$4:$K$34=$A$22)*(日次管理!$R$2:$GC$2="精査完了")*(日次管理!$R$3:$GC$3="実績"),日次管理!$R$4:$GC$34)</f>
        <v>22</v>
      </c>
      <c r="CB22" s="85">
        <f>SUMPRODUCT((日次管理!$R$1:$GC$1&lt;=$CB$20)*(日次管理!$K$4:$K$34=$A$22)*(日次管理!$R$2:$GC$2="精査完了")*(日次管理!$R$3:$GC$3="予定"),日次管理!$R$4:$GC$34)</f>
        <v>136</v>
      </c>
      <c r="CC22" s="86">
        <f>SUMPRODUCT((日次管理!$R$1:$GC$1&lt;=$CC$20)*(日次管理!$K$4:$K$34=$A$22)*(日次管理!$R$2:$GC$2="精査完了")*(日次管理!$R$3:$GC$3="実績"),日次管理!$R$4:$GC$34)</f>
        <v>22</v>
      </c>
      <c r="CD22" s="85">
        <f>SUMPRODUCT((日次管理!$R$1:$GC$1&lt;=$CD$20)*(日次管理!$K$4:$K$34=$A$22)*(日次管理!$R$2:$GC$2="精査完了")*(日次管理!$R$3:$GC$3="予定"),日次管理!$R$4:$GC$34)</f>
        <v>136</v>
      </c>
      <c r="CE22" s="86">
        <f>SUMPRODUCT((日次管理!$R$1:$GC$1&lt;=$CE$20)*(日次管理!$K$4:$K$34=$A$22)*(日次管理!$R$2:$GC$2="精査完了")*(日次管理!$R$3:$GC$3="実績"),日次管理!$R$4:$GC$34)</f>
        <v>22</v>
      </c>
      <c r="CF22" s="85">
        <f>SUMPRODUCT((日次管理!$R$1:$GC$1&lt;=$CF$20)*(日次管理!$K$4:$K$34=$A$22)*(日次管理!$R$2:$GC$2="精査完了")*(日次管理!$R$3:$GC$3="予定"),日次管理!$R$4:$GC$34)</f>
        <v>136</v>
      </c>
      <c r="CG22" s="86">
        <f>SUMPRODUCT((日次管理!$R$1:$GC$1&lt;=$CG$20)*(日次管理!$K$4:$K$34=$A$22)*(日次管理!$R$2:$GC$2="精査完了")*(日次管理!$R$3:$GC$3="実績"),日次管理!$R$4:$GC$34)</f>
        <v>22</v>
      </c>
      <c r="CH22" s="87">
        <f ca="1">SUMPRODUCT(($A$20- WEEKDAY($A$20) + 6 =$B$20:$CG$20)*("実績"=$B$21:$CG$21),$B$22:$CG$22)/SUMPRODUCT(($A$20- WEEKDAY($A$20) + 6 =$B$20:$CG$20)*("予定"=$B$21:$CG$21),$B$22:$CG$22)</f>
        <v>0.6875</v>
      </c>
      <c r="CI22" s="88">
        <f>$CG$22/$CF$22</f>
        <v>0.16176470588235295</v>
      </c>
    </row>
    <row r="23" spans="1:87" ht="20.100000000000001" customHeight="1">
      <c r="A23" s="139" t="s">
        <v>121</v>
      </c>
      <c r="B23" s="140">
        <f>SUMPRODUCT((日次管理!$R$1:$GC$1&lt;=$B$20)*(日次管理!$K$4:$K$34=$A$23)*(日次管理!$R$2:$GC$2="精査完了")*(日次管理!$R$3:$GC$3="予定"),日次管理!$R$4:$GC$34)</f>
        <v>0</v>
      </c>
      <c r="C23" s="89">
        <f>SUMPRODUCT((日次管理!$R$1:$GC$1&lt;=$C$20)*(日次管理!$K$4:$K$34=$A$23)*(日次管理!$R$2:$GC$2="精査完了")*(日次管理!$R$3:$GC$3="実績"),日次管理!$R$4:$GC$34)</f>
        <v>0</v>
      </c>
      <c r="D23" s="140">
        <f>SUMPRODUCT((日次管理!$R$1:$GC$1&lt;=$D$20)*(日次管理!$K$4:$K$34=$A$23)*(日次管理!$R$2:$GC$2="精査完了")*(日次管理!$R$3:$GC$3="予定"),日次管理!$R$4:$GC$34)</f>
        <v>0</v>
      </c>
      <c r="E23" s="89">
        <f>SUMPRODUCT((日次管理!$R$1:$GC$1&lt;=$E$20)*(日次管理!$K$4:$K$34=$A$23)*(日次管理!$R$2:$GC$2="精査完了")*(日次管理!$R$3:$GC$3="実績"),日次管理!$R$4:$GC$34)</f>
        <v>0</v>
      </c>
      <c r="F23" s="140">
        <f>SUMPRODUCT((日次管理!$R$1:$GC$1&lt;=$F$20)*(日次管理!$K$4:$K$34=$A$23)*(日次管理!$R$2:$GC$2="精査完了")*(日次管理!$R$3:$GC$3="予定"),日次管理!$R$4:$GC$34)</f>
        <v>0</v>
      </c>
      <c r="G23" s="89">
        <f>SUMPRODUCT((日次管理!$R$1:$GC$1&lt;=$G$20)*(日次管理!$K$4:$K$34=$A$23)*(日次管理!$R$2:$GC$2="精査完了")*(日次管理!$R$3:$GC$3="実績"),日次管理!$R$4:$GC$34)</f>
        <v>0</v>
      </c>
      <c r="H23" s="140">
        <f>SUMPRODUCT((日次管理!$R$1:$GC$1&lt;=$H$20)*(日次管理!$K$4:$K$34=$A$23)*(日次管理!$R$2:$GC$2="精査完了")*(日次管理!$R$3:$GC$3="予定"),日次管理!$R$4:$GC$34)</f>
        <v>0</v>
      </c>
      <c r="I23" s="89">
        <f>SUMPRODUCT((日次管理!$R$1:$GC$1&lt;=$I$20)*(日次管理!$K$4:$K$34=$A$23)*(日次管理!$R$2:$GC$2="精査完了")*(日次管理!$R$3:$GC$3="実績"),日次管理!$R$4:$GC$34)</f>
        <v>0</v>
      </c>
      <c r="J23" s="140">
        <f>SUMPRODUCT((日次管理!$R$1:$GC$1&lt;=$J$20)*(日次管理!$K$4:$K$34=$A$23)*(日次管理!$R$2:$GC$2="精査完了")*(日次管理!$R$3:$GC$3="予定"),日次管理!$R$4:$GC$34)</f>
        <v>0</v>
      </c>
      <c r="K23" s="89">
        <f>SUMPRODUCT((日次管理!$R$1:$GC$1&lt;=$K$20)*(日次管理!$K$4:$K$34=$A$23)*(日次管理!$R$2:$GC$2="精査完了")*(日次管理!$R$3:$GC$3="実績"),日次管理!$R$4:$GC$34)</f>
        <v>0</v>
      </c>
      <c r="L23" s="140">
        <f>SUMPRODUCT((日次管理!$R$1:$GC$1&lt;=$L$20)*(日次管理!$K$4:$K$34=$A$23)*(日次管理!$R$2:$GC$2="精査完了")*(日次管理!$R$3:$GC$3="予定"),日次管理!$R$4:$GC$34)</f>
        <v>0</v>
      </c>
      <c r="M23" s="89">
        <f>SUMPRODUCT((日次管理!$R$1:$GC$1&lt;=$M$20)*(日次管理!$K$4:$K$34=$A$23)*(日次管理!$R$2:$GC$2="精査完了")*(日次管理!$R$3:$GC$3="実績"),日次管理!$R$4:$GC$34)</f>
        <v>0</v>
      </c>
      <c r="N23" s="140">
        <f>SUMPRODUCT((日次管理!$R$1:$GC$1&lt;=$N$20)*(日次管理!$K$4:$K$34=$A$23)*(日次管理!$R$2:$GC$2="精査完了")*(日次管理!$R$3:$GC$3="予定"),日次管理!$R$4:$GC$34)</f>
        <v>0</v>
      </c>
      <c r="O23" s="89">
        <f>SUMPRODUCT((日次管理!$R$1:$GC$1&lt;=$O$20)*(日次管理!$K$4:$K$34=$A$23)*(日次管理!$R$2:$GC$2="精査完了")*(日次管理!$R$3:$GC$3="実績"),日次管理!$R$4:$GC$34)</f>
        <v>0</v>
      </c>
      <c r="P23" s="140">
        <f>SUMPRODUCT((日次管理!$R$1:$GC$1&lt;=$P$20)*(日次管理!$K$4:$K$34=$A$23)*(日次管理!$R$2:$GC$2="精査完了")*(日次管理!$R$3:$GC$3="予定"),日次管理!$R$4:$GC$34)</f>
        <v>0</v>
      </c>
      <c r="Q23" s="89">
        <f>SUMPRODUCT((日次管理!$R$1:$GC$1&lt;=$Q$20)*(日次管理!$K$4:$K$34=$A$23)*(日次管理!$R$2:$GC$2="精査完了")*(日次管理!$R$3:$GC$3="実績"),日次管理!$R$4:$GC$34)</f>
        <v>0</v>
      </c>
      <c r="R23" s="140">
        <f>SUMPRODUCT((日次管理!$R$1:$GC$1&lt;=$R$20)*(日次管理!$K$4:$K$34=$A$23)*(日次管理!$R$2:$GC$2="精査完了")*(日次管理!$R$3:$GC$3="予定"),日次管理!$R$4:$GC$34)</f>
        <v>0</v>
      </c>
      <c r="S23" s="89">
        <f>SUMPRODUCT((日次管理!$R$1:$GC$1&lt;=$S$20)*(日次管理!$K$4:$K$34=$A$23)*(日次管理!$R$2:$GC$2="精査完了")*(日次管理!$R$3:$GC$3="実績"),日次管理!$R$4:$GC$34)</f>
        <v>0</v>
      </c>
      <c r="T23" s="140">
        <f>SUMPRODUCT((日次管理!$R$1:$GC$1&lt;=$T$20)*(日次管理!$K$4:$K$34=$A$23)*(日次管理!$R$2:$GC$2="精査完了")*(日次管理!$R$3:$GC$3="予定"),日次管理!$R$4:$GC$34)</f>
        <v>0</v>
      </c>
      <c r="U23" s="89">
        <f>SUMPRODUCT((日次管理!$R$1:$GC$1&lt;=$U$20)*(日次管理!$K$4:$K$34=$A$23)*(日次管理!$R$2:$GC$2="精査完了")*(日次管理!$R$3:$GC$3="実績"),日次管理!$R$4:$GC$34)</f>
        <v>0</v>
      </c>
      <c r="V23" s="140">
        <f>SUMPRODUCT((日次管理!$R$1:$GC$1&lt;=$V$20)*(日次管理!$K$4:$K$34=$A$23)*(日次管理!$R$2:$GC$2="精査完了")*(日次管理!$R$3:$GC$3="予定"),日次管理!$R$4:$GC$34)</f>
        <v>0</v>
      </c>
      <c r="W23" s="89">
        <f>SUMPRODUCT((日次管理!$R$1:$GC$1&lt;=$W$20)*(日次管理!$K$4:$K$34=$A$23)*(日次管理!$R$2:$GC$2="精査完了")*(日次管理!$R$3:$GC$3="実績"),日次管理!$R$4:$GC$34)</f>
        <v>0</v>
      </c>
      <c r="X23" s="140">
        <f>SUMPRODUCT((日次管理!$R$1:$GC$1&lt;=$X$20)*(日次管理!$K$4:$K$34=$A$23)*(日次管理!$R$2:$GC$2="精査完了")*(日次管理!$R$3:$GC$3="予定"),日次管理!$R$4:$GC$34)</f>
        <v>0</v>
      </c>
      <c r="Y23" s="89">
        <f>SUMPRODUCT((日次管理!$R$1:$GC$1&lt;=$Y$20)*(日次管理!$K$4:$K$34=$A$23)*(日次管理!$R$2:$GC$2="精査完了")*(日次管理!$R$3:$GC$3="実績"),日次管理!$R$4:$GC$34)</f>
        <v>0</v>
      </c>
      <c r="Z23" s="140">
        <f>SUMPRODUCT((日次管理!$R$1:$GC$1&lt;=$Z$20)*(日次管理!$K$4:$K$34=$A$23)*(日次管理!$R$2:$GC$2="精査完了")*(日次管理!$R$3:$GC$3="予定"),日次管理!$R$4:$GC$34)</f>
        <v>0</v>
      </c>
      <c r="AA23" s="89">
        <f>SUMPRODUCT((日次管理!$R$1:$GC$1&lt;=$AA$20)*(日次管理!$K$4:$K$34=$A$23)*(日次管理!$R$2:$GC$2="精査完了")*(日次管理!$R$3:$GC$3="実績"),日次管理!$R$4:$GC$34)</f>
        <v>0</v>
      </c>
      <c r="AB23" s="140">
        <f>SUMPRODUCT((日次管理!$R$1:$GC$1&lt;=$AB$20)*(日次管理!$K$4:$K$34=$A$23)*(日次管理!$R$2:$GC$2="精査完了")*(日次管理!$R$3:$GC$3="予定"),日次管理!$R$4:$GC$34)</f>
        <v>0</v>
      </c>
      <c r="AC23" s="89">
        <f>SUMPRODUCT((日次管理!$R$1:$GC$1&lt;=$AC$20)*(日次管理!$K$4:$K$34=$A$23)*(日次管理!$R$2:$GC$2="精査完了")*(日次管理!$R$3:$GC$3="実績"),日次管理!$R$4:$GC$34)</f>
        <v>0</v>
      </c>
      <c r="AD23" s="140">
        <f>SUMPRODUCT((日次管理!$R$1:$GC$1&lt;=$AD$20)*(日次管理!$K$4:$K$34=$A$23)*(日次管理!$R$2:$GC$2="精査完了")*(日次管理!$R$3:$GC$3="予定"),日次管理!$R$4:$GC$34)</f>
        <v>0</v>
      </c>
      <c r="AE23" s="89">
        <f>SUMPRODUCT((日次管理!$R$1:$GC$1&lt;=$AE$20)*(日次管理!$K$4:$K$34=$A$23)*(日次管理!$R$2:$GC$2="精査完了")*(日次管理!$R$3:$GC$3="実績"),日次管理!$R$4:$GC$34)</f>
        <v>0</v>
      </c>
      <c r="AF23" s="140">
        <f>SUMPRODUCT((日次管理!$R$1:$GC$1&lt;=$AF$20)*(日次管理!$K$4:$K$34=$A$23)*(日次管理!$R$2:$GC$2="精査完了")*(日次管理!$R$3:$GC$3="予定"),日次管理!$R$4:$GC$34)</f>
        <v>0</v>
      </c>
      <c r="AG23" s="89">
        <f>SUMPRODUCT((日次管理!$R$1:$GC$1&lt;=$AG$20)*(日次管理!$K$4:$K$34=$A$23)*(日次管理!$R$2:$GC$2="精査完了")*(日次管理!$R$3:$GC$3="実績"),日次管理!$R$4:$GC$34)</f>
        <v>0</v>
      </c>
      <c r="AH23" s="140">
        <f>SUMPRODUCT((日次管理!$R$1:$GC$1&lt;=$AH$20)*(日次管理!$K$4:$K$34=$A$23)*(日次管理!$R$2:$GC$2="精査完了")*(日次管理!$R$3:$GC$3="予定"),日次管理!$R$4:$GC$34)</f>
        <v>0</v>
      </c>
      <c r="AI23" s="89">
        <f>SUMPRODUCT((日次管理!$R$1:$GC$1&lt;=$AI$20)*(日次管理!$K$4:$K$34=$A$23)*(日次管理!$R$2:$GC$2="精査完了")*(日次管理!$R$3:$GC$3="実績"),日次管理!$R$4:$GC$34)</f>
        <v>0</v>
      </c>
      <c r="AJ23" s="140">
        <f>SUMPRODUCT((日次管理!$R$1:$GC$1&lt;=$AJ$20)*(日次管理!$K$4:$K$34=$A$23)*(日次管理!$R$2:$GC$2="精査完了")*(日次管理!$R$3:$GC$3="予定"),日次管理!$R$4:$GC$34)</f>
        <v>0</v>
      </c>
      <c r="AK23" s="89">
        <f>SUMPRODUCT((日次管理!$R$1:$GC$1&lt;=$AK$20)*(日次管理!$K$4:$K$34=$A$23)*(日次管理!$R$2:$GC$2="精査完了")*(日次管理!$R$3:$GC$3="実績"),日次管理!$R$4:$GC$34)</f>
        <v>0</v>
      </c>
      <c r="AL23" s="140">
        <f>SUMPRODUCT((日次管理!$R$1:$GC$1&lt;=$AL$20)*(日次管理!$K$4:$K$34=$A$23)*(日次管理!$R$2:$GC$2="精査完了")*(日次管理!$R$3:$GC$3="予定"),日次管理!$R$4:$GC$34)</f>
        <v>0</v>
      </c>
      <c r="AM23" s="89">
        <f>SUMPRODUCT((日次管理!$R$1:$GC$1&lt;=$AM$20)*(日次管理!$K$4:$K$34=$A$23)*(日次管理!$R$2:$GC$2="精査完了")*(日次管理!$R$3:$GC$3="実績"),日次管理!$R$4:$GC$34)</f>
        <v>0</v>
      </c>
      <c r="AN23" s="140">
        <f>SUMPRODUCT((日次管理!$R$1:$GC$1&lt;=$AN$20)*(日次管理!$K$4:$K$34=$A$23)*(日次管理!$R$2:$GC$2="精査完了")*(日次管理!$R$3:$GC$3="予定"),日次管理!$R$4:$GC$34)</f>
        <v>0</v>
      </c>
      <c r="AO23" s="89">
        <f>SUMPRODUCT((日次管理!$R$1:$GC$1&lt;=$AO$20)*(日次管理!$K$4:$K$34=$A$23)*(日次管理!$R$2:$GC$2="精査完了")*(日次管理!$R$3:$GC$3="実績"),日次管理!$R$4:$GC$34)</f>
        <v>0</v>
      </c>
      <c r="AP23" s="140">
        <f>SUMPRODUCT((日次管理!$R$1:$GC$1&lt;=$AP$20)*(日次管理!$K$4:$K$34=$A$23)*(日次管理!$R$2:$GC$2="精査完了")*(日次管理!$R$3:$GC$3="予定"),日次管理!$R$4:$GC$34)</f>
        <v>0</v>
      </c>
      <c r="AQ23" s="89">
        <f>SUMPRODUCT((日次管理!$R$1:$GC$1&lt;=$AQ$20)*(日次管理!$K$4:$K$34=$A$23)*(日次管理!$R$2:$GC$2="精査完了")*(日次管理!$R$3:$GC$3="実績"),日次管理!$R$4:$GC$34)</f>
        <v>0</v>
      </c>
      <c r="AR23" s="140">
        <f>SUMPRODUCT((日次管理!$R$1:$GC$1&lt;=$AR$20)*(日次管理!$K$4:$K$34=$A$23)*(日次管理!$R$2:$GC$2="精査完了")*(日次管理!$R$3:$GC$3="予定"),日次管理!$R$4:$GC$34)</f>
        <v>0</v>
      </c>
      <c r="AS23" s="89">
        <f>SUMPRODUCT((日次管理!$R$1:$GC$1&lt;=$AS$20)*(日次管理!$K$4:$K$34=$A$23)*(日次管理!$R$2:$GC$2="精査完了")*(日次管理!$R$3:$GC$3="実績"),日次管理!$R$4:$GC$34)</f>
        <v>0</v>
      </c>
      <c r="AT23" s="140">
        <f>SUMPRODUCT((日次管理!$R$1:$GC$1&lt;=$AT$20)*(日次管理!$K$4:$K$34=$A$23)*(日次管理!$R$2:$GC$2="精査完了")*(日次管理!$R$3:$GC$3="予定"),日次管理!$R$4:$GC$34)</f>
        <v>0</v>
      </c>
      <c r="AU23" s="89">
        <f>SUMPRODUCT((日次管理!$R$1:$GC$1&lt;=$AU$20)*(日次管理!$K$4:$K$34=$A$23)*(日次管理!$R$2:$GC$2="精査完了")*(日次管理!$R$3:$GC$3="実績"),日次管理!$R$4:$GC$34)</f>
        <v>0</v>
      </c>
      <c r="AV23" s="140">
        <f>SUMPRODUCT((日次管理!$R$1:$GC$1&lt;=$AV$20)*(日次管理!$K$4:$K$34=$A$23)*(日次管理!$R$2:$GC$2="精査完了")*(日次管理!$R$3:$GC$3="予定"),日次管理!$R$4:$GC$34)</f>
        <v>0</v>
      </c>
      <c r="AW23" s="89">
        <f>SUMPRODUCT((日次管理!$R$1:$GC$1&lt;=$AW$20)*(日次管理!$K$4:$K$34=$A$23)*(日次管理!$R$2:$GC$2="精査完了")*(日次管理!$R$3:$GC$3="実績"),日次管理!$R$4:$GC$34)</f>
        <v>0</v>
      </c>
      <c r="AX23" s="140">
        <f>SUMPRODUCT((日次管理!$R$1:$GC$1&lt;=$AX$20)*(日次管理!$K$4:$K$34=$A$23)*(日次管理!$R$2:$GC$2="精査完了")*(日次管理!$R$3:$GC$3="予定"),日次管理!$R$4:$GC$34)</f>
        <v>3</v>
      </c>
      <c r="AY23" s="89">
        <f>SUMPRODUCT((日次管理!$R$1:$GC$1&lt;=$AY$20)*(日次管理!$K$4:$K$34=$A$23)*(日次管理!$R$2:$GC$2="精査完了")*(日次管理!$R$3:$GC$3="実績"),日次管理!$R$4:$GC$34)</f>
        <v>3</v>
      </c>
      <c r="AZ23" s="140">
        <f>SUMPRODUCT((日次管理!$R$1:$GC$1&lt;=$AZ$20)*(日次管理!$K$4:$K$34=$A$23)*(日次管理!$R$2:$GC$2="精査完了")*(日次管理!$R$3:$GC$3="予定"),日次管理!$R$4:$GC$34)</f>
        <v>5</v>
      </c>
      <c r="BA23" s="89">
        <f>SUMPRODUCT((日次管理!$R$1:$GC$1&lt;=$BA$20)*(日次管理!$K$4:$K$34=$A$23)*(日次管理!$R$2:$GC$2="精査完了")*(日次管理!$R$3:$GC$3="実績"),日次管理!$R$4:$GC$34)</f>
        <v>5</v>
      </c>
      <c r="BB23" s="140">
        <f>SUMPRODUCT((日次管理!$R$1:$GC$1&lt;=$BB$20)*(日次管理!$K$4:$K$34=$A$23)*(日次管理!$R$2:$GC$2="精査完了")*(日次管理!$R$3:$GC$3="予定"),日次管理!$R$4:$GC$34)</f>
        <v>5</v>
      </c>
      <c r="BC23" s="89">
        <f>SUMPRODUCT((日次管理!$R$1:$GC$1&lt;=$BC$20)*(日次管理!$K$4:$K$34=$A$23)*(日次管理!$R$2:$GC$2="精査完了")*(日次管理!$R$3:$GC$3="実績"),日次管理!$R$4:$GC$34)</f>
        <v>5</v>
      </c>
      <c r="BD23" s="140">
        <f>SUMPRODUCT((日次管理!$R$1:$GC$1&lt;=$BD$20)*(日次管理!$K$4:$K$34=$A$23)*(日次管理!$R$2:$GC$2="精査完了")*(日次管理!$R$3:$GC$3="予定"),日次管理!$R$4:$GC$34)</f>
        <v>5</v>
      </c>
      <c r="BE23" s="89">
        <f>SUMPRODUCT((日次管理!$R$1:$GC$1&lt;=$BE$20)*(日次管理!$K$4:$K$34=$A$23)*(日次管理!$R$2:$GC$2="精査完了")*(日次管理!$R$3:$GC$3="実績"),日次管理!$R$4:$GC$34)</f>
        <v>5</v>
      </c>
      <c r="BF23" s="140">
        <f>SUMPRODUCT((日次管理!$R$1:$GC$1&lt;=$BF$20)*(日次管理!$K$4:$K$34=$A$23)*(日次管理!$R$2:$GC$2="精査完了")*(日次管理!$R$3:$GC$3="予定"),日次管理!$R$4:$GC$34)</f>
        <v>16</v>
      </c>
      <c r="BG23" s="89">
        <f>SUMPRODUCT((日次管理!$R$1:$GC$1&lt;=$BG$20)*(日次管理!$K$4:$K$34=$A$23)*(日次管理!$R$2:$GC$2="精査完了")*(日次管理!$R$3:$GC$3="実績"),日次管理!$R$4:$GC$34)</f>
        <v>5</v>
      </c>
      <c r="BH23" s="140">
        <f>SUMPRODUCT((日次管理!$R$1:$GC$1&lt;=$BH$20)*(日次管理!$K$4:$K$34=$A$23)*(日次管理!$R$2:$GC$2="精査完了")*(日次管理!$R$3:$GC$3="予定"),日次管理!$R$4:$GC$34)</f>
        <v>50</v>
      </c>
      <c r="BI23" s="89">
        <f>SUMPRODUCT((日次管理!$R$1:$GC$1&lt;=$BI$20)*(日次管理!$K$4:$K$34=$A$23)*(日次管理!$R$2:$GC$2="精査完了")*(日次管理!$R$3:$GC$3="実績"),日次管理!$R$4:$GC$34)</f>
        <v>5</v>
      </c>
      <c r="BJ23" s="140">
        <f>SUMPRODUCT((日次管理!$R$1:$GC$1&lt;=$BJ$20)*(日次管理!$K$4:$K$34=$A$23)*(日次管理!$R$2:$GC$2="精査完了")*(日次管理!$R$3:$GC$3="予定"),日次管理!$R$4:$GC$34)</f>
        <v>61</v>
      </c>
      <c r="BK23" s="89">
        <f>SUMPRODUCT((日次管理!$R$1:$GC$1&lt;=$BK$20)*(日次管理!$K$4:$K$34=$A$23)*(日次管理!$R$2:$GC$2="精査完了")*(日次管理!$R$3:$GC$3="実績"),日次管理!$R$4:$GC$34)</f>
        <v>5</v>
      </c>
      <c r="BL23" s="140">
        <f>SUMPRODUCT((日次管理!$R$1:$GC$1&lt;=$BL$20)*(日次管理!$K$4:$K$34=$A$23)*(日次管理!$R$2:$GC$2="精査完了")*(日次管理!$R$3:$GC$3="予定"),日次管理!$R$4:$GC$34)</f>
        <v>73</v>
      </c>
      <c r="BM23" s="89">
        <f>SUMPRODUCT((日次管理!$R$1:$GC$1&lt;=$BM$20)*(日次管理!$K$4:$K$34=$A$23)*(日次管理!$R$2:$GC$2="精査完了")*(日次管理!$R$3:$GC$3="実績"),日次管理!$R$4:$GC$34)</f>
        <v>5</v>
      </c>
      <c r="BN23" s="140">
        <f>SUMPRODUCT((日次管理!$R$1:$GC$1&lt;=$BN$20)*(日次管理!$K$4:$K$34=$A$23)*(日次管理!$R$2:$GC$2="精査完了")*(日次管理!$R$3:$GC$3="予定"),日次管理!$R$4:$GC$34)</f>
        <v>121</v>
      </c>
      <c r="BO23" s="89">
        <f>SUMPRODUCT((日次管理!$R$1:$GC$1&lt;=$BO$20)*(日次管理!$K$4:$K$34=$A$23)*(日次管理!$R$2:$GC$2="精査完了")*(日次管理!$R$3:$GC$3="実績"),日次管理!$R$4:$GC$34)</f>
        <v>5</v>
      </c>
      <c r="BP23" s="140">
        <f>SUMPRODUCT((日次管理!$R$1:$GC$1&lt;=$BP$20)*(日次管理!$K$4:$K$34=$A$23)*(日次管理!$R$2:$GC$2="精査完了")*(日次管理!$R$3:$GC$3="予定"),日次管理!$R$4:$GC$34)</f>
        <v>121</v>
      </c>
      <c r="BQ23" s="89">
        <f>SUMPRODUCT((日次管理!$R$1:$GC$1&lt;=$BQ$20)*(日次管理!$K$4:$K$34=$A$23)*(日次管理!$R$2:$GC$2="精査完了")*(日次管理!$R$3:$GC$3="実績"),日次管理!$R$4:$GC$34)</f>
        <v>5</v>
      </c>
      <c r="BR23" s="140">
        <f>SUMPRODUCT((日次管理!$R$1:$GC$1&lt;=$BR$20)*(日次管理!$K$4:$K$34=$A$23)*(日次管理!$R$2:$GC$2="精査完了")*(日次管理!$R$3:$GC$3="予定"),日次管理!$R$4:$GC$34)</f>
        <v>121</v>
      </c>
      <c r="BS23" s="89">
        <f>SUMPRODUCT((日次管理!$R$1:$GC$1&lt;=$BS$20)*(日次管理!$K$4:$K$34=$A$23)*(日次管理!$R$2:$GC$2="精査完了")*(日次管理!$R$3:$GC$3="実績"),日次管理!$R$4:$GC$34)</f>
        <v>5</v>
      </c>
      <c r="BT23" s="140">
        <f>SUMPRODUCT((日次管理!$R$1:$GC$1&lt;=$BT$20)*(日次管理!$K$4:$K$34=$A$23)*(日次管理!$R$2:$GC$2="精査完了")*(日次管理!$R$3:$GC$3="予定"),日次管理!$R$4:$GC$34)</f>
        <v>121</v>
      </c>
      <c r="BU23" s="89">
        <f>SUMPRODUCT((日次管理!$R$1:$GC$1&lt;=$BU$20)*(日次管理!$K$4:$K$34=$A$23)*(日次管理!$R$2:$GC$2="精査完了")*(日次管理!$R$3:$GC$3="実績"),日次管理!$R$4:$GC$34)</f>
        <v>5</v>
      </c>
      <c r="BV23" s="140">
        <f>SUMPRODUCT((日次管理!$R$1:$GC$1&lt;=$BV$20)*(日次管理!$K$4:$K$34=$A$23)*(日次管理!$R$2:$GC$2="精査完了")*(日次管理!$R$3:$GC$3="予定"),日次管理!$R$4:$GC$34)</f>
        <v>121</v>
      </c>
      <c r="BW23" s="89">
        <f>SUMPRODUCT((日次管理!$R$1:$GC$1&lt;=$BW$20)*(日次管理!$K$4:$K$34=$A$23)*(日次管理!$R$2:$GC$2="精査完了")*(日次管理!$R$3:$GC$3="実績"),日次管理!$R$4:$GC$34)</f>
        <v>5</v>
      </c>
      <c r="BX23" s="140">
        <f>SUMPRODUCT((日次管理!$R$1:$GC$1&lt;=$BX$20)*(日次管理!$K$4:$K$34=$A$23)*(日次管理!$R$2:$GC$2="精査完了")*(日次管理!$R$3:$GC$3="予定"),日次管理!$R$4:$GC$34)</f>
        <v>121</v>
      </c>
      <c r="BY23" s="89">
        <f>SUMPRODUCT((日次管理!$R$1:$GC$1&lt;=$BY$20)*(日次管理!$K$4:$K$34=$A$23)*(日次管理!$R$2:$GC$2="精査完了")*(日次管理!$R$3:$GC$3="実績"),日次管理!$R$4:$GC$34)</f>
        <v>5</v>
      </c>
      <c r="BZ23" s="140">
        <f>SUMPRODUCT((日次管理!$R$1:$GC$1&lt;=$BZ$20)*(日次管理!$K$4:$K$34=$A$23)*(日次管理!$R$2:$GC$2="精査完了")*(日次管理!$R$3:$GC$3="予定"),日次管理!$R$4:$GC$34)</f>
        <v>128</v>
      </c>
      <c r="CA23" s="89">
        <f>SUMPRODUCT((日次管理!$R$1:$GC$1&lt;=$CA$20)*(日次管理!$K$4:$K$34=$A$23)*(日次管理!$R$2:$GC$2="精査完了")*(日次管理!$R$3:$GC$3="実績"),日次管理!$R$4:$GC$34)</f>
        <v>5</v>
      </c>
      <c r="CB23" s="140">
        <f>SUMPRODUCT((日次管理!$R$1:$GC$1&lt;=$CB$20)*(日次管理!$K$4:$K$34=$A$23)*(日次管理!$R$2:$GC$2="精査完了")*(日次管理!$R$3:$GC$3="予定"),日次管理!$R$4:$GC$34)</f>
        <v>133</v>
      </c>
      <c r="CC23" s="89">
        <f>SUMPRODUCT((日次管理!$R$1:$GC$1&lt;=$CC$20)*(日次管理!$K$4:$K$34=$A$23)*(日次管理!$R$2:$GC$2="精査完了")*(日次管理!$R$3:$GC$3="実績"),日次管理!$R$4:$GC$34)</f>
        <v>5</v>
      </c>
      <c r="CD23" s="140">
        <f>SUMPRODUCT((日次管理!$R$1:$GC$1&lt;=$CD$20)*(日次管理!$K$4:$K$34=$A$23)*(日次管理!$R$2:$GC$2="精査完了")*(日次管理!$R$3:$GC$3="予定"),日次管理!$R$4:$GC$34)</f>
        <v>133</v>
      </c>
      <c r="CE23" s="89">
        <f>SUMPRODUCT((日次管理!$R$1:$GC$1&lt;=$CE$20)*(日次管理!$K$4:$K$34=$A$23)*(日次管理!$R$2:$GC$2="精査完了")*(日次管理!$R$3:$GC$3="実績"),日次管理!$R$4:$GC$34)</f>
        <v>5</v>
      </c>
      <c r="CF23" s="140">
        <f>SUMPRODUCT((日次管理!$R$1:$GC$1&lt;=$CF$20)*(日次管理!$K$4:$K$34=$A$23)*(日次管理!$R$2:$GC$2="精査完了")*(日次管理!$R$3:$GC$3="予定"),日次管理!$R$4:$GC$34)</f>
        <v>133</v>
      </c>
      <c r="CG23" s="89">
        <f>SUMPRODUCT((日次管理!$R$1:$GC$1&lt;=$CG$20)*(日次管理!$K$4:$K$34=$A$23)*(日次管理!$R$2:$GC$2="精査完了")*(日次管理!$R$3:$GC$3="実績"),日次管理!$R$4:$GC$34)</f>
        <v>5</v>
      </c>
      <c r="CH23" s="141">
        <f ca="1">SUMPRODUCT(($A$20- WEEKDAY($A$20) + 6 =$B$20:$CG$20)*("実績"=$B$21:$CG$21),$B$23:$CG$23)/SUMPRODUCT(($A$20- WEEKDAY($A$20) + 6 =$B$20:$CG$20)*("予定"=$B$21:$CG$21),$B$23:$CG$23)</f>
        <v>1</v>
      </c>
      <c r="CI23" s="142">
        <f>$CG$23/$CF$23</f>
        <v>3.7593984962406013E-2</v>
      </c>
    </row>
    <row r="24" spans="1:87" ht="20.100000000000001" customHeight="1">
      <c r="A24" s="143" t="s">
        <v>134</v>
      </c>
      <c r="B24" s="144">
        <f>SUMPRODUCT((日次管理!$R$1:$GC$1&lt;=$B$20)*(日次管理!$K$4:$K$34=$A$24)*(日次管理!$R$2:$GC$2="精査完了")*(日次管理!$R$3:$GC$3="予定"),日次管理!$R$4:$GC$34)</f>
        <v>0</v>
      </c>
      <c r="C24" s="90">
        <f>SUMPRODUCT((日次管理!$R$1:$GC$1&lt;=$C$20)*(日次管理!$K$4:$K$34=$A$24)*(日次管理!$R$2:$GC$2="精査完了")*(日次管理!$R$3:$GC$3="実績"),日次管理!$R$4:$GC$34)</f>
        <v>0</v>
      </c>
      <c r="D24" s="144">
        <f>SUMPRODUCT((日次管理!$R$1:$GC$1&lt;=$D$20)*(日次管理!$K$4:$K$34=$A$24)*(日次管理!$R$2:$GC$2="精査完了")*(日次管理!$R$3:$GC$3="予定"),日次管理!$R$4:$GC$34)</f>
        <v>0</v>
      </c>
      <c r="E24" s="90">
        <f>SUMPRODUCT((日次管理!$R$1:$GC$1&lt;=$E$20)*(日次管理!$K$4:$K$34=$A$24)*(日次管理!$R$2:$GC$2="精査完了")*(日次管理!$R$3:$GC$3="実績"),日次管理!$R$4:$GC$34)</f>
        <v>0</v>
      </c>
      <c r="F24" s="144">
        <f>SUMPRODUCT((日次管理!$R$1:$GC$1&lt;=$F$20)*(日次管理!$K$4:$K$34=$A$24)*(日次管理!$R$2:$GC$2="精査完了")*(日次管理!$R$3:$GC$3="予定"),日次管理!$R$4:$GC$34)</f>
        <v>0</v>
      </c>
      <c r="G24" s="90">
        <f>SUMPRODUCT((日次管理!$R$1:$GC$1&lt;=$G$20)*(日次管理!$K$4:$K$34=$A$24)*(日次管理!$R$2:$GC$2="精査完了")*(日次管理!$R$3:$GC$3="実績"),日次管理!$R$4:$GC$34)</f>
        <v>0</v>
      </c>
      <c r="H24" s="144">
        <f>SUMPRODUCT((日次管理!$R$1:$GC$1&lt;=$H$20)*(日次管理!$K$4:$K$34=$A$24)*(日次管理!$R$2:$GC$2="精査完了")*(日次管理!$R$3:$GC$3="予定"),日次管理!$R$4:$GC$34)</f>
        <v>0</v>
      </c>
      <c r="I24" s="90">
        <f>SUMPRODUCT((日次管理!$R$1:$GC$1&lt;=$I$20)*(日次管理!$K$4:$K$34=$A$24)*(日次管理!$R$2:$GC$2="精査完了")*(日次管理!$R$3:$GC$3="実績"),日次管理!$R$4:$GC$34)</f>
        <v>0</v>
      </c>
      <c r="J24" s="144">
        <f>SUMPRODUCT((日次管理!$R$1:$GC$1&lt;=$J$20)*(日次管理!$K$4:$K$34=$A$24)*(日次管理!$R$2:$GC$2="精査完了")*(日次管理!$R$3:$GC$3="予定"),日次管理!$R$4:$GC$34)</f>
        <v>0</v>
      </c>
      <c r="K24" s="90">
        <f>SUMPRODUCT((日次管理!$R$1:$GC$1&lt;=$K$20)*(日次管理!$K$4:$K$34=$A$24)*(日次管理!$R$2:$GC$2="精査完了")*(日次管理!$R$3:$GC$3="実績"),日次管理!$R$4:$GC$34)</f>
        <v>0</v>
      </c>
      <c r="L24" s="144">
        <f>SUMPRODUCT((日次管理!$R$1:$GC$1&lt;=$L$20)*(日次管理!$K$4:$K$34=$A$24)*(日次管理!$R$2:$GC$2="精査完了")*(日次管理!$R$3:$GC$3="予定"),日次管理!$R$4:$GC$34)</f>
        <v>0</v>
      </c>
      <c r="M24" s="90">
        <f>SUMPRODUCT((日次管理!$R$1:$GC$1&lt;=$M$20)*(日次管理!$K$4:$K$34=$A$24)*(日次管理!$R$2:$GC$2="精査完了")*(日次管理!$R$3:$GC$3="実績"),日次管理!$R$4:$GC$34)</f>
        <v>0</v>
      </c>
      <c r="N24" s="144">
        <f>SUMPRODUCT((日次管理!$R$1:$GC$1&lt;=$N$20)*(日次管理!$K$4:$K$34=$A$24)*(日次管理!$R$2:$GC$2="精査完了")*(日次管理!$R$3:$GC$3="予定"),日次管理!$R$4:$GC$34)</f>
        <v>0</v>
      </c>
      <c r="O24" s="90">
        <f>SUMPRODUCT((日次管理!$R$1:$GC$1&lt;=$O$20)*(日次管理!$K$4:$K$34=$A$24)*(日次管理!$R$2:$GC$2="精査完了")*(日次管理!$R$3:$GC$3="実績"),日次管理!$R$4:$GC$34)</f>
        <v>0</v>
      </c>
      <c r="P24" s="144">
        <f>SUMPRODUCT((日次管理!$R$1:$GC$1&lt;=$P$20)*(日次管理!$K$4:$K$34=$A$24)*(日次管理!$R$2:$GC$2="精査完了")*(日次管理!$R$3:$GC$3="予定"),日次管理!$R$4:$GC$34)</f>
        <v>0</v>
      </c>
      <c r="Q24" s="90">
        <f>SUMPRODUCT((日次管理!$R$1:$GC$1&lt;=$Q$20)*(日次管理!$K$4:$K$34=$A$24)*(日次管理!$R$2:$GC$2="精査完了")*(日次管理!$R$3:$GC$3="実績"),日次管理!$R$4:$GC$34)</f>
        <v>0</v>
      </c>
      <c r="R24" s="144">
        <f>SUMPRODUCT((日次管理!$R$1:$GC$1&lt;=$R$20)*(日次管理!$K$4:$K$34=$A$24)*(日次管理!$R$2:$GC$2="精査完了")*(日次管理!$R$3:$GC$3="予定"),日次管理!$R$4:$GC$34)</f>
        <v>0</v>
      </c>
      <c r="S24" s="90">
        <f>SUMPRODUCT((日次管理!$R$1:$GC$1&lt;=$S$20)*(日次管理!$K$4:$K$34=$A$24)*(日次管理!$R$2:$GC$2="精査完了")*(日次管理!$R$3:$GC$3="実績"),日次管理!$R$4:$GC$34)</f>
        <v>0</v>
      </c>
      <c r="T24" s="144">
        <f>SUMPRODUCT((日次管理!$R$1:$GC$1&lt;=$T$20)*(日次管理!$K$4:$K$34=$A$24)*(日次管理!$R$2:$GC$2="精査完了")*(日次管理!$R$3:$GC$3="予定"),日次管理!$R$4:$GC$34)</f>
        <v>0</v>
      </c>
      <c r="U24" s="90">
        <f>SUMPRODUCT((日次管理!$R$1:$GC$1&lt;=$U$20)*(日次管理!$K$4:$K$34=$A$24)*(日次管理!$R$2:$GC$2="精査完了")*(日次管理!$R$3:$GC$3="実績"),日次管理!$R$4:$GC$34)</f>
        <v>0</v>
      </c>
      <c r="V24" s="144">
        <f>SUMPRODUCT((日次管理!$R$1:$GC$1&lt;=$V$20)*(日次管理!$K$4:$K$34=$A$24)*(日次管理!$R$2:$GC$2="精査完了")*(日次管理!$R$3:$GC$3="予定"),日次管理!$R$4:$GC$34)</f>
        <v>0</v>
      </c>
      <c r="W24" s="90">
        <f>SUMPRODUCT((日次管理!$R$1:$GC$1&lt;=$W$20)*(日次管理!$K$4:$K$34=$A$24)*(日次管理!$R$2:$GC$2="精査完了")*(日次管理!$R$3:$GC$3="実績"),日次管理!$R$4:$GC$34)</f>
        <v>0</v>
      </c>
      <c r="X24" s="144">
        <f>SUMPRODUCT((日次管理!$R$1:$GC$1&lt;=$X$20)*(日次管理!$K$4:$K$34=$A$24)*(日次管理!$R$2:$GC$2="精査完了")*(日次管理!$R$3:$GC$3="予定"),日次管理!$R$4:$GC$34)</f>
        <v>0</v>
      </c>
      <c r="Y24" s="90">
        <f>SUMPRODUCT((日次管理!$R$1:$GC$1&lt;=$Y$20)*(日次管理!$K$4:$K$34=$A$24)*(日次管理!$R$2:$GC$2="精査完了")*(日次管理!$R$3:$GC$3="実績"),日次管理!$R$4:$GC$34)</f>
        <v>0</v>
      </c>
      <c r="Z24" s="144">
        <f>SUMPRODUCT((日次管理!$R$1:$GC$1&lt;=$Z$20)*(日次管理!$K$4:$K$34=$A$24)*(日次管理!$R$2:$GC$2="精査完了")*(日次管理!$R$3:$GC$3="予定"),日次管理!$R$4:$GC$34)</f>
        <v>0</v>
      </c>
      <c r="AA24" s="90">
        <f>SUMPRODUCT((日次管理!$R$1:$GC$1&lt;=$AA$20)*(日次管理!$K$4:$K$34=$A$24)*(日次管理!$R$2:$GC$2="精査完了")*(日次管理!$R$3:$GC$3="実績"),日次管理!$R$4:$GC$34)</f>
        <v>0</v>
      </c>
      <c r="AB24" s="144">
        <f>SUMPRODUCT((日次管理!$R$1:$GC$1&lt;=$AB$20)*(日次管理!$K$4:$K$34=$A$24)*(日次管理!$R$2:$GC$2="精査完了")*(日次管理!$R$3:$GC$3="予定"),日次管理!$R$4:$GC$34)</f>
        <v>0</v>
      </c>
      <c r="AC24" s="90">
        <f>SUMPRODUCT((日次管理!$R$1:$GC$1&lt;=$AC$20)*(日次管理!$K$4:$K$34=$A$24)*(日次管理!$R$2:$GC$2="精査完了")*(日次管理!$R$3:$GC$3="実績"),日次管理!$R$4:$GC$34)</f>
        <v>0</v>
      </c>
      <c r="AD24" s="144">
        <f>SUMPRODUCT((日次管理!$R$1:$GC$1&lt;=$AD$20)*(日次管理!$K$4:$K$34=$A$24)*(日次管理!$R$2:$GC$2="精査完了")*(日次管理!$R$3:$GC$3="予定"),日次管理!$R$4:$GC$34)</f>
        <v>0</v>
      </c>
      <c r="AE24" s="90">
        <f>SUMPRODUCT((日次管理!$R$1:$GC$1&lt;=$AE$20)*(日次管理!$K$4:$K$34=$A$24)*(日次管理!$R$2:$GC$2="精査完了")*(日次管理!$R$3:$GC$3="実績"),日次管理!$R$4:$GC$34)</f>
        <v>0</v>
      </c>
      <c r="AF24" s="144">
        <f>SUMPRODUCT((日次管理!$R$1:$GC$1&lt;=$AF$20)*(日次管理!$K$4:$K$34=$A$24)*(日次管理!$R$2:$GC$2="精査完了")*(日次管理!$R$3:$GC$3="予定"),日次管理!$R$4:$GC$34)</f>
        <v>0</v>
      </c>
      <c r="AG24" s="90">
        <f>SUMPRODUCT((日次管理!$R$1:$GC$1&lt;=$AG$20)*(日次管理!$K$4:$K$34=$A$24)*(日次管理!$R$2:$GC$2="精査完了")*(日次管理!$R$3:$GC$3="実績"),日次管理!$R$4:$GC$34)</f>
        <v>0</v>
      </c>
      <c r="AH24" s="144">
        <f>SUMPRODUCT((日次管理!$R$1:$GC$1&lt;=$AH$20)*(日次管理!$K$4:$K$34=$A$24)*(日次管理!$R$2:$GC$2="精査完了")*(日次管理!$R$3:$GC$3="予定"),日次管理!$R$4:$GC$34)</f>
        <v>0</v>
      </c>
      <c r="AI24" s="90">
        <f>SUMPRODUCT((日次管理!$R$1:$GC$1&lt;=$AI$20)*(日次管理!$K$4:$K$34=$A$24)*(日次管理!$R$2:$GC$2="精査完了")*(日次管理!$R$3:$GC$3="実績"),日次管理!$R$4:$GC$34)</f>
        <v>0</v>
      </c>
      <c r="AJ24" s="144">
        <f>SUMPRODUCT((日次管理!$R$1:$GC$1&lt;=$AJ$20)*(日次管理!$K$4:$K$34=$A$24)*(日次管理!$R$2:$GC$2="精査完了")*(日次管理!$R$3:$GC$3="予定"),日次管理!$R$4:$GC$34)</f>
        <v>0</v>
      </c>
      <c r="AK24" s="90">
        <f>SUMPRODUCT((日次管理!$R$1:$GC$1&lt;=$AK$20)*(日次管理!$K$4:$K$34=$A$24)*(日次管理!$R$2:$GC$2="精査完了")*(日次管理!$R$3:$GC$3="実績"),日次管理!$R$4:$GC$34)</f>
        <v>0</v>
      </c>
      <c r="AL24" s="144">
        <f>SUMPRODUCT((日次管理!$R$1:$GC$1&lt;=$AL$20)*(日次管理!$K$4:$K$34=$A$24)*(日次管理!$R$2:$GC$2="精査完了")*(日次管理!$R$3:$GC$3="予定"),日次管理!$R$4:$GC$34)</f>
        <v>0</v>
      </c>
      <c r="AM24" s="90">
        <f>SUMPRODUCT((日次管理!$R$1:$GC$1&lt;=$AM$20)*(日次管理!$K$4:$K$34=$A$24)*(日次管理!$R$2:$GC$2="精査完了")*(日次管理!$R$3:$GC$3="実績"),日次管理!$R$4:$GC$34)</f>
        <v>0</v>
      </c>
      <c r="AN24" s="144">
        <f>SUMPRODUCT((日次管理!$R$1:$GC$1&lt;=$AN$20)*(日次管理!$K$4:$K$34=$A$24)*(日次管理!$R$2:$GC$2="精査完了")*(日次管理!$R$3:$GC$3="予定"),日次管理!$R$4:$GC$34)</f>
        <v>0</v>
      </c>
      <c r="AO24" s="90">
        <f>SUMPRODUCT((日次管理!$R$1:$GC$1&lt;=$AO$20)*(日次管理!$K$4:$K$34=$A$24)*(日次管理!$R$2:$GC$2="精査完了")*(日次管理!$R$3:$GC$3="実績"),日次管理!$R$4:$GC$34)</f>
        <v>0</v>
      </c>
      <c r="AP24" s="144">
        <f>SUMPRODUCT((日次管理!$R$1:$GC$1&lt;=$AP$20)*(日次管理!$K$4:$K$34=$A$24)*(日次管理!$R$2:$GC$2="精査完了")*(日次管理!$R$3:$GC$3="予定"),日次管理!$R$4:$GC$34)</f>
        <v>0</v>
      </c>
      <c r="AQ24" s="90">
        <f>SUMPRODUCT((日次管理!$R$1:$GC$1&lt;=$AQ$20)*(日次管理!$K$4:$K$34=$A$24)*(日次管理!$R$2:$GC$2="精査完了")*(日次管理!$R$3:$GC$3="実績"),日次管理!$R$4:$GC$34)</f>
        <v>0</v>
      </c>
      <c r="AR24" s="144">
        <f>SUMPRODUCT((日次管理!$R$1:$GC$1&lt;=$AR$20)*(日次管理!$K$4:$K$34=$A$24)*(日次管理!$R$2:$GC$2="精査完了")*(日次管理!$R$3:$GC$3="予定"),日次管理!$R$4:$GC$34)</f>
        <v>0</v>
      </c>
      <c r="AS24" s="90">
        <f>SUMPRODUCT((日次管理!$R$1:$GC$1&lt;=$AS$20)*(日次管理!$K$4:$K$34=$A$24)*(日次管理!$R$2:$GC$2="精査完了")*(日次管理!$R$3:$GC$3="実績"),日次管理!$R$4:$GC$34)</f>
        <v>0</v>
      </c>
      <c r="AT24" s="144">
        <f>SUMPRODUCT((日次管理!$R$1:$GC$1&lt;=$AT$20)*(日次管理!$K$4:$K$34=$A$24)*(日次管理!$R$2:$GC$2="精査完了")*(日次管理!$R$3:$GC$3="予定"),日次管理!$R$4:$GC$34)</f>
        <v>0</v>
      </c>
      <c r="AU24" s="90">
        <f>SUMPRODUCT((日次管理!$R$1:$GC$1&lt;=$AU$20)*(日次管理!$K$4:$K$34=$A$24)*(日次管理!$R$2:$GC$2="精査完了")*(日次管理!$R$3:$GC$3="実績"),日次管理!$R$4:$GC$34)</f>
        <v>0</v>
      </c>
      <c r="AV24" s="144">
        <f>SUMPRODUCT((日次管理!$R$1:$GC$1&lt;=$AV$20)*(日次管理!$K$4:$K$34=$A$24)*(日次管理!$R$2:$GC$2="精査完了")*(日次管理!$R$3:$GC$3="予定"),日次管理!$R$4:$GC$34)</f>
        <v>0</v>
      </c>
      <c r="AW24" s="90">
        <f>SUMPRODUCT((日次管理!$R$1:$GC$1&lt;=$AW$20)*(日次管理!$K$4:$K$34=$A$24)*(日次管理!$R$2:$GC$2="精査完了")*(日次管理!$R$3:$GC$3="実績"),日次管理!$R$4:$GC$34)</f>
        <v>0</v>
      </c>
      <c r="AX24" s="144">
        <f>SUMPRODUCT((日次管理!$R$1:$GC$1&lt;=$AX$20)*(日次管理!$K$4:$K$34=$A$24)*(日次管理!$R$2:$GC$2="精査完了")*(日次管理!$R$3:$GC$3="予定"),日次管理!$R$4:$GC$34)</f>
        <v>0</v>
      </c>
      <c r="AY24" s="90">
        <f>SUMPRODUCT((日次管理!$R$1:$GC$1&lt;=$AY$20)*(日次管理!$K$4:$K$34=$A$24)*(日次管理!$R$2:$GC$2="精査完了")*(日次管理!$R$3:$GC$3="実績"),日次管理!$R$4:$GC$34)</f>
        <v>0</v>
      </c>
      <c r="AZ24" s="144">
        <f>SUMPRODUCT((日次管理!$R$1:$GC$1&lt;=$AZ$20)*(日次管理!$K$4:$K$34=$A$24)*(日次管理!$R$2:$GC$2="精査完了")*(日次管理!$R$3:$GC$3="予定"),日次管理!$R$4:$GC$34)</f>
        <v>0</v>
      </c>
      <c r="BA24" s="90">
        <f>SUMPRODUCT((日次管理!$R$1:$GC$1&lt;=$BA$20)*(日次管理!$K$4:$K$34=$A$24)*(日次管理!$R$2:$GC$2="精査完了")*(日次管理!$R$3:$GC$3="実績"),日次管理!$R$4:$GC$34)</f>
        <v>0</v>
      </c>
      <c r="BB24" s="144">
        <f>SUMPRODUCT((日次管理!$R$1:$GC$1&lt;=$BB$20)*(日次管理!$K$4:$K$34=$A$24)*(日次管理!$R$2:$GC$2="精査完了")*(日次管理!$R$3:$GC$3="予定"),日次管理!$R$4:$GC$34)</f>
        <v>0</v>
      </c>
      <c r="BC24" s="90">
        <f>SUMPRODUCT((日次管理!$R$1:$GC$1&lt;=$BC$20)*(日次管理!$K$4:$K$34=$A$24)*(日次管理!$R$2:$GC$2="精査完了")*(日次管理!$R$3:$GC$3="実績"),日次管理!$R$4:$GC$34)</f>
        <v>0</v>
      </c>
      <c r="BD24" s="144">
        <f>SUMPRODUCT((日次管理!$R$1:$GC$1&lt;=$BD$20)*(日次管理!$K$4:$K$34=$A$24)*(日次管理!$R$2:$GC$2="精査完了")*(日次管理!$R$3:$GC$3="予定"),日次管理!$R$4:$GC$34)</f>
        <v>0</v>
      </c>
      <c r="BE24" s="90">
        <f>SUMPRODUCT((日次管理!$R$1:$GC$1&lt;=$BE$20)*(日次管理!$K$4:$K$34=$A$24)*(日次管理!$R$2:$GC$2="精査完了")*(日次管理!$R$3:$GC$3="実績"),日次管理!$R$4:$GC$34)</f>
        <v>0</v>
      </c>
      <c r="BF24" s="144">
        <f>SUMPRODUCT((日次管理!$R$1:$GC$1&lt;=$BF$20)*(日次管理!$K$4:$K$34=$A$24)*(日次管理!$R$2:$GC$2="精査完了")*(日次管理!$R$3:$GC$3="予定"),日次管理!$R$4:$GC$34)</f>
        <v>0</v>
      </c>
      <c r="BG24" s="90">
        <f>SUMPRODUCT((日次管理!$R$1:$GC$1&lt;=$BG$20)*(日次管理!$K$4:$K$34=$A$24)*(日次管理!$R$2:$GC$2="精査完了")*(日次管理!$R$3:$GC$3="実績"),日次管理!$R$4:$GC$34)</f>
        <v>0</v>
      </c>
      <c r="BH24" s="144">
        <f>SUMPRODUCT((日次管理!$R$1:$GC$1&lt;=$BH$20)*(日次管理!$K$4:$K$34=$A$24)*(日次管理!$R$2:$GC$2="精査完了")*(日次管理!$R$3:$GC$3="予定"),日次管理!$R$4:$GC$34)</f>
        <v>0</v>
      </c>
      <c r="BI24" s="90">
        <f>SUMPRODUCT((日次管理!$R$1:$GC$1&lt;=$BI$20)*(日次管理!$K$4:$K$34=$A$24)*(日次管理!$R$2:$GC$2="精査完了")*(日次管理!$R$3:$GC$3="実績"),日次管理!$R$4:$GC$34)</f>
        <v>0</v>
      </c>
      <c r="BJ24" s="144">
        <f>SUMPRODUCT((日次管理!$R$1:$GC$1&lt;=$BJ$20)*(日次管理!$K$4:$K$34=$A$24)*(日次管理!$R$2:$GC$2="精査完了")*(日次管理!$R$3:$GC$3="予定"),日次管理!$R$4:$GC$34)</f>
        <v>0</v>
      </c>
      <c r="BK24" s="90">
        <f>SUMPRODUCT((日次管理!$R$1:$GC$1&lt;=$BK$20)*(日次管理!$K$4:$K$34=$A$24)*(日次管理!$R$2:$GC$2="精査完了")*(日次管理!$R$3:$GC$3="実績"),日次管理!$R$4:$GC$34)</f>
        <v>0</v>
      </c>
      <c r="BL24" s="144">
        <f>SUMPRODUCT((日次管理!$R$1:$GC$1&lt;=$BL$20)*(日次管理!$K$4:$K$34=$A$24)*(日次管理!$R$2:$GC$2="精査完了")*(日次管理!$R$3:$GC$3="予定"),日次管理!$R$4:$GC$34)</f>
        <v>11</v>
      </c>
      <c r="BM24" s="90">
        <f>SUMPRODUCT((日次管理!$R$1:$GC$1&lt;=$BM$20)*(日次管理!$K$4:$K$34=$A$24)*(日次管理!$R$2:$GC$2="精査完了")*(日次管理!$R$3:$GC$3="実績"),日次管理!$R$4:$GC$34)</f>
        <v>0</v>
      </c>
      <c r="BN24" s="144">
        <f>SUMPRODUCT((日次管理!$R$1:$GC$1&lt;=$BN$20)*(日次管理!$K$4:$K$34=$A$24)*(日次管理!$R$2:$GC$2="精査完了")*(日次管理!$R$3:$GC$3="予定"),日次管理!$R$4:$GC$34)</f>
        <v>11</v>
      </c>
      <c r="BO24" s="90">
        <f>SUMPRODUCT((日次管理!$R$1:$GC$1&lt;=$BO$20)*(日次管理!$K$4:$K$34=$A$24)*(日次管理!$R$2:$GC$2="精査完了")*(日次管理!$R$3:$GC$3="実績"),日次管理!$R$4:$GC$34)</f>
        <v>0</v>
      </c>
      <c r="BP24" s="144">
        <f>SUMPRODUCT((日次管理!$R$1:$GC$1&lt;=$BP$20)*(日次管理!$K$4:$K$34=$A$24)*(日次管理!$R$2:$GC$2="精査完了")*(日次管理!$R$3:$GC$3="予定"),日次管理!$R$4:$GC$34)</f>
        <v>11</v>
      </c>
      <c r="BQ24" s="90">
        <f>SUMPRODUCT((日次管理!$R$1:$GC$1&lt;=$BQ$20)*(日次管理!$K$4:$K$34=$A$24)*(日次管理!$R$2:$GC$2="精査完了")*(日次管理!$R$3:$GC$3="実績"),日次管理!$R$4:$GC$34)</f>
        <v>0</v>
      </c>
      <c r="BR24" s="144">
        <f>SUMPRODUCT((日次管理!$R$1:$GC$1&lt;=$BR$20)*(日次管理!$K$4:$K$34=$A$24)*(日次管理!$R$2:$GC$2="精査完了")*(日次管理!$R$3:$GC$3="予定"),日次管理!$R$4:$GC$34)</f>
        <v>11</v>
      </c>
      <c r="BS24" s="90">
        <f>SUMPRODUCT((日次管理!$R$1:$GC$1&lt;=$BS$20)*(日次管理!$K$4:$K$34=$A$24)*(日次管理!$R$2:$GC$2="精査完了")*(日次管理!$R$3:$GC$3="実績"),日次管理!$R$4:$GC$34)</f>
        <v>0</v>
      </c>
      <c r="BT24" s="144">
        <f>SUMPRODUCT((日次管理!$R$1:$GC$1&lt;=$BT$20)*(日次管理!$K$4:$K$34=$A$24)*(日次管理!$R$2:$GC$2="精査完了")*(日次管理!$R$3:$GC$3="予定"),日次管理!$R$4:$GC$34)</f>
        <v>11</v>
      </c>
      <c r="BU24" s="90">
        <f>SUMPRODUCT((日次管理!$R$1:$GC$1&lt;=$BU$20)*(日次管理!$K$4:$K$34=$A$24)*(日次管理!$R$2:$GC$2="精査完了")*(日次管理!$R$3:$GC$3="実績"),日次管理!$R$4:$GC$34)</f>
        <v>0</v>
      </c>
      <c r="BV24" s="144">
        <f>SUMPRODUCT((日次管理!$R$1:$GC$1&lt;=$BV$20)*(日次管理!$K$4:$K$34=$A$24)*(日次管理!$R$2:$GC$2="精査完了")*(日次管理!$R$3:$GC$3="予定"),日次管理!$R$4:$GC$34)</f>
        <v>11</v>
      </c>
      <c r="BW24" s="90">
        <f>SUMPRODUCT((日次管理!$R$1:$GC$1&lt;=$BW$20)*(日次管理!$K$4:$K$34=$A$24)*(日次管理!$R$2:$GC$2="精査完了")*(日次管理!$R$3:$GC$3="実績"),日次管理!$R$4:$GC$34)</f>
        <v>0</v>
      </c>
      <c r="BX24" s="144">
        <f>SUMPRODUCT((日次管理!$R$1:$GC$1&lt;=$BX$20)*(日次管理!$K$4:$K$34=$A$24)*(日次管理!$R$2:$GC$2="精査完了")*(日次管理!$R$3:$GC$3="予定"),日次管理!$R$4:$GC$34)</f>
        <v>11</v>
      </c>
      <c r="BY24" s="90">
        <f>SUMPRODUCT((日次管理!$R$1:$GC$1&lt;=$BY$20)*(日次管理!$K$4:$K$34=$A$24)*(日次管理!$R$2:$GC$2="精査完了")*(日次管理!$R$3:$GC$3="実績"),日次管理!$R$4:$GC$34)</f>
        <v>0</v>
      </c>
      <c r="BZ24" s="144">
        <f>SUMPRODUCT((日次管理!$R$1:$GC$1&lt;=$BZ$20)*(日次管理!$K$4:$K$34=$A$24)*(日次管理!$R$2:$GC$2="精査完了")*(日次管理!$R$3:$GC$3="予定"),日次管理!$R$4:$GC$34)</f>
        <v>11</v>
      </c>
      <c r="CA24" s="90">
        <f>SUMPRODUCT((日次管理!$R$1:$GC$1&lt;=$CA$20)*(日次管理!$K$4:$K$34=$A$24)*(日次管理!$R$2:$GC$2="精査完了")*(日次管理!$R$3:$GC$3="実績"),日次管理!$R$4:$GC$34)</f>
        <v>0</v>
      </c>
      <c r="CB24" s="144">
        <f>SUMPRODUCT((日次管理!$R$1:$GC$1&lt;=$CB$20)*(日次管理!$K$4:$K$34=$A$24)*(日次管理!$R$2:$GC$2="精査完了")*(日次管理!$R$3:$GC$3="予定"),日次管理!$R$4:$GC$34)</f>
        <v>11</v>
      </c>
      <c r="CC24" s="90">
        <f>SUMPRODUCT((日次管理!$R$1:$GC$1&lt;=$CC$20)*(日次管理!$K$4:$K$34=$A$24)*(日次管理!$R$2:$GC$2="精査完了")*(日次管理!$R$3:$GC$3="実績"),日次管理!$R$4:$GC$34)</f>
        <v>0</v>
      </c>
      <c r="CD24" s="144">
        <f>SUMPRODUCT((日次管理!$R$1:$GC$1&lt;=$CD$20)*(日次管理!$K$4:$K$34=$A$24)*(日次管理!$R$2:$GC$2="精査完了")*(日次管理!$R$3:$GC$3="予定"),日次管理!$R$4:$GC$34)</f>
        <v>11</v>
      </c>
      <c r="CE24" s="90">
        <f>SUMPRODUCT((日次管理!$R$1:$GC$1&lt;=$CE$20)*(日次管理!$K$4:$K$34=$A$24)*(日次管理!$R$2:$GC$2="精査完了")*(日次管理!$R$3:$GC$3="実績"),日次管理!$R$4:$GC$34)</f>
        <v>0</v>
      </c>
      <c r="CF24" s="144">
        <f>SUMPRODUCT((日次管理!$R$1:$GC$1&lt;=$CF$20)*(日次管理!$K$4:$K$34=$A$24)*(日次管理!$R$2:$GC$2="精査完了")*(日次管理!$R$3:$GC$3="予定"),日次管理!$R$4:$GC$34)</f>
        <v>11</v>
      </c>
      <c r="CG24" s="90">
        <f>SUMPRODUCT((日次管理!$R$1:$GC$1&lt;=$CG$20)*(日次管理!$K$4:$K$34=$A$24)*(日次管理!$R$2:$GC$2="精査完了")*(日次管理!$R$3:$GC$3="実績"),日次管理!$R$4:$GC$34)</f>
        <v>0</v>
      </c>
      <c r="CH24" s="145" t="e">
        <f ca="1">SUMPRODUCT(($A$20- WEEKDAY($A$20) + 6 =$B$20:$CG$20)*("実績"=$B$21:$CG$21),$B$24:$CG$24)/SUMPRODUCT(($A$20- WEEKDAY($A$20) + 6 =$B$20:$CG$20)*("予定"=$B$21:$CG$21),$B$24:$CG$24)</f>
        <v>#DIV/0!</v>
      </c>
      <c r="CI24" s="146">
        <f>$CG$24/$CF$24</f>
        <v>0</v>
      </c>
    </row>
    <row r="25" spans="1:87" ht="20.100000000000001" customHeight="1">
      <c r="A25" s="139" t="s">
        <v>122</v>
      </c>
      <c r="B25" s="140">
        <f>SUMPRODUCT((日次管理!$R$1:$GC$1&lt;=$B$20)*(日次管理!$K$4:$K$34=$A$25)*(日次管理!$R$2:$GC$2="精査完了")*(日次管理!$R$3:$GC$3="予定"),日次管理!$R$4:$GC$34)</f>
        <v>0</v>
      </c>
      <c r="C25" s="89">
        <f>SUMPRODUCT((日次管理!$R$1:$GC$1&lt;=$C$20)*(日次管理!$K$4:$K$34=$A$25)*(日次管理!$R$2:$GC$2="精査完了")*(日次管理!$R$3:$GC$3="実績"),日次管理!$R$4:$GC$34)</f>
        <v>0</v>
      </c>
      <c r="D25" s="140">
        <f>SUMPRODUCT((日次管理!$R$1:$GC$1&lt;=$D$20)*(日次管理!$K$4:$K$34=$A$25)*(日次管理!$R$2:$GC$2="精査完了")*(日次管理!$R$3:$GC$3="予定"),日次管理!$R$4:$GC$34)</f>
        <v>0</v>
      </c>
      <c r="E25" s="89">
        <f>SUMPRODUCT((日次管理!$R$1:$GC$1&lt;=$E$20)*(日次管理!$K$4:$K$34=$A$25)*(日次管理!$R$2:$GC$2="精査完了")*(日次管理!$R$3:$GC$3="実績"),日次管理!$R$4:$GC$34)</f>
        <v>0</v>
      </c>
      <c r="F25" s="140">
        <f>SUMPRODUCT((日次管理!$R$1:$GC$1&lt;=$F$20)*(日次管理!$K$4:$K$34=$A$25)*(日次管理!$R$2:$GC$2="精査完了")*(日次管理!$R$3:$GC$3="予定"),日次管理!$R$4:$GC$34)</f>
        <v>0</v>
      </c>
      <c r="G25" s="89">
        <f>SUMPRODUCT((日次管理!$R$1:$GC$1&lt;=$G$20)*(日次管理!$K$4:$K$34=$A$25)*(日次管理!$R$2:$GC$2="精査完了")*(日次管理!$R$3:$GC$3="実績"),日次管理!$R$4:$GC$34)</f>
        <v>0</v>
      </c>
      <c r="H25" s="140">
        <f>SUMPRODUCT((日次管理!$R$1:$GC$1&lt;=$H$20)*(日次管理!$K$4:$K$34=$A$25)*(日次管理!$R$2:$GC$2="精査完了")*(日次管理!$R$3:$GC$3="予定"),日次管理!$R$4:$GC$34)</f>
        <v>0</v>
      </c>
      <c r="I25" s="89">
        <f>SUMPRODUCT((日次管理!$R$1:$GC$1&lt;=$I$20)*(日次管理!$K$4:$K$34=$A$25)*(日次管理!$R$2:$GC$2="精査完了")*(日次管理!$R$3:$GC$3="実績"),日次管理!$R$4:$GC$34)</f>
        <v>0</v>
      </c>
      <c r="J25" s="140">
        <f>SUMPRODUCT((日次管理!$R$1:$GC$1&lt;=$J$20)*(日次管理!$K$4:$K$34=$A$25)*(日次管理!$R$2:$GC$2="精査完了")*(日次管理!$R$3:$GC$3="予定"),日次管理!$R$4:$GC$34)</f>
        <v>0</v>
      </c>
      <c r="K25" s="89">
        <f>SUMPRODUCT((日次管理!$R$1:$GC$1&lt;=$K$20)*(日次管理!$K$4:$K$34=$A$25)*(日次管理!$R$2:$GC$2="精査完了")*(日次管理!$R$3:$GC$3="実績"),日次管理!$R$4:$GC$34)</f>
        <v>6</v>
      </c>
      <c r="L25" s="140">
        <f>SUMPRODUCT((日次管理!$R$1:$GC$1&lt;=$L$20)*(日次管理!$K$4:$K$34=$A$25)*(日次管理!$R$2:$GC$2="精査完了")*(日次管理!$R$3:$GC$3="予定"),日次管理!$R$4:$GC$34)</f>
        <v>0</v>
      </c>
      <c r="M25" s="89">
        <f>SUMPRODUCT((日次管理!$R$1:$GC$1&lt;=$M$20)*(日次管理!$K$4:$K$34=$A$25)*(日次管理!$R$2:$GC$2="精査完了")*(日次管理!$R$3:$GC$3="実績"),日次管理!$R$4:$GC$34)</f>
        <v>6</v>
      </c>
      <c r="N25" s="140">
        <f>SUMPRODUCT((日次管理!$R$1:$GC$1&lt;=$N$20)*(日次管理!$K$4:$K$34=$A$25)*(日次管理!$R$2:$GC$2="精査完了")*(日次管理!$R$3:$GC$3="予定"),日次管理!$R$4:$GC$34)</f>
        <v>0</v>
      </c>
      <c r="O25" s="89">
        <f>SUMPRODUCT((日次管理!$R$1:$GC$1&lt;=$O$20)*(日次管理!$K$4:$K$34=$A$25)*(日次管理!$R$2:$GC$2="精査完了")*(日次管理!$R$3:$GC$3="実績"),日次管理!$R$4:$GC$34)</f>
        <v>6</v>
      </c>
      <c r="P25" s="140">
        <f>SUMPRODUCT((日次管理!$R$1:$GC$1&lt;=$P$20)*(日次管理!$K$4:$K$34=$A$25)*(日次管理!$R$2:$GC$2="精査完了")*(日次管理!$R$3:$GC$3="予定"),日次管理!$R$4:$GC$34)</f>
        <v>0</v>
      </c>
      <c r="Q25" s="89">
        <f>SUMPRODUCT((日次管理!$R$1:$GC$1&lt;=$Q$20)*(日次管理!$K$4:$K$34=$A$25)*(日次管理!$R$2:$GC$2="精査完了")*(日次管理!$R$3:$GC$3="実績"),日次管理!$R$4:$GC$34)</f>
        <v>6</v>
      </c>
      <c r="R25" s="140">
        <f>SUMPRODUCT((日次管理!$R$1:$GC$1&lt;=$R$20)*(日次管理!$K$4:$K$34=$A$25)*(日次管理!$R$2:$GC$2="精査完了")*(日次管理!$R$3:$GC$3="予定"),日次管理!$R$4:$GC$34)</f>
        <v>0</v>
      </c>
      <c r="S25" s="89">
        <f>SUMPRODUCT((日次管理!$R$1:$GC$1&lt;=$S$20)*(日次管理!$K$4:$K$34=$A$25)*(日次管理!$R$2:$GC$2="精査完了")*(日次管理!$R$3:$GC$3="実績"),日次管理!$R$4:$GC$34)</f>
        <v>8</v>
      </c>
      <c r="T25" s="140">
        <f>SUMPRODUCT((日次管理!$R$1:$GC$1&lt;=$T$20)*(日次管理!$K$4:$K$34=$A$25)*(日次管理!$R$2:$GC$2="精査完了")*(日次管理!$R$3:$GC$3="予定"),日次管理!$R$4:$GC$34)</f>
        <v>0</v>
      </c>
      <c r="U25" s="89">
        <f>SUMPRODUCT((日次管理!$R$1:$GC$1&lt;=$U$20)*(日次管理!$K$4:$K$34=$A$25)*(日次管理!$R$2:$GC$2="精査完了")*(日次管理!$R$3:$GC$3="実績"),日次管理!$R$4:$GC$34)</f>
        <v>8</v>
      </c>
      <c r="V25" s="140">
        <f>SUMPRODUCT((日次管理!$R$1:$GC$1&lt;=$V$20)*(日次管理!$K$4:$K$34=$A$25)*(日次管理!$R$2:$GC$2="精査完了")*(日次管理!$R$3:$GC$3="予定"),日次管理!$R$4:$GC$34)</f>
        <v>0</v>
      </c>
      <c r="W25" s="89">
        <f>SUMPRODUCT((日次管理!$R$1:$GC$1&lt;=$W$20)*(日次管理!$K$4:$K$34=$A$25)*(日次管理!$R$2:$GC$2="精査完了")*(日次管理!$R$3:$GC$3="実績"),日次管理!$R$4:$GC$34)</f>
        <v>8</v>
      </c>
      <c r="X25" s="140">
        <f>SUMPRODUCT((日次管理!$R$1:$GC$1&lt;=$X$20)*(日次管理!$K$4:$K$34=$A$25)*(日次管理!$R$2:$GC$2="精査完了")*(日次管理!$R$3:$GC$3="予定"),日次管理!$R$4:$GC$34)</f>
        <v>27</v>
      </c>
      <c r="Y25" s="89">
        <f>SUMPRODUCT((日次管理!$R$1:$GC$1&lt;=$Y$20)*(日次管理!$K$4:$K$34=$A$25)*(日次管理!$R$2:$GC$2="精査完了")*(日次管理!$R$3:$GC$3="実績"),日次管理!$R$4:$GC$34)</f>
        <v>48</v>
      </c>
      <c r="Z25" s="140">
        <f>SUMPRODUCT((日次管理!$R$1:$GC$1&lt;=$Z$20)*(日次管理!$K$4:$K$34=$A$25)*(日次管理!$R$2:$GC$2="精査完了")*(日次管理!$R$3:$GC$3="予定"),日次管理!$R$4:$GC$34)</f>
        <v>27</v>
      </c>
      <c r="AA25" s="89">
        <f>SUMPRODUCT((日次管理!$R$1:$GC$1&lt;=$AA$20)*(日次管理!$K$4:$K$34=$A$25)*(日次管理!$R$2:$GC$2="精査完了")*(日次管理!$R$3:$GC$3="実績"),日次管理!$R$4:$GC$34)</f>
        <v>48</v>
      </c>
      <c r="AB25" s="140">
        <f>SUMPRODUCT((日次管理!$R$1:$GC$1&lt;=$AB$20)*(日次管理!$K$4:$K$34=$A$25)*(日次管理!$R$2:$GC$2="精査完了")*(日次管理!$R$3:$GC$3="予定"),日次管理!$R$4:$GC$34)</f>
        <v>27</v>
      </c>
      <c r="AC25" s="89">
        <f>SUMPRODUCT((日次管理!$R$1:$GC$1&lt;=$AC$20)*(日次管理!$K$4:$K$34=$A$25)*(日次管理!$R$2:$GC$2="精査完了")*(日次管理!$R$3:$GC$3="実績"),日次管理!$R$4:$GC$34)</f>
        <v>48</v>
      </c>
      <c r="AD25" s="140">
        <f>SUMPRODUCT((日次管理!$R$1:$GC$1&lt;=$AD$20)*(日次管理!$K$4:$K$34=$A$25)*(日次管理!$R$2:$GC$2="精査完了")*(日次管理!$R$3:$GC$3="予定"),日次管理!$R$4:$GC$34)</f>
        <v>27</v>
      </c>
      <c r="AE25" s="89">
        <f>SUMPRODUCT((日次管理!$R$1:$GC$1&lt;=$AE$20)*(日次管理!$K$4:$K$34=$A$25)*(日次管理!$R$2:$GC$2="精査完了")*(日次管理!$R$3:$GC$3="実績"),日次管理!$R$4:$GC$34)</f>
        <v>48</v>
      </c>
      <c r="AF25" s="140">
        <f>SUMPRODUCT((日次管理!$R$1:$GC$1&lt;=$AF$20)*(日次管理!$K$4:$K$34=$A$25)*(日次管理!$R$2:$GC$2="精査完了")*(日次管理!$R$3:$GC$3="予定"),日次管理!$R$4:$GC$34)</f>
        <v>27</v>
      </c>
      <c r="AG25" s="89">
        <f>SUMPRODUCT((日次管理!$R$1:$GC$1&lt;=$AG$20)*(日次管理!$K$4:$K$34=$A$25)*(日次管理!$R$2:$GC$2="精査完了")*(日次管理!$R$3:$GC$3="実績"),日次管理!$R$4:$GC$34)</f>
        <v>48</v>
      </c>
      <c r="AH25" s="140">
        <f>SUMPRODUCT((日次管理!$R$1:$GC$1&lt;=$AH$20)*(日次管理!$K$4:$K$34=$A$25)*(日次管理!$R$2:$GC$2="精査完了")*(日次管理!$R$3:$GC$3="予定"),日次管理!$R$4:$GC$34)</f>
        <v>27</v>
      </c>
      <c r="AI25" s="89">
        <f>SUMPRODUCT((日次管理!$R$1:$GC$1&lt;=$AI$20)*(日次管理!$K$4:$K$34=$A$25)*(日次管理!$R$2:$GC$2="精査完了")*(日次管理!$R$3:$GC$3="実績"),日次管理!$R$4:$GC$34)</f>
        <v>48</v>
      </c>
      <c r="AJ25" s="140">
        <f>SUMPRODUCT((日次管理!$R$1:$GC$1&lt;=$AJ$20)*(日次管理!$K$4:$K$34=$A$25)*(日次管理!$R$2:$GC$2="精査完了")*(日次管理!$R$3:$GC$3="予定"),日次管理!$R$4:$GC$34)</f>
        <v>27</v>
      </c>
      <c r="AK25" s="89">
        <f>SUMPRODUCT((日次管理!$R$1:$GC$1&lt;=$AK$20)*(日次管理!$K$4:$K$34=$A$25)*(日次管理!$R$2:$GC$2="精査完了")*(日次管理!$R$3:$GC$3="実績"),日次管理!$R$4:$GC$34)</f>
        <v>48</v>
      </c>
      <c r="AL25" s="140">
        <f>SUMPRODUCT((日次管理!$R$1:$GC$1&lt;=$AL$20)*(日次管理!$K$4:$K$34=$A$25)*(日次管理!$R$2:$GC$2="精査完了")*(日次管理!$R$3:$GC$3="予定"),日次管理!$R$4:$GC$34)</f>
        <v>64</v>
      </c>
      <c r="AM25" s="89">
        <f>SUMPRODUCT((日次管理!$R$1:$GC$1&lt;=$AM$20)*(日次管理!$K$4:$K$34=$A$25)*(日次管理!$R$2:$GC$2="精査完了")*(日次管理!$R$3:$GC$3="実績"),日次管理!$R$4:$GC$34)</f>
        <v>48</v>
      </c>
      <c r="AN25" s="140">
        <f>SUMPRODUCT((日次管理!$R$1:$GC$1&lt;=$AN$20)*(日次管理!$K$4:$K$34=$A$25)*(日次管理!$R$2:$GC$2="精査完了")*(日次管理!$R$3:$GC$3="予定"),日次管理!$R$4:$GC$34)</f>
        <v>64</v>
      </c>
      <c r="AO25" s="89">
        <f>SUMPRODUCT((日次管理!$R$1:$GC$1&lt;=$AO$20)*(日次管理!$K$4:$K$34=$A$25)*(日次管理!$R$2:$GC$2="精査完了")*(日次管理!$R$3:$GC$3="実績"),日次管理!$R$4:$GC$34)</f>
        <v>48</v>
      </c>
      <c r="AP25" s="140">
        <f>SUMPRODUCT((日次管理!$R$1:$GC$1&lt;=$AP$20)*(日次管理!$K$4:$K$34=$A$25)*(日次管理!$R$2:$GC$2="精査完了")*(日次管理!$R$3:$GC$3="予定"),日次管理!$R$4:$GC$34)</f>
        <v>64</v>
      </c>
      <c r="AQ25" s="89">
        <f>SUMPRODUCT((日次管理!$R$1:$GC$1&lt;=$AQ$20)*(日次管理!$K$4:$K$34=$A$25)*(日次管理!$R$2:$GC$2="精査完了")*(日次管理!$R$3:$GC$3="実績"),日次管理!$R$4:$GC$34)</f>
        <v>48</v>
      </c>
      <c r="AR25" s="140">
        <f>SUMPRODUCT((日次管理!$R$1:$GC$1&lt;=$AR$20)*(日次管理!$K$4:$K$34=$A$25)*(日次管理!$R$2:$GC$2="精査完了")*(日次管理!$R$3:$GC$3="予定"),日次管理!$R$4:$GC$34)</f>
        <v>64</v>
      </c>
      <c r="AS25" s="89">
        <f>SUMPRODUCT((日次管理!$R$1:$GC$1&lt;=$AS$20)*(日次管理!$K$4:$K$34=$A$25)*(日次管理!$R$2:$GC$2="精査完了")*(日次管理!$R$3:$GC$3="実績"),日次管理!$R$4:$GC$34)</f>
        <v>48</v>
      </c>
      <c r="AT25" s="140">
        <f>SUMPRODUCT((日次管理!$R$1:$GC$1&lt;=$AT$20)*(日次管理!$K$4:$K$34=$A$25)*(日次管理!$R$2:$GC$2="精査完了")*(日次管理!$R$3:$GC$3="予定"),日次管理!$R$4:$GC$34)</f>
        <v>64</v>
      </c>
      <c r="AU25" s="89">
        <f>SUMPRODUCT((日次管理!$R$1:$GC$1&lt;=$AU$20)*(日次管理!$K$4:$K$34=$A$25)*(日次管理!$R$2:$GC$2="精査完了")*(日次管理!$R$3:$GC$3="実績"),日次管理!$R$4:$GC$34)</f>
        <v>50</v>
      </c>
      <c r="AV25" s="140">
        <f>SUMPRODUCT((日次管理!$R$1:$GC$1&lt;=$AV$20)*(日次管理!$K$4:$K$34=$A$25)*(日次管理!$R$2:$GC$2="精査完了")*(日次管理!$R$3:$GC$3="予定"),日次管理!$R$4:$GC$34)</f>
        <v>64</v>
      </c>
      <c r="AW25" s="89">
        <f>SUMPRODUCT((日次管理!$R$1:$GC$1&lt;=$AW$20)*(日次管理!$K$4:$K$34=$A$25)*(日次管理!$R$2:$GC$2="精査完了")*(日次管理!$R$3:$GC$3="実績"),日次管理!$R$4:$GC$34)</f>
        <v>50</v>
      </c>
      <c r="AX25" s="140">
        <f>SUMPRODUCT((日次管理!$R$1:$GC$1&lt;=$AX$20)*(日次管理!$K$4:$K$34=$A$25)*(日次管理!$R$2:$GC$2="精査完了")*(日次管理!$R$3:$GC$3="予定"),日次管理!$R$4:$GC$34)</f>
        <v>64</v>
      </c>
      <c r="AY25" s="89">
        <f>SUMPRODUCT((日次管理!$R$1:$GC$1&lt;=$AY$20)*(日次管理!$K$4:$K$34=$A$25)*(日次管理!$R$2:$GC$2="精査完了")*(日次管理!$R$3:$GC$3="実績"),日次管理!$R$4:$GC$34)</f>
        <v>91</v>
      </c>
      <c r="AZ25" s="140">
        <f>SUMPRODUCT((日次管理!$R$1:$GC$1&lt;=$AZ$20)*(日次管理!$K$4:$K$34=$A$25)*(日次管理!$R$2:$GC$2="精査完了")*(日次管理!$R$3:$GC$3="予定"),日次管理!$R$4:$GC$34)</f>
        <v>233</v>
      </c>
      <c r="BA25" s="89">
        <f>SUMPRODUCT((日次管理!$R$1:$GC$1&lt;=$BA$20)*(日次管理!$K$4:$K$34=$A$25)*(日次管理!$R$2:$GC$2="精査完了")*(日次管理!$R$3:$GC$3="実績"),日次管理!$R$4:$GC$34)</f>
        <v>110</v>
      </c>
      <c r="BB25" s="140">
        <f>SUMPRODUCT((日次管理!$R$1:$GC$1&lt;=$BB$20)*(日次管理!$K$4:$K$34=$A$25)*(日次管理!$R$2:$GC$2="精査完了")*(日次管理!$R$3:$GC$3="予定"),日次管理!$R$4:$GC$34)</f>
        <v>233</v>
      </c>
      <c r="BC25" s="89">
        <f>SUMPRODUCT((日次管理!$R$1:$GC$1&lt;=$BC$20)*(日次管理!$K$4:$K$34=$A$25)*(日次管理!$R$2:$GC$2="精査完了")*(日次管理!$R$3:$GC$3="実績"),日次管理!$R$4:$GC$34)</f>
        <v>110</v>
      </c>
      <c r="BD25" s="140">
        <f>SUMPRODUCT((日次管理!$R$1:$GC$1&lt;=$BD$20)*(日次管理!$K$4:$K$34=$A$25)*(日次管理!$R$2:$GC$2="精査完了")*(日次管理!$R$3:$GC$3="予定"),日次管理!$R$4:$GC$34)</f>
        <v>233</v>
      </c>
      <c r="BE25" s="89">
        <f>SUMPRODUCT((日次管理!$R$1:$GC$1&lt;=$BE$20)*(日次管理!$K$4:$K$34=$A$25)*(日次管理!$R$2:$GC$2="精査完了")*(日次管理!$R$3:$GC$3="実績"),日次管理!$R$4:$GC$34)</f>
        <v>110</v>
      </c>
      <c r="BF25" s="140">
        <f>SUMPRODUCT((日次管理!$R$1:$GC$1&lt;=$BF$20)*(日次管理!$K$4:$K$34=$A$25)*(日次管理!$R$2:$GC$2="精査完了")*(日次管理!$R$3:$GC$3="予定"),日次管理!$R$4:$GC$34)</f>
        <v>233</v>
      </c>
      <c r="BG25" s="89">
        <f>SUMPRODUCT((日次管理!$R$1:$GC$1&lt;=$BG$20)*(日次管理!$K$4:$K$34=$A$25)*(日次管理!$R$2:$GC$2="精査完了")*(日次管理!$R$3:$GC$3="実績"),日次管理!$R$4:$GC$34)</f>
        <v>110</v>
      </c>
      <c r="BH25" s="140">
        <f>SUMPRODUCT((日次管理!$R$1:$GC$1&lt;=$BH$20)*(日次管理!$K$4:$K$34=$A$25)*(日次管理!$R$2:$GC$2="精査完了")*(日次管理!$R$3:$GC$3="予定"),日次管理!$R$4:$GC$34)</f>
        <v>233</v>
      </c>
      <c r="BI25" s="89">
        <f>SUMPRODUCT((日次管理!$R$1:$GC$1&lt;=$BI$20)*(日次管理!$K$4:$K$34=$A$25)*(日次管理!$R$2:$GC$2="精査完了")*(日次管理!$R$3:$GC$3="実績"),日次管理!$R$4:$GC$34)</f>
        <v>110</v>
      </c>
      <c r="BJ25" s="140">
        <f>SUMPRODUCT((日次管理!$R$1:$GC$1&lt;=$BJ$20)*(日次管理!$K$4:$K$34=$A$25)*(日次管理!$R$2:$GC$2="精査完了")*(日次管理!$R$3:$GC$3="予定"),日次管理!$R$4:$GC$34)</f>
        <v>233</v>
      </c>
      <c r="BK25" s="89">
        <f>SUMPRODUCT((日次管理!$R$1:$GC$1&lt;=$BK$20)*(日次管理!$K$4:$K$34=$A$25)*(日次管理!$R$2:$GC$2="精査完了")*(日次管理!$R$3:$GC$3="実績"),日次管理!$R$4:$GC$34)</f>
        <v>110</v>
      </c>
      <c r="BL25" s="140">
        <f>SUMPRODUCT((日次管理!$R$1:$GC$1&lt;=$BL$20)*(日次管理!$K$4:$K$34=$A$25)*(日次管理!$R$2:$GC$2="精査完了")*(日次管理!$R$3:$GC$3="予定"),日次管理!$R$4:$GC$34)</f>
        <v>233</v>
      </c>
      <c r="BM25" s="89">
        <f>SUMPRODUCT((日次管理!$R$1:$GC$1&lt;=$BM$20)*(日次管理!$K$4:$K$34=$A$25)*(日次管理!$R$2:$GC$2="精査完了")*(日次管理!$R$3:$GC$3="実績"),日次管理!$R$4:$GC$34)</f>
        <v>110</v>
      </c>
      <c r="BN25" s="140">
        <f>SUMPRODUCT((日次管理!$R$1:$GC$1&lt;=$BN$20)*(日次管理!$K$4:$K$34=$A$25)*(日次管理!$R$2:$GC$2="精査完了")*(日次管理!$R$3:$GC$3="予定"),日次管理!$R$4:$GC$34)</f>
        <v>233</v>
      </c>
      <c r="BO25" s="89">
        <f>SUMPRODUCT((日次管理!$R$1:$GC$1&lt;=$BO$20)*(日次管理!$K$4:$K$34=$A$25)*(日次管理!$R$2:$GC$2="精査完了")*(日次管理!$R$3:$GC$3="実績"),日次管理!$R$4:$GC$34)</f>
        <v>110</v>
      </c>
      <c r="BP25" s="140">
        <f>SUMPRODUCT((日次管理!$R$1:$GC$1&lt;=$BP$20)*(日次管理!$K$4:$K$34=$A$25)*(日次管理!$R$2:$GC$2="精査完了")*(日次管理!$R$3:$GC$3="予定"),日次管理!$R$4:$GC$34)</f>
        <v>233</v>
      </c>
      <c r="BQ25" s="89">
        <f>SUMPRODUCT((日次管理!$R$1:$GC$1&lt;=$BQ$20)*(日次管理!$K$4:$K$34=$A$25)*(日次管理!$R$2:$GC$2="精査完了")*(日次管理!$R$3:$GC$3="実績"),日次管理!$R$4:$GC$34)</f>
        <v>110</v>
      </c>
      <c r="BR25" s="140">
        <f>SUMPRODUCT((日次管理!$R$1:$GC$1&lt;=$BR$20)*(日次管理!$K$4:$K$34=$A$25)*(日次管理!$R$2:$GC$2="精査完了")*(日次管理!$R$3:$GC$3="予定"),日次管理!$R$4:$GC$34)</f>
        <v>233</v>
      </c>
      <c r="BS25" s="89">
        <f>SUMPRODUCT((日次管理!$R$1:$GC$1&lt;=$BS$20)*(日次管理!$K$4:$K$34=$A$25)*(日次管理!$R$2:$GC$2="精査完了")*(日次管理!$R$3:$GC$3="実績"),日次管理!$R$4:$GC$34)</f>
        <v>110</v>
      </c>
      <c r="BT25" s="140">
        <f>SUMPRODUCT((日次管理!$R$1:$GC$1&lt;=$BT$20)*(日次管理!$K$4:$K$34=$A$25)*(日次管理!$R$2:$GC$2="精査完了")*(日次管理!$R$3:$GC$3="予定"),日次管理!$R$4:$GC$34)</f>
        <v>233</v>
      </c>
      <c r="BU25" s="89">
        <f>SUMPRODUCT((日次管理!$R$1:$GC$1&lt;=$BU$20)*(日次管理!$K$4:$K$34=$A$25)*(日次管理!$R$2:$GC$2="精査完了")*(日次管理!$R$3:$GC$3="実績"),日次管理!$R$4:$GC$34)</f>
        <v>110</v>
      </c>
      <c r="BV25" s="140">
        <f>SUMPRODUCT((日次管理!$R$1:$GC$1&lt;=$BV$20)*(日次管理!$K$4:$K$34=$A$25)*(日次管理!$R$2:$GC$2="精査完了")*(日次管理!$R$3:$GC$3="予定"),日次管理!$R$4:$GC$34)</f>
        <v>233</v>
      </c>
      <c r="BW25" s="89">
        <f>SUMPRODUCT((日次管理!$R$1:$GC$1&lt;=$BW$20)*(日次管理!$K$4:$K$34=$A$25)*(日次管理!$R$2:$GC$2="精査完了")*(日次管理!$R$3:$GC$3="実績"),日次管理!$R$4:$GC$34)</f>
        <v>110</v>
      </c>
      <c r="BX25" s="140">
        <f>SUMPRODUCT((日次管理!$R$1:$GC$1&lt;=$BX$20)*(日次管理!$K$4:$K$34=$A$25)*(日次管理!$R$2:$GC$2="精査完了")*(日次管理!$R$3:$GC$3="予定"),日次管理!$R$4:$GC$34)</f>
        <v>233</v>
      </c>
      <c r="BY25" s="89">
        <f>SUMPRODUCT((日次管理!$R$1:$GC$1&lt;=$BY$20)*(日次管理!$K$4:$K$34=$A$25)*(日次管理!$R$2:$GC$2="精査完了")*(日次管理!$R$3:$GC$3="実績"),日次管理!$R$4:$GC$34)</f>
        <v>110</v>
      </c>
      <c r="BZ25" s="140">
        <f>SUMPRODUCT((日次管理!$R$1:$GC$1&lt;=$BZ$20)*(日次管理!$K$4:$K$34=$A$25)*(日次管理!$R$2:$GC$2="精査完了")*(日次管理!$R$3:$GC$3="予定"),日次管理!$R$4:$GC$34)</f>
        <v>233</v>
      </c>
      <c r="CA25" s="89">
        <f>SUMPRODUCT((日次管理!$R$1:$GC$1&lt;=$CA$20)*(日次管理!$K$4:$K$34=$A$25)*(日次管理!$R$2:$GC$2="精査完了")*(日次管理!$R$3:$GC$3="実績"),日次管理!$R$4:$GC$34)</f>
        <v>110</v>
      </c>
      <c r="CB25" s="140">
        <f>SUMPRODUCT((日次管理!$R$1:$GC$1&lt;=$CB$20)*(日次管理!$K$4:$K$34=$A$25)*(日次管理!$R$2:$GC$2="精査完了")*(日次管理!$R$3:$GC$3="予定"),日次管理!$R$4:$GC$34)</f>
        <v>233</v>
      </c>
      <c r="CC25" s="89">
        <f>SUMPRODUCT((日次管理!$R$1:$GC$1&lt;=$CC$20)*(日次管理!$K$4:$K$34=$A$25)*(日次管理!$R$2:$GC$2="精査完了")*(日次管理!$R$3:$GC$3="実績"),日次管理!$R$4:$GC$34)</f>
        <v>110</v>
      </c>
      <c r="CD25" s="140">
        <f>SUMPRODUCT((日次管理!$R$1:$GC$1&lt;=$CD$20)*(日次管理!$K$4:$K$34=$A$25)*(日次管理!$R$2:$GC$2="精査完了")*(日次管理!$R$3:$GC$3="予定"),日次管理!$R$4:$GC$34)</f>
        <v>233</v>
      </c>
      <c r="CE25" s="89">
        <f>SUMPRODUCT((日次管理!$R$1:$GC$1&lt;=$CE$20)*(日次管理!$K$4:$K$34=$A$25)*(日次管理!$R$2:$GC$2="精査完了")*(日次管理!$R$3:$GC$3="実績"),日次管理!$R$4:$GC$34)</f>
        <v>110</v>
      </c>
      <c r="CF25" s="140">
        <f>SUMPRODUCT((日次管理!$R$1:$GC$1&lt;=$CF$20)*(日次管理!$K$4:$K$34=$A$25)*(日次管理!$R$2:$GC$2="精査完了")*(日次管理!$R$3:$GC$3="予定"),日次管理!$R$4:$GC$34)</f>
        <v>233</v>
      </c>
      <c r="CG25" s="89">
        <f>SUMPRODUCT((日次管理!$R$1:$GC$1&lt;=$CG$20)*(日次管理!$K$4:$K$34=$A$25)*(日次管理!$R$2:$GC$2="精査完了")*(日次管理!$R$3:$GC$3="実績"),日次管理!$R$4:$GC$34)</f>
        <v>110</v>
      </c>
      <c r="CH25" s="141">
        <f ca="1">SUMPRODUCT(($A$20- WEEKDAY($A$20) + 6 =$B$20:$CG$20)*("実績"=$B$21:$CG$21),$B$25:$CG$25)/SUMPRODUCT(($A$20- WEEKDAY($A$20) + 6 =$B$20:$CG$20)*("予定"=$B$21:$CG$21),$B$25:$CG$25)</f>
        <v>0.47210300429184548</v>
      </c>
      <c r="CI25" s="142">
        <f>$CG$25/$CF$25</f>
        <v>0.47210300429184548</v>
      </c>
    </row>
    <row r="26" spans="1:87" ht="20.100000000000001" customHeight="1">
      <c r="A26" s="143" t="s">
        <v>123</v>
      </c>
      <c r="B26" s="144">
        <f>SUMPRODUCT((日次管理!$R$1:$GC$1&lt;=$B$20)*(日次管理!$K$4:$K$34=$A$26)*(日次管理!$R$2:$GC$2="精査完了")*(日次管理!$R$3:$GC$3="予定"),日次管理!$R$4:$GC$34)</f>
        <v>0</v>
      </c>
      <c r="C26" s="90">
        <f>SUMPRODUCT((日次管理!$R$1:$GC$1&lt;=$C$20)*(日次管理!$K$4:$K$34=$A$26)*(日次管理!$R$2:$GC$2="精査完了")*(日次管理!$R$3:$GC$3="実績"),日次管理!$R$4:$GC$34)</f>
        <v>0</v>
      </c>
      <c r="D26" s="144">
        <f>SUMPRODUCT((日次管理!$R$1:$GC$1&lt;=$D$20)*(日次管理!$K$4:$K$34=$A$26)*(日次管理!$R$2:$GC$2="精査完了")*(日次管理!$R$3:$GC$3="予定"),日次管理!$R$4:$GC$34)</f>
        <v>0</v>
      </c>
      <c r="E26" s="90">
        <f>SUMPRODUCT((日次管理!$R$1:$GC$1&lt;=$E$20)*(日次管理!$K$4:$K$34=$A$26)*(日次管理!$R$2:$GC$2="精査完了")*(日次管理!$R$3:$GC$3="実績"),日次管理!$R$4:$GC$34)</f>
        <v>0</v>
      </c>
      <c r="F26" s="144">
        <f>SUMPRODUCT((日次管理!$R$1:$GC$1&lt;=$F$20)*(日次管理!$K$4:$K$34=$A$26)*(日次管理!$R$2:$GC$2="精査完了")*(日次管理!$R$3:$GC$3="予定"),日次管理!$R$4:$GC$34)</f>
        <v>0</v>
      </c>
      <c r="G26" s="90">
        <f>SUMPRODUCT((日次管理!$R$1:$GC$1&lt;=$G$20)*(日次管理!$K$4:$K$34=$A$26)*(日次管理!$R$2:$GC$2="精査完了")*(日次管理!$R$3:$GC$3="実績"),日次管理!$R$4:$GC$34)</f>
        <v>0</v>
      </c>
      <c r="H26" s="144">
        <f>SUMPRODUCT((日次管理!$R$1:$GC$1&lt;=$H$20)*(日次管理!$K$4:$K$34=$A$26)*(日次管理!$R$2:$GC$2="精査完了")*(日次管理!$R$3:$GC$3="予定"),日次管理!$R$4:$GC$34)</f>
        <v>0</v>
      </c>
      <c r="I26" s="90">
        <f>SUMPRODUCT((日次管理!$R$1:$GC$1&lt;=$I$20)*(日次管理!$K$4:$K$34=$A$26)*(日次管理!$R$2:$GC$2="精査完了")*(日次管理!$R$3:$GC$3="実績"),日次管理!$R$4:$GC$34)</f>
        <v>0</v>
      </c>
      <c r="J26" s="144">
        <f>SUMPRODUCT((日次管理!$R$1:$GC$1&lt;=$J$20)*(日次管理!$K$4:$K$34=$A$26)*(日次管理!$R$2:$GC$2="精査完了")*(日次管理!$R$3:$GC$3="予定"),日次管理!$R$4:$GC$34)</f>
        <v>0</v>
      </c>
      <c r="K26" s="90">
        <f>SUMPRODUCT((日次管理!$R$1:$GC$1&lt;=$K$20)*(日次管理!$K$4:$K$34=$A$26)*(日次管理!$R$2:$GC$2="精査完了")*(日次管理!$R$3:$GC$3="実績"),日次管理!$R$4:$GC$34)</f>
        <v>0</v>
      </c>
      <c r="L26" s="144">
        <f>SUMPRODUCT((日次管理!$R$1:$GC$1&lt;=$L$20)*(日次管理!$K$4:$K$34=$A$26)*(日次管理!$R$2:$GC$2="精査完了")*(日次管理!$R$3:$GC$3="予定"),日次管理!$R$4:$GC$34)</f>
        <v>0</v>
      </c>
      <c r="M26" s="90">
        <f>SUMPRODUCT((日次管理!$R$1:$GC$1&lt;=$M$20)*(日次管理!$K$4:$K$34=$A$26)*(日次管理!$R$2:$GC$2="精査完了")*(日次管理!$R$3:$GC$3="実績"),日次管理!$R$4:$GC$34)</f>
        <v>0</v>
      </c>
      <c r="N26" s="144">
        <f>SUMPRODUCT((日次管理!$R$1:$GC$1&lt;=$N$20)*(日次管理!$K$4:$K$34=$A$26)*(日次管理!$R$2:$GC$2="精査完了")*(日次管理!$R$3:$GC$3="予定"),日次管理!$R$4:$GC$34)</f>
        <v>0</v>
      </c>
      <c r="O26" s="90">
        <f>SUMPRODUCT((日次管理!$R$1:$GC$1&lt;=$O$20)*(日次管理!$K$4:$K$34=$A$26)*(日次管理!$R$2:$GC$2="精査完了")*(日次管理!$R$3:$GC$3="実績"),日次管理!$R$4:$GC$34)</f>
        <v>0</v>
      </c>
      <c r="P26" s="144">
        <f>SUMPRODUCT((日次管理!$R$1:$GC$1&lt;=$P$20)*(日次管理!$K$4:$K$34=$A$26)*(日次管理!$R$2:$GC$2="精査完了")*(日次管理!$R$3:$GC$3="予定"),日次管理!$R$4:$GC$34)</f>
        <v>0</v>
      </c>
      <c r="Q26" s="90">
        <f>SUMPRODUCT((日次管理!$R$1:$GC$1&lt;=$Q$20)*(日次管理!$K$4:$K$34=$A$26)*(日次管理!$R$2:$GC$2="精査完了")*(日次管理!$R$3:$GC$3="実績"),日次管理!$R$4:$GC$34)</f>
        <v>0</v>
      </c>
      <c r="R26" s="144">
        <f>SUMPRODUCT((日次管理!$R$1:$GC$1&lt;=$R$20)*(日次管理!$K$4:$K$34=$A$26)*(日次管理!$R$2:$GC$2="精査完了")*(日次管理!$R$3:$GC$3="予定"),日次管理!$R$4:$GC$34)</f>
        <v>0</v>
      </c>
      <c r="S26" s="90">
        <f>SUMPRODUCT((日次管理!$R$1:$GC$1&lt;=$S$20)*(日次管理!$K$4:$K$34=$A$26)*(日次管理!$R$2:$GC$2="精査完了")*(日次管理!$R$3:$GC$3="実績"),日次管理!$R$4:$GC$34)</f>
        <v>0</v>
      </c>
      <c r="T26" s="144">
        <f>SUMPRODUCT((日次管理!$R$1:$GC$1&lt;=$T$20)*(日次管理!$K$4:$K$34=$A$26)*(日次管理!$R$2:$GC$2="精査完了")*(日次管理!$R$3:$GC$3="予定"),日次管理!$R$4:$GC$34)</f>
        <v>0</v>
      </c>
      <c r="U26" s="90">
        <f>SUMPRODUCT((日次管理!$R$1:$GC$1&lt;=$U$20)*(日次管理!$K$4:$K$34=$A$26)*(日次管理!$R$2:$GC$2="精査完了")*(日次管理!$R$3:$GC$3="実績"),日次管理!$R$4:$GC$34)</f>
        <v>0</v>
      </c>
      <c r="V26" s="144">
        <f>SUMPRODUCT((日次管理!$R$1:$GC$1&lt;=$V$20)*(日次管理!$K$4:$K$34=$A$26)*(日次管理!$R$2:$GC$2="精査完了")*(日次管理!$R$3:$GC$3="予定"),日次管理!$R$4:$GC$34)</f>
        <v>0</v>
      </c>
      <c r="W26" s="90">
        <f>SUMPRODUCT((日次管理!$R$1:$GC$1&lt;=$W$20)*(日次管理!$K$4:$K$34=$A$26)*(日次管理!$R$2:$GC$2="精査完了")*(日次管理!$R$3:$GC$3="実績"),日次管理!$R$4:$GC$34)</f>
        <v>0</v>
      </c>
      <c r="X26" s="144">
        <f>SUMPRODUCT((日次管理!$R$1:$GC$1&lt;=$X$20)*(日次管理!$K$4:$K$34=$A$26)*(日次管理!$R$2:$GC$2="精査完了")*(日次管理!$R$3:$GC$3="予定"),日次管理!$R$4:$GC$34)</f>
        <v>18</v>
      </c>
      <c r="Y26" s="90">
        <f>SUMPRODUCT((日次管理!$R$1:$GC$1&lt;=$Y$20)*(日次管理!$K$4:$K$34=$A$26)*(日次管理!$R$2:$GC$2="精査完了")*(日次管理!$R$3:$GC$3="実績"),日次管理!$R$4:$GC$34)</f>
        <v>74</v>
      </c>
      <c r="Z26" s="144">
        <f>SUMPRODUCT((日次管理!$R$1:$GC$1&lt;=$Z$20)*(日次管理!$K$4:$K$34=$A$26)*(日次管理!$R$2:$GC$2="精査完了")*(日次管理!$R$3:$GC$3="予定"),日次管理!$R$4:$GC$34)</f>
        <v>18</v>
      </c>
      <c r="AA26" s="90">
        <f>SUMPRODUCT((日次管理!$R$1:$GC$1&lt;=$AA$20)*(日次管理!$K$4:$K$34=$A$26)*(日次管理!$R$2:$GC$2="精査完了")*(日次管理!$R$3:$GC$3="実績"),日次管理!$R$4:$GC$34)</f>
        <v>74</v>
      </c>
      <c r="AB26" s="144">
        <f>SUMPRODUCT((日次管理!$R$1:$GC$1&lt;=$AB$20)*(日次管理!$K$4:$K$34=$A$26)*(日次管理!$R$2:$GC$2="精査完了")*(日次管理!$R$3:$GC$3="予定"),日次管理!$R$4:$GC$34)</f>
        <v>18</v>
      </c>
      <c r="AC26" s="90">
        <f>SUMPRODUCT((日次管理!$R$1:$GC$1&lt;=$AC$20)*(日次管理!$K$4:$K$34=$A$26)*(日次管理!$R$2:$GC$2="精査完了")*(日次管理!$R$3:$GC$3="実績"),日次管理!$R$4:$GC$34)</f>
        <v>74</v>
      </c>
      <c r="AD26" s="144">
        <f>SUMPRODUCT((日次管理!$R$1:$GC$1&lt;=$AD$20)*(日次管理!$K$4:$K$34=$A$26)*(日次管理!$R$2:$GC$2="精査完了")*(日次管理!$R$3:$GC$3="予定"),日次管理!$R$4:$GC$34)</f>
        <v>18</v>
      </c>
      <c r="AE26" s="90">
        <f>SUMPRODUCT((日次管理!$R$1:$GC$1&lt;=$AE$20)*(日次管理!$K$4:$K$34=$A$26)*(日次管理!$R$2:$GC$2="精査完了")*(日次管理!$R$3:$GC$3="実績"),日次管理!$R$4:$GC$34)</f>
        <v>91</v>
      </c>
      <c r="AF26" s="144">
        <f>SUMPRODUCT((日次管理!$R$1:$GC$1&lt;=$AF$20)*(日次管理!$K$4:$K$34=$A$26)*(日次管理!$R$2:$GC$2="精査完了")*(日次管理!$R$3:$GC$3="予定"),日次管理!$R$4:$GC$34)</f>
        <v>18</v>
      </c>
      <c r="AG26" s="90">
        <f>SUMPRODUCT((日次管理!$R$1:$GC$1&lt;=$AG$20)*(日次管理!$K$4:$K$34=$A$26)*(日次管理!$R$2:$GC$2="精査完了")*(日次管理!$R$3:$GC$3="実績"),日次管理!$R$4:$GC$34)</f>
        <v>96</v>
      </c>
      <c r="AH26" s="144">
        <f>SUMPRODUCT((日次管理!$R$1:$GC$1&lt;=$AH$20)*(日次管理!$K$4:$K$34=$A$26)*(日次管理!$R$2:$GC$2="精査完了")*(日次管理!$R$3:$GC$3="予定"),日次管理!$R$4:$GC$34)</f>
        <v>18</v>
      </c>
      <c r="AI26" s="90">
        <f>SUMPRODUCT((日次管理!$R$1:$GC$1&lt;=$AI$20)*(日次管理!$K$4:$K$34=$A$26)*(日次管理!$R$2:$GC$2="精査完了")*(日次管理!$R$3:$GC$3="実績"),日次管理!$R$4:$GC$34)</f>
        <v>96</v>
      </c>
      <c r="AJ26" s="144">
        <f>SUMPRODUCT((日次管理!$R$1:$GC$1&lt;=$AJ$20)*(日次管理!$K$4:$K$34=$A$26)*(日次管理!$R$2:$GC$2="精査完了")*(日次管理!$R$3:$GC$3="予定"),日次管理!$R$4:$GC$34)</f>
        <v>18</v>
      </c>
      <c r="AK26" s="90">
        <f>SUMPRODUCT((日次管理!$R$1:$GC$1&lt;=$AK$20)*(日次管理!$K$4:$K$34=$A$26)*(日次管理!$R$2:$GC$2="精査完了")*(日次管理!$R$3:$GC$3="実績"),日次管理!$R$4:$GC$34)</f>
        <v>96</v>
      </c>
      <c r="AL26" s="144">
        <f>SUMPRODUCT((日次管理!$R$1:$GC$1&lt;=$AL$20)*(日次管理!$K$4:$K$34=$A$26)*(日次管理!$R$2:$GC$2="精査完了")*(日次管理!$R$3:$GC$3="予定"),日次管理!$R$4:$GC$34)</f>
        <v>74</v>
      </c>
      <c r="AM26" s="90">
        <f>SUMPRODUCT((日次管理!$R$1:$GC$1&lt;=$AM$20)*(日次管理!$K$4:$K$34=$A$26)*(日次管理!$R$2:$GC$2="精査完了")*(日次管理!$R$3:$GC$3="実績"),日次管理!$R$4:$GC$34)</f>
        <v>96</v>
      </c>
      <c r="AN26" s="144">
        <f>SUMPRODUCT((日次管理!$R$1:$GC$1&lt;=$AN$20)*(日次管理!$K$4:$K$34=$A$26)*(日次管理!$R$2:$GC$2="精査完了")*(日次管理!$R$3:$GC$3="予定"),日次管理!$R$4:$GC$34)</f>
        <v>74</v>
      </c>
      <c r="AO26" s="90">
        <f>SUMPRODUCT((日次管理!$R$1:$GC$1&lt;=$AO$20)*(日次管理!$K$4:$K$34=$A$26)*(日次管理!$R$2:$GC$2="精査完了")*(日次管理!$R$3:$GC$3="実績"),日次管理!$R$4:$GC$34)</f>
        <v>96</v>
      </c>
      <c r="AP26" s="144">
        <f>SUMPRODUCT((日次管理!$R$1:$GC$1&lt;=$AP$20)*(日次管理!$K$4:$K$34=$A$26)*(日次管理!$R$2:$GC$2="精査完了")*(日次管理!$R$3:$GC$3="予定"),日次管理!$R$4:$GC$34)</f>
        <v>74</v>
      </c>
      <c r="AQ26" s="90">
        <f>SUMPRODUCT((日次管理!$R$1:$GC$1&lt;=$AQ$20)*(日次管理!$K$4:$K$34=$A$26)*(日次管理!$R$2:$GC$2="精査完了")*(日次管理!$R$3:$GC$3="実績"),日次管理!$R$4:$GC$34)</f>
        <v>96</v>
      </c>
      <c r="AR26" s="144">
        <f>SUMPRODUCT((日次管理!$R$1:$GC$1&lt;=$AR$20)*(日次管理!$K$4:$K$34=$A$26)*(日次管理!$R$2:$GC$2="精査完了")*(日次管理!$R$3:$GC$3="予定"),日次管理!$R$4:$GC$34)</f>
        <v>74</v>
      </c>
      <c r="AS26" s="90">
        <f>SUMPRODUCT((日次管理!$R$1:$GC$1&lt;=$AS$20)*(日次管理!$K$4:$K$34=$A$26)*(日次管理!$R$2:$GC$2="精査完了")*(日次管理!$R$3:$GC$3="実績"),日次管理!$R$4:$GC$34)</f>
        <v>96</v>
      </c>
      <c r="AT26" s="144">
        <f>SUMPRODUCT((日次管理!$R$1:$GC$1&lt;=$AT$20)*(日次管理!$K$4:$K$34=$A$26)*(日次管理!$R$2:$GC$2="精査完了")*(日次管理!$R$3:$GC$3="予定"),日次管理!$R$4:$GC$34)</f>
        <v>74</v>
      </c>
      <c r="AU26" s="90">
        <f>SUMPRODUCT((日次管理!$R$1:$GC$1&lt;=$AU$20)*(日次管理!$K$4:$K$34=$A$26)*(日次管理!$R$2:$GC$2="精査完了")*(日次管理!$R$3:$GC$3="実績"),日次管理!$R$4:$GC$34)</f>
        <v>96</v>
      </c>
      <c r="AV26" s="144">
        <f>SUMPRODUCT((日次管理!$R$1:$GC$1&lt;=$AV$20)*(日次管理!$K$4:$K$34=$A$26)*(日次管理!$R$2:$GC$2="精査完了")*(日次管理!$R$3:$GC$3="予定"),日次管理!$R$4:$GC$34)</f>
        <v>74</v>
      </c>
      <c r="AW26" s="90">
        <f>SUMPRODUCT((日次管理!$R$1:$GC$1&lt;=$AW$20)*(日次管理!$K$4:$K$34=$A$26)*(日次管理!$R$2:$GC$2="精査完了")*(日次管理!$R$3:$GC$3="実績"),日次管理!$R$4:$GC$34)</f>
        <v>96</v>
      </c>
      <c r="AX26" s="144">
        <f>SUMPRODUCT((日次管理!$R$1:$GC$1&lt;=$AX$20)*(日次管理!$K$4:$K$34=$A$26)*(日次管理!$R$2:$GC$2="精査完了")*(日次管理!$R$3:$GC$3="予定"),日次管理!$R$4:$GC$34)</f>
        <v>74</v>
      </c>
      <c r="AY26" s="90">
        <f>SUMPRODUCT((日次管理!$R$1:$GC$1&lt;=$AY$20)*(日次管理!$K$4:$K$34=$A$26)*(日次管理!$R$2:$GC$2="精査完了")*(日次管理!$R$3:$GC$3="実績"),日次管理!$R$4:$GC$34)</f>
        <v>96</v>
      </c>
      <c r="AZ26" s="144">
        <f>SUMPRODUCT((日次管理!$R$1:$GC$1&lt;=$AZ$20)*(日次管理!$K$4:$K$34=$A$26)*(日次管理!$R$2:$GC$2="精査完了")*(日次管理!$R$3:$GC$3="予定"),日次管理!$R$4:$GC$34)</f>
        <v>213</v>
      </c>
      <c r="BA26" s="90">
        <f>SUMPRODUCT((日次管理!$R$1:$GC$1&lt;=$BA$20)*(日次管理!$K$4:$K$34=$A$26)*(日次管理!$R$2:$GC$2="精査完了")*(日次管理!$R$3:$GC$3="実績"),日次管理!$R$4:$GC$34)</f>
        <v>96</v>
      </c>
      <c r="BB26" s="144">
        <f>SUMPRODUCT((日次管理!$R$1:$GC$1&lt;=$BB$20)*(日次管理!$K$4:$K$34=$A$26)*(日次管理!$R$2:$GC$2="精査完了")*(日次管理!$R$3:$GC$3="予定"),日次管理!$R$4:$GC$34)</f>
        <v>213</v>
      </c>
      <c r="BC26" s="90">
        <f>SUMPRODUCT((日次管理!$R$1:$GC$1&lt;=$BC$20)*(日次管理!$K$4:$K$34=$A$26)*(日次管理!$R$2:$GC$2="精査完了")*(日次管理!$R$3:$GC$3="実績"),日次管理!$R$4:$GC$34)</f>
        <v>96</v>
      </c>
      <c r="BD26" s="144">
        <f>SUMPRODUCT((日次管理!$R$1:$GC$1&lt;=$BD$20)*(日次管理!$K$4:$K$34=$A$26)*(日次管理!$R$2:$GC$2="精査完了")*(日次管理!$R$3:$GC$3="予定"),日次管理!$R$4:$GC$34)</f>
        <v>213</v>
      </c>
      <c r="BE26" s="90">
        <f>SUMPRODUCT((日次管理!$R$1:$GC$1&lt;=$BE$20)*(日次管理!$K$4:$K$34=$A$26)*(日次管理!$R$2:$GC$2="精査完了")*(日次管理!$R$3:$GC$3="実績"),日次管理!$R$4:$GC$34)</f>
        <v>96</v>
      </c>
      <c r="BF26" s="144">
        <f>SUMPRODUCT((日次管理!$R$1:$GC$1&lt;=$BF$20)*(日次管理!$K$4:$K$34=$A$26)*(日次管理!$R$2:$GC$2="精査完了")*(日次管理!$R$3:$GC$3="予定"),日次管理!$R$4:$GC$34)</f>
        <v>213</v>
      </c>
      <c r="BG26" s="90">
        <f>SUMPRODUCT((日次管理!$R$1:$GC$1&lt;=$BG$20)*(日次管理!$K$4:$K$34=$A$26)*(日次管理!$R$2:$GC$2="精査完了")*(日次管理!$R$3:$GC$3="実績"),日次管理!$R$4:$GC$34)</f>
        <v>96</v>
      </c>
      <c r="BH26" s="144">
        <f>SUMPRODUCT((日次管理!$R$1:$GC$1&lt;=$BH$20)*(日次管理!$K$4:$K$34=$A$26)*(日次管理!$R$2:$GC$2="精査完了")*(日次管理!$R$3:$GC$3="予定"),日次管理!$R$4:$GC$34)</f>
        <v>213</v>
      </c>
      <c r="BI26" s="90">
        <f>SUMPRODUCT((日次管理!$R$1:$GC$1&lt;=$BI$20)*(日次管理!$K$4:$K$34=$A$26)*(日次管理!$R$2:$GC$2="精査完了")*(日次管理!$R$3:$GC$3="実績"),日次管理!$R$4:$GC$34)</f>
        <v>96</v>
      </c>
      <c r="BJ26" s="144">
        <f>SUMPRODUCT((日次管理!$R$1:$GC$1&lt;=$BJ$20)*(日次管理!$K$4:$K$34=$A$26)*(日次管理!$R$2:$GC$2="精査完了")*(日次管理!$R$3:$GC$3="予定"),日次管理!$R$4:$GC$34)</f>
        <v>213</v>
      </c>
      <c r="BK26" s="90">
        <f>SUMPRODUCT((日次管理!$R$1:$GC$1&lt;=$BK$20)*(日次管理!$K$4:$K$34=$A$26)*(日次管理!$R$2:$GC$2="精査完了")*(日次管理!$R$3:$GC$3="実績"),日次管理!$R$4:$GC$34)</f>
        <v>96</v>
      </c>
      <c r="BL26" s="144">
        <f>SUMPRODUCT((日次管理!$R$1:$GC$1&lt;=$BL$20)*(日次管理!$K$4:$K$34=$A$26)*(日次管理!$R$2:$GC$2="精査完了")*(日次管理!$R$3:$GC$3="予定"),日次管理!$R$4:$GC$34)</f>
        <v>213</v>
      </c>
      <c r="BM26" s="90">
        <f>SUMPRODUCT((日次管理!$R$1:$GC$1&lt;=$BM$20)*(日次管理!$K$4:$K$34=$A$26)*(日次管理!$R$2:$GC$2="精査完了")*(日次管理!$R$3:$GC$3="実績"),日次管理!$R$4:$GC$34)</f>
        <v>96</v>
      </c>
      <c r="BN26" s="144">
        <f>SUMPRODUCT((日次管理!$R$1:$GC$1&lt;=$BN$20)*(日次管理!$K$4:$K$34=$A$26)*(日次管理!$R$2:$GC$2="精査完了")*(日次管理!$R$3:$GC$3="予定"),日次管理!$R$4:$GC$34)</f>
        <v>213</v>
      </c>
      <c r="BO26" s="90">
        <f>SUMPRODUCT((日次管理!$R$1:$GC$1&lt;=$BO$20)*(日次管理!$K$4:$K$34=$A$26)*(日次管理!$R$2:$GC$2="精査完了")*(日次管理!$R$3:$GC$3="実績"),日次管理!$R$4:$GC$34)</f>
        <v>96</v>
      </c>
      <c r="BP26" s="144">
        <f>SUMPRODUCT((日次管理!$R$1:$GC$1&lt;=$BP$20)*(日次管理!$K$4:$K$34=$A$26)*(日次管理!$R$2:$GC$2="精査完了")*(日次管理!$R$3:$GC$3="予定"),日次管理!$R$4:$GC$34)</f>
        <v>213</v>
      </c>
      <c r="BQ26" s="90">
        <f>SUMPRODUCT((日次管理!$R$1:$GC$1&lt;=$BQ$20)*(日次管理!$K$4:$K$34=$A$26)*(日次管理!$R$2:$GC$2="精査完了")*(日次管理!$R$3:$GC$3="実績"),日次管理!$R$4:$GC$34)</f>
        <v>96</v>
      </c>
      <c r="BR26" s="144">
        <f>SUMPRODUCT((日次管理!$R$1:$GC$1&lt;=$BR$20)*(日次管理!$K$4:$K$34=$A$26)*(日次管理!$R$2:$GC$2="精査完了")*(日次管理!$R$3:$GC$3="予定"),日次管理!$R$4:$GC$34)</f>
        <v>213</v>
      </c>
      <c r="BS26" s="90">
        <f>SUMPRODUCT((日次管理!$R$1:$GC$1&lt;=$BS$20)*(日次管理!$K$4:$K$34=$A$26)*(日次管理!$R$2:$GC$2="精査完了")*(日次管理!$R$3:$GC$3="実績"),日次管理!$R$4:$GC$34)</f>
        <v>96</v>
      </c>
      <c r="BT26" s="144">
        <f>SUMPRODUCT((日次管理!$R$1:$GC$1&lt;=$BT$20)*(日次管理!$K$4:$K$34=$A$26)*(日次管理!$R$2:$GC$2="精査完了")*(日次管理!$R$3:$GC$3="予定"),日次管理!$R$4:$GC$34)</f>
        <v>213</v>
      </c>
      <c r="BU26" s="90">
        <f>SUMPRODUCT((日次管理!$R$1:$GC$1&lt;=$BU$20)*(日次管理!$K$4:$K$34=$A$26)*(日次管理!$R$2:$GC$2="精査完了")*(日次管理!$R$3:$GC$3="実績"),日次管理!$R$4:$GC$34)</f>
        <v>96</v>
      </c>
      <c r="BV26" s="144">
        <f>SUMPRODUCT((日次管理!$R$1:$GC$1&lt;=$BV$20)*(日次管理!$K$4:$K$34=$A$26)*(日次管理!$R$2:$GC$2="精査完了")*(日次管理!$R$3:$GC$3="予定"),日次管理!$R$4:$GC$34)</f>
        <v>213</v>
      </c>
      <c r="BW26" s="90">
        <f>SUMPRODUCT((日次管理!$R$1:$GC$1&lt;=$BW$20)*(日次管理!$K$4:$K$34=$A$26)*(日次管理!$R$2:$GC$2="精査完了")*(日次管理!$R$3:$GC$3="実績"),日次管理!$R$4:$GC$34)</f>
        <v>96</v>
      </c>
      <c r="BX26" s="144">
        <f>SUMPRODUCT((日次管理!$R$1:$GC$1&lt;=$BX$20)*(日次管理!$K$4:$K$34=$A$26)*(日次管理!$R$2:$GC$2="精査完了")*(日次管理!$R$3:$GC$3="予定"),日次管理!$R$4:$GC$34)</f>
        <v>213</v>
      </c>
      <c r="BY26" s="90">
        <f>SUMPRODUCT((日次管理!$R$1:$GC$1&lt;=$BY$20)*(日次管理!$K$4:$K$34=$A$26)*(日次管理!$R$2:$GC$2="精査完了")*(日次管理!$R$3:$GC$3="実績"),日次管理!$R$4:$GC$34)</f>
        <v>96</v>
      </c>
      <c r="BZ26" s="144">
        <f>SUMPRODUCT((日次管理!$R$1:$GC$1&lt;=$BZ$20)*(日次管理!$K$4:$K$34=$A$26)*(日次管理!$R$2:$GC$2="精査完了")*(日次管理!$R$3:$GC$3="予定"),日次管理!$R$4:$GC$34)</f>
        <v>213</v>
      </c>
      <c r="CA26" s="90">
        <f>SUMPRODUCT((日次管理!$R$1:$GC$1&lt;=$CA$20)*(日次管理!$K$4:$K$34=$A$26)*(日次管理!$R$2:$GC$2="精査完了")*(日次管理!$R$3:$GC$3="実績"),日次管理!$R$4:$GC$34)</f>
        <v>96</v>
      </c>
      <c r="CB26" s="144">
        <f>SUMPRODUCT((日次管理!$R$1:$GC$1&lt;=$CB$20)*(日次管理!$K$4:$K$34=$A$26)*(日次管理!$R$2:$GC$2="精査完了")*(日次管理!$R$3:$GC$3="予定"),日次管理!$R$4:$GC$34)</f>
        <v>213</v>
      </c>
      <c r="CC26" s="90">
        <f>SUMPRODUCT((日次管理!$R$1:$GC$1&lt;=$CC$20)*(日次管理!$K$4:$K$34=$A$26)*(日次管理!$R$2:$GC$2="精査完了")*(日次管理!$R$3:$GC$3="実績"),日次管理!$R$4:$GC$34)</f>
        <v>96</v>
      </c>
      <c r="CD26" s="144">
        <f>SUMPRODUCT((日次管理!$R$1:$GC$1&lt;=$CD$20)*(日次管理!$K$4:$K$34=$A$26)*(日次管理!$R$2:$GC$2="精査完了")*(日次管理!$R$3:$GC$3="予定"),日次管理!$R$4:$GC$34)</f>
        <v>213</v>
      </c>
      <c r="CE26" s="90">
        <f>SUMPRODUCT((日次管理!$R$1:$GC$1&lt;=$CE$20)*(日次管理!$K$4:$K$34=$A$26)*(日次管理!$R$2:$GC$2="精査完了")*(日次管理!$R$3:$GC$3="実績"),日次管理!$R$4:$GC$34)</f>
        <v>96</v>
      </c>
      <c r="CF26" s="144">
        <f>SUMPRODUCT((日次管理!$R$1:$GC$1&lt;=$CF$20)*(日次管理!$K$4:$K$34=$A$26)*(日次管理!$R$2:$GC$2="精査完了")*(日次管理!$R$3:$GC$3="予定"),日次管理!$R$4:$GC$34)</f>
        <v>213</v>
      </c>
      <c r="CG26" s="90">
        <f>SUMPRODUCT((日次管理!$R$1:$GC$1&lt;=$CG$20)*(日次管理!$K$4:$K$34=$A$26)*(日次管理!$R$2:$GC$2="精査完了")*(日次管理!$R$3:$GC$3="実績"),日次管理!$R$4:$GC$34)</f>
        <v>96</v>
      </c>
      <c r="CH26" s="145">
        <f ca="1">SUMPRODUCT(($A$20- WEEKDAY($A$20) + 6 =$B$20:$CG$20)*("実績"=$B$21:$CG$21),$B$26:$CG$26)/SUMPRODUCT(($A$20- WEEKDAY($A$20) + 6 =$B$20:$CG$20)*("予定"=$B$21:$CG$21),$B$26:$CG$26)</f>
        <v>0.45070422535211269</v>
      </c>
      <c r="CI26" s="146">
        <f>$CG$26/$CF$26</f>
        <v>0.45070422535211269</v>
      </c>
    </row>
    <row r="27" spans="1:87" ht="20.100000000000001" customHeight="1">
      <c r="A27" s="139" t="s">
        <v>124</v>
      </c>
      <c r="B27" s="140">
        <f>SUMPRODUCT((日次管理!$R$1:$GC$1&lt;=$B$20)*(日次管理!$K$4:$K$34=$A$27)*(日次管理!$R$2:$GC$2="精査完了")*(日次管理!$R$3:$GC$3="予定"),日次管理!$R$4:$GC$34)</f>
        <v>0</v>
      </c>
      <c r="C27" s="89">
        <f>SUMPRODUCT((日次管理!$R$1:$GC$1&lt;=$C$20)*(日次管理!$K$4:$K$34=$A$27)*(日次管理!$R$2:$GC$2="精査完了")*(日次管理!$R$3:$GC$3="実績"),日次管理!$R$4:$GC$34)</f>
        <v>0</v>
      </c>
      <c r="D27" s="140">
        <f>SUMPRODUCT((日次管理!$R$1:$GC$1&lt;=$D$20)*(日次管理!$K$4:$K$34=$A$27)*(日次管理!$R$2:$GC$2="精査完了")*(日次管理!$R$3:$GC$3="予定"),日次管理!$R$4:$GC$34)</f>
        <v>0</v>
      </c>
      <c r="E27" s="89">
        <f>SUMPRODUCT((日次管理!$R$1:$GC$1&lt;=$E$20)*(日次管理!$K$4:$K$34=$A$27)*(日次管理!$R$2:$GC$2="精査完了")*(日次管理!$R$3:$GC$3="実績"),日次管理!$R$4:$GC$34)</f>
        <v>0</v>
      </c>
      <c r="F27" s="140">
        <f>SUMPRODUCT((日次管理!$R$1:$GC$1&lt;=$F$20)*(日次管理!$K$4:$K$34=$A$27)*(日次管理!$R$2:$GC$2="精査完了")*(日次管理!$R$3:$GC$3="予定"),日次管理!$R$4:$GC$34)</f>
        <v>0</v>
      </c>
      <c r="G27" s="89">
        <f>SUMPRODUCT((日次管理!$R$1:$GC$1&lt;=$G$20)*(日次管理!$K$4:$K$34=$A$27)*(日次管理!$R$2:$GC$2="精査完了")*(日次管理!$R$3:$GC$3="実績"),日次管理!$R$4:$GC$34)</f>
        <v>0</v>
      </c>
      <c r="H27" s="140">
        <f>SUMPRODUCT((日次管理!$R$1:$GC$1&lt;=$H$20)*(日次管理!$K$4:$K$34=$A$27)*(日次管理!$R$2:$GC$2="精査完了")*(日次管理!$R$3:$GC$3="予定"),日次管理!$R$4:$GC$34)</f>
        <v>0</v>
      </c>
      <c r="I27" s="89">
        <f>SUMPRODUCT((日次管理!$R$1:$GC$1&lt;=$I$20)*(日次管理!$K$4:$K$34=$A$27)*(日次管理!$R$2:$GC$2="精査完了")*(日次管理!$R$3:$GC$3="実績"),日次管理!$R$4:$GC$34)</f>
        <v>0</v>
      </c>
      <c r="J27" s="140">
        <f>SUMPRODUCT((日次管理!$R$1:$GC$1&lt;=$J$20)*(日次管理!$K$4:$K$34=$A$27)*(日次管理!$R$2:$GC$2="精査完了")*(日次管理!$R$3:$GC$3="予定"),日次管理!$R$4:$GC$34)</f>
        <v>0</v>
      </c>
      <c r="K27" s="89">
        <f>SUMPRODUCT((日次管理!$R$1:$GC$1&lt;=$K$20)*(日次管理!$K$4:$K$34=$A$27)*(日次管理!$R$2:$GC$2="精査完了")*(日次管理!$R$3:$GC$3="実績"),日次管理!$R$4:$GC$34)</f>
        <v>0</v>
      </c>
      <c r="L27" s="140">
        <f>SUMPRODUCT((日次管理!$R$1:$GC$1&lt;=$L$20)*(日次管理!$K$4:$K$34=$A$27)*(日次管理!$R$2:$GC$2="精査完了")*(日次管理!$R$3:$GC$3="予定"),日次管理!$R$4:$GC$34)</f>
        <v>0</v>
      </c>
      <c r="M27" s="89">
        <f>SUMPRODUCT((日次管理!$R$1:$GC$1&lt;=$M$20)*(日次管理!$K$4:$K$34=$A$27)*(日次管理!$R$2:$GC$2="精査完了")*(日次管理!$R$3:$GC$3="実績"),日次管理!$R$4:$GC$34)</f>
        <v>0</v>
      </c>
      <c r="N27" s="140">
        <f>SUMPRODUCT((日次管理!$R$1:$GC$1&lt;=$N$20)*(日次管理!$K$4:$K$34=$A$27)*(日次管理!$R$2:$GC$2="精査完了")*(日次管理!$R$3:$GC$3="予定"),日次管理!$R$4:$GC$34)</f>
        <v>0</v>
      </c>
      <c r="O27" s="89">
        <f>SUMPRODUCT((日次管理!$R$1:$GC$1&lt;=$O$20)*(日次管理!$K$4:$K$34=$A$27)*(日次管理!$R$2:$GC$2="精査完了")*(日次管理!$R$3:$GC$3="実績"),日次管理!$R$4:$GC$34)</f>
        <v>0</v>
      </c>
      <c r="P27" s="140">
        <f>SUMPRODUCT((日次管理!$R$1:$GC$1&lt;=$P$20)*(日次管理!$K$4:$K$34=$A$27)*(日次管理!$R$2:$GC$2="精査完了")*(日次管理!$R$3:$GC$3="予定"),日次管理!$R$4:$GC$34)</f>
        <v>0</v>
      </c>
      <c r="Q27" s="89">
        <f>SUMPRODUCT((日次管理!$R$1:$GC$1&lt;=$Q$20)*(日次管理!$K$4:$K$34=$A$27)*(日次管理!$R$2:$GC$2="精査完了")*(日次管理!$R$3:$GC$3="実績"),日次管理!$R$4:$GC$34)</f>
        <v>0</v>
      </c>
      <c r="R27" s="140">
        <f>SUMPRODUCT((日次管理!$R$1:$GC$1&lt;=$R$20)*(日次管理!$K$4:$K$34=$A$27)*(日次管理!$R$2:$GC$2="精査完了")*(日次管理!$R$3:$GC$3="予定"),日次管理!$R$4:$GC$34)</f>
        <v>0</v>
      </c>
      <c r="S27" s="89">
        <f>SUMPRODUCT((日次管理!$R$1:$GC$1&lt;=$S$20)*(日次管理!$K$4:$K$34=$A$27)*(日次管理!$R$2:$GC$2="精査完了")*(日次管理!$R$3:$GC$3="実績"),日次管理!$R$4:$GC$34)</f>
        <v>0</v>
      </c>
      <c r="T27" s="140">
        <f>SUMPRODUCT((日次管理!$R$1:$GC$1&lt;=$T$20)*(日次管理!$K$4:$K$34=$A$27)*(日次管理!$R$2:$GC$2="精査完了")*(日次管理!$R$3:$GC$3="予定"),日次管理!$R$4:$GC$34)</f>
        <v>0</v>
      </c>
      <c r="U27" s="89">
        <f>SUMPRODUCT((日次管理!$R$1:$GC$1&lt;=$U$20)*(日次管理!$K$4:$K$34=$A$27)*(日次管理!$R$2:$GC$2="精査完了")*(日次管理!$R$3:$GC$3="実績"),日次管理!$R$4:$GC$34)</f>
        <v>0</v>
      </c>
      <c r="V27" s="140">
        <f>SUMPRODUCT((日次管理!$R$1:$GC$1&lt;=$V$20)*(日次管理!$K$4:$K$34=$A$27)*(日次管理!$R$2:$GC$2="精査完了")*(日次管理!$R$3:$GC$3="予定"),日次管理!$R$4:$GC$34)</f>
        <v>0</v>
      </c>
      <c r="W27" s="89">
        <f>SUMPRODUCT((日次管理!$R$1:$GC$1&lt;=$W$20)*(日次管理!$K$4:$K$34=$A$27)*(日次管理!$R$2:$GC$2="精査完了")*(日次管理!$R$3:$GC$3="実績"),日次管理!$R$4:$GC$34)</f>
        <v>0</v>
      </c>
      <c r="X27" s="140">
        <f>SUMPRODUCT((日次管理!$R$1:$GC$1&lt;=$X$20)*(日次管理!$K$4:$K$34=$A$27)*(日次管理!$R$2:$GC$2="精査完了")*(日次管理!$R$3:$GC$3="予定"),日次管理!$R$4:$GC$34)</f>
        <v>25</v>
      </c>
      <c r="Y27" s="89">
        <f>SUMPRODUCT((日次管理!$R$1:$GC$1&lt;=$Y$20)*(日次管理!$K$4:$K$34=$A$27)*(日次管理!$R$2:$GC$2="精査完了")*(日次管理!$R$3:$GC$3="実績"),日次管理!$R$4:$GC$34)</f>
        <v>0</v>
      </c>
      <c r="Z27" s="140">
        <f>SUMPRODUCT((日次管理!$R$1:$GC$1&lt;=$Z$20)*(日次管理!$K$4:$K$34=$A$27)*(日次管理!$R$2:$GC$2="精査完了")*(日次管理!$R$3:$GC$3="予定"),日次管理!$R$4:$GC$34)</f>
        <v>25</v>
      </c>
      <c r="AA27" s="89">
        <f>SUMPRODUCT((日次管理!$R$1:$GC$1&lt;=$AA$20)*(日次管理!$K$4:$K$34=$A$27)*(日次管理!$R$2:$GC$2="精査完了")*(日次管理!$R$3:$GC$3="実績"),日次管理!$R$4:$GC$34)</f>
        <v>0</v>
      </c>
      <c r="AB27" s="140">
        <f>SUMPRODUCT((日次管理!$R$1:$GC$1&lt;=$AB$20)*(日次管理!$K$4:$K$34=$A$27)*(日次管理!$R$2:$GC$2="精査完了")*(日次管理!$R$3:$GC$3="予定"),日次管理!$R$4:$GC$34)</f>
        <v>25</v>
      </c>
      <c r="AC27" s="89">
        <f>SUMPRODUCT((日次管理!$R$1:$GC$1&lt;=$AC$20)*(日次管理!$K$4:$K$34=$A$27)*(日次管理!$R$2:$GC$2="精査完了")*(日次管理!$R$3:$GC$3="実績"),日次管理!$R$4:$GC$34)</f>
        <v>0</v>
      </c>
      <c r="AD27" s="140">
        <f>SUMPRODUCT((日次管理!$R$1:$GC$1&lt;=$AD$20)*(日次管理!$K$4:$K$34=$A$27)*(日次管理!$R$2:$GC$2="精査完了")*(日次管理!$R$3:$GC$3="予定"),日次管理!$R$4:$GC$34)</f>
        <v>25</v>
      </c>
      <c r="AE27" s="89">
        <f>SUMPRODUCT((日次管理!$R$1:$GC$1&lt;=$AE$20)*(日次管理!$K$4:$K$34=$A$27)*(日次管理!$R$2:$GC$2="精査完了")*(日次管理!$R$3:$GC$3="実績"),日次管理!$R$4:$GC$34)</f>
        <v>0</v>
      </c>
      <c r="AF27" s="140">
        <f>SUMPRODUCT((日次管理!$R$1:$GC$1&lt;=$AF$20)*(日次管理!$K$4:$K$34=$A$27)*(日次管理!$R$2:$GC$2="精査完了")*(日次管理!$R$3:$GC$3="予定"),日次管理!$R$4:$GC$34)</f>
        <v>25</v>
      </c>
      <c r="AG27" s="89">
        <f>SUMPRODUCT((日次管理!$R$1:$GC$1&lt;=$AG$20)*(日次管理!$K$4:$K$34=$A$27)*(日次管理!$R$2:$GC$2="精査完了")*(日次管理!$R$3:$GC$3="実績"),日次管理!$R$4:$GC$34)</f>
        <v>0</v>
      </c>
      <c r="AH27" s="140">
        <f>SUMPRODUCT((日次管理!$R$1:$GC$1&lt;=$AH$20)*(日次管理!$K$4:$K$34=$A$27)*(日次管理!$R$2:$GC$2="精査完了")*(日次管理!$R$3:$GC$3="予定"),日次管理!$R$4:$GC$34)</f>
        <v>25</v>
      </c>
      <c r="AI27" s="89">
        <f>SUMPRODUCT((日次管理!$R$1:$GC$1&lt;=$AI$20)*(日次管理!$K$4:$K$34=$A$27)*(日次管理!$R$2:$GC$2="精査完了")*(日次管理!$R$3:$GC$3="実績"),日次管理!$R$4:$GC$34)</f>
        <v>0</v>
      </c>
      <c r="AJ27" s="140">
        <f>SUMPRODUCT((日次管理!$R$1:$GC$1&lt;=$AJ$20)*(日次管理!$K$4:$K$34=$A$27)*(日次管理!$R$2:$GC$2="精査完了")*(日次管理!$R$3:$GC$3="予定"),日次管理!$R$4:$GC$34)</f>
        <v>25</v>
      </c>
      <c r="AK27" s="89">
        <f>SUMPRODUCT((日次管理!$R$1:$GC$1&lt;=$AK$20)*(日次管理!$K$4:$K$34=$A$27)*(日次管理!$R$2:$GC$2="精査完了")*(日次管理!$R$3:$GC$3="実績"),日次管理!$R$4:$GC$34)</f>
        <v>0</v>
      </c>
      <c r="AL27" s="140">
        <f>SUMPRODUCT((日次管理!$R$1:$GC$1&lt;=$AL$20)*(日次管理!$K$4:$K$34=$A$27)*(日次管理!$R$2:$GC$2="精査完了")*(日次管理!$R$3:$GC$3="予定"),日次管理!$R$4:$GC$34)</f>
        <v>83</v>
      </c>
      <c r="AM27" s="89">
        <f>SUMPRODUCT((日次管理!$R$1:$GC$1&lt;=$AM$20)*(日次管理!$K$4:$K$34=$A$27)*(日次管理!$R$2:$GC$2="精査完了")*(日次管理!$R$3:$GC$3="実績"),日次管理!$R$4:$GC$34)</f>
        <v>0</v>
      </c>
      <c r="AN27" s="140">
        <f>SUMPRODUCT((日次管理!$R$1:$GC$1&lt;=$AN$20)*(日次管理!$K$4:$K$34=$A$27)*(日次管理!$R$2:$GC$2="精査完了")*(日次管理!$R$3:$GC$3="予定"),日次管理!$R$4:$GC$34)</f>
        <v>83</v>
      </c>
      <c r="AO27" s="89">
        <f>SUMPRODUCT((日次管理!$R$1:$GC$1&lt;=$AO$20)*(日次管理!$K$4:$K$34=$A$27)*(日次管理!$R$2:$GC$2="精査完了")*(日次管理!$R$3:$GC$3="実績"),日次管理!$R$4:$GC$34)</f>
        <v>0</v>
      </c>
      <c r="AP27" s="140">
        <f>SUMPRODUCT((日次管理!$R$1:$GC$1&lt;=$AP$20)*(日次管理!$K$4:$K$34=$A$27)*(日次管理!$R$2:$GC$2="精査完了")*(日次管理!$R$3:$GC$3="予定"),日次管理!$R$4:$GC$34)</f>
        <v>83</v>
      </c>
      <c r="AQ27" s="89">
        <f>SUMPRODUCT((日次管理!$R$1:$GC$1&lt;=$AQ$20)*(日次管理!$K$4:$K$34=$A$27)*(日次管理!$R$2:$GC$2="精査完了")*(日次管理!$R$3:$GC$3="実績"),日次管理!$R$4:$GC$34)</f>
        <v>0</v>
      </c>
      <c r="AR27" s="140">
        <f>SUMPRODUCT((日次管理!$R$1:$GC$1&lt;=$AR$20)*(日次管理!$K$4:$K$34=$A$27)*(日次管理!$R$2:$GC$2="精査完了")*(日次管理!$R$3:$GC$3="予定"),日次管理!$R$4:$GC$34)</f>
        <v>83</v>
      </c>
      <c r="AS27" s="89">
        <f>SUMPRODUCT((日次管理!$R$1:$GC$1&lt;=$AS$20)*(日次管理!$K$4:$K$34=$A$27)*(日次管理!$R$2:$GC$2="精査完了")*(日次管理!$R$3:$GC$3="実績"),日次管理!$R$4:$GC$34)</f>
        <v>12</v>
      </c>
      <c r="AT27" s="140">
        <f>SUMPRODUCT((日次管理!$R$1:$GC$1&lt;=$AT$20)*(日次管理!$K$4:$K$34=$A$27)*(日次管理!$R$2:$GC$2="精査完了")*(日次管理!$R$3:$GC$3="予定"),日次管理!$R$4:$GC$34)</f>
        <v>83</v>
      </c>
      <c r="AU27" s="89">
        <f>SUMPRODUCT((日次管理!$R$1:$GC$1&lt;=$AU$20)*(日次管理!$K$4:$K$34=$A$27)*(日次管理!$R$2:$GC$2="精査完了")*(日次管理!$R$3:$GC$3="実績"),日次管理!$R$4:$GC$34)</f>
        <v>22</v>
      </c>
      <c r="AV27" s="140">
        <f>SUMPRODUCT((日次管理!$R$1:$GC$1&lt;=$AV$20)*(日次管理!$K$4:$K$34=$A$27)*(日次管理!$R$2:$GC$2="精査完了")*(日次管理!$R$3:$GC$3="予定"),日次管理!$R$4:$GC$34)</f>
        <v>83</v>
      </c>
      <c r="AW27" s="89">
        <f>SUMPRODUCT((日次管理!$R$1:$GC$1&lt;=$AW$20)*(日次管理!$K$4:$K$34=$A$27)*(日次管理!$R$2:$GC$2="精査完了")*(日次管理!$R$3:$GC$3="実績"),日次管理!$R$4:$GC$34)</f>
        <v>25</v>
      </c>
      <c r="AX27" s="140">
        <f>SUMPRODUCT((日次管理!$R$1:$GC$1&lt;=$AX$20)*(日次管理!$K$4:$K$34=$A$27)*(日次管理!$R$2:$GC$2="精査完了")*(日次管理!$R$3:$GC$3="予定"),日次管理!$R$4:$GC$34)</f>
        <v>83</v>
      </c>
      <c r="AY27" s="89">
        <f>SUMPRODUCT((日次管理!$R$1:$GC$1&lt;=$AY$20)*(日次管理!$K$4:$K$34=$A$27)*(日次管理!$R$2:$GC$2="精査完了")*(日次管理!$R$3:$GC$3="実績"),日次管理!$R$4:$GC$34)</f>
        <v>25</v>
      </c>
      <c r="AZ27" s="140">
        <f>SUMPRODUCT((日次管理!$R$1:$GC$1&lt;=$AZ$20)*(日次管理!$K$4:$K$34=$A$27)*(日次管理!$R$2:$GC$2="精査完了")*(日次管理!$R$3:$GC$3="予定"),日次管理!$R$4:$GC$34)</f>
        <v>83</v>
      </c>
      <c r="BA27" s="89">
        <f>SUMPRODUCT((日次管理!$R$1:$GC$1&lt;=$BA$20)*(日次管理!$K$4:$K$34=$A$27)*(日次管理!$R$2:$GC$2="精査完了")*(日次管理!$R$3:$GC$3="実績"),日次管理!$R$4:$GC$34)</f>
        <v>25</v>
      </c>
      <c r="BB27" s="140">
        <f>SUMPRODUCT((日次管理!$R$1:$GC$1&lt;=$BB$20)*(日次管理!$K$4:$K$34=$A$27)*(日次管理!$R$2:$GC$2="精査完了")*(日次管理!$R$3:$GC$3="予定"),日次管理!$R$4:$GC$34)</f>
        <v>83</v>
      </c>
      <c r="BC27" s="89">
        <f>SUMPRODUCT((日次管理!$R$1:$GC$1&lt;=$BC$20)*(日次管理!$K$4:$K$34=$A$27)*(日次管理!$R$2:$GC$2="精査完了")*(日次管理!$R$3:$GC$3="実績"),日次管理!$R$4:$GC$34)</f>
        <v>25</v>
      </c>
      <c r="BD27" s="140">
        <f>SUMPRODUCT((日次管理!$R$1:$GC$1&lt;=$BD$20)*(日次管理!$K$4:$K$34=$A$27)*(日次管理!$R$2:$GC$2="精査完了")*(日次管理!$R$3:$GC$3="予定"),日次管理!$R$4:$GC$34)</f>
        <v>83</v>
      </c>
      <c r="BE27" s="89">
        <f>SUMPRODUCT((日次管理!$R$1:$GC$1&lt;=$BE$20)*(日次管理!$K$4:$K$34=$A$27)*(日次管理!$R$2:$GC$2="精査完了")*(日次管理!$R$3:$GC$3="実績"),日次管理!$R$4:$GC$34)</f>
        <v>25</v>
      </c>
      <c r="BF27" s="140">
        <f>SUMPRODUCT((日次管理!$R$1:$GC$1&lt;=$BF$20)*(日次管理!$K$4:$K$34=$A$27)*(日次管理!$R$2:$GC$2="精査完了")*(日次管理!$R$3:$GC$3="予定"),日次管理!$R$4:$GC$34)</f>
        <v>83</v>
      </c>
      <c r="BG27" s="89">
        <f>SUMPRODUCT((日次管理!$R$1:$GC$1&lt;=$BG$20)*(日次管理!$K$4:$K$34=$A$27)*(日次管理!$R$2:$GC$2="精査完了")*(日次管理!$R$3:$GC$3="実績"),日次管理!$R$4:$GC$34)</f>
        <v>25</v>
      </c>
      <c r="BH27" s="140">
        <f>SUMPRODUCT((日次管理!$R$1:$GC$1&lt;=$BH$20)*(日次管理!$K$4:$K$34=$A$27)*(日次管理!$R$2:$GC$2="精査完了")*(日次管理!$R$3:$GC$3="予定"),日次管理!$R$4:$GC$34)</f>
        <v>83</v>
      </c>
      <c r="BI27" s="89">
        <f>SUMPRODUCT((日次管理!$R$1:$GC$1&lt;=$BI$20)*(日次管理!$K$4:$K$34=$A$27)*(日次管理!$R$2:$GC$2="精査完了")*(日次管理!$R$3:$GC$3="実績"),日次管理!$R$4:$GC$34)</f>
        <v>25</v>
      </c>
      <c r="BJ27" s="140">
        <f>SUMPRODUCT((日次管理!$R$1:$GC$1&lt;=$BJ$20)*(日次管理!$K$4:$K$34=$A$27)*(日次管理!$R$2:$GC$2="精査完了")*(日次管理!$R$3:$GC$3="予定"),日次管理!$R$4:$GC$34)</f>
        <v>83</v>
      </c>
      <c r="BK27" s="89">
        <f>SUMPRODUCT((日次管理!$R$1:$GC$1&lt;=$BK$20)*(日次管理!$K$4:$K$34=$A$27)*(日次管理!$R$2:$GC$2="精査完了")*(日次管理!$R$3:$GC$3="実績"),日次管理!$R$4:$GC$34)</f>
        <v>25</v>
      </c>
      <c r="BL27" s="140">
        <f>SUMPRODUCT((日次管理!$R$1:$GC$1&lt;=$BL$20)*(日次管理!$K$4:$K$34=$A$27)*(日次管理!$R$2:$GC$2="精査完了")*(日次管理!$R$3:$GC$3="予定"),日次管理!$R$4:$GC$34)</f>
        <v>84</v>
      </c>
      <c r="BM27" s="89">
        <f>SUMPRODUCT((日次管理!$R$1:$GC$1&lt;=$BM$20)*(日次管理!$K$4:$K$34=$A$27)*(日次管理!$R$2:$GC$2="精査完了")*(日次管理!$R$3:$GC$3="実績"),日次管理!$R$4:$GC$34)</f>
        <v>25</v>
      </c>
      <c r="BN27" s="140">
        <f>SUMPRODUCT((日次管理!$R$1:$GC$1&lt;=$BN$20)*(日次管理!$K$4:$K$34=$A$27)*(日次管理!$R$2:$GC$2="精査完了")*(日次管理!$R$3:$GC$3="予定"),日次管理!$R$4:$GC$34)</f>
        <v>85</v>
      </c>
      <c r="BO27" s="89">
        <f>SUMPRODUCT((日次管理!$R$1:$GC$1&lt;=$BO$20)*(日次管理!$K$4:$K$34=$A$27)*(日次管理!$R$2:$GC$2="精査完了")*(日次管理!$R$3:$GC$3="実績"),日次管理!$R$4:$GC$34)</f>
        <v>25</v>
      </c>
      <c r="BP27" s="140">
        <f>SUMPRODUCT((日次管理!$R$1:$GC$1&lt;=$BP$20)*(日次管理!$K$4:$K$34=$A$27)*(日次管理!$R$2:$GC$2="精査完了")*(日次管理!$R$3:$GC$3="予定"),日次管理!$R$4:$GC$34)</f>
        <v>85</v>
      </c>
      <c r="BQ27" s="89">
        <f>SUMPRODUCT((日次管理!$R$1:$GC$1&lt;=$BQ$20)*(日次管理!$K$4:$K$34=$A$27)*(日次管理!$R$2:$GC$2="精査完了")*(日次管理!$R$3:$GC$3="実績"),日次管理!$R$4:$GC$34)</f>
        <v>25</v>
      </c>
      <c r="BR27" s="140">
        <f>SUMPRODUCT((日次管理!$R$1:$GC$1&lt;=$BR$20)*(日次管理!$K$4:$K$34=$A$27)*(日次管理!$R$2:$GC$2="精査完了")*(日次管理!$R$3:$GC$3="予定"),日次管理!$R$4:$GC$34)</f>
        <v>85</v>
      </c>
      <c r="BS27" s="89">
        <f>SUMPRODUCT((日次管理!$R$1:$GC$1&lt;=$BS$20)*(日次管理!$K$4:$K$34=$A$27)*(日次管理!$R$2:$GC$2="精査完了")*(日次管理!$R$3:$GC$3="実績"),日次管理!$R$4:$GC$34)</f>
        <v>25</v>
      </c>
      <c r="BT27" s="140">
        <f>SUMPRODUCT((日次管理!$R$1:$GC$1&lt;=$BT$20)*(日次管理!$K$4:$K$34=$A$27)*(日次管理!$R$2:$GC$2="精査完了")*(日次管理!$R$3:$GC$3="予定"),日次管理!$R$4:$GC$34)</f>
        <v>87</v>
      </c>
      <c r="BU27" s="89">
        <f>SUMPRODUCT((日次管理!$R$1:$GC$1&lt;=$BU$20)*(日次管理!$K$4:$K$34=$A$27)*(日次管理!$R$2:$GC$2="精査完了")*(日次管理!$R$3:$GC$3="実績"),日次管理!$R$4:$GC$34)</f>
        <v>25</v>
      </c>
      <c r="BV27" s="140">
        <f>SUMPRODUCT((日次管理!$R$1:$GC$1&lt;=$BV$20)*(日次管理!$K$4:$K$34=$A$27)*(日次管理!$R$2:$GC$2="精査完了")*(日次管理!$R$3:$GC$3="予定"),日次管理!$R$4:$GC$34)</f>
        <v>88</v>
      </c>
      <c r="BW27" s="89">
        <f>SUMPRODUCT((日次管理!$R$1:$GC$1&lt;=$BW$20)*(日次管理!$K$4:$K$34=$A$27)*(日次管理!$R$2:$GC$2="精査完了")*(日次管理!$R$3:$GC$3="実績"),日次管理!$R$4:$GC$34)</f>
        <v>25</v>
      </c>
      <c r="BX27" s="140">
        <f>SUMPRODUCT((日次管理!$R$1:$GC$1&lt;=$BX$20)*(日次管理!$K$4:$K$34=$A$27)*(日次管理!$R$2:$GC$2="精査完了")*(日次管理!$R$3:$GC$3="予定"),日次管理!$R$4:$GC$34)</f>
        <v>89</v>
      </c>
      <c r="BY27" s="89">
        <f>SUMPRODUCT((日次管理!$R$1:$GC$1&lt;=$BY$20)*(日次管理!$K$4:$K$34=$A$27)*(日次管理!$R$2:$GC$2="精査完了")*(日次管理!$R$3:$GC$3="実績"),日次管理!$R$4:$GC$34)</f>
        <v>25</v>
      </c>
      <c r="BZ27" s="140">
        <f>SUMPRODUCT((日次管理!$R$1:$GC$1&lt;=$BZ$20)*(日次管理!$K$4:$K$34=$A$27)*(日次管理!$R$2:$GC$2="精査完了")*(日次管理!$R$3:$GC$3="予定"),日次管理!$R$4:$GC$34)</f>
        <v>91</v>
      </c>
      <c r="CA27" s="89">
        <f>SUMPRODUCT((日次管理!$R$1:$GC$1&lt;=$CA$20)*(日次管理!$K$4:$K$34=$A$27)*(日次管理!$R$2:$GC$2="精査完了")*(日次管理!$R$3:$GC$3="実績"),日次管理!$R$4:$GC$34)</f>
        <v>25</v>
      </c>
      <c r="CB27" s="140">
        <f>SUMPRODUCT((日次管理!$R$1:$GC$1&lt;=$CB$20)*(日次管理!$K$4:$K$34=$A$27)*(日次管理!$R$2:$GC$2="精査完了")*(日次管理!$R$3:$GC$3="予定"),日次管理!$R$4:$GC$34)</f>
        <v>92</v>
      </c>
      <c r="CC27" s="89">
        <f>SUMPRODUCT((日次管理!$R$1:$GC$1&lt;=$CC$20)*(日次管理!$K$4:$K$34=$A$27)*(日次管理!$R$2:$GC$2="精査完了")*(日次管理!$R$3:$GC$3="実績"),日次管理!$R$4:$GC$34)</f>
        <v>25</v>
      </c>
      <c r="CD27" s="140">
        <f>SUMPRODUCT((日次管理!$R$1:$GC$1&lt;=$CD$20)*(日次管理!$K$4:$K$34=$A$27)*(日次管理!$R$2:$GC$2="精査完了")*(日次管理!$R$3:$GC$3="予定"),日次管理!$R$4:$GC$34)</f>
        <v>93</v>
      </c>
      <c r="CE27" s="89">
        <f>SUMPRODUCT((日次管理!$R$1:$GC$1&lt;=$CE$20)*(日次管理!$K$4:$K$34=$A$27)*(日次管理!$R$2:$GC$2="精査完了")*(日次管理!$R$3:$GC$3="実績"),日次管理!$R$4:$GC$34)</f>
        <v>25</v>
      </c>
      <c r="CF27" s="140">
        <f>SUMPRODUCT((日次管理!$R$1:$GC$1&lt;=$CF$20)*(日次管理!$K$4:$K$34=$A$27)*(日次管理!$R$2:$GC$2="精査完了")*(日次管理!$R$3:$GC$3="予定"),日次管理!$R$4:$GC$34)</f>
        <v>93</v>
      </c>
      <c r="CG27" s="89">
        <f>SUMPRODUCT((日次管理!$R$1:$GC$1&lt;=$CG$20)*(日次管理!$K$4:$K$34=$A$27)*(日次管理!$R$2:$GC$2="精査完了")*(日次管理!$R$3:$GC$3="実績"),日次管理!$R$4:$GC$34)</f>
        <v>25</v>
      </c>
      <c r="CH27" s="141">
        <f ca="1">SUMPRODUCT(($A$20- WEEKDAY($A$20) + 6 =$B$20:$CG$20)*("実績"=$B$21:$CG$21),$B$27:$CG$27)/SUMPRODUCT(($A$20- WEEKDAY($A$20) + 6 =$B$20:$CG$20)*("予定"=$B$21:$CG$21),$B$27:$CG$27)</f>
        <v>0.30120481927710846</v>
      </c>
      <c r="CI27" s="142">
        <f>$CG$27/$CF$27</f>
        <v>0.26881720430107525</v>
      </c>
    </row>
    <row r="28" spans="1:87" ht="20.100000000000001" customHeight="1">
      <c r="A28" s="143" t="s">
        <v>119</v>
      </c>
      <c r="B28" s="144">
        <f>SUMPRODUCT((日次管理!$R$1:$GC$1&lt;=$B$20)*(日次管理!$K$4:$K$34=$A$28)*(日次管理!$R$2:$GC$2="精査完了")*(日次管理!$R$3:$GC$3="予定"),日次管理!$R$4:$GC$34)</f>
        <v>0</v>
      </c>
      <c r="C28" s="90">
        <f>SUMPRODUCT((日次管理!$R$1:$GC$1&lt;=$C$20)*(日次管理!$K$4:$K$34=$A$28)*(日次管理!$R$2:$GC$2="精査完了")*(日次管理!$R$3:$GC$3="実績"),日次管理!$R$4:$GC$34)</f>
        <v>0</v>
      </c>
      <c r="D28" s="144">
        <f>SUMPRODUCT((日次管理!$R$1:$GC$1&lt;=$D$20)*(日次管理!$K$4:$K$34=$A$28)*(日次管理!$R$2:$GC$2="精査完了")*(日次管理!$R$3:$GC$3="予定"),日次管理!$R$4:$GC$34)</f>
        <v>0</v>
      </c>
      <c r="E28" s="90">
        <f>SUMPRODUCT((日次管理!$R$1:$GC$1&lt;=$E$20)*(日次管理!$K$4:$K$34=$A$28)*(日次管理!$R$2:$GC$2="精査完了")*(日次管理!$R$3:$GC$3="実績"),日次管理!$R$4:$GC$34)</f>
        <v>0</v>
      </c>
      <c r="F28" s="144">
        <f>SUMPRODUCT((日次管理!$R$1:$GC$1&lt;=$F$20)*(日次管理!$K$4:$K$34=$A$28)*(日次管理!$R$2:$GC$2="精査完了")*(日次管理!$R$3:$GC$3="予定"),日次管理!$R$4:$GC$34)</f>
        <v>0</v>
      </c>
      <c r="G28" s="90">
        <f>SUMPRODUCT((日次管理!$R$1:$GC$1&lt;=$G$20)*(日次管理!$K$4:$K$34=$A$28)*(日次管理!$R$2:$GC$2="精査完了")*(日次管理!$R$3:$GC$3="実績"),日次管理!$R$4:$GC$34)</f>
        <v>0</v>
      </c>
      <c r="H28" s="144">
        <f>SUMPRODUCT((日次管理!$R$1:$GC$1&lt;=$H$20)*(日次管理!$K$4:$K$34=$A$28)*(日次管理!$R$2:$GC$2="精査完了")*(日次管理!$R$3:$GC$3="予定"),日次管理!$R$4:$GC$34)</f>
        <v>0</v>
      </c>
      <c r="I28" s="90">
        <f>SUMPRODUCT((日次管理!$R$1:$GC$1&lt;=$I$20)*(日次管理!$K$4:$K$34=$A$28)*(日次管理!$R$2:$GC$2="精査完了")*(日次管理!$R$3:$GC$3="実績"),日次管理!$R$4:$GC$34)</f>
        <v>0</v>
      </c>
      <c r="J28" s="144">
        <f>SUMPRODUCT((日次管理!$R$1:$GC$1&lt;=$J$20)*(日次管理!$K$4:$K$34=$A$28)*(日次管理!$R$2:$GC$2="精査完了")*(日次管理!$R$3:$GC$3="予定"),日次管理!$R$4:$GC$34)</f>
        <v>0</v>
      </c>
      <c r="K28" s="90">
        <f>SUMPRODUCT((日次管理!$R$1:$GC$1&lt;=$K$20)*(日次管理!$K$4:$K$34=$A$28)*(日次管理!$R$2:$GC$2="精査完了")*(日次管理!$R$3:$GC$3="実績"),日次管理!$R$4:$GC$34)</f>
        <v>0</v>
      </c>
      <c r="L28" s="144">
        <f>SUMPRODUCT((日次管理!$R$1:$GC$1&lt;=$L$20)*(日次管理!$K$4:$K$34=$A$28)*(日次管理!$R$2:$GC$2="精査完了")*(日次管理!$R$3:$GC$3="予定"),日次管理!$R$4:$GC$34)</f>
        <v>0</v>
      </c>
      <c r="M28" s="90">
        <f>SUMPRODUCT((日次管理!$R$1:$GC$1&lt;=$M$20)*(日次管理!$K$4:$K$34=$A$28)*(日次管理!$R$2:$GC$2="精査完了")*(日次管理!$R$3:$GC$3="実績"),日次管理!$R$4:$GC$34)</f>
        <v>0</v>
      </c>
      <c r="N28" s="144">
        <f>SUMPRODUCT((日次管理!$R$1:$GC$1&lt;=$N$20)*(日次管理!$K$4:$K$34=$A$28)*(日次管理!$R$2:$GC$2="精査完了")*(日次管理!$R$3:$GC$3="予定"),日次管理!$R$4:$GC$34)</f>
        <v>0</v>
      </c>
      <c r="O28" s="90">
        <f>SUMPRODUCT((日次管理!$R$1:$GC$1&lt;=$O$20)*(日次管理!$K$4:$K$34=$A$28)*(日次管理!$R$2:$GC$2="精査完了")*(日次管理!$R$3:$GC$3="実績"),日次管理!$R$4:$GC$34)</f>
        <v>0</v>
      </c>
      <c r="P28" s="144">
        <f>SUMPRODUCT((日次管理!$R$1:$GC$1&lt;=$P$20)*(日次管理!$K$4:$K$34=$A$28)*(日次管理!$R$2:$GC$2="精査完了")*(日次管理!$R$3:$GC$3="予定"),日次管理!$R$4:$GC$34)</f>
        <v>0</v>
      </c>
      <c r="Q28" s="90">
        <f>SUMPRODUCT((日次管理!$R$1:$GC$1&lt;=$Q$20)*(日次管理!$K$4:$K$34=$A$28)*(日次管理!$R$2:$GC$2="精査完了")*(日次管理!$R$3:$GC$3="実績"),日次管理!$R$4:$GC$34)</f>
        <v>0</v>
      </c>
      <c r="R28" s="144">
        <f>SUMPRODUCT((日次管理!$R$1:$GC$1&lt;=$R$20)*(日次管理!$K$4:$K$34=$A$28)*(日次管理!$R$2:$GC$2="精査完了")*(日次管理!$R$3:$GC$3="予定"),日次管理!$R$4:$GC$34)</f>
        <v>0</v>
      </c>
      <c r="S28" s="90">
        <f>SUMPRODUCT((日次管理!$R$1:$GC$1&lt;=$S$20)*(日次管理!$K$4:$K$34=$A$28)*(日次管理!$R$2:$GC$2="精査完了")*(日次管理!$R$3:$GC$3="実績"),日次管理!$R$4:$GC$34)</f>
        <v>0</v>
      </c>
      <c r="T28" s="144">
        <f>SUMPRODUCT((日次管理!$R$1:$GC$1&lt;=$T$20)*(日次管理!$K$4:$K$34=$A$28)*(日次管理!$R$2:$GC$2="精査完了")*(日次管理!$R$3:$GC$3="予定"),日次管理!$R$4:$GC$34)</f>
        <v>0</v>
      </c>
      <c r="U28" s="90">
        <f>SUMPRODUCT((日次管理!$R$1:$GC$1&lt;=$U$20)*(日次管理!$K$4:$K$34=$A$28)*(日次管理!$R$2:$GC$2="精査完了")*(日次管理!$R$3:$GC$3="実績"),日次管理!$R$4:$GC$34)</f>
        <v>0</v>
      </c>
      <c r="V28" s="144">
        <f>SUMPRODUCT((日次管理!$R$1:$GC$1&lt;=$V$20)*(日次管理!$K$4:$K$34=$A$28)*(日次管理!$R$2:$GC$2="精査完了")*(日次管理!$R$3:$GC$3="予定"),日次管理!$R$4:$GC$34)</f>
        <v>0</v>
      </c>
      <c r="W28" s="90">
        <f>SUMPRODUCT((日次管理!$R$1:$GC$1&lt;=$W$20)*(日次管理!$K$4:$K$34=$A$28)*(日次管理!$R$2:$GC$2="精査完了")*(日次管理!$R$3:$GC$3="実績"),日次管理!$R$4:$GC$34)</f>
        <v>0</v>
      </c>
      <c r="X28" s="144">
        <f>SUMPRODUCT((日次管理!$R$1:$GC$1&lt;=$X$20)*(日次管理!$K$4:$K$34=$A$28)*(日次管理!$R$2:$GC$2="精査完了")*(日次管理!$R$3:$GC$3="予定"),日次管理!$R$4:$GC$34)</f>
        <v>0</v>
      </c>
      <c r="Y28" s="90">
        <f>SUMPRODUCT((日次管理!$R$1:$GC$1&lt;=$Y$20)*(日次管理!$K$4:$K$34=$A$28)*(日次管理!$R$2:$GC$2="精査完了")*(日次管理!$R$3:$GC$3="実績"),日次管理!$R$4:$GC$34)</f>
        <v>0</v>
      </c>
      <c r="Z28" s="144">
        <f>SUMPRODUCT((日次管理!$R$1:$GC$1&lt;=$Z$20)*(日次管理!$K$4:$K$34=$A$28)*(日次管理!$R$2:$GC$2="精査完了")*(日次管理!$R$3:$GC$3="予定"),日次管理!$R$4:$GC$34)</f>
        <v>0</v>
      </c>
      <c r="AA28" s="90">
        <f>SUMPRODUCT((日次管理!$R$1:$GC$1&lt;=$AA$20)*(日次管理!$K$4:$K$34=$A$28)*(日次管理!$R$2:$GC$2="精査完了")*(日次管理!$R$3:$GC$3="実績"),日次管理!$R$4:$GC$34)</f>
        <v>0</v>
      </c>
      <c r="AB28" s="144">
        <f>SUMPRODUCT((日次管理!$R$1:$GC$1&lt;=$AB$20)*(日次管理!$K$4:$K$34=$A$28)*(日次管理!$R$2:$GC$2="精査完了")*(日次管理!$R$3:$GC$3="予定"),日次管理!$R$4:$GC$34)</f>
        <v>0</v>
      </c>
      <c r="AC28" s="90">
        <f>SUMPRODUCT((日次管理!$R$1:$GC$1&lt;=$AC$20)*(日次管理!$K$4:$K$34=$A$28)*(日次管理!$R$2:$GC$2="精査完了")*(日次管理!$R$3:$GC$3="実績"),日次管理!$R$4:$GC$34)</f>
        <v>0</v>
      </c>
      <c r="AD28" s="144">
        <f>SUMPRODUCT((日次管理!$R$1:$GC$1&lt;=$AD$20)*(日次管理!$K$4:$K$34=$A$28)*(日次管理!$R$2:$GC$2="精査完了")*(日次管理!$R$3:$GC$3="予定"),日次管理!$R$4:$GC$34)</f>
        <v>0</v>
      </c>
      <c r="AE28" s="90">
        <f>SUMPRODUCT((日次管理!$R$1:$GC$1&lt;=$AE$20)*(日次管理!$K$4:$K$34=$A$28)*(日次管理!$R$2:$GC$2="精査完了")*(日次管理!$R$3:$GC$3="実績"),日次管理!$R$4:$GC$34)</f>
        <v>0</v>
      </c>
      <c r="AF28" s="144">
        <f>SUMPRODUCT((日次管理!$R$1:$GC$1&lt;=$AF$20)*(日次管理!$K$4:$K$34=$A$28)*(日次管理!$R$2:$GC$2="精査完了")*(日次管理!$R$3:$GC$3="予定"),日次管理!$R$4:$GC$34)</f>
        <v>0</v>
      </c>
      <c r="AG28" s="90">
        <f>SUMPRODUCT((日次管理!$R$1:$GC$1&lt;=$AG$20)*(日次管理!$K$4:$K$34=$A$28)*(日次管理!$R$2:$GC$2="精査完了")*(日次管理!$R$3:$GC$3="実績"),日次管理!$R$4:$GC$34)</f>
        <v>0</v>
      </c>
      <c r="AH28" s="144">
        <f>SUMPRODUCT((日次管理!$R$1:$GC$1&lt;=$AH$20)*(日次管理!$K$4:$K$34=$A$28)*(日次管理!$R$2:$GC$2="精査完了")*(日次管理!$R$3:$GC$3="予定"),日次管理!$R$4:$GC$34)</f>
        <v>0</v>
      </c>
      <c r="AI28" s="90">
        <f>SUMPRODUCT((日次管理!$R$1:$GC$1&lt;=$AI$20)*(日次管理!$K$4:$K$34=$A$28)*(日次管理!$R$2:$GC$2="精査完了")*(日次管理!$R$3:$GC$3="実績"),日次管理!$R$4:$GC$34)</f>
        <v>0</v>
      </c>
      <c r="AJ28" s="144">
        <f>SUMPRODUCT((日次管理!$R$1:$GC$1&lt;=$AJ$20)*(日次管理!$K$4:$K$34=$A$28)*(日次管理!$R$2:$GC$2="精査完了")*(日次管理!$R$3:$GC$3="予定"),日次管理!$R$4:$GC$34)</f>
        <v>0</v>
      </c>
      <c r="AK28" s="90">
        <f>SUMPRODUCT((日次管理!$R$1:$GC$1&lt;=$AK$20)*(日次管理!$K$4:$K$34=$A$28)*(日次管理!$R$2:$GC$2="精査完了")*(日次管理!$R$3:$GC$3="実績"),日次管理!$R$4:$GC$34)</f>
        <v>0</v>
      </c>
      <c r="AL28" s="144">
        <f>SUMPRODUCT((日次管理!$R$1:$GC$1&lt;=$AL$20)*(日次管理!$K$4:$K$34=$A$28)*(日次管理!$R$2:$GC$2="精査完了")*(日次管理!$R$3:$GC$3="予定"),日次管理!$R$4:$GC$34)</f>
        <v>0</v>
      </c>
      <c r="AM28" s="90">
        <f>SUMPRODUCT((日次管理!$R$1:$GC$1&lt;=$AM$20)*(日次管理!$K$4:$K$34=$A$28)*(日次管理!$R$2:$GC$2="精査完了")*(日次管理!$R$3:$GC$3="実績"),日次管理!$R$4:$GC$34)</f>
        <v>0</v>
      </c>
      <c r="AN28" s="144">
        <f>SUMPRODUCT((日次管理!$R$1:$GC$1&lt;=$AN$20)*(日次管理!$K$4:$K$34=$A$28)*(日次管理!$R$2:$GC$2="精査完了")*(日次管理!$R$3:$GC$3="予定"),日次管理!$R$4:$GC$34)</f>
        <v>0</v>
      </c>
      <c r="AO28" s="90">
        <f>SUMPRODUCT((日次管理!$R$1:$GC$1&lt;=$AO$20)*(日次管理!$K$4:$K$34=$A$28)*(日次管理!$R$2:$GC$2="精査完了")*(日次管理!$R$3:$GC$3="実績"),日次管理!$R$4:$GC$34)</f>
        <v>0</v>
      </c>
      <c r="AP28" s="144">
        <f>SUMPRODUCT((日次管理!$R$1:$GC$1&lt;=$AP$20)*(日次管理!$K$4:$K$34=$A$28)*(日次管理!$R$2:$GC$2="精査完了")*(日次管理!$R$3:$GC$3="予定"),日次管理!$R$4:$GC$34)</f>
        <v>0</v>
      </c>
      <c r="AQ28" s="90">
        <f>SUMPRODUCT((日次管理!$R$1:$GC$1&lt;=$AQ$20)*(日次管理!$K$4:$K$34=$A$28)*(日次管理!$R$2:$GC$2="精査完了")*(日次管理!$R$3:$GC$3="実績"),日次管理!$R$4:$GC$34)</f>
        <v>0</v>
      </c>
      <c r="AR28" s="144">
        <f>SUMPRODUCT((日次管理!$R$1:$GC$1&lt;=$AR$20)*(日次管理!$K$4:$K$34=$A$28)*(日次管理!$R$2:$GC$2="精査完了")*(日次管理!$R$3:$GC$3="予定"),日次管理!$R$4:$GC$34)</f>
        <v>2</v>
      </c>
      <c r="AS28" s="90">
        <f>SUMPRODUCT((日次管理!$R$1:$GC$1&lt;=$AS$20)*(日次管理!$K$4:$K$34=$A$28)*(日次管理!$R$2:$GC$2="精査完了")*(日次管理!$R$3:$GC$3="実績"),日次管理!$R$4:$GC$34)</f>
        <v>0</v>
      </c>
      <c r="AT28" s="144">
        <f>SUMPRODUCT((日次管理!$R$1:$GC$1&lt;=$AT$20)*(日次管理!$K$4:$K$34=$A$28)*(日次管理!$R$2:$GC$2="精査完了")*(日次管理!$R$3:$GC$3="予定"),日次管理!$R$4:$GC$34)</f>
        <v>4</v>
      </c>
      <c r="AU28" s="90">
        <f>SUMPRODUCT((日次管理!$R$1:$GC$1&lt;=$AU$20)*(日次管理!$K$4:$K$34=$A$28)*(日次管理!$R$2:$GC$2="精査完了")*(日次管理!$R$3:$GC$3="実績"),日次管理!$R$4:$GC$34)</f>
        <v>0</v>
      </c>
      <c r="AV28" s="144">
        <f>SUMPRODUCT((日次管理!$R$1:$GC$1&lt;=$AV$20)*(日次管理!$K$4:$K$34=$A$28)*(日次管理!$R$2:$GC$2="精査完了")*(日次管理!$R$3:$GC$3="予定"),日次管理!$R$4:$GC$34)</f>
        <v>6</v>
      </c>
      <c r="AW28" s="90">
        <f>SUMPRODUCT((日次管理!$R$1:$GC$1&lt;=$AW$20)*(日次管理!$K$4:$K$34=$A$28)*(日次管理!$R$2:$GC$2="精査完了")*(日次管理!$R$3:$GC$3="実績"),日次管理!$R$4:$GC$34)</f>
        <v>0</v>
      </c>
      <c r="AX28" s="144">
        <f>SUMPRODUCT((日次管理!$R$1:$GC$1&lt;=$AX$20)*(日次管理!$K$4:$K$34=$A$28)*(日次管理!$R$2:$GC$2="精査完了")*(日次管理!$R$3:$GC$3="予定"),日次管理!$R$4:$GC$34)</f>
        <v>8</v>
      </c>
      <c r="AY28" s="90">
        <f>SUMPRODUCT((日次管理!$R$1:$GC$1&lt;=$AY$20)*(日次管理!$K$4:$K$34=$A$28)*(日次管理!$R$2:$GC$2="精査完了")*(日次管理!$R$3:$GC$3="実績"),日次管理!$R$4:$GC$34)</f>
        <v>0</v>
      </c>
      <c r="AZ28" s="144">
        <f>SUMPRODUCT((日次管理!$R$1:$GC$1&lt;=$AZ$20)*(日次管理!$K$4:$K$34=$A$28)*(日次管理!$R$2:$GC$2="精査完了")*(日次管理!$R$3:$GC$3="予定"),日次管理!$R$4:$GC$34)</f>
        <v>86</v>
      </c>
      <c r="BA28" s="90">
        <f>SUMPRODUCT((日次管理!$R$1:$GC$1&lt;=$BA$20)*(日次管理!$K$4:$K$34=$A$28)*(日次管理!$R$2:$GC$2="精査完了")*(日次管理!$R$3:$GC$3="実績"),日次管理!$R$4:$GC$34)</f>
        <v>10</v>
      </c>
      <c r="BB28" s="144">
        <f>SUMPRODUCT((日次管理!$R$1:$GC$1&lt;=$BB$20)*(日次管理!$K$4:$K$34=$A$28)*(日次管理!$R$2:$GC$2="精査完了")*(日次管理!$R$3:$GC$3="予定"),日次管理!$R$4:$GC$34)</f>
        <v>86</v>
      </c>
      <c r="BC28" s="90">
        <f>SUMPRODUCT((日次管理!$R$1:$GC$1&lt;=$BC$20)*(日次管理!$K$4:$K$34=$A$28)*(日次管理!$R$2:$GC$2="精査完了")*(日次管理!$R$3:$GC$3="実績"),日次管理!$R$4:$GC$34)</f>
        <v>10</v>
      </c>
      <c r="BD28" s="144">
        <f>SUMPRODUCT((日次管理!$R$1:$GC$1&lt;=$BD$20)*(日次管理!$K$4:$K$34=$A$28)*(日次管理!$R$2:$GC$2="精査完了")*(日次管理!$R$3:$GC$3="予定"),日次管理!$R$4:$GC$34)</f>
        <v>86</v>
      </c>
      <c r="BE28" s="90">
        <f>SUMPRODUCT((日次管理!$R$1:$GC$1&lt;=$BE$20)*(日次管理!$K$4:$K$34=$A$28)*(日次管理!$R$2:$GC$2="精査完了")*(日次管理!$R$3:$GC$3="実績"),日次管理!$R$4:$GC$34)</f>
        <v>10</v>
      </c>
      <c r="BF28" s="144">
        <f>SUMPRODUCT((日次管理!$R$1:$GC$1&lt;=$BF$20)*(日次管理!$K$4:$K$34=$A$28)*(日次管理!$R$2:$GC$2="精査完了")*(日次管理!$R$3:$GC$3="予定"),日次管理!$R$4:$GC$34)</f>
        <v>86</v>
      </c>
      <c r="BG28" s="90">
        <f>SUMPRODUCT((日次管理!$R$1:$GC$1&lt;=$BG$20)*(日次管理!$K$4:$K$34=$A$28)*(日次管理!$R$2:$GC$2="精査完了")*(日次管理!$R$3:$GC$3="実績"),日次管理!$R$4:$GC$34)</f>
        <v>10</v>
      </c>
      <c r="BH28" s="144">
        <f>SUMPRODUCT((日次管理!$R$1:$GC$1&lt;=$BH$20)*(日次管理!$K$4:$K$34=$A$28)*(日次管理!$R$2:$GC$2="精査完了")*(日次管理!$R$3:$GC$3="予定"),日次管理!$R$4:$GC$34)</f>
        <v>86</v>
      </c>
      <c r="BI28" s="90">
        <f>SUMPRODUCT((日次管理!$R$1:$GC$1&lt;=$BI$20)*(日次管理!$K$4:$K$34=$A$28)*(日次管理!$R$2:$GC$2="精査完了")*(日次管理!$R$3:$GC$3="実績"),日次管理!$R$4:$GC$34)</f>
        <v>10</v>
      </c>
      <c r="BJ28" s="144">
        <f>SUMPRODUCT((日次管理!$R$1:$GC$1&lt;=$BJ$20)*(日次管理!$K$4:$K$34=$A$28)*(日次管理!$R$2:$GC$2="精査完了")*(日次管理!$R$3:$GC$3="予定"),日次管理!$R$4:$GC$34)</f>
        <v>86</v>
      </c>
      <c r="BK28" s="90">
        <f>SUMPRODUCT((日次管理!$R$1:$GC$1&lt;=$BK$20)*(日次管理!$K$4:$K$34=$A$28)*(日次管理!$R$2:$GC$2="精査完了")*(日次管理!$R$3:$GC$3="実績"),日次管理!$R$4:$GC$34)</f>
        <v>10</v>
      </c>
      <c r="BL28" s="144">
        <f>SUMPRODUCT((日次管理!$R$1:$GC$1&lt;=$BL$20)*(日次管理!$K$4:$K$34=$A$28)*(日次管理!$R$2:$GC$2="精査完了")*(日次管理!$R$3:$GC$3="予定"),日次管理!$R$4:$GC$34)</f>
        <v>86</v>
      </c>
      <c r="BM28" s="90">
        <f>SUMPRODUCT((日次管理!$R$1:$GC$1&lt;=$BM$20)*(日次管理!$K$4:$K$34=$A$28)*(日次管理!$R$2:$GC$2="精査完了")*(日次管理!$R$3:$GC$3="実績"),日次管理!$R$4:$GC$34)</f>
        <v>10</v>
      </c>
      <c r="BN28" s="144">
        <f>SUMPRODUCT((日次管理!$R$1:$GC$1&lt;=$BN$20)*(日次管理!$K$4:$K$34=$A$28)*(日次管理!$R$2:$GC$2="精査完了")*(日次管理!$R$3:$GC$3="予定"),日次管理!$R$4:$GC$34)</f>
        <v>86</v>
      </c>
      <c r="BO28" s="90">
        <f>SUMPRODUCT((日次管理!$R$1:$GC$1&lt;=$BO$20)*(日次管理!$K$4:$K$34=$A$28)*(日次管理!$R$2:$GC$2="精査完了")*(日次管理!$R$3:$GC$3="実績"),日次管理!$R$4:$GC$34)</f>
        <v>10</v>
      </c>
      <c r="BP28" s="144">
        <f>SUMPRODUCT((日次管理!$R$1:$GC$1&lt;=$BP$20)*(日次管理!$K$4:$K$34=$A$28)*(日次管理!$R$2:$GC$2="精査完了")*(日次管理!$R$3:$GC$3="予定"),日次管理!$R$4:$GC$34)</f>
        <v>86</v>
      </c>
      <c r="BQ28" s="90">
        <f>SUMPRODUCT((日次管理!$R$1:$GC$1&lt;=$BQ$20)*(日次管理!$K$4:$K$34=$A$28)*(日次管理!$R$2:$GC$2="精査完了")*(日次管理!$R$3:$GC$3="実績"),日次管理!$R$4:$GC$34)</f>
        <v>10</v>
      </c>
      <c r="BR28" s="144">
        <f>SUMPRODUCT((日次管理!$R$1:$GC$1&lt;=$BR$20)*(日次管理!$K$4:$K$34=$A$28)*(日次管理!$R$2:$GC$2="精査完了")*(日次管理!$R$3:$GC$3="予定"),日次管理!$R$4:$GC$34)</f>
        <v>86</v>
      </c>
      <c r="BS28" s="90">
        <f>SUMPRODUCT((日次管理!$R$1:$GC$1&lt;=$BS$20)*(日次管理!$K$4:$K$34=$A$28)*(日次管理!$R$2:$GC$2="精査完了")*(日次管理!$R$3:$GC$3="実績"),日次管理!$R$4:$GC$34)</f>
        <v>10</v>
      </c>
      <c r="BT28" s="144">
        <f>SUMPRODUCT((日次管理!$R$1:$GC$1&lt;=$BT$20)*(日次管理!$K$4:$K$34=$A$28)*(日次管理!$R$2:$GC$2="精査完了")*(日次管理!$R$3:$GC$3="予定"),日次管理!$R$4:$GC$34)</f>
        <v>86</v>
      </c>
      <c r="BU28" s="90">
        <f>SUMPRODUCT((日次管理!$R$1:$GC$1&lt;=$BU$20)*(日次管理!$K$4:$K$34=$A$28)*(日次管理!$R$2:$GC$2="精査完了")*(日次管理!$R$3:$GC$3="実績"),日次管理!$R$4:$GC$34)</f>
        <v>10</v>
      </c>
      <c r="BV28" s="144">
        <f>SUMPRODUCT((日次管理!$R$1:$GC$1&lt;=$BV$20)*(日次管理!$K$4:$K$34=$A$28)*(日次管理!$R$2:$GC$2="精査完了")*(日次管理!$R$3:$GC$3="予定"),日次管理!$R$4:$GC$34)</f>
        <v>86</v>
      </c>
      <c r="BW28" s="90">
        <f>SUMPRODUCT((日次管理!$R$1:$GC$1&lt;=$BW$20)*(日次管理!$K$4:$K$34=$A$28)*(日次管理!$R$2:$GC$2="精査完了")*(日次管理!$R$3:$GC$3="実績"),日次管理!$R$4:$GC$34)</f>
        <v>10</v>
      </c>
      <c r="BX28" s="144">
        <f>SUMPRODUCT((日次管理!$R$1:$GC$1&lt;=$BX$20)*(日次管理!$K$4:$K$34=$A$28)*(日次管理!$R$2:$GC$2="精査完了")*(日次管理!$R$3:$GC$3="予定"),日次管理!$R$4:$GC$34)</f>
        <v>86</v>
      </c>
      <c r="BY28" s="90">
        <f>SUMPRODUCT((日次管理!$R$1:$GC$1&lt;=$BY$20)*(日次管理!$K$4:$K$34=$A$28)*(日次管理!$R$2:$GC$2="精査完了")*(日次管理!$R$3:$GC$3="実績"),日次管理!$R$4:$GC$34)</f>
        <v>10</v>
      </c>
      <c r="BZ28" s="144">
        <f>SUMPRODUCT((日次管理!$R$1:$GC$1&lt;=$BZ$20)*(日次管理!$K$4:$K$34=$A$28)*(日次管理!$R$2:$GC$2="精査完了")*(日次管理!$R$3:$GC$3="予定"),日次管理!$R$4:$GC$34)</f>
        <v>86</v>
      </c>
      <c r="CA28" s="90">
        <f>SUMPRODUCT((日次管理!$R$1:$GC$1&lt;=$CA$20)*(日次管理!$K$4:$K$34=$A$28)*(日次管理!$R$2:$GC$2="精査完了")*(日次管理!$R$3:$GC$3="実績"),日次管理!$R$4:$GC$34)</f>
        <v>10</v>
      </c>
      <c r="CB28" s="144">
        <f>SUMPRODUCT((日次管理!$R$1:$GC$1&lt;=$CB$20)*(日次管理!$K$4:$K$34=$A$28)*(日次管理!$R$2:$GC$2="精査完了")*(日次管理!$R$3:$GC$3="予定"),日次管理!$R$4:$GC$34)</f>
        <v>86</v>
      </c>
      <c r="CC28" s="90">
        <f>SUMPRODUCT((日次管理!$R$1:$GC$1&lt;=$CC$20)*(日次管理!$K$4:$K$34=$A$28)*(日次管理!$R$2:$GC$2="精査完了")*(日次管理!$R$3:$GC$3="実績"),日次管理!$R$4:$GC$34)</f>
        <v>10</v>
      </c>
      <c r="CD28" s="144">
        <f>SUMPRODUCT((日次管理!$R$1:$GC$1&lt;=$CD$20)*(日次管理!$K$4:$K$34=$A$28)*(日次管理!$R$2:$GC$2="精査完了")*(日次管理!$R$3:$GC$3="予定"),日次管理!$R$4:$GC$34)</f>
        <v>86</v>
      </c>
      <c r="CE28" s="90">
        <f>SUMPRODUCT((日次管理!$R$1:$GC$1&lt;=$CE$20)*(日次管理!$K$4:$K$34=$A$28)*(日次管理!$R$2:$GC$2="精査完了")*(日次管理!$R$3:$GC$3="実績"),日次管理!$R$4:$GC$34)</f>
        <v>10</v>
      </c>
      <c r="CF28" s="144">
        <f>SUMPRODUCT((日次管理!$R$1:$GC$1&lt;=$CF$20)*(日次管理!$K$4:$K$34=$A$28)*(日次管理!$R$2:$GC$2="精査完了")*(日次管理!$R$3:$GC$3="予定"),日次管理!$R$4:$GC$34)</f>
        <v>86</v>
      </c>
      <c r="CG28" s="90">
        <f>SUMPRODUCT((日次管理!$R$1:$GC$1&lt;=$CG$20)*(日次管理!$K$4:$K$34=$A$28)*(日次管理!$R$2:$GC$2="精査完了")*(日次管理!$R$3:$GC$3="実績"),日次管理!$R$4:$GC$34)</f>
        <v>10</v>
      </c>
      <c r="CH28" s="145">
        <f ca="1">SUMPRODUCT(($A$20- WEEKDAY($A$20) + 6 =$B$20:$CG$20)*("実績"=$B$21:$CG$21),$B$28:$CG$28)/SUMPRODUCT(($A$20- WEEKDAY($A$20) + 6 =$B$20:$CG$20)*("予定"=$B$21:$CG$21),$B$28:$CG$28)</f>
        <v>0.11627906976744186</v>
      </c>
      <c r="CI28" s="146">
        <f>$CG$28/$CF$28</f>
        <v>0.11627906976744186</v>
      </c>
    </row>
    <row r="29" spans="1:87" ht="20.100000000000001" customHeight="1">
      <c r="A29" s="139" t="s">
        <v>120</v>
      </c>
      <c r="B29" s="140">
        <f>SUMPRODUCT((日次管理!$R$1:$GC$1&lt;=$B$20)*(日次管理!$K$4:$K$34=$A$29)*(日次管理!$R$2:$GC$2="精査完了")*(日次管理!$R$3:$GC$3="予定"),日次管理!$R$4:$GC$34)</f>
        <v>0</v>
      </c>
      <c r="C29" s="89">
        <f>SUMPRODUCT((日次管理!$R$1:$GC$1&lt;=$C$20)*(日次管理!$K$4:$K$34=$A$29)*(日次管理!$R$2:$GC$2="精査完了")*(日次管理!$R$3:$GC$3="実績"),日次管理!$R$4:$GC$34)</f>
        <v>0</v>
      </c>
      <c r="D29" s="140">
        <f>SUMPRODUCT((日次管理!$R$1:$GC$1&lt;=$D$20)*(日次管理!$K$4:$K$34=$A$29)*(日次管理!$R$2:$GC$2="精査完了")*(日次管理!$R$3:$GC$3="予定"),日次管理!$R$4:$GC$34)</f>
        <v>0</v>
      </c>
      <c r="E29" s="89">
        <f>SUMPRODUCT((日次管理!$R$1:$GC$1&lt;=$E$20)*(日次管理!$K$4:$K$34=$A$29)*(日次管理!$R$2:$GC$2="精査完了")*(日次管理!$R$3:$GC$3="実績"),日次管理!$R$4:$GC$34)</f>
        <v>0</v>
      </c>
      <c r="F29" s="140">
        <f>SUMPRODUCT((日次管理!$R$1:$GC$1&lt;=$F$20)*(日次管理!$K$4:$K$34=$A$29)*(日次管理!$R$2:$GC$2="精査完了")*(日次管理!$R$3:$GC$3="予定"),日次管理!$R$4:$GC$34)</f>
        <v>0</v>
      </c>
      <c r="G29" s="89">
        <f>SUMPRODUCT((日次管理!$R$1:$GC$1&lt;=$G$20)*(日次管理!$K$4:$K$34=$A$29)*(日次管理!$R$2:$GC$2="精査完了")*(日次管理!$R$3:$GC$3="実績"),日次管理!$R$4:$GC$34)</f>
        <v>0</v>
      </c>
      <c r="H29" s="140">
        <f>SUMPRODUCT((日次管理!$R$1:$GC$1&lt;=$H$20)*(日次管理!$K$4:$K$34=$A$29)*(日次管理!$R$2:$GC$2="精査完了")*(日次管理!$R$3:$GC$3="予定"),日次管理!$R$4:$GC$34)</f>
        <v>0</v>
      </c>
      <c r="I29" s="89">
        <f>SUMPRODUCT((日次管理!$R$1:$GC$1&lt;=$I$20)*(日次管理!$K$4:$K$34=$A$29)*(日次管理!$R$2:$GC$2="精査完了")*(日次管理!$R$3:$GC$3="実績"),日次管理!$R$4:$GC$34)</f>
        <v>0</v>
      </c>
      <c r="J29" s="140">
        <f>SUMPRODUCT((日次管理!$R$1:$GC$1&lt;=$J$20)*(日次管理!$K$4:$K$34=$A$29)*(日次管理!$R$2:$GC$2="精査完了")*(日次管理!$R$3:$GC$3="予定"),日次管理!$R$4:$GC$34)</f>
        <v>0</v>
      </c>
      <c r="K29" s="89">
        <f>SUMPRODUCT((日次管理!$R$1:$GC$1&lt;=$K$20)*(日次管理!$K$4:$K$34=$A$29)*(日次管理!$R$2:$GC$2="精査完了")*(日次管理!$R$3:$GC$3="実績"),日次管理!$R$4:$GC$34)</f>
        <v>0</v>
      </c>
      <c r="L29" s="140">
        <f>SUMPRODUCT((日次管理!$R$1:$GC$1&lt;=$L$20)*(日次管理!$K$4:$K$34=$A$29)*(日次管理!$R$2:$GC$2="精査完了")*(日次管理!$R$3:$GC$3="予定"),日次管理!$R$4:$GC$34)</f>
        <v>0</v>
      </c>
      <c r="M29" s="89">
        <f>SUMPRODUCT((日次管理!$R$1:$GC$1&lt;=$M$20)*(日次管理!$K$4:$K$34=$A$29)*(日次管理!$R$2:$GC$2="精査完了")*(日次管理!$R$3:$GC$3="実績"),日次管理!$R$4:$GC$34)</f>
        <v>0</v>
      </c>
      <c r="N29" s="140">
        <f>SUMPRODUCT((日次管理!$R$1:$GC$1&lt;=$N$20)*(日次管理!$K$4:$K$34=$A$29)*(日次管理!$R$2:$GC$2="精査完了")*(日次管理!$R$3:$GC$3="予定"),日次管理!$R$4:$GC$34)</f>
        <v>0</v>
      </c>
      <c r="O29" s="89">
        <f>SUMPRODUCT((日次管理!$R$1:$GC$1&lt;=$O$20)*(日次管理!$K$4:$K$34=$A$29)*(日次管理!$R$2:$GC$2="精査完了")*(日次管理!$R$3:$GC$3="実績"),日次管理!$R$4:$GC$34)</f>
        <v>0</v>
      </c>
      <c r="P29" s="140">
        <f>SUMPRODUCT((日次管理!$R$1:$GC$1&lt;=$P$20)*(日次管理!$K$4:$K$34=$A$29)*(日次管理!$R$2:$GC$2="精査完了")*(日次管理!$R$3:$GC$3="予定"),日次管理!$R$4:$GC$34)</f>
        <v>0</v>
      </c>
      <c r="Q29" s="89">
        <f>SUMPRODUCT((日次管理!$R$1:$GC$1&lt;=$Q$20)*(日次管理!$K$4:$K$34=$A$29)*(日次管理!$R$2:$GC$2="精査完了")*(日次管理!$R$3:$GC$3="実績"),日次管理!$R$4:$GC$34)</f>
        <v>0</v>
      </c>
      <c r="R29" s="140">
        <f>SUMPRODUCT((日次管理!$R$1:$GC$1&lt;=$R$20)*(日次管理!$K$4:$K$34=$A$29)*(日次管理!$R$2:$GC$2="精査完了")*(日次管理!$R$3:$GC$3="予定"),日次管理!$R$4:$GC$34)</f>
        <v>0</v>
      </c>
      <c r="S29" s="89">
        <f>SUMPRODUCT((日次管理!$R$1:$GC$1&lt;=$S$20)*(日次管理!$K$4:$K$34=$A$29)*(日次管理!$R$2:$GC$2="精査完了")*(日次管理!$R$3:$GC$3="実績"),日次管理!$R$4:$GC$34)</f>
        <v>0</v>
      </c>
      <c r="T29" s="140">
        <f>SUMPRODUCT((日次管理!$R$1:$GC$1&lt;=$T$20)*(日次管理!$K$4:$K$34=$A$29)*(日次管理!$R$2:$GC$2="精査完了")*(日次管理!$R$3:$GC$3="予定"),日次管理!$R$4:$GC$34)</f>
        <v>0</v>
      </c>
      <c r="U29" s="89">
        <f>SUMPRODUCT((日次管理!$R$1:$GC$1&lt;=$U$20)*(日次管理!$K$4:$K$34=$A$29)*(日次管理!$R$2:$GC$2="精査完了")*(日次管理!$R$3:$GC$3="実績"),日次管理!$R$4:$GC$34)</f>
        <v>0</v>
      </c>
      <c r="V29" s="140">
        <f>SUMPRODUCT((日次管理!$R$1:$GC$1&lt;=$V$20)*(日次管理!$K$4:$K$34=$A$29)*(日次管理!$R$2:$GC$2="精査完了")*(日次管理!$R$3:$GC$3="予定"),日次管理!$R$4:$GC$34)</f>
        <v>0</v>
      </c>
      <c r="W29" s="89">
        <f>SUMPRODUCT((日次管理!$R$1:$GC$1&lt;=$W$20)*(日次管理!$K$4:$K$34=$A$29)*(日次管理!$R$2:$GC$2="精査完了")*(日次管理!$R$3:$GC$3="実績"),日次管理!$R$4:$GC$34)</f>
        <v>0</v>
      </c>
      <c r="X29" s="140">
        <f>SUMPRODUCT((日次管理!$R$1:$GC$1&lt;=$X$20)*(日次管理!$K$4:$K$34=$A$29)*(日次管理!$R$2:$GC$2="精査完了")*(日次管理!$R$3:$GC$3="予定"),日次管理!$R$4:$GC$34)</f>
        <v>0</v>
      </c>
      <c r="Y29" s="89">
        <f>SUMPRODUCT((日次管理!$R$1:$GC$1&lt;=$Y$20)*(日次管理!$K$4:$K$34=$A$29)*(日次管理!$R$2:$GC$2="精査完了")*(日次管理!$R$3:$GC$3="実績"),日次管理!$R$4:$GC$34)</f>
        <v>0</v>
      </c>
      <c r="Z29" s="140">
        <f>SUMPRODUCT((日次管理!$R$1:$GC$1&lt;=$Z$20)*(日次管理!$K$4:$K$34=$A$29)*(日次管理!$R$2:$GC$2="精査完了")*(日次管理!$R$3:$GC$3="予定"),日次管理!$R$4:$GC$34)</f>
        <v>0</v>
      </c>
      <c r="AA29" s="89">
        <f>SUMPRODUCT((日次管理!$R$1:$GC$1&lt;=$AA$20)*(日次管理!$K$4:$K$34=$A$29)*(日次管理!$R$2:$GC$2="精査完了")*(日次管理!$R$3:$GC$3="実績"),日次管理!$R$4:$GC$34)</f>
        <v>0</v>
      </c>
      <c r="AB29" s="140">
        <f>SUMPRODUCT((日次管理!$R$1:$GC$1&lt;=$AB$20)*(日次管理!$K$4:$K$34=$A$29)*(日次管理!$R$2:$GC$2="精査完了")*(日次管理!$R$3:$GC$3="予定"),日次管理!$R$4:$GC$34)</f>
        <v>0</v>
      </c>
      <c r="AC29" s="89">
        <f>SUMPRODUCT((日次管理!$R$1:$GC$1&lt;=$AC$20)*(日次管理!$K$4:$K$34=$A$29)*(日次管理!$R$2:$GC$2="精査完了")*(日次管理!$R$3:$GC$3="実績"),日次管理!$R$4:$GC$34)</f>
        <v>0</v>
      </c>
      <c r="AD29" s="140">
        <f>SUMPRODUCT((日次管理!$R$1:$GC$1&lt;=$AD$20)*(日次管理!$K$4:$K$34=$A$29)*(日次管理!$R$2:$GC$2="精査完了")*(日次管理!$R$3:$GC$3="予定"),日次管理!$R$4:$GC$34)</f>
        <v>0</v>
      </c>
      <c r="AE29" s="89">
        <f>SUMPRODUCT((日次管理!$R$1:$GC$1&lt;=$AE$20)*(日次管理!$K$4:$K$34=$A$29)*(日次管理!$R$2:$GC$2="精査完了")*(日次管理!$R$3:$GC$3="実績"),日次管理!$R$4:$GC$34)</f>
        <v>0</v>
      </c>
      <c r="AF29" s="140">
        <f>SUMPRODUCT((日次管理!$R$1:$GC$1&lt;=$AF$20)*(日次管理!$K$4:$K$34=$A$29)*(日次管理!$R$2:$GC$2="精査完了")*(日次管理!$R$3:$GC$3="予定"),日次管理!$R$4:$GC$34)</f>
        <v>0</v>
      </c>
      <c r="AG29" s="89">
        <f>SUMPRODUCT((日次管理!$R$1:$GC$1&lt;=$AG$20)*(日次管理!$K$4:$K$34=$A$29)*(日次管理!$R$2:$GC$2="精査完了")*(日次管理!$R$3:$GC$3="実績"),日次管理!$R$4:$GC$34)</f>
        <v>0</v>
      </c>
      <c r="AH29" s="140">
        <f>SUMPRODUCT((日次管理!$R$1:$GC$1&lt;=$AH$20)*(日次管理!$K$4:$K$34=$A$29)*(日次管理!$R$2:$GC$2="精査完了")*(日次管理!$R$3:$GC$3="予定"),日次管理!$R$4:$GC$34)</f>
        <v>0</v>
      </c>
      <c r="AI29" s="89">
        <f>SUMPRODUCT((日次管理!$R$1:$GC$1&lt;=$AI$20)*(日次管理!$K$4:$K$34=$A$29)*(日次管理!$R$2:$GC$2="精査完了")*(日次管理!$R$3:$GC$3="実績"),日次管理!$R$4:$GC$34)</f>
        <v>0</v>
      </c>
      <c r="AJ29" s="140">
        <f>SUMPRODUCT((日次管理!$R$1:$GC$1&lt;=$AJ$20)*(日次管理!$K$4:$K$34=$A$29)*(日次管理!$R$2:$GC$2="精査完了")*(日次管理!$R$3:$GC$3="予定"),日次管理!$R$4:$GC$34)</f>
        <v>0</v>
      </c>
      <c r="AK29" s="89">
        <f>SUMPRODUCT((日次管理!$R$1:$GC$1&lt;=$AK$20)*(日次管理!$K$4:$K$34=$A$29)*(日次管理!$R$2:$GC$2="精査完了")*(日次管理!$R$3:$GC$3="実績"),日次管理!$R$4:$GC$34)</f>
        <v>0</v>
      </c>
      <c r="AL29" s="140">
        <f>SUMPRODUCT((日次管理!$R$1:$GC$1&lt;=$AL$20)*(日次管理!$K$4:$K$34=$A$29)*(日次管理!$R$2:$GC$2="精査完了")*(日次管理!$R$3:$GC$3="予定"),日次管理!$R$4:$GC$34)</f>
        <v>13</v>
      </c>
      <c r="AM29" s="89">
        <f>SUMPRODUCT((日次管理!$R$1:$GC$1&lt;=$AM$20)*(日次管理!$K$4:$K$34=$A$29)*(日次管理!$R$2:$GC$2="精査完了")*(日次管理!$R$3:$GC$3="実績"),日次管理!$R$4:$GC$34)</f>
        <v>0</v>
      </c>
      <c r="AN29" s="140">
        <f>SUMPRODUCT((日次管理!$R$1:$GC$1&lt;=$AN$20)*(日次管理!$K$4:$K$34=$A$29)*(日次管理!$R$2:$GC$2="精査完了")*(日次管理!$R$3:$GC$3="予定"),日次管理!$R$4:$GC$34)</f>
        <v>13</v>
      </c>
      <c r="AO29" s="89">
        <f>SUMPRODUCT((日次管理!$R$1:$GC$1&lt;=$AO$20)*(日次管理!$K$4:$K$34=$A$29)*(日次管理!$R$2:$GC$2="精査完了")*(日次管理!$R$3:$GC$3="実績"),日次管理!$R$4:$GC$34)</f>
        <v>0</v>
      </c>
      <c r="AP29" s="140">
        <f>SUMPRODUCT((日次管理!$R$1:$GC$1&lt;=$AP$20)*(日次管理!$K$4:$K$34=$A$29)*(日次管理!$R$2:$GC$2="精査完了")*(日次管理!$R$3:$GC$3="予定"),日次管理!$R$4:$GC$34)</f>
        <v>13</v>
      </c>
      <c r="AQ29" s="89">
        <f>SUMPRODUCT((日次管理!$R$1:$GC$1&lt;=$AQ$20)*(日次管理!$K$4:$K$34=$A$29)*(日次管理!$R$2:$GC$2="精査完了")*(日次管理!$R$3:$GC$3="実績"),日次管理!$R$4:$GC$34)</f>
        <v>0</v>
      </c>
      <c r="AR29" s="140">
        <f>SUMPRODUCT((日次管理!$R$1:$GC$1&lt;=$AR$20)*(日次管理!$K$4:$K$34=$A$29)*(日次管理!$R$2:$GC$2="精査完了")*(日次管理!$R$3:$GC$3="予定"),日次管理!$R$4:$GC$34)</f>
        <v>21</v>
      </c>
      <c r="AS29" s="89">
        <f>SUMPRODUCT((日次管理!$R$1:$GC$1&lt;=$AS$20)*(日次管理!$K$4:$K$34=$A$29)*(日次管理!$R$2:$GC$2="精査完了")*(日次管理!$R$3:$GC$3="実績"),日次管理!$R$4:$GC$34)</f>
        <v>0</v>
      </c>
      <c r="AT29" s="140">
        <f>SUMPRODUCT((日次管理!$R$1:$GC$1&lt;=$AT$20)*(日次管理!$K$4:$K$34=$A$29)*(日次管理!$R$2:$GC$2="精査完了")*(日次管理!$R$3:$GC$3="予定"),日次管理!$R$4:$GC$34)</f>
        <v>21</v>
      </c>
      <c r="AU29" s="89">
        <f>SUMPRODUCT((日次管理!$R$1:$GC$1&lt;=$AU$20)*(日次管理!$K$4:$K$34=$A$29)*(日次管理!$R$2:$GC$2="精査完了")*(日次管理!$R$3:$GC$3="実績"),日次管理!$R$4:$GC$34)</f>
        <v>20</v>
      </c>
      <c r="AV29" s="140">
        <f>SUMPRODUCT((日次管理!$R$1:$GC$1&lt;=$AV$20)*(日次管理!$K$4:$K$34=$A$29)*(日次管理!$R$2:$GC$2="精査完了")*(日次管理!$R$3:$GC$3="予定"),日次管理!$R$4:$GC$34)</f>
        <v>29</v>
      </c>
      <c r="AW29" s="89">
        <f>SUMPRODUCT((日次管理!$R$1:$GC$1&lt;=$AW$20)*(日次管理!$K$4:$K$34=$A$29)*(日次管理!$R$2:$GC$2="精査完了")*(日次管理!$R$3:$GC$3="実績"),日次管理!$R$4:$GC$34)</f>
        <v>20</v>
      </c>
      <c r="AX29" s="140">
        <f>SUMPRODUCT((日次管理!$R$1:$GC$1&lt;=$AX$20)*(日次管理!$K$4:$K$34=$A$29)*(日次管理!$R$2:$GC$2="精査完了")*(日次管理!$R$3:$GC$3="予定"),日次管理!$R$4:$GC$34)</f>
        <v>29</v>
      </c>
      <c r="AY29" s="89">
        <f>SUMPRODUCT((日次管理!$R$1:$GC$1&lt;=$AY$20)*(日次管理!$K$4:$K$34=$A$29)*(日次管理!$R$2:$GC$2="精査完了")*(日次管理!$R$3:$GC$3="実績"),日次管理!$R$4:$GC$34)</f>
        <v>20</v>
      </c>
      <c r="AZ29" s="140">
        <f>SUMPRODUCT((日次管理!$R$1:$GC$1&lt;=$AZ$20)*(日次管理!$K$4:$K$34=$A$29)*(日次管理!$R$2:$GC$2="精査完了")*(日次管理!$R$3:$GC$3="予定"),日次管理!$R$4:$GC$34)</f>
        <v>35</v>
      </c>
      <c r="BA29" s="89">
        <f>SUMPRODUCT((日次管理!$R$1:$GC$1&lt;=$BA$20)*(日次管理!$K$4:$K$34=$A$29)*(日次管理!$R$2:$GC$2="精査完了")*(日次管理!$R$3:$GC$3="実績"),日次管理!$R$4:$GC$34)</f>
        <v>20</v>
      </c>
      <c r="BB29" s="140">
        <f>SUMPRODUCT((日次管理!$R$1:$GC$1&lt;=$BB$20)*(日次管理!$K$4:$K$34=$A$29)*(日次管理!$R$2:$GC$2="精査完了")*(日次管理!$R$3:$GC$3="予定"),日次管理!$R$4:$GC$34)</f>
        <v>35</v>
      </c>
      <c r="BC29" s="89">
        <f>SUMPRODUCT((日次管理!$R$1:$GC$1&lt;=$BC$20)*(日次管理!$K$4:$K$34=$A$29)*(日次管理!$R$2:$GC$2="精査完了")*(日次管理!$R$3:$GC$3="実績"),日次管理!$R$4:$GC$34)</f>
        <v>20</v>
      </c>
      <c r="BD29" s="140">
        <f>SUMPRODUCT((日次管理!$R$1:$GC$1&lt;=$BD$20)*(日次管理!$K$4:$K$34=$A$29)*(日次管理!$R$2:$GC$2="精査完了")*(日次管理!$R$3:$GC$3="予定"),日次管理!$R$4:$GC$34)</f>
        <v>35</v>
      </c>
      <c r="BE29" s="89">
        <f>SUMPRODUCT((日次管理!$R$1:$GC$1&lt;=$BE$20)*(日次管理!$K$4:$K$34=$A$29)*(日次管理!$R$2:$GC$2="精査完了")*(日次管理!$R$3:$GC$3="実績"),日次管理!$R$4:$GC$34)</f>
        <v>20</v>
      </c>
      <c r="BF29" s="140">
        <f>SUMPRODUCT((日次管理!$R$1:$GC$1&lt;=$BF$20)*(日次管理!$K$4:$K$34=$A$29)*(日次管理!$R$2:$GC$2="精査完了")*(日次管理!$R$3:$GC$3="予定"),日次管理!$R$4:$GC$34)</f>
        <v>35</v>
      </c>
      <c r="BG29" s="89">
        <f>SUMPRODUCT((日次管理!$R$1:$GC$1&lt;=$BG$20)*(日次管理!$K$4:$K$34=$A$29)*(日次管理!$R$2:$GC$2="精査完了")*(日次管理!$R$3:$GC$3="実績"),日次管理!$R$4:$GC$34)</f>
        <v>20</v>
      </c>
      <c r="BH29" s="140">
        <f>SUMPRODUCT((日次管理!$R$1:$GC$1&lt;=$BH$20)*(日次管理!$K$4:$K$34=$A$29)*(日次管理!$R$2:$GC$2="精査完了")*(日次管理!$R$3:$GC$3="予定"),日次管理!$R$4:$GC$34)</f>
        <v>35</v>
      </c>
      <c r="BI29" s="89">
        <f>SUMPRODUCT((日次管理!$R$1:$GC$1&lt;=$BI$20)*(日次管理!$K$4:$K$34=$A$29)*(日次管理!$R$2:$GC$2="精査完了")*(日次管理!$R$3:$GC$3="実績"),日次管理!$R$4:$GC$34)</f>
        <v>20</v>
      </c>
      <c r="BJ29" s="140">
        <f>SUMPRODUCT((日次管理!$R$1:$GC$1&lt;=$BJ$20)*(日次管理!$K$4:$K$34=$A$29)*(日次管理!$R$2:$GC$2="精査完了")*(日次管理!$R$3:$GC$3="予定"),日次管理!$R$4:$GC$34)</f>
        <v>43</v>
      </c>
      <c r="BK29" s="89">
        <f>SUMPRODUCT((日次管理!$R$1:$GC$1&lt;=$BK$20)*(日次管理!$K$4:$K$34=$A$29)*(日次管理!$R$2:$GC$2="精査完了")*(日次管理!$R$3:$GC$3="実績"),日次管理!$R$4:$GC$34)</f>
        <v>20</v>
      </c>
      <c r="BL29" s="140">
        <f>SUMPRODUCT((日次管理!$R$1:$GC$1&lt;=$BL$20)*(日次管理!$K$4:$K$34=$A$29)*(日次管理!$R$2:$GC$2="精査完了")*(日次管理!$R$3:$GC$3="予定"),日次管理!$R$4:$GC$34)</f>
        <v>51</v>
      </c>
      <c r="BM29" s="89">
        <f>SUMPRODUCT((日次管理!$R$1:$GC$1&lt;=$BM$20)*(日次管理!$K$4:$K$34=$A$29)*(日次管理!$R$2:$GC$2="精査完了")*(日次管理!$R$3:$GC$3="実績"),日次管理!$R$4:$GC$34)</f>
        <v>20</v>
      </c>
      <c r="BN29" s="140">
        <f>SUMPRODUCT((日次管理!$R$1:$GC$1&lt;=$BN$20)*(日次管理!$K$4:$K$34=$A$29)*(日次管理!$R$2:$GC$2="精査完了")*(日次管理!$R$3:$GC$3="予定"),日次管理!$R$4:$GC$34)</f>
        <v>53</v>
      </c>
      <c r="BO29" s="89">
        <f>SUMPRODUCT((日次管理!$R$1:$GC$1&lt;=$BO$20)*(日次管理!$K$4:$K$34=$A$29)*(日次管理!$R$2:$GC$2="精査完了")*(日次管理!$R$3:$GC$3="実績"),日次管理!$R$4:$GC$34)</f>
        <v>20</v>
      </c>
      <c r="BP29" s="140">
        <f>SUMPRODUCT((日次管理!$R$1:$GC$1&lt;=$BP$20)*(日次管理!$K$4:$K$34=$A$29)*(日次管理!$R$2:$GC$2="精査完了")*(日次管理!$R$3:$GC$3="予定"),日次管理!$R$4:$GC$34)</f>
        <v>53</v>
      </c>
      <c r="BQ29" s="89">
        <f>SUMPRODUCT((日次管理!$R$1:$GC$1&lt;=$BQ$20)*(日次管理!$K$4:$K$34=$A$29)*(日次管理!$R$2:$GC$2="精査完了")*(日次管理!$R$3:$GC$3="実績"),日次管理!$R$4:$GC$34)</f>
        <v>20</v>
      </c>
      <c r="BR29" s="140">
        <f>SUMPRODUCT((日次管理!$R$1:$GC$1&lt;=$BR$20)*(日次管理!$K$4:$K$34=$A$29)*(日次管理!$R$2:$GC$2="精査完了")*(日次管理!$R$3:$GC$3="予定"),日次管理!$R$4:$GC$34)</f>
        <v>53</v>
      </c>
      <c r="BS29" s="89">
        <f>SUMPRODUCT((日次管理!$R$1:$GC$1&lt;=$BS$20)*(日次管理!$K$4:$K$34=$A$29)*(日次管理!$R$2:$GC$2="精査完了")*(日次管理!$R$3:$GC$3="実績"),日次管理!$R$4:$GC$34)</f>
        <v>20</v>
      </c>
      <c r="BT29" s="140">
        <f>SUMPRODUCT((日次管理!$R$1:$GC$1&lt;=$BT$20)*(日次管理!$K$4:$K$34=$A$29)*(日次管理!$R$2:$GC$2="精査完了")*(日次管理!$R$3:$GC$3="予定"),日次管理!$R$4:$GC$34)</f>
        <v>53</v>
      </c>
      <c r="BU29" s="89">
        <f>SUMPRODUCT((日次管理!$R$1:$GC$1&lt;=$BU$20)*(日次管理!$K$4:$K$34=$A$29)*(日次管理!$R$2:$GC$2="精査完了")*(日次管理!$R$3:$GC$3="実績"),日次管理!$R$4:$GC$34)</f>
        <v>20</v>
      </c>
      <c r="BV29" s="140">
        <f>SUMPRODUCT((日次管理!$R$1:$GC$1&lt;=$BV$20)*(日次管理!$K$4:$K$34=$A$29)*(日次管理!$R$2:$GC$2="精査完了")*(日次管理!$R$3:$GC$3="予定"),日次管理!$R$4:$GC$34)</f>
        <v>53</v>
      </c>
      <c r="BW29" s="89">
        <f>SUMPRODUCT((日次管理!$R$1:$GC$1&lt;=$BW$20)*(日次管理!$K$4:$K$34=$A$29)*(日次管理!$R$2:$GC$2="精査完了")*(日次管理!$R$3:$GC$3="実績"),日次管理!$R$4:$GC$34)</f>
        <v>20</v>
      </c>
      <c r="BX29" s="140">
        <f>SUMPRODUCT((日次管理!$R$1:$GC$1&lt;=$BX$20)*(日次管理!$K$4:$K$34=$A$29)*(日次管理!$R$2:$GC$2="精査完了")*(日次管理!$R$3:$GC$3="予定"),日次管理!$R$4:$GC$34)</f>
        <v>56</v>
      </c>
      <c r="BY29" s="89">
        <f>SUMPRODUCT((日次管理!$R$1:$GC$1&lt;=$BY$20)*(日次管理!$K$4:$K$34=$A$29)*(日次管理!$R$2:$GC$2="精査完了")*(日次管理!$R$3:$GC$3="実績"),日次管理!$R$4:$GC$34)</f>
        <v>20</v>
      </c>
      <c r="BZ29" s="140">
        <f>SUMPRODUCT((日次管理!$R$1:$GC$1&lt;=$BZ$20)*(日次管理!$K$4:$K$34=$A$29)*(日次管理!$R$2:$GC$2="精査完了")*(日次管理!$R$3:$GC$3="予定"),日次管理!$R$4:$GC$34)</f>
        <v>56</v>
      </c>
      <c r="CA29" s="89">
        <f>SUMPRODUCT((日次管理!$R$1:$GC$1&lt;=$CA$20)*(日次管理!$K$4:$K$34=$A$29)*(日次管理!$R$2:$GC$2="精査完了")*(日次管理!$R$3:$GC$3="実績"),日次管理!$R$4:$GC$34)</f>
        <v>20</v>
      </c>
      <c r="CB29" s="140">
        <f>SUMPRODUCT((日次管理!$R$1:$GC$1&lt;=$CB$20)*(日次管理!$K$4:$K$34=$A$29)*(日次管理!$R$2:$GC$2="精査完了")*(日次管理!$R$3:$GC$3="予定"),日次管理!$R$4:$GC$34)</f>
        <v>56</v>
      </c>
      <c r="CC29" s="89">
        <f>SUMPRODUCT((日次管理!$R$1:$GC$1&lt;=$CC$20)*(日次管理!$K$4:$K$34=$A$29)*(日次管理!$R$2:$GC$2="精査完了")*(日次管理!$R$3:$GC$3="実績"),日次管理!$R$4:$GC$34)</f>
        <v>20</v>
      </c>
      <c r="CD29" s="140">
        <f>SUMPRODUCT((日次管理!$R$1:$GC$1&lt;=$CD$20)*(日次管理!$K$4:$K$34=$A$29)*(日次管理!$R$2:$GC$2="精査完了")*(日次管理!$R$3:$GC$3="予定"),日次管理!$R$4:$GC$34)</f>
        <v>56</v>
      </c>
      <c r="CE29" s="89">
        <f>SUMPRODUCT((日次管理!$R$1:$GC$1&lt;=$CE$20)*(日次管理!$K$4:$K$34=$A$29)*(日次管理!$R$2:$GC$2="精査完了")*(日次管理!$R$3:$GC$3="実績"),日次管理!$R$4:$GC$34)</f>
        <v>20</v>
      </c>
      <c r="CF29" s="140">
        <f>SUMPRODUCT((日次管理!$R$1:$GC$1&lt;=$CF$20)*(日次管理!$K$4:$K$34=$A$29)*(日次管理!$R$2:$GC$2="精査完了")*(日次管理!$R$3:$GC$3="予定"),日次管理!$R$4:$GC$34)</f>
        <v>56</v>
      </c>
      <c r="CG29" s="89">
        <f>SUMPRODUCT((日次管理!$R$1:$GC$1&lt;=$CG$20)*(日次管理!$K$4:$K$34=$A$29)*(日次管理!$R$2:$GC$2="精査完了")*(日次管理!$R$3:$GC$3="実績"),日次管理!$R$4:$GC$34)</f>
        <v>20</v>
      </c>
      <c r="CH29" s="141">
        <f ca="1">SUMPRODUCT(($A$20- WEEKDAY($A$20) + 6 =$B$20:$CG$20)*("実績"=$B$21:$CG$21),$B$29:$CG$29)/SUMPRODUCT(($A$20- WEEKDAY($A$20) + 6 =$B$20:$CG$20)*("予定"=$B$21:$CG$21),$B$29:$CG$29)</f>
        <v>0.5714285714285714</v>
      </c>
      <c r="CI29" s="142">
        <f>$CG$29/$CF$29</f>
        <v>0.35714285714285715</v>
      </c>
    </row>
    <row r="30" spans="1:87" ht="20.100000000000001" customHeight="1" thickBot="1">
      <c r="A30" s="152" t="s">
        <v>104</v>
      </c>
      <c r="B30" s="153">
        <f>SUM($B$22:$B$29)</f>
        <v>0</v>
      </c>
      <c r="C30" s="154">
        <f>SUM($C$22:$C$29)</f>
        <v>0</v>
      </c>
      <c r="D30" s="153">
        <f>SUM($D$22:$D$29)</f>
        <v>0</v>
      </c>
      <c r="E30" s="154">
        <f>SUM($E$22:$E$29)</f>
        <v>0</v>
      </c>
      <c r="F30" s="153">
        <f>SUM($F$22:$F$29)</f>
        <v>0</v>
      </c>
      <c r="G30" s="154">
        <f>SUM($G$22:$G$29)</f>
        <v>0</v>
      </c>
      <c r="H30" s="153">
        <f>SUM($H$22:$H$29)</f>
        <v>0</v>
      </c>
      <c r="I30" s="154">
        <f>SUM($I$22:$I$29)</f>
        <v>0</v>
      </c>
      <c r="J30" s="153">
        <f>SUM($J$22:$J$29)</f>
        <v>0</v>
      </c>
      <c r="K30" s="154">
        <f>SUM($K$22:$K$29)</f>
        <v>6</v>
      </c>
      <c r="L30" s="153">
        <f>SUM($L$22:$L$29)</f>
        <v>0</v>
      </c>
      <c r="M30" s="154">
        <f>SUM($M$22:$M$29)</f>
        <v>6</v>
      </c>
      <c r="N30" s="153">
        <f>SUM($N$22:$N$29)</f>
        <v>0</v>
      </c>
      <c r="O30" s="154">
        <f>SUM($O$22:$O$29)</f>
        <v>6</v>
      </c>
      <c r="P30" s="153">
        <f>SUM($P$22:$P$29)</f>
        <v>0</v>
      </c>
      <c r="Q30" s="154">
        <f>SUM($Q$22:$Q$29)</f>
        <v>6</v>
      </c>
      <c r="R30" s="153">
        <f>SUM($R$22:$R$29)</f>
        <v>0</v>
      </c>
      <c r="S30" s="154">
        <f>SUM($S$22:$S$29)</f>
        <v>8</v>
      </c>
      <c r="T30" s="153">
        <f>SUM($T$22:$T$29)</f>
        <v>0</v>
      </c>
      <c r="U30" s="154">
        <f>SUM($U$22:$U$29)</f>
        <v>8</v>
      </c>
      <c r="V30" s="153">
        <f>SUM($V$22:$V$29)</f>
        <v>0</v>
      </c>
      <c r="W30" s="154">
        <f>SUM($W$22:$W$29)</f>
        <v>8</v>
      </c>
      <c r="X30" s="153">
        <f>SUM($X$22:$X$29)</f>
        <v>70</v>
      </c>
      <c r="Y30" s="154">
        <f>SUM($Y$22:$Y$29)</f>
        <v>122</v>
      </c>
      <c r="Z30" s="153">
        <f>SUM($Z$22:$Z$29)</f>
        <v>70</v>
      </c>
      <c r="AA30" s="154">
        <f>SUM($AA$22:$AA$29)</f>
        <v>122</v>
      </c>
      <c r="AB30" s="153">
        <f>SUM($AB$22:$AB$29)</f>
        <v>70</v>
      </c>
      <c r="AC30" s="154">
        <f>SUM($AC$22:$AC$29)</f>
        <v>122</v>
      </c>
      <c r="AD30" s="153">
        <f>SUM($AD$22:$AD$29)</f>
        <v>70</v>
      </c>
      <c r="AE30" s="154">
        <f>SUM($AE$22:$AE$29)</f>
        <v>139</v>
      </c>
      <c r="AF30" s="153">
        <f>SUM($AF$22:$AF$29)</f>
        <v>70</v>
      </c>
      <c r="AG30" s="154">
        <f>SUM($AG$22:$AG$29)</f>
        <v>144</v>
      </c>
      <c r="AH30" s="153">
        <f>SUM($AH$22:$AH$29)</f>
        <v>70</v>
      </c>
      <c r="AI30" s="154">
        <f>SUM($AI$22:$AI$29)</f>
        <v>144</v>
      </c>
      <c r="AJ30" s="153">
        <f>SUM($AJ$22:$AJ$29)</f>
        <v>70</v>
      </c>
      <c r="AK30" s="154">
        <f>SUM($AK$22:$AK$29)</f>
        <v>144</v>
      </c>
      <c r="AL30" s="153">
        <f>SUM($AL$22:$AL$29)</f>
        <v>234</v>
      </c>
      <c r="AM30" s="154">
        <f>SUM($AM$22:$AM$29)</f>
        <v>144</v>
      </c>
      <c r="AN30" s="153">
        <f>SUM($AN$22:$AN$29)</f>
        <v>234</v>
      </c>
      <c r="AO30" s="154">
        <f>SUM($AO$22:$AO$29)</f>
        <v>144</v>
      </c>
      <c r="AP30" s="153">
        <f>SUM($AP$22:$AP$29)</f>
        <v>234</v>
      </c>
      <c r="AQ30" s="154">
        <f>SUM($AQ$22:$AQ$29)</f>
        <v>144</v>
      </c>
      <c r="AR30" s="153">
        <f>SUM($AR$22:$AR$29)</f>
        <v>244</v>
      </c>
      <c r="AS30" s="154">
        <f>SUM($AS$22:$AS$29)</f>
        <v>156</v>
      </c>
      <c r="AT30" s="153">
        <f>SUM($AT$22:$AT$29)</f>
        <v>246</v>
      </c>
      <c r="AU30" s="154">
        <f>SUM($AU$22:$AU$29)</f>
        <v>188</v>
      </c>
      <c r="AV30" s="153">
        <f>SUM($AV$22:$AV$29)</f>
        <v>256</v>
      </c>
      <c r="AW30" s="154">
        <f>SUM($AW$22:$AW$29)</f>
        <v>191</v>
      </c>
      <c r="AX30" s="153">
        <f>SUM($AX$22:$AX$29)</f>
        <v>293</v>
      </c>
      <c r="AY30" s="154">
        <f>SUM($AY$22:$AY$29)</f>
        <v>257</v>
      </c>
      <c r="AZ30" s="153">
        <f>SUM($AZ$22:$AZ$29)</f>
        <v>687</v>
      </c>
      <c r="BA30" s="154">
        <f>SUM($BA$22:$BA$29)</f>
        <v>288</v>
      </c>
      <c r="BB30" s="153">
        <f>SUM($BB$22:$BB$29)</f>
        <v>687</v>
      </c>
      <c r="BC30" s="154">
        <f>SUM($BC$22:$BC$29)</f>
        <v>288</v>
      </c>
      <c r="BD30" s="153">
        <f>SUM($BD$22:$BD$29)</f>
        <v>687</v>
      </c>
      <c r="BE30" s="154">
        <f>SUM($BE$22:$BE$29)</f>
        <v>288</v>
      </c>
      <c r="BF30" s="153">
        <f>SUM($BF$22:$BF$29)</f>
        <v>698</v>
      </c>
      <c r="BG30" s="154">
        <f>SUM($BG$22:$BG$29)</f>
        <v>288</v>
      </c>
      <c r="BH30" s="153">
        <f>SUM($BH$22:$BH$29)</f>
        <v>779</v>
      </c>
      <c r="BI30" s="154">
        <f>SUM($BI$22:$BI$29)</f>
        <v>288</v>
      </c>
      <c r="BJ30" s="153">
        <f>SUM($BJ$22:$BJ$29)</f>
        <v>798</v>
      </c>
      <c r="BK30" s="154">
        <f>SUM($BK$22:$BK$29)</f>
        <v>288</v>
      </c>
      <c r="BL30" s="153">
        <f>SUM($BL$22:$BL$29)</f>
        <v>830</v>
      </c>
      <c r="BM30" s="154">
        <f>SUM($BM$22:$BM$29)</f>
        <v>288</v>
      </c>
      <c r="BN30" s="153">
        <f>SUM($BN$22:$BN$29)</f>
        <v>906</v>
      </c>
      <c r="BO30" s="154">
        <f>SUM($BO$22:$BO$29)</f>
        <v>288</v>
      </c>
      <c r="BP30" s="153">
        <f>SUM($BP$22:$BP$29)</f>
        <v>906</v>
      </c>
      <c r="BQ30" s="154">
        <f>SUM($BQ$22:$BQ$29)</f>
        <v>288</v>
      </c>
      <c r="BR30" s="153">
        <f>SUM($BR$22:$BR$29)</f>
        <v>906</v>
      </c>
      <c r="BS30" s="154">
        <f>SUM($BS$22:$BS$29)</f>
        <v>288</v>
      </c>
      <c r="BT30" s="153">
        <f>SUM($BT$22:$BT$29)</f>
        <v>908</v>
      </c>
      <c r="BU30" s="154">
        <f>SUM($BU$22:$BU$29)</f>
        <v>288</v>
      </c>
      <c r="BV30" s="153">
        <f>SUM($BV$22:$BV$29)</f>
        <v>934</v>
      </c>
      <c r="BW30" s="154">
        <f>SUM($BW$22:$BW$29)</f>
        <v>288</v>
      </c>
      <c r="BX30" s="153">
        <f>SUM($BX$22:$BX$29)</f>
        <v>938</v>
      </c>
      <c r="BY30" s="154">
        <f>SUM($BY$22:$BY$29)</f>
        <v>288</v>
      </c>
      <c r="BZ30" s="153">
        <f>SUM($BZ$22:$BZ$29)</f>
        <v>947</v>
      </c>
      <c r="CA30" s="154">
        <f>SUM($CA$22:$CA$29)</f>
        <v>288</v>
      </c>
      <c r="CB30" s="153">
        <f>SUM($CB$22:$CB$29)</f>
        <v>960</v>
      </c>
      <c r="CC30" s="154">
        <f>SUM($CC$22:$CC$29)</f>
        <v>288</v>
      </c>
      <c r="CD30" s="153">
        <f>SUM($CD$22:$CD$29)</f>
        <v>961</v>
      </c>
      <c r="CE30" s="154">
        <f>SUM($CE$22:$CE$29)</f>
        <v>288</v>
      </c>
      <c r="CF30" s="153">
        <f>SUM($CF$22:$CF$29)</f>
        <v>961</v>
      </c>
      <c r="CG30" s="154">
        <f>SUM($CG$22:$CG$29)</f>
        <v>288</v>
      </c>
      <c r="CH30" s="155">
        <f ca="1">SUMPRODUCT(($A$20- WEEKDAY($A$20) + 6 =$B$20:$CG$20)*("実績"=$B$21:$CG$21),$B$30:$CG$30)/SUMPRODUCT(($A$20- WEEKDAY($A$20) + 6 =$B$20:$CG$20)*("予定"=$B$21:$CG$21),$B$30:$CG$30)</f>
        <v>0.41921397379912662</v>
      </c>
      <c r="CI30" s="156">
        <f>$CG$30/$CF$30</f>
        <v>0.29968782518210196</v>
      </c>
    </row>
  </sheetData>
  <mergeCells count="2">
    <mergeCell ref="CH3:CI3"/>
    <mergeCell ref="CH20:CI20"/>
  </mergeCells>
  <phoneticPr fontId="2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ガイド</vt:lpstr>
      <vt:lpstr>日次管理</vt:lpstr>
      <vt:lpstr>予実管理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森山 展成</dc:creator>
  <cp:lastModifiedBy>DII189</cp:lastModifiedBy>
  <cp:lastPrinted>2019-03-22T02:51:58Z</cp:lastPrinted>
  <dcterms:created xsi:type="dcterms:W3CDTF">1997-01-08T22:48:59Z</dcterms:created>
  <dcterms:modified xsi:type="dcterms:W3CDTF">2019-03-29T13:19:31Z</dcterms:modified>
</cp:coreProperties>
</file>