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425" codeName="{99F03F65-6EE5-B2FF-AC1D-F4DDD12603F5}"/>
  <fileSharing readOnlyRecommended="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bshi\Downloads\"/>
    </mc:Choice>
  </mc:AlternateContent>
  <xr:revisionPtr revIDLastSave="0" documentId="13_ncr:1_{B68C435B-E99C-47E8-845E-5221064D5E03}" xr6:coauthVersionLast="43" xr6:coauthVersionMax="43" xr10:uidLastSave="{00000000-0000-0000-0000-000000000000}"/>
  <bookViews>
    <workbookView xWindow="-110" yWindow="-110" windowWidth="19420" windowHeight="12420" tabRatio="525" activeTab="1" xr2:uid="{00000000-000D-0000-FFFF-FFFF00000000}"/>
  </bookViews>
  <sheets>
    <sheet name="ガイド" sheetId="21" r:id="rId1"/>
    <sheet name="日次管理" sheetId="17" r:id="rId2"/>
    <sheet name="予実管理" sheetId="25" r:id="rId3"/>
    <sheet name="予実管理_機能単位" sheetId="26" r:id="rId4"/>
  </sheets>
  <functionGroups builtInGroupCount="19"/>
  <definedNames>
    <definedName name="_xlnm._FilterDatabase" localSheetId="1" hidden="1">日次管理!$A$3:$Q$3</definedName>
  </definedNames>
  <calcPr calcId="191029"/>
  <customWorkbookViews>
    <customWorkbookView name="DII10172 - 個人用ビュー" guid="{8AFB005D-99E7-499E-A120-156A0EDF41A0}" mergeInterval="0" personalView="1" maximized="1" windowWidth="1276" windowHeight="538" tabRatio="411" activeSheetId="1"/>
    <customWorkbookView name="諏訪 洋一 - 個人用ビュー" guid="{57ADC195-94B3-4E80-ADF4-9DE2EA6E24D4}" mergeInterval="0" personalView="1" maximized="1" xWindow="-8" yWindow="-8" windowWidth="1936" windowHeight="1056" tabRatio="411" activeSheetId="2"/>
    <customWorkbookView name="TMP02403 - 個人用ビュー" guid="{5B824599-7422-4BEF-B6C9-B1346FFE3767}" mergeInterval="0" personalView="1" maximized="1" windowWidth="1676" windowHeight="794" tabRatio="411" activeSheetId="2"/>
    <customWorkbookView name="TMP02439 - 個人用ビュー" guid="{3FE2949A-1B55-45D5-8D70-E4751351BA04}" mergeInterval="0" personalView="1" maximized="1" windowWidth="1676" windowHeight="772" tabRatio="411" activeSheetId="2"/>
    <customWorkbookView name="DII10183 - 個人用ビュー" guid="{36928E36-9B02-4D5F-96F8-FC0BFDD0E95D}" mergeInterval="0" personalView="1" maximized="1" windowWidth="1302" windowHeight="672" tabRatio="411" activeSheetId="2"/>
    <customWorkbookView name="ルイ 紅建 - 個人用ビュー" guid="{00523DC3-E37D-4462-81FB-00E40301F3BF}" mergeInterval="0" personalView="1" maximized="1" xWindow="-8" yWindow="-8" windowWidth="1296" windowHeight="1000" tabRatio="411" activeSheetId="2"/>
    <customWorkbookView name="森山 展成 - 個人用ビュー" guid="{F9AEC056-FB60-47D6-8250-C4CC070C3A06}" mergeInterval="0" personalView="1" maximized="1" xWindow="-8" yWindow="-8" windowWidth="1936" windowHeight="1056" tabRatio="662" activeSheetId="3"/>
    <customWorkbookView name="郭 公羽 - 個人用ビュー" guid="{08FCF471-0DC7-4288-AE6D-786A7B5DF5C3}" mergeInterval="0" personalView="1" maximized="1" xWindow="-8" yWindow="-8" windowWidth="1296" windowHeight="1000" tabRatio="662" activeSheetId="2"/>
    <customWorkbookView name="TMP01729（JMAS西村（内線:3793）） - 個人用ビュー" guid="{95B55486-BD75-4985-9753-024EE2BF93BE}" mergeInterval="0" personalView="1" maximized="1" windowWidth="1362" windowHeight="520" tabRatio="411" activeSheetId="2"/>
    <customWorkbookView name="DII10303 - 個人用ビュー" guid="{F7C2C936-91B5-4B31-82ED-98507AFD645C}" mergeInterval="0" personalView="1" maximized="1" windowWidth="1282" windowHeight="669" tabRatio="411" activeSheetId="2"/>
    <customWorkbookView name="王 瑟琳 - 個人用ビュー" guid="{7093C8BF-2EC1-49AC-861D-8EFC794CADA5}" mergeInterval="0" personalView="1" maximized="1" xWindow="-8" yWindow="-8" windowWidth="1936" windowHeight="1096" tabRatio="411" activeSheetId="2"/>
    <customWorkbookView name="趙 見遅 - 個人用ビュー" guid="{7ECDAAC4-34F0-43A8-A4B2-130DA4AD5DD0}" mergeInterval="0" personalView="1" maximized="1" xWindow="-8" yWindow="-8" windowWidth="1936" windowHeight="1056" tabRatio="411" activeSheetId="2"/>
    <customWorkbookView name="Lib管理 - 個人用ビュー" guid="{6842B3AB-F41E-4932-9EBC-CFA0784D336D}" mergeInterval="0" personalView="1" maximized="1" xWindow="-8" yWindow="-8" windowWidth="1296" windowHeight="1000" tabRatio="411" activeSheetId="2"/>
    <customWorkbookView name="仲川 武志 - 個人用ビュー" guid="{C10C481D-786C-49EF-AF5B-F601FFA551BD}" mergeInterval="0" personalView="1" maximized="1" xWindow="-8" yWindow="-8" windowWidth="1936" windowHeight="1096" tabRatio="662" activeSheetId="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U84" i="26" l="1"/>
  <c r="CU83" i="26"/>
  <c r="CU82" i="26"/>
  <c r="CT84" i="26"/>
  <c r="CT83" i="26"/>
  <c r="CT82" i="26"/>
  <c r="CS84" i="26"/>
  <c r="CS83" i="26"/>
  <c r="CS82" i="26"/>
  <c r="CR84" i="26"/>
  <c r="CR83" i="26"/>
  <c r="CR82" i="26"/>
  <c r="CQ84" i="26"/>
  <c r="CQ83" i="26"/>
  <c r="CQ82" i="26"/>
  <c r="CP84" i="26"/>
  <c r="CP83" i="26"/>
  <c r="CP82" i="26"/>
  <c r="CO84" i="26"/>
  <c r="CO83" i="26"/>
  <c r="CO82" i="26"/>
  <c r="CN84" i="26"/>
  <c r="CN83" i="26"/>
  <c r="CN82" i="26"/>
  <c r="CM84" i="26"/>
  <c r="CM83" i="26"/>
  <c r="CM82" i="26"/>
  <c r="CL84" i="26"/>
  <c r="CL83" i="26"/>
  <c r="CL82" i="26"/>
  <c r="CK84" i="26"/>
  <c r="CK83" i="26"/>
  <c r="CK82" i="26"/>
  <c r="CJ84" i="26"/>
  <c r="CJ83" i="26"/>
  <c r="CJ82" i="26"/>
  <c r="CI84" i="26"/>
  <c r="CI83" i="26"/>
  <c r="CI82" i="26"/>
  <c r="CH84" i="26"/>
  <c r="CH83" i="26"/>
  <c r="CH82" i="26"/>
  <c r="CG84" i="26"/>
  <c r="CG83" i="26"/>
  <c r="CG82" i="26"/>
  <c r="CF84" i="26"/>
  <c r="CF83" i="26"/>
  <c r="CF82" i="26"/>
  <c r="CE84" i="26"/>
  <c r="CE83" i="26"/>
  <c r="CE82" i="26"/>
  <c r="CD84" i="26"/>
  <c r="CD83" i="26"/>
  <c r="CD82" i="26"/>
  <c r="CC84" i="26"/>
  <c r="CC83" i="26"/>
  <c r="CC82" i="26"/>
  <c r="CB84" i="26"/>
  <c r="CB83" i="26"/>
  <c r="CB82" i="26"/>
  <c r="CA84" i="26"/>
  <c r="CA83" i="26"/>
  <c r="CA82" i="26"/>
  <c r="BZ84" i="26"/>
  <c r="BZ83" i="26"/>
  <c r="BZ82" i="26"/>
  <c r="BY84" i="26"/>
  <c r="BY83" i="26"/>
  <c r="BY82" i="26"/>
  <c r="BX84" i="26"/>
  <c r="BX83" i="26"/>
  <c r="BX82" i="26"/>
  <c r="BW84" i="26"/>
  <c r="BW83" i="26"/>
  <c r="BW82" i="26"/>
  <c r="BV84" i="26"/>
  <c r="BV83" i="26"/>
  <c r="BV82" i="26"/>
  <c r="BU84" i="26"/>
  <c r="BU83" i="26"/>
  <c r="BU82" i="26"/>
  <c r="BT84" i="26"/>
  <c r="BT83" i="26"/>
  <c r="BT82" i="26"/>
  <c r="BT85" i="26" s="1"/>
  <c r="BS84" i="26"/>
  <c r="BS83" i="26"/>
  <c r="BS82" i="26"/>
  <c r="BR84" i="26"/>
  <c r="BR83" i="26"/>
  <c r="BR82" i="26"/>
  <c r="BQ84" i="26"/>
  <c r="BQ83" i="26"/>
  <c r="BQ82" i="26"/>
  <c r="BP84" i="26"/>
  <c r="BP83" i="26"/>
  <c r="BP82" i="26"/>
  <c r="BP85" i="26" s="1"/>
  <c r="BO84" i="26"/>
  <c r="BO83" i="26"/>
  <c r="BO82" i="26"/>
  <c r="BN84" i="26"/>
  <c r="BN83" i="26"/>
  <c r="BN82" i="26"/>
  <c r="BM84" i="26"/>
  <c r="BM83" i="26"/>
  <c r="BM82" i="26"/>
  <c r="BL84" i="26"/>
  <c r="BL83" i="26"/>
  <c r="BL82" i="26"/>
  <c r="BK84" i="26"/>
  <c r="BK83" i="26"/>
  <c r="BK82" i="26"/>
  <c r="BJ84" i="26"/>
  <c r="BJ83" i="26"/>
  <c r="BJ82" i="26"/>
  <c r="BI84" i="26"/>
  <c r="BI83" i="26"/>
  <c r="BI82" i="26"/>
  <c r="BH84" i="26"/>
  <c r="BH83" i="26"/>
  <c r="BH82" i="26"/>
  <c r="BH85" i="26" s="1"/>
  <c r="BG84" i="26"/>
  <c r="BG83" i="26"/>
  <c r="BG82" i="26"/>
  <c r="BF84" i="26"/>
  <c r="BF83" i="26"/>
  <c r="BF82" i="26"/>
  <c r="BE84" i="26"/>
  <c r="BE83" i="26"/>
  <c r="BE82" i="26"/>
  <c r="BD84" i="26"/>
  <c r="BD83" i="26"/>
  <c r="BD82" i="26"/>
  <c r="BD85" i="26" s="1"/>
  <c r="BC84" i="26"/>
  <c r="BC83" i="26"/>
  <c r="BC82" i="26"/>
  <c r="BB84" i="26"/>
  <c r="BB83" i="26"/>
  <c r="BB82" i="26"/>
  <c r="BA84" i="26"/>
  <c r="BA83" i="26"/>
  <c r="BA82" i="26"/>
  <c r="BA85" i="26" s="1"/>
  <c r="AZ84" i="26"/>
  <c r="AZ83" i="26"/>
  <c r="AZ82" i="26"/>
  <c r="AY84" i="26"/>
  <c r="AY83" i="26"/>
  <c r="AY82" i="26"/>
  <c r="AX84" i="26"/>
  <c r="AX83" i="26"/>
  <c r="AX82" i="26"/>
  <c r="AW84" i="26"/>
  <c r="AW83" i="26"/>
  <c r="AW82" i="26"/>
  <c r="AW85" i="26" s="1"/>
  <c r="AV84" i="26"/>
  <c r="AV83" i="26"/>
  <c r="AV82" i="26"/>
  <c r="AU84" i="26"/>
  <c r="AU83" i="26"/>
  <c r="AU82" i="26"/>
  <c r="AT84" i="26"/>
  <c r="AT83" i="26"/>
  <c r="AT82" i="26"/>
  <c r="AS84" i="26"/>
  <c r="AS83" i="26"/>
  <c r="AS82" i="26"/>
  <c r="AS85" i="26" s="1"/>
  <c r="AR84" i="26"/>
  <c r="AR83" i="26"/>
  <c r="AR82" i="26"/>
  <c r="AQ84" i="26"/>
  <c r="AQ83" i="26"/>
  <c r="AQ82" i="26"/>
  <c r="AP84" i="26"/>
  <c r="AP83" i="26"/>
  <c r="AP82" i="26"/>
  <c r="AO84" i="26"/>
  <c r="AO83" i="26"/>
  <c r="AO82" i="26"/>
  <c r="AO85" i="26" s="1"/>
  <c r="AN84" i="26"/>
  <c r="AN83" i="26"/>
  <c r="AN82" i="26"/>
  <c r="AM84" i="26"/>
  <c r="AM83" i="26"/>
  <c r="AM82" i="26"/>
  <c r="AL84" i="26"/>
  <c r="AL83" i="26"/>
  <c r="AL82" i="26"/>
  <c r="AK84" i="26"/>
  <c r="AK83" i="26"/>
  <c r="AK82" i="26"/>
  <c r="AK85" i="26" s="1"/>
  <c r="AJ84" i="26"/>
  <c r="AJ83" i="26"/>
  <c r="AJ82" i="26"/>
  <c r="AI84" i="26"/>
  <c r="AI83" i="26"/>
  <c r="AI82" i="26"/>
  <c r="AH84" i="26"/>
  <c r="AH83" i="26"/>
  <c r="AH82" i="26"/>
  <c r="AG84" i="26"/>
  <c r="AG83" i="26"/>
  <c r="AG82" i="26"/>
  <c r="AG85" i="26" s="1"/>
  <c r="AF84" i="26"/>
  <c r="AF83" i="26"/>
  <c r="AF82" i="26"/>
  <c r="AE84" i="26"/>
  <c r="AE83" i="26"/>
  <c r="AE82" i="26"/>
  <c r="AD84" i="26"/>
  <c r="AD83" i="26"/>
  <c r="AD82" i="26"/>
  <c r="AC84" i="26"/>
  <c r="AC83" i="26"/>
  <c r="AC82" i="26"/>
  <c r="AC85" i="26" s="1"/>
  <c r="AB84" i="26"/>
  <c r="AB83" i="26"/>
  <c r="AB82" i="26"/>
  <c r="AA84" i="26"/>
  <c r="AA83" i="26"/>
  <c r="AA82" i="26"/>
  <c r="Z84" i="26"/>
  <c r="Z83" i="26"/>
  <c r="Z82" i="26"/>
  <c r="Y84" i="26"/>
  <c r="Y83" i="26"/>
  <c r="Y82" i="26"/>
  <c r="Y85" i="26" s="1"/>
  <c r="X84" i="26"/>
  <c r="X83" i="26"/>
  <c r="X82" i="26"/>
  <c r="W84" i="26"/>
  <c r="W83" i="26"/>
  <c r="W82" i="26"/>
  <c r="V84" i="26"/>
  <c r="V83" i="26"/>
  <c r="V82" i="26"/>
  <c r="U84" i="26"/>
  <c r="U83" i="26"/>
  <c r="U82" i="26"/>
  <c r="U85" i="26" s="1"/>
  <c r="T84" i="26"/>
  <c r="T83" i="26"/>
  <c r="T82" i="26"/>
  <c r="S84" i="26"/>
  <c r="S83" i="26"/>
  <c r="S82" i="26"/>
  <c r="R84" i="26"/>
  <c r="R83" i="26"/>
  <c r="R82" i="26"/>
  <c r="Q84" i="26"/>
  <c r="Q83" i="26"/>
  <c r="Q82" i="26"/>
  <c r="Q85" i="26" s="1"/>
  <c r="P84" i="26"/>
  <c r="P83" i="26"/>
  <c r="P82" i="26"/>
  <c r="O84" i="26"/>
  <c r="O83" i="26"/>
  <c r="O82" i="26"/>
  <c r="N84" i="26"/>
  <c r="N83" i="26"/>
  <c r="N82" i="26"/>
  <c r="M84" i="26"/>
  <c r="M83" i="26"/>
  <c r="M82" i="26"/>
  <c r="M85" i="26" s="1"/>
  <c r="L84" i="26"/>
  <c r="L83" i="26"/>
  <c r="L82" i="26"/>
  <c r="K84" i="26"/>
  <c r="K83" i="26"/>
  <c r="K82" i="26"/>
  <c r="J84" i="26"/>
  <c r="J83" i="26"/>
  <c r="J82" i="26"/>
  <c r="I84" i="26"/>
  <c r="I83" i="26"/>
  <c r="I82" i="26"/>
  <c r="I85" i="26" s="1"/>
  <c r="H84" i="26"/>
  <c r="H83" i="26"/>
  <c r="H82" i="26"/>
  <c r="G84" i="26"/>
  <c r="G83" i="26"/>
  <c r="G82" i="26"/>
  <c r="F84" i="26"/>
  <c r="F83" i="26"/>
  <c r="F82" i="26"/>
  <c r="E84" i="26"/>
  <c r="E83" i="26"/>
  <c r="E82" i="26"/>
  <c r="E85" i="26" s="1"/>
  <c r="D84" i="26"/>
  <c r="D83" i="26"/>
  <c r="D82" i="26"/>
  <c r="C84" i="26"/>
  <c r="C83" i="26"/>
  <c r="C82" i="26"/>
  <c r="B84" i="26"/>
  <c r="B83" i="26"/>
  <c r="B82" i="26"/>
  <c r="A80" i="26"/>
  <c r="CU76" i="26"/>
  <c r="CU75" i="26"/>
  <c r="CU74" i="26"/>
  <c r="CT76" i="26"/>
  <c r="CT75" i="26"/>
  <c r="CT74" i="26"/>
  <c r="CT77" i="26" s="1"/>
  <c r="CS76" i="26"/>
  <c r="CS75" i="26"/>
  <c r="CS74" i="26"/>
  <c r="CR76" i="26"/>
  <c r="CR75" i="26"/>
  <c r="CR74" i="26"/>
  <c r="CQ76" i="26"/>
  <c r="CQ75" i="26"/>
  <c r="CQ74" i="26"/>
  <c r="CP76" i="26"/>
  <c r="CP75" i="26"/>
  <c r="CP74" i="26"/>
  <c r="CP77" i="26" s="1"/>
  <c r="CO76" i="26"/>
  <c r="CO75" i="26"/>
  <c r="CO74" i="26"/>
  <c r="CN76" i="26"/>
  <c r="CN75" i="26"/>
  <c r="CN74" i="26"/>
  <c r="CM76" i="26"/>
  <c r="CM75" i="26"/>
  <c r="CM74" i="26"/>
  <c r="CL76" i="26"/>
  <c r="CL75" i="26"/>
  <c r="CL74" i="26"/>
  <c r="CL77" i="26" s="1"/>
  <c r="CK76" i="26"/>
  <c r="CK75" i="26"/>
  <c r="CK74" i="26"/>
  <c r="CJ76" i="26"/>
  <c r="CJ75" i="26"/>
  <c r="CJ74" i="26"/>
  <c r="CI76" i="26"/>
  <c r="CI75" i="26"/>
  <c r="CI74" i="26"/>
  <c r="CH76" i="26"/>
  <c r="CH75" i="26"/>
  <c r="CH74" i="26"/>
  <c r="CH77" i="26" s="1"/>
  <c r="CG76" i="26"/>
  <c r="CG75" i="26"/>
  <c r="CG74" i="26"/>
  <c r="CF76" i="26"/>
  <c r="CF75" i="26"/>
  <c r="CF74" i="26"/>
  <c r="CE76" i="26"/>
  <c r="CE75" i="26"/>
  <c r="CE74" i="26"/>
  <c r="CD76" i="26"/>
  <c r="CD75" i="26"/>
  <c r="CD74" i="26"/>
  <c r="CD77" i="26" s="1"/>
  <c r="CC76" i="26"/>
  <c r="CC75" i="26"/>
  <c r="CC74" i="26"/>
  <c r="CB76" i="26"/>
  <c r="CB75" i="26"/>
  <c r="CB74" i="26"/>
  <c r="CA76" i="26"/>
  <c r="CA75" i="26"/>
  <c r="CA74" i="26"/>
  <c r="BZ76" i="26"/>
  <c r="BZ75" i="26"/>
  <c r="BZ74" i="26"/>
  <c r="BZ77" i="26" s="1"/>
  <c r="BY76" i="26"/>
  <c r="BY75" i="26"/>
  <c r="BY74" i="26"/>
  <c r="BX76" i="26"/>
  <c r="BX75" i="26"/>
  <c r="BX74" i="26"/>
  <c r="BW76" i="26"/>
  <c r="BW75" i="26"/>
  <c r="BW74" i="26"/>
  <c r="BV76" i="26"/>
  <c r="BV75" i="26"/>
  <c r="BV74" i="26"/>
  <c r="BV77" i="26" s="1"/>
  <c r="BU76" i="26"/>
  <c r="BU75" i="26"/>
  <c r="BU74" i="26"/>
  <c r="BT76" i="26"/>
  <c r="BT75" i="26"/>
  <c r="BT74" i="26"/>
  <c r="BS76" i="26"/>
  <c r="BS75" i="26"/>
  <c r="BS74" i="26"/>
  <c r="BR76" i="26"/>
  <c r="BR75" i="26"/>
  <c r="BR74" i="26"/>
  <c r="BR77" i="26" s="1"/>
  <c r="BQ76" i="26"/>
  <c r="BQ75" i="26"/>
  <c r="BQ74" i="26"/>
  <c r="BP76" i="26"/>
  <c r="BP75" i="26"/>
  <c r="BP74" i="26"/>
  <c r="BO76" i="26"/>
  <c r="BO75" i="26"/>
  <c r="BO74" i="26"/>
  <c r="BN76" i="26"/>
  <c r="BN75" i="26"/>
  <c r="BN74" i="26"/>
  <c r="BM76" i="26"/>
  <c r="BM75" i="26"/>
  <c r="BM74" i="26"/>
  <c r="BL76" i="26"/>
  <c r="BL75" i="26"/>
  <c r="BL74" i="26"/>
  <c r="BK76" i="26"/>
  <c r="BK75" i="26"/>
  <c r="BK74" i="26"/>
  <c r="BJ76" i="26"/>
  <c r="BJ75" i="26"/>
  <c r="BJ74" i="26"/>
  <c r="BJ77" i="26" s="1"/>
  <c r="BI76" i="26"/>
  <c r="BI75" i="26"/>
  <c r="BI74" i="26"/>
  <c r="BH76" i="26"/>
  <c r="BH75" i="26"/>
  <c r="BH74" i="26"/>
  <c r="BG76" i="26"/>
  <c r="BG75" i="26"/>
  <c r="BG74" i="26"/>
  <c r="BF76" i="26"/>
  <c r="BF75" i="26"/>
  <c r="BF74" i="26"/>
  <c r="BF77" i="26" s="1"/>
  <c r="BE76" i="26"/>
  <c r="BE75" i="26"/>
  <c r="BE74" i="26"/>
  <c r="BD76" i="26"/>
  <c r="BD75" i="26"/>
  <c r="BD74" i="26"/>
  <c r="BC76" i="26"/>
  <c r="BC75" i="26"/>
  <c r="BC74" i="26"/>
  <c r="BB76" i="26"/>
  <c r="BB75" i="26"/>
  <c r="BB74" i="26"/>
  <c r="BB77" i="26" s="1"/>
  <c r="BA76" i="26"/>
  <c r="BA75" i="26"/>
  <c r="BA74" i="26"/>
  <c r="AZ76" i="26"/>
  <c r="AZ75" i="26"/>
  <c r="AZ74" i="26"/>
  <c r="AY76" i="26"/>
  <c r="AY75" i="26"/>
  <c r="AY74" i="26"/>
  <c r="AX76" i="26"/>
  <c r="AX75" i="26"/>
  <c r="AX74" i="26"/>
  <c r="AX77" i="26" s="1"/>
  <c r="AW76" i="26"/>
  <c r="AW75" i="26"/>
  <c r="AW74" i="26"/>
  <c r="AV76" i="26"/>
  <c r="AV75" i="26"/>
  <c r="AV74" i="26"/>
  <c r="AU76" i="26"/>
  <c r="AU75" i="26"/>
  <c r="AU74" i="26"/>
  <c r="AT76" i="26"/>
  <c r="AT75" i="26"/>
  <c r="AT74" i="26"/>
  <c r="AT77" i="26" s="1"/>
  <c r="AS76" i="26"/>
  <c r="AS75" i="26"/>
  <c r="AS74" i="26"/>
  <c r="AR76" i="26"/>
  <c r="AR75" i="26"/>
  <c r="AR74" i="26"/>
  <c r="AQ76" i="26"/>
  <c r="AQ75" i="26"/>
  <c r="AQ74" i="26"/>
  <c r="AP76" i="26"/>
  <c r="AP75" i="26"/>
  <c r="AP74" i="26"/>
  <c r="AP77" i="26" s="1"/>
  <c r="AO76" i="26"/>
  <c r="AO75" i="26"/>
  <c r="AO74" i="26"/>
  <c r="AN76" i="26"/>
  <c r="AN75" i="26"/>
  <c r="AN74" i="26"/>
  <c r="AM76" i="26"/>
  <c r="AM75" i="26"/>
  <c r="AM74" i="26"/>
  <c r="AL76" i="26"/>
  <c r="AL75" i="26"/>
  <c r="AL74" i="26"/>
  <c r="AL77" i="26" s="1"/>
  <c r="AK76" i="26"/>
  <c r="AK75" i="26"/>
  <c r="AK74" i="26"/>
  <c r="AJ76" i="26"/>
  <c r="AJ75" i="26"/>
  <c r="AJ74" i="26"/>
  <c r="AI76" i="26"/>
  <c r="AI75" i="26"/>
  <c r="AI74" i="26"/>
  <c r="AH76" i="26"/>
  <c r="AH75" i="26"/>
  <c r="AH74" i="26"/>
  <c r="AH77" i="26" s="1"/>
  <c r="AG76" i="26"/>
  <c r="AG75" i="26"/>
  <c r="AG74" i="26"/>
  <c r="AF76" i="26"/>
  <c r="AF75" i="26"/>
  <c r="AF74" i="26"/>
  <c r="AE76" i="26"/>
  <c r="AE75" i="26"/>
  <c r="AE74" i="26"/>
  <c r="AD76" i="26"/>
  <c r="AD75" i="26"/>
  <c r="AD74" i="26"/>
  <c r="AD77" i="26" s="1"/>
  <c r="AC76" i="26"/>
  <c r="AC75" i="26"/>
  <c r="AC74" i="26"/>
  <c r="AB76" i="26"/>
  <c r="AB75" i="26"/>
  <c r="AB74" i="26"/>
  <c r="AA76" i="26"/>
  <c r="AA75" i="26"/>
  <c r="AA74" i="26"/>
  <c r="Z76" i="26"/>
  <c r="Z75" i="26"/>
  <c r="Z74" i="26"/>
  <c r="Z77" i="26" s="1"/>
  <c r="Y76" i="26"/>
  <c r="Y75" i="26"/>
  <c r="Y74" i="26"/>
  <c r="X76" i="26"/>
  <c r="X75" i="26"/>
  <c r="X74" i="26"/>
  <c r="W76" i="26"/>
  <c r="W75" i="26"/>
  <c r="W74" i="26"/>
  <c r="V76" i="26"/>
  <c r="V75" i="26"/>
  <c r="V74" i="26"/>
  <c r="V77" i="26" s="1"/>
  <c r="U76" i="26"/>
  <c r="U75" i="26"/>
  <c r="U74" i="26"/>
  <c r="T76" i="26"/>
  <c r="T75" i="26"/>
  <c r="T74" i="26"/>
  <c r="S76" i="26"/>
  <c r="S75" i="26"/>
  <c r="S74" i="26"/>
  <c r="R76" i="26"/>
  <c r="R75" i="26"/>
  <c r="R74" i="26"/>
  <c r="R77" i="26" s="1"/>
  <c r="Q76" i="26"/>
  <c r="Q75" i="26"/>
  <c r="Q74" i="26"/>
  <c r="P76" i="26"/>
  <c r="P75" i="26"/>
  <c r="P74" i="26"/>
  <c r="O76" i="26"/>
  <c r="O75" i="26"/>
  <c r="O74" i="26"/>
  <c r="N76" i="26"/>
  <c r="N75" i="26"/>
  <c r="N74" i="26"/>
  <c r="N77" i="26" s="1"/>
  <c r="M76" i="26"/>
  <c r="M75" i="26"/>
  <c r="M74" i="26"/>
  <c r="L76" i="26"/>
  <c r="L75" i="26"/>
  <c r="L74" i="26"/>
  <c r="K76" i="26"/>
  <c r="K75" i="26"/>
  <c r="K74" i="26"/>
  <c r="J76" i="26"/>
  <c r="J75" i="26"/>
  <c r="J74" i="26"/>
  <c r="J77" i="26" s="1"/>
  <c r="I76" i="26"/>
  <c r="I75" i="26"/>
  <c r="I74" i="26"/>
  <c r="H76" i="26"/>
  <c r="H75" i="26"/>
  <c r="H74" i="26"/>
  <c r="G76" i="26"/>
  <c r="G75" i="26"/>
  <c r="G74" i="26"/>
  <c r="F76" i="26"/>
  <c r="F75" i="26"/>
  <c r="F74" i="26"/>
  <c r="F77" i="26" s="1"/>
  <c r="E76" i="26"/>
  <c r="E75" i="26"/>
  <c r="E74" i="26"/>
  <c r="D76" i="26"/>
  <c r="D75" i="26"/>
  <c r="D74" i="26"/>
  <c r="C76" i="26"/>
  <c r="C75" i="26"/>
  <c r="C74" i="26"/>
  <c r="B76" i="26"/>
  <c r="B75" i="26"/>
  <c r="B74" i="26"/>
  <c r="B77" i="26" s="1"/>
  <c r="A72" i="26"/>
  <c r="CU66" i="26"/>
  <c r="CU67" i="26" s="1"/>
  <c r="CT66" i="26"/>
  <c r="CT67" i="26" s="1"/>
  <c r="CS66" i="26"/>
  <c r="CS67" i="26" s="1"/>
  <c r="CR66" i="26"/>
  <c r="CR67" i="26" s="1"/>
  <c r="CQ66" i="26"/>
  <c r="CQ67" i="26" s="1"/>
  <c r="CP66" i="26"/>
  <c r="CP67" i="26" s="1"/>
  <c r="CO66" i="26"/>
  <c r="CO67" i="26" s="1"/>
  <c r="CN66" i="26"/>
  <c r="CN67" i="26" s="1"/>
  <c r="CM66" i="26"/>
  <c r="CM67" i="26" s="1"/>
  <c r="CL66" i="26"/>
  <c r="CL67" i="26" s="1"/>
  <c r="CK66" i="26"/>
  <c r="CK67" i="26" s="1"/>
  <c r="CJ66" i="26"/>
  <c r="CJ67" i="26" s="1"/>
  <c r="CI66" i="26"/>
  <c r="CI67" i="26" s="1"/>
  <c r="CH66" i="26"/>
  <c r="CH67" i="26" s="1"/>
  <c r="CG66" i="26"/>
  <c r="CG67" i="26" s="1"/>
  <c r="CF66" i="26"/>
  <c r="CF67" i="26" s="1"/>
  <c r="CE66" i="26"/>
  <c r="CE67" i="26" s="1"/>
  <c r="CD66" i="26"/>
  <c r="CD67" i="26" s="1"/>
  <c r="CC66" i="26"/>
  <c r="CC67" i="26" s="1"/>
  <c r="CB66" i="26"/>
  <c r="CB67" i="26" s="1"/>
  <c r="CA66" i="26"/>
  <c r="CA67" i="26" s="1"/>
  <c r="BZ66" i="26"/>
  <c r="BZ67" i="26" s="1"/>
  <c r="BY66" i="26"/>
  <c r="BY67" i="26" s="1"/>
  <c r="BX66" i="26"/>
  <c r="BX67" i="26" s="1"/>
  <c r="BW66" i="26"/>
  <c r="BW67" i="26" s="1"/>
  <c r="BV66" i="26"/>
  <c r="BV67" i="26" s="1"/>
  <c r="BU66" i="26"/>
  <c r="BU67" i="26" s="1"/>
  <c r="BT66" i="26"/>
  <c r="BT67" i="26" s="1"/>
  <c r="BS66" i="26"/>
  <c r="BS67" i="26" s="1"/>
  <c r="BR66" i="26"/>
  <c r="BR67" i="26" s="1"/>
  <c r="BQ66" i="26"/>
  <c r="BQ67" i="26" s="1"/>
  <c r="BP66" i="26"/>
  <c r="BP67" i="26" s="1"/>
  <c r="BO66" i="26"/>
  <c r="BO67" i="26" s="1"/>
  <c r="BN66" i="26"/>
  <c r="BN67" i="26" s="1"/>
  <c r="BM66" i="26"/>
  <c r="BM67" i="26" s="1"/>
  <c r="BL66" i="26"/>
  <c r="BL67" i="26" s="1"/>
  <c r="BK66" i="26"/>
  <c r="BK67" i="26" s="1"/>
  <c r="BJ66" i="26"/>
  <c r="BJ67" i="26" s="1"/>
  <c r="BI66" i="26"/>
  <c r="BI67" i="26" s="1"/>
  <c r="BH66" i="26"/>
  <c r="BH67" i="26" s="1"/>
  <c r="BG66" i="26"/>
  <c r="BG67" i="26" s="1"/>
  <c r="BF66" i="26"/>
  <c r="BF67" i="26" s="1"/>
  <c r="BE66" i="26"/>
  <c r="BE67" i="26" s="1"/>
  <c r="BD66" i="26"/>
  <c r="BD67" i="26" s="1"/>
  <c r="BC66" i="26"/>
  <c r="BC67" i="26" s="1"/>
  <c r="BB66" i="26"/>
  <c r="BB67" i="26" s="1"/>
  <c r="BA66" i="26"/>
  <c r="BA67" i="26" s="1"/>
  <c r="AZ66" i="26"/>
  <c r="AZ67" i="26" s="1"/>
  <c r="AY66" i="26"/>
  <c r="AY67" i="26" s="1"/>
  <c r="AX66" i="26"/>
  <c r="AX67" i="26" s="1"/>
  <c r="AW67" i="26"/>
  <c r="AW66" i="26"/>
  <c r="AV66" i="26"/>
  <c r="AV67" i="26" s="1"/>
  <c r="AU66" i="26"/>
  <c r="AU67" i="26" s="1"/>
  <c r="AT66" i="26"/>
  <c r="AT67" i="26" s="1"/>
  <c r="AS66" i="26"/>
  <c r="AS67" i="26" s="1"/>
  <c r="AR66" i="26"/>
  <c r="AR67" i="26" s="1"/>
  <c r="AQ66" i="26"/>
  <c r="AQ67" i="26" s="1"/>
  <c r="AP66" i="26"/>
  <c r="AP67" i="26" s="1"/>
  <c r="AO66" i="26"/>
  <c r="AO67" i="26" s="1"/>
  <c r="AN66" i="26"/>
  <c r="AN67" i="26" s="1"/>
  <c r="AM66" i="26"/>
  <c r="AM67" i="26" s="1"/>
  <c r="AL66" i="26"/>
  <c r="AL67" i="26" s="1"/>
  <c r="AK66" i="26"/>
  <c r="AK67" i="26" s="1"/>
  <c r="AJ66" i="26"/>
  <c r="AJ67" i="26" s="1"/>
  <c r="AI66" i="26"/>
  <c r="AI67" i="26" s="1"/>
  <c r="AH66" i="26"/>
  <c r="AH67" i="26" s="1"/>
  <c r="AG66" i="26"/>
  <c r="AG67" i="26" s="1"/>
  <c r="AF66" i="26"/>
  <c r="AF67" i="26" s="1"/>
  <c r="AE66" i="26"/>
  <c r="AE67" i="26" s="1"/>
  <c r="AD66" i="26"/>
  <c r="AD67" i="26" s="1"/>
  <c r="AC66" i="26"/>
  <c r="AC67" i="26" s="1"/>
  <c r="AB66" i="26"/>
  <c r="AB67" i="26" s="1"/>
  <c r="AA66" i="26"/>
  <c r="AA67" i="26" s="1"/>
  <c r="Z66" i="26"/>
  <c r="Z67" i="26" s="1"/>
  <c r="Y66" i="26"/>
  <c r="Y67" i="26" s="1"/>
  <c r="X66" i="26"/>
  <c r="X67" i="26" s="1"/>
  <c r="W66" i="26"/>
  <c r="W67" i="26" s="1"/>
  <c r="V66" i="26"/>
  <c r="V67" i="26" s="1"/>
  <c r="U66" i="26"/>
  <c r="U67" i="26" s="1"/>
  <c r="T66" i="26"/>
  <c r="T67" i="26" s="1"/>
  <c r="S66" i="26"/>
  <c r="S67" i="26" s="1"/>
  <c r="R66" i="26"/>
  <c r="R67" i="26" s="1"/>
  <c r="Q66" i="26"/>
  <c r="Q67" i="26" s="1"/>
  <c r="P66" i="26"/>
  <c r="P67" i="26" s="1"/>
  <c r="O66" i="26"/>
  <c r="O67" i="26" s="1"/>
  <c r="N66" i="26"/>
  <c r="N67" i="26" s="1"/>
  <c r="M66" i="26"/>
  <c r="M67" i="26" s="1"/>
  <c r="L66" i="26"/>
  <c r="L67" i="26" s="1"/>
  <c r="K66" i="26"/>
  <c r="K67" i="26" s="1"/>
  <c r="J66" i="26"/>
  <c r="J67" i="26" s="1"/>
  <c r="I66" i="26"/>
  <c r="I67" i="26" s="1"/>
  <c r="H66" i="26"/>
  <c r="H67" i="26" s="1"/>
  <c r="G66" i="26"/>
  <c r="G67" i="26" s="1"/>
  <c r="F66" i="26"/>
  <c r="F67" i="26" s="1"/>
  <c r="E66" i="26"/>
  <c r="E67" i="26" s="1"/>
  <c r="D66" i="26"/>
  <c r="D67" i="26" s="1"/>
  <c r="C66" i="26"/>
  <c r="C67" i="26" s="1"/>
  <c r="B66" i="26"/>
  <c r="B67" i="26" s="1"/>
  <c r="A64" i="26"/>
  <c r="CU60" i="26"/>
  <c r="CT60" i="26"/>
  <c r="CT61" i="26" s="1"/>
  <c r="CS60" i="26"/>
  <c r="CS61" i="26" s="1"/>
  <c r="CR60" i="26"/>
  <c r="CR61" i="26" s="1"/>
  <c r="CQ60" i="26"/>
  <c r="CQ61" i="26" s="1"/>
  <c r="CP60" i="26"/>
  <c r="CP61" i="26" s="1"/>
  <c r="CO60" i="26"/>
  <c r="CO61" i="26" s="1"/>
  <c r="CN60" i="26"/>
  <c r="CN61" i="26" s="1"/>
  <c r="CM60" i="26"/>
  <c r="CM61" i="26" s="1"/>
  <c r="CL60" i="26"/>
  <c r="CL61" i="26" s="1"/>
  <c r="CK60" i="26"/>
  <c r="CK61" i="26" s="1"/>
  <c r="CJ61" i="26"/>
  <c r="CJ60" i="26"/>
  <c r="CI60" i="26"/>
  <c r="CI61" i="26" s="1"/>
  <c r="CH60" i="26"/>
  <c r="CH61" i="26" s="1"/>
  <c r="CG60" i="26"/>
  <c r="CG61" i="26" s="1"/>
  <c r="CF60" i="26"/>
  <c r="CF61" i="26" s="1"/>
  <c r="CE60" i="26"/>
  <c r="CE61" i="26" s="1"/>
  <c r="CD60" i="26"/>
  <c r="CD61" i="26" s="1"/>
  <c r="CC60" i="26"/>
  <c r="CC61" i="26" s="1"/>
  <c r="CB60" i="26"/>
  <c r="CB61" i="26" s="1"/>
  <c r="CA60" i="26"/>
  <c r="CA61" i="26" s="1"/>
  <c r="BZ60" i="26"/>
  <c r="BZ61" i="26" s="1"/>
  <c r="BY60" i="26"/>
  <c r="BY61" i="26" s="1"/>
  <c r="BX60" i="26"/>
  <c r="BX61" i="26" s="1"/>
  <c r="BW60" i="26"/>
  <c r="BW61" i="26" s="1"/>
  <c r="BV60" i="26"/>
  <c r="BV61" i="26" s="1"/>
  <c r="BU60" i="26"/>
  <c r="BU61" i="26" s="1"/>
  <c r="BT60" i="26"/>
  <c r="BT61" i="26" s="1"/>
  <c r="BS60" i="26"/>
  <c r="BS61" i="26" s="1"/>
  <c r="BR60" i="26"/>
  <c r="BR61" i="26" s="1"/>
  <c r="BQ60" i="26"/>
  <c r="BQ61" i="26" s="1"/>
  <c r="BP60" i="26"/>
  <c r="BP61" i="26" s="1"/>
  <c r="BO60" i="26"/>
  <c r="BO61" i="26" s="1"/>
  <c r="BN60" i="26"/>
  <c r="BN61" i="26" s="1"/>
  <c r="BM60" i="26"/>
  <c r="BM61" i="26" s="1"/>
  <c r="BL60" i="26"/>
  <c r="BL61" i="26" s="1"/>
  <c r="BK60" i="26"/>
  <c r="BK61" i="26" s="1"/>
  <c r="BJ60" i="26"/>
  <c r="BJ61" i="26" s="1"/>
  <c r="BI60" i="26"/>
  <c r="BI61" i="26" s="1"/>
  <c r="BH60" i="26"/>
  <c r="BH61" i="26" s="1"/>
  <c r="BG60" i="26"/>
  <c r="BG61" i="26" s="1"/>
  <c r="BF60" i="26"/>
  <c r="BF61" i="26" s="1"/>
  <c r="BE60" i="26"/>
  <c r="BE61" i="26" s="1"/>
  <c r="BD60" i="26"/>
  <c r="BD61" i="26" s="1"/>
  <c r="BC60" i="26"/>
  <c r="BC61" i="26" s="1"/>
  <c r="BB60" i="26"/>
  <c r="BB61" i="26" s="1"/>
  <c r="BA60" i="26"/>
  <c r="BA61" i="26" s="1"/>
  <c r="AZ60" i="26"/>
  <c r="AZ61" i="26" s="1"/>
  <c r="AY60" i="26"/>
  <c r="AY61" i="26" s="1"/>
  <c r="AX60" i="26"/>
  <c r="AX61" i="26" s="1"/>
  <c r="AW60" i="26"/>
  <c r="AW61" i="26" s="1"/>
  <c r="AV60" i="26"/>
  <c r="AV61" i="26" s="1"/>
  <c r="AU60" i="26"/>
  <c r="AU61" i="26" s="1"/>
  <c r="AT60" i="26"/>
  <c r="AT61" i="26" s="1"/>
  <c r="AS60" i="26"/>
  <c r="AS61" i="26" s="1"/>
  <c r="AR60" i="26"/>
  <c r="AR61" i="26" s="1"/>
  <c r="AQ60" i="26"/>
  <c r="AQ61" i="26" s="1"/>
  <c r="AP61" i="26"/>
  <c r="AP60" i="26"/>
  <c r="AO60" i="26"/>
  <c r="AO61" i="26" s="1"/>
  <c r="AN60" i="26"/>
  <c r="AN61" i="26" s="1"/>
  <c r="AM60" i="26"/>
  <c r="AM61" i="26" s="1"/>
  <c r="AL60" i="26"/>
  <c r="AL61" i="26" s="1"/>
  <c r="AK60" i="26"/>
  <c r="AK61" i="26" s="1"/>
  <c r="AJ60" i="26"/>
  <c r="AJ61" i="26" s="1"/>
  <c r="AI60" i="26"/>
  <c r="AI61" i="26" s="1"/>
  <c r="AH60" i="26"/>
  <c r="AH61" i="26" s="1"/>
  <c r="AG60" i="26"/>
  <c r="AG61" i="26" s="1"/>
  <c r="AF60" i="26"/>
  <c r="AF61" i="26" s="1"/>
  <c r="AE60" i="26"/>
  <c r="AE61" i="26" s="1"/>
  <c r="AD60" i="26"/>
  <c r="AD61" i="26" s="1"/>
  <c r="AC60" i="26"/>
  <c r="AC61" i="26" s="1"/>
  <c r="AB60" i="26"/>
  <c r="AB61" i="26" s="1"/>
  <c r="AA60" i="26"/>
  <c r="AA61" i="26" s="1"/>
  <c r="Z60" i="26"/>
  <c r="Z61" i="26" s="1"/>
  <c r="Y60" i="26"/>
  <c r="Y61" i="26" s="1"/>
  <c r="X60" i="26"/>
  <c r="X61" i="26" s="1"/>
  <c r="W60" i="26"/>
  <c r="W61" i="26" s="1"/>
  <c r="V60" i="26"/>
  <c r="V61" i="26" s="1"/>
  <c r="U60" i="26"/>
  <c r="U61" i="26" s="1"/>
  <c r="T60" i="26"/>
  <c r="T61" i="26" s="1"/>
  <c r="S60" i="26"/>
  <c r="S61" i="26" s="1"/>
  <c r="R60" i="26"/>
  <c r="R61" i="26" s="1"/>
  <c r="Q60" i="26"/>
  <c r="Q61" i="26" s="1"/>
  <c r="P60" i="26"/>
  <c r="P61" i="26" s="1"/>
  <c r="O60" i="26"/>
  <c r="O61" i="26" s="1"/>
  <c r="N60" i="26"/>
  <c r="N61" i="26" s="1"/>
  <c r="M60" i="26"/>
  <c r="M61" i="26" s="1"/>
  <c r="L60" i="26"/>
  <c r="L61" i="26" s="1"/>
  <c r="K61" i="26"/>
  <c r="K60" i="26"/>
  <c r="J60" i="26"/>
  <c r="J61" i="26" s="1"/>
  <c r="I60" i="26"/>
  <c r="I61" i="26" s="1"/>
  <c r="H60" i="26"/>
  <c r="H61" i="26" s="1"/>
  <c r="G60" i="26"/>
  <c r="G61" i="26" s="1"/>
  <c r="F60" i="26"/>
  <c r="F61" i="26" s="1"/>
  <c r="E60" i="26"/>
  <c r="E61" i="26" s="1"/>
  <c r="D60" i="26"/>
  <c r="D61" i="26" s="1"/>
  <c r="C60" i="26"/>
  <c r="C61" i="26" s="1"/>
  <c r="B60" i="26"/>
  <c r="B61" i="26" s="1"/>
  <c r="A58" i="26"/>
  <c r="CU52" i="26"/>
  <c r="CU51" i="26"/>
  <c r="CU50" i="26"/>
  <c r="CU49" i="26"/>
  <c r="CU48" i="26"/>
  <c r="CT52" i="26"/>
  <c r="CT51" i="26"/>
  <c r="CT50" i="26"/>
  <c r="CT49" i="26"/>
  <c r="CT48" i="26"/>
  <c r="CS52" i="26"/>
  <c r="CS51" i="26"/>
  <c r="CS50" i="26"/>
  <c r="CS49" i="26"/>
  <c r="CS48" i="26"/>
  <c r="CR52" i="26"/>
  <c r="CR51" i="26"/>
  <c r="CR50" i="26"/>
  <c r="CR49" i="26"/>
  <c r="CR48" i="26"/>
  <c r="CQ52" i="26"/>
  <c r="CQ51" i="26"/>
  <c r="CQ50" i="26"/>
  <c r="CQ49" i="26"/>
  <c r="CQ48" i="26"/>
  <c r="CP52" i="26"/>
  <c r="CP51" i="26"/>
  <c r="CP50" i="26"/>
  <c r="CP49" i="26"/>
  <c r="CP48" i="26"/>
  <c r="CO52" i="26"/>
  <c r="CO51" i="26"/>
  <c r="CO50" i="26"/>
  <c r="CO49" i="26"/>
  <c r="CO48" i="26"/>
  <c r="CN52" i="26"/>
  <c r="CN51" i="26"/>
  <c r="CN50" i="26"/>
  <c r="CN49" i="26"/>
  <c r="CN48" i="26"/>
  <c r="CM52" i="26"/>
  <c r="CM51" i="26"/>
  <c r="CM50" i="26"/>
  <c r="CM49" i="26"/>
  <c r="CM48" i="26"/>
  <c r="CL52" i="26"/>
  <c r="CL51" i="26"/>
  <c r="CL50" i="26"/>
  <c r="CL49" i="26"/>
  <c r="CL48" i="26"/>
  <c r="CK52" i="26"/>
  <c r="CK51" i="26"/>
  <c r="CK50" i="26"/>
  <c r="CK49" i="26"/>
  <c r="CK48" i="26"/>
  <c r="CJ52" i="26"/>
  <c r="CJ51" i="26"/>
  <c r="CJ50" i="26"/>
  <c r="CJ49" i="26"/>
  <c r="CJ48" i="26"/>
  <c r="CI52" i="26"/>
  <c r="CI51" i="26"/>
  <c r="CI50" i="26"/>
  <c r="CI49" i="26"/>
  <c r="CI48" i="26"/>
  <c r="CH52" i="26"/>
  <c r="CH51" i="26"/>
  <c r="CH50" i="26"/>
  <c r="CH49" i="26"/>
  <c r="CH48" i="26"/>
  <c r="CG52" i="26"/>
  <c r="CG51" i="26"/>
  <c r="CG50" i="26"/>
  <c r="CG49" i="26"/>
  <c r="CG48" i="26"/>
  <c r="CF52" i="26"/>
  <c r="CF51" i="26"/>
  <c r="CF50" i="26"/>
  <c r="CF49" i="26"/>
  <c r="CF48" i="26"/>
  <c r="CE52" i="26"/>
  <c r="CE51" i="26"/>
  <c r="CE50" i="26"/>
  <c r="CE49" i="26"/>
  <c r="CE48" i="26"/>
  <c r="CD52" i="26"/>
  <c r="CD51" i="26"/>
  <c r="CD50" i="26"/>
  <c r="CD49" i="26"/>
  <c r="CD48" i="26"/>
  <c r="CC52" i="26"/>
  <c r="CC51" i="26"/>
  <c r="CC50" i="26"/>
  <c r="CC49" i="26"/>
  <c r="CC48" i="26"/>
  <c r="CB52" i="26"/>
  <c r="CB51" i="26"/>
  <c r="CB50" i="26"/>
  <c r="CB49" i="26"/>
  <c r="CB48" i="26"/>
  <c r="CA52" i="26"/>
  <c r="CA51" i="26"/>
  <c r="CA50" i="26"/>
  <c r="CA49" i="26"/>
  <c r="CA48" i="26"/>
  <c r="BZ52" i="26"/>
  <c r="BZ51" i="26"/>
  <c r="BZ50" i="26"/>
  <c r="BZ49" i="26"/>
  <c r="BZ48" i="26"/>
  <c r="BY52" i="26"/>
  <c r="BY51" i="26"/>
  <c r="BY50" i="26"/>
  <c r="BY49" i="26"/>
  <c r="BY48" i="26"/>
  <c r="BX52" i="26"/>
  <c r="BX51" i="26"/>
  <c r="BX50" i="26"/>
  <c r="BX49" i="26"/>
  <c r="BX48" i="26"/>
  <c r="BW52" i="26"/>
  <c r="BW51" i="26"/>
  <c r="BW50" i="26"/>
  <c r="BW49" i="26"/>
  <c r="BW48" i="26"/>
  <c r="BV52" i="26"/>
  <c r="BV51" i="26"/>
  <c r="BV50" i="26"/>
  <c r="BV49" i="26"/>
  <c r="BV48" i="26"/>
  <c r="BU52" i="26"/>
  <c r="BU51" i="26"/>
  <c r="BU50" i="26"/>
  <c r="BU49" i="26"/>
  <c r="BU48" i="26"/>
  <c r="BT52" i="26"/>
  <c r="BT51" i="26"/>
  <c r="BT50" i="26"/>
  <c r="BT49" i="26"/>
  <c r="BT48" i="26"/>
  <c r="BS52" i="26"/>
  <c r="BS51" i="26"/>
  <c r="BS50" i="26"/>
  <c r="BS49" i="26"/>
  <c r="BS48" i="26"/>
  <c r="BR52" i="26"/>
  <c r="BR51" i="26"/>
  <c r="BR50" i="26"/>
  <c r="BR49" i="26"/>
  <c r="BR48" i="26"/>
  <c r="BQ52" i="26"/>
  <c r="BQ51" i="26"/>
  <c r="BQ50" i="26"/>
  <c r="BQ49" i="26"/>
  <c r="BQ48" i="26"/>
  <c r="BP52" i="26"/>
  <c r="BP51" i="26"/>
  <c r="BP50" i="26"/>
  <c r="BP49" i="26"/>
  <c r="BP48" i="26"/>
  <c r="BO52" i="26"/>
  <c r="BO51" i="26"/>
  <c r="BO50" i="26"/>
  <c r="BO49" i="26"/>
  <c r="BO48" i="26"/>
  <c r="BN52" i="26"/>
  <c r="BN51" i="26"/>
  <c r="BN50" i="26"/>
  <c r="BN49" i="26"/>
  <c r="BN48" i="26"/>
  <c r="BM52" i="26"/>
  <c r="BM51" i="26"/>
  <c r="BM50" i="26"/>
  <c r="BM49" i="26"/>
  <c r="BM48" i="26"/>
  <c r="BL52" i="26"/>
  <c r="BL51" i="26"/>
  <c r="BL50" i="26"/>
  <c r="BL49" i="26"/>
  <c r="BL48" i="26"/>
  <c r="BK52" i="26"/>
  <c r="BK51" i="26"/>
  <c r="BK50" i="26"/>
  <c r="BK49" i="26"/>
  <c r="BK48" i="26"/>
  <c r="BJ52" i="26"/>
  <c r="BJ51" i="26"/>
  <c r="BJ50" i="26"/>
  <c r="BJ49" i="26"/>
  <c r="BJ48" i="26"/>
  <c r="BI52" i="26"/>
  <c r="BI51" i="26"/>
  <c r="BI50" i="26"/>
  <c r="BI49" i="26"/>
  <c r="BI48" i="26"/>
  <c r="BH52" i="26"/>
  <c r="BH51" i="26"/>
  <c r="BH50" i="26"/>
  <c r="BH49" i="26"/>
  <c r="BH48" i="26"/>
  <c r="BG52" i="26"/>
  <c r="BG51" i="26"/>
  <c r="BG50" i="26"/>
  <c r="BG49" i="26"/>
  <c r="BG48" i="26"/>
  <c r="BF52" i="26"/>
  <c r="BF51" i="26"/>
  <c r="BF50" i="26"/>
  <c r="BF49" i="26"/>
  <c r="BF48" i="26"/>
  <c r="BE52" i="26"/>
  <c r="BE51" i="26"/>
  <c r="BE50" i="26"/>
  <c r="BE49" i="26"/>
  <c r="BE48" i="26"/>
  <c r="BD52" i="26"/>
  <c r="BD51" i="26"/>
  <c r="BD50" i="26"/>
  <c r="BD49" i="26"/>
  <c r="BD48" i="26"/>
  <c r="BC52" i="26"/>
  <c r="BC51" i="26"/>
  <c r="BC50" i="26"/>
  <c r="BC49" i="26"/>
  <c r="BC48" i="26"/>
  <c r="BB52" i="26"/>
  <c r="BB51" i="26"/>
  <c r="BB50" i="26"/>
  <c r="BB49" i="26"/>
  <c r="BB48" i="26"/>
  <c r="BA52" i="26"/>
  <c r="BA51" i="26"/>
  <c r="BA50" i="26"/>
  <c r="BA49" i="26"/>
  <c r="BA48" i="26"/>
  <c r="AZ52" i="26"/>
  <c r="AZ51" i="26"/>
  <c r="AZ50" i="26"/>
  <c r="AZ49" i="26"/>
  <c r="AZ48" i="26"/>
  <c r="AY52" i="26"/>
  <c r="AY51" i="26"/>
  <c r="AY50" i="26"/>
  <c r="AY49" i="26"/>
  <c r="AY48" i="26"/>
  <c r="AX52" i="26"/>
  <c r="AX51" i="26"/>
  <c r="AX50" i="26"/>
  <c r="AX49" i="26"/>
  <c r="AX48" i="26"/>
  <c r="AW52" i="26"/>
  <c r="AW51" i="26"/>
  <c r="AW50" i="26"/>
  <c r="AW49" i="26"/>
  <c r="AW48" i="26"/>
  <c r="AV52" i="26"/>
  <c r="AV51" i="26"/>
  <c r="AV50" i="26"/>
  <c r="AV49" i="26"/>
  <c r="AV48" i="26"/>
  <c r="AU52" i="26"/>
  <c r="AU51" i="26"/>
  <c r="AU50" i="26"/>
  <c r="AU49" i="26"/>
  <c r="AU48" i="26"/>
  <c r="AT52" i="26"/>
  <c r="AT51" i="26"/>
  <c r="AT50" i="26"/>
  <c r="AT49" i="26"/>
  <c r="AT48" i="26"/>
  <c r="AS52" i="26"/>
  <c r="AS51" i="26"/>
  <c r="AS50" i="26"/>
  <c r="AS49" i="26"/>
  <c r="AS48" i="26"/>
  <c r="AR52" i="26"/>
  <c r="AR51" i="26"/>
  <c r="AR50" i="26"/>
  <c r="AR49" i="26"/>
  <c r="AR48" i="26"/>
  <c r="AQ52" i="26"/>
  <c r="AQ51" i="26"/>
  <c r="AQ50" i="26"/>
  <c r="AQ49" i="26"/>
  <c r="AQ48" i="26"/>
  <c r="AP52" i="26"/>
  <c r="AP51" i="26"/>
  <c r="AP50" i="26"/>
  <c r="AP49" i="26"/>
  <c r="AP48" i="26"/>
  <c r="AO52" i="26"/>
  <c r="AO51" i="26"/>
  <c r="AO50" i="26"/>
  <c r="AO49" i="26"/>
  <c r="AO48" i="26"/>
  <c r="AN52" i="26"/>
  <c r="AN51" i="26"/>
  <c r="AN50" i="26"/>
  <c r="AN49" i="26"/>
  <c r="AN48" i="26"/>
  <c r="AM52" i="26"/>
  <c r="AM51" i="26"/>
  <c r="AM50" i="26"/>
  <c r="AM49" i="26"/>
  <c r="AM48" i="26"/>
  <c r="AL52" i="26"/>
  <c r="AL51" i="26"/>
  <c r="AL50" i="26"/>
  <c r="AL49" i="26"/>
  <c r="AL48" i="26"/>
  <c r="AK52" i="26"/>
  <c r="AK51" i="26"/>
  <c r="AK50" i="26"/>
  <c r="AK49" i="26"/>
  <c r="AK48" i="26"/>
  <c r="AJ52" i="26"/>
  <c r="AJ51" i="26"/>
  <c r="AJ50" i="26"/>
  <c r="AJ49" i="26"/>
  <c r="AJ48" i="26"/>
  <c r="AI52" i="26"/>
  <c r="AI51" i="26"/>
  <c r="AI50" i="26"/>
  <c r="AI49" i="26"/>
  <c r="AI48" i="26"/>
  <c r="AH52" i="26"/>
  <c r="AH51" i="26"/>
  <c r="AH50" i="26"/>
  <c r="AH49" i="26"/>
  <c r="AH48" i="26"/>
  <c r="AG52" i="26"/>
  <c r="AG51" i="26"/>
  <c r="AG50" i="26"/>
  <c r="AG49" i="26"/>
  <c r="AG48" i="26"/>
  <c r="AF52" i="26"/>
  <c r="AF51" i="26"/>
  <c r="AF50" i="26"/>
  <c r="AF49" i="26"/>
  <c r="AF48" i="26"/>
  <c r="AE52" i="26"/>
  <c r="AE51" i="26"/>
  <c r="AE50" i="26"/>
  <c r="AE49" i="26"/>
  <c r="AE48" i="26"/>
  <c r="AD52" i="26"/>
  <c r="AD51" i="26"/>
  <c r="AD50" i="26"/>
  <c r="AD49" i="26"/>
  <c r="AD48" i="26"/>
  <c r="AC52" i="26"/>
  <c r="AC51" i="26"/>
  <c r="AC50" i="26"/>
  <c r="AC49" i="26"/>
  <c r="AC48" i="26"/>
  <c r="AB52" i="26"/>
  <c r="AB51" i="26"/>
  <c r="AB50" i="26"/>
  <c r="AB49" i="26"/>
  <c r="AB48" i="26"/>
  <c r="AA52" i="26"/>
  <c r="AA51" i="26"/>
  <c r="AA50" i="26"/>
  <c r="AA49" i="26"/>
  <c r="AA48" i="26"/>
  <c r="Z52" i="26"/>
  <c r="Z51" i="26"/>
  <c r="Z50" i="26"/>
  <c r="Z49" i="26"/>
  <c r="Z48" i="26"/>
  <c r="Y52" i="26"/>
  <c r="Y51" i="26"/>
  <c r="Y50" i="26"/>
  <c r="Y49" i="26"/>
  <c r="Y48" i="26"/>
  <c r="X52" i="26"/>
  <c r="X51" i="26"/>
  <c r="X50" i="26"/>
  <c r="X49" i="26"/>
  <c r="X48" i="26"/>
  <c r="W52" i="26"/>
  <c r="W51" i="26"/>
  <c r="W50" i="26"/>
  <c r="W49" i="26"/>
  <c r="W48" i="26"/>
  <c r="V52" i="26"/>
  <c r="V51" i="26"/>
  <c r="V50" i="26"/>
  <c r="V49" i="26"/>
  <c r="V48" i="26"/>
  <c r="U52" i="26"/>
  <c r="U51" i="26"/>
  <c r="U50" i="26"/>
  <c r="U49" i="26"/>
  <c r="U48" i="26"/>
  <c r="T52" i="26"/>
  <c r="T51" i="26"/>
  <c r="T50" i="26"/>
  <c r="T49" i="26"/>
  <c r="T48" i="26"/>
  <c r="S52" i="26"/>
  <c r="S51" i="26"/>
  <c r="S50" i="26"/>
  <c r="S49" i="26"/>
  <c r="S48" i="26"/>
  <c r="R52" i="26"/>
  <c r="R51" i="26"/>
  <c r="R50" i="26"/>
  <c r="R49" i="26"/>
  <c r="R48" i="26"/>
  <c r="Q52" i="26"/>
  <c r="Q51" i="26"/>
  <c r="Q50" i="26"/>
  <c r="Q49" i="26"/>
  <c r="Q48" i="26"/>
  <c r="P52" i="26"/>
  <c r="P51" i="26"/>
  <c r="P50" i="26"/>
  <c r="P49" i="26"/>
  <c r="P48" i="26"/>
  <c r="O52" i="26"/>
  <c r="O51" i="26"/>
  <c r="O50" i="26"/>
  <c r="O49" i="26"/>
  <c r="O48" i="26"/>
  <c r="N52" i="26"/>
  <c r="N51" i="26"/>
  <c r="N50" i="26"/>
  <c r="N49" i="26"/>
  <c r="N48" i="26"/>
  <c r="M52" i="26"/>
  <c r="M51" i="26"/>
  <c r="M50" i="26"/>
  <c r="M49" i="26"/>
  <c r="M48" i="26"/>
  <c r="L52" i="26"/>
  <c r="L51" i="26"/>
  <c r="L50" i="26"/>
  <c r="L49" i="26"/>
  <c r="L48" i="26"/>
  <c r="K52" i="26"/>
  <c r="K51" i="26"/>
  <c r="K50" i="26"/>
  <c r="K49" i="26"/>
  <c r="K48" i="26"/>
  <c r="J52" i="26"/>
  <c r="J51" i="26"/>
  <c r="J50" i="26"/>
  <c r="J49" i="26"/>
  <c r="J48" i="26"/>
  <c r="I52" i="26"/>
  <c r="I51" i="26"/>
  <c r="I50" i="26"/>
  <c r="I49" i="26"/>
  <c r="I48" i="26"/>
  <c r="H52" i="26"/>
  <c r="H51" i="26"/>
  <c r="H50" i="26"/>
  <c r="H49" i="26"/>
  <c r="H48" i="26"/>
  <c r="G52" i="26"/>
  <c r="G51" i="26"/>
  <c r="G50" i="26"/>
  <c r="G49" i="26"/>
  <c r="G48" i="26"/>
  <c r="F52" i="26"/>
  <c r="F51" i="26"/>
  <c r="F50" i="26"/>
  <c r="F49" i="26"/>
  <c r="F48" i="26"/>
  <c r="E52" i="26"/>
  <c r="E51" i="26"/>
  <c r="E50" i="26"/>
  <c r="E49" i="26"/>
  <c r="E48" i="26"/>
  <c r="D52" i="26"/>
  <c r="D51" i="26"/>
  <c r="D50" i="26"/>
  <c r="D49" i="26"/>
  <c r="D48" i="26"/>
  <c r="C52" i="26"/>
  <c r="C51" i="26"/>
  <c r="C50" i="26"/>
  <c r="C49" i="26"/>
  <c r="C48" i="26"/>
  <c r="B52" i="26"/>
  <c r="B51" i="26"/>
  <c r="B50" i="26"/>
  <c r="B49" i="26"/>
  <c r="B48" i="26"/>
  <c r="A46" i="26"/>
  <c r="CU42" i="26"/>
  <c r="CU41" i="26"/>
  <c r="CU40" i="26"/>
  <c r="CU39" i="26"/>
  <c r="CT42" i="26"/>
  <c r="CT41" i="26"/>
  <c r="CT40" i="26"/>
  <c r="CT39" i="26"/>
  <c r="CS42" i="26"/>
  <c r="CS41" i="26"/>
  <c r="CS40" i="26"/>
  <c r="CS39" i="26"/>
  <c r="CR42" i="26"/>
  <c r="CR41" i="26"/>
  <c r="CR40" i="26"/>
  <c r="CR39" i="26"/>
  <c r="CQ42" i="26"/>
  <c r="CQ41" i="26"/>
  <c r="CQ40" i="26"/>
  <c r="CQ39" i="26"/>
  <c r="CP42" i="26"/>
  <c r="CP41" i="26"/>
  <c r="CP40" i="26"/>
  <c r="CP39" i="26"/>
  <c r="CO42" i="26"/>
  <c r="CO41" i="26"/>
  <c r="CO40" i="26"/>
  <c r="CO39" i="26"/>
  <c r="CN42" i="26"/>
  <c r="CN41" i="26"/>
  <c r="CN40" i="26"/>
  <c r="CN39" i="26"/>
  <c r="CM42" i="26"/>
  <c r="CM41" i="26"/>
  <c r="CM40" i="26"/>
  <c r="CM39" i="26"/>
  <c r="CL42" i="26"/>
  <c r="CL41" i="26"/>
  <c r="CL40" i="26"/>
  <c r="CL39" i="26"/>
  <c r="CK42" i="26"/>
  <c r="CK41" i="26"/>
  <c r="CK40" i="26"/>
  <c r="CK39" i="26"/>
  <c r="CJ42" i="26"/>
  <c r="CJ41" i="26"/>
  <c r="CJ40" i="26"/>
  <c r="CJ39" i="26"/>
  <c r="CI42" i="26"/>
  <c r="CI41" i="26"/>
  <c r="CI40" i="26"/>
  <c r="CI39" i="26"/>
  <c r="CH42" i="26"/>
  <c r="CH41" i="26"/>
  <c r="CH40" i="26"/>
  <c r="CH39" i="26"/>
  <c r="CG42" i="26"/>
  <c r="CG41" i="26"/>
  <c r="CG40" i="26"/>
  <c r="CG39" i="26"/>
  <c r="CF42" i="26"/>
  <c r="CF41" i="26"/>
  <c r="CF40" i="26"/>
  <c r="CF39" i="26"/>
  <c r="CE42" i="26"/>
  <c r="CE41" i="26"/>
  <c r="CE40" i="26"/>
  <c r="CE39" i="26"/>
  <c r="CD42" i="26"/>
  <c r="CD41" i="26"/>
  <c r="CD40" i="26"/>
  <c r="CD39" i="26"/>
  <c r="CC42" i="26"/>
  <c r="CC41" i="26"/>
  <c r="CC40" i="26"/>
  <c r="CC39" i="26"/>
  <c r="CB42" i="26"/>
  <c r="CB41" i="26"/>
  <c r="CB40" i="26"/>
  <c r="CB39" i="26"/>
  <c r="CA42" i="26"/>
  <c r="CA41" i="26"/>
  <c r="CA40" i="26"/>
  <c r="CA39" i="26"/>
  <c r="BZ42" i="26"/>
  <c r="BZ41" i="26"/>
  <c r="BZ40" i="26"/>
  <c r="BZ39" i="26"/>
  <c r="BY42" i="26"/>
  <c r="BY41" i="26"/>
  <c r="BY40" i="26"/>
  <c r="BY39" i="26"/>
  <c r="BX42" i="26"/>
  <c r="BX41" i="26"/>
  <c r="BX40" i="26"/>
  <c r="BX39" i="26"/>
  <c r="BW42" i="26"/>
  <c r="BW41" i="26"/>
  <c r="BW40" i="26"/>
  <c r="BW39" i="26"/>
  <c r="BV42" i="26"/>
  <c r="BV41" i="26"/>
  <c r="BV40" i="26"/>
  <c r="BV39" i="26"/>
  <c r="BU42" i="26"/>
  <c r="BU41" i="26"/>
  <c r="BU40" i="26"/>
  <c r="BU39" i="26"/>
  <c r="BT42" i="26"/>
  <c r="BT41" i="26"/>
  <c r="BT40" i="26"/>
  <c r="BT39" i="26"/>
  <c r="BS42" i="26"/>
  <c r="BS41" i="26"/>
  <c r="BS40" i="26"/>
  <c r="BS39" i="26"/>
  <c r="BR42" i="26"/>
  <c r="BR41" i="26"/>
  <c r="BR40" i="26"/>
  <c r="BR39" i="26"/>
  <c r="BQ42" i="26"/>
  <c r="BQ41" i="26"/>
  <c r="BQ40" i="26"/>
  <c r="BQ39" i="26"/>
  <c r="BP42" i="26"/>
  <c r="BP41" i="26"/>
  <c r="BP40" i="26"/>
  <c r="BP39" i="26"/>
  <c r="BO42" i="26"/>
  <c r="BO41" i="26"/>
  <c r="BO40" i="26"/>
  <c r="BO39" i="26"/>
  <c r="BN42" i="26"/>
  <c r="BN41" i="26"/>
  <c r="BN40" i="26"/>
  <c r="BN39" i="26"/>
  <c r="BM42" i="26"/>
  <c r="BM41" i="26"/>
  <c r="BM40" i="26"/>
  <c r="BM39" i="26"/>
  <c r="BL42" i="26"/>
  <c r="BL41" i="26"/>
  <c r="BL40" i="26"/>
  <c r="BL39" i="26"/>
  <c r="BK42" i="26"/>
  <c r="BK41" i="26"/>
  <c r="BK40" i="26"/>
  <c r="BK39" i="26"/>
  <c r="BJ42" i="26"/>
  <c r="BJ41" i="26"/>
  <c r="BJ40" i="26"/>
  <c r="BJ39" i="26"/>
  <c r="BI42" i="26"/>
  <c r="BI41" i="26"/>
  <c r="BI40" i="26"/>
  <c r="BI39" i="26"/>
  <c r="BH42" i="26"/>
  <c r="BH41" i="26"/>
  <c r="BH40" i="26"/>
  <c r="BH39" i="26"/>
  <c r="BG42" i="26"/>
  <c r="BG41" i="26"/>
  <c r="BG40" i="26"/>
  <c r="BG39" i="26"/>
  <c r="BF42" i="26"/>
  <c r="BF41" i="26"/>
  <c r="BF40" i="26"/>
  <c r="BF39" i="26"/>
  <c r="BE42" i="26"/>
  <c r="BE41" i="26"/>
  <c r="BE40" i="26"/>
  <c r="BE39" i="26"/>
  <c r="BD42" i="26"/>
  <c r="BD41" i="26"/>
  <c r="BD40" i="26"/>
  <c r="BD39" i="26"/>
  <c r="BC42" i="26"/>
  <c r="BC41" i="26"/>
  <c r="BC40" i="26"/>
  <c r="BC39" i="26"/>
  <c r="BB42" i="26"/>
  <c r="BB41" i="26"/>
  <c r="BB40" i="26"/>
  <c r="BB39" i="26"/>
  <c r="BA42" i="26"/>
  <c r="BA41" i="26"/>
  <c r="BA40" i="26"/>
  <c r="BA39" i="26"/>
  <c r="AZ42" i="26"/>
  <c r="AZ41" i="26"/>
  <c r="AZ40" i="26"/>
  <c r="AZ39" i="26"/>
  <c r="AY42" i="26"/>
  <c r="AY41" i="26"/>
  <c r="AY40" i="26"/>
  <c r="AY39" i="26"/>
  <c r="AX42" i="26"/>
  <c r="AX41" i="26"/>
  <c r="AX40" i="26"/>
  <c r="AX39" i="26"/>
  <c r="AW42" i="26"/>
  <c r="AW41" i="26"/>
  <c r="AW40" i="26"/>
  <c r="AW39" i="26"/>
  <c r="AV42" i="26"/>
  <c r="AV41" i="26"/>
  <c r="AV40" i="26"/>
  <c r="AV39" i="26"/>
  <c r="AU42" i="26"/>
  <c r="AU41" i="26"/>
  <c r="AU40" i="26"/>
  <c r="AU39" i="26"/>
  <c r="AT42" i="26"/>
  <c r="AT41" i="26"/>
  <c r="AT40" i="26"/>
  <c r="AT39" i="26"/>
  <c r="AS42" i="26"/>
  <c r="AS41" i="26"/>
  <c r="AS40" i="26"/>
  <c r="AS39" i="26"/>
  <c r="AR42" i="26"/>
  <c r="AR41" i="26"/>
  <c r="AR40" i="26"/>
  <c r="AR39" i="26"/>
  <c r="AQ42" i="26"/>
  <c r="AQ41" i="26"/>
  <c r="AQ40" i="26"/>
  <c r="AQ39" i="26"/>
  <c r="AP42" i="26"/>
  <c r="AP41" i="26"/>
  <c r="AP40" i="26"/>
  <c r="AP39" i="26"/>
  <c r="AO42" i="26"/>
  <c r="AO41" i="26"/>
  <c r="AO40" i="26"/>
  <c r="AO39" i="26"/>
  <c r="AN42" i="26"/>
  <c r="AN41" i="26"/>
  <c r="AN40" i="26"/>
  <c r="AN39" i="26"/>
  <c r="AM42" i="26"/>
  <c r="AM41" i="26"/>
  <c r="AM40" i="26"/>
  <c r="AM39" i="26"/>
  <c r="AL42" i="26"/>
  <c r="AL41" i="26"/>
  <c r="AL40" i="26"/>
  <c r="AL39" i="26"/>
  <c r="AK42" i="26"/>
  <c r="AK41" i="26"/>
  <c r="AK40" i="26"/>
  <c r="AK39" i="26"/>
  <c r="AJ42" i="26"/>
  <c r="AJ41" i="26"/>
  <c r="AJ40" i="26"/>
  <c r="AJ39" i="26"/>
  <c r="AI42" i="26"/>
  <c r="AI41" i="26"/>
  <c r="AI40" i="26"/>
  <c r="AI39" i="26"/>
  <c r="AH42" i="26"/>
  <c r="AH41" i="26"/>
  <c r="AH40" i="26"/>
  <c r="AH39" i="26"/>
  <c r="AG42" i="26"/>
  <c r="AG41" i="26"/>
  <c r="AG40" i="26"/>
  <c r="AG39" i="26"/>
  <c r="AF42" i="26"/>
  <c r="AF41" i="26"/>
  <c r="AF40" i="26"/>
  <c r="AF39" i="26"/>
  <c r="AE42" i="26"/>
  <c r="AE41" i="26"/>
  <c r="AE40" i="26"/>
  <c r="AE39" i="26"/>
  <c r="AD42" i="26"/>
  <c r="AD41" i="26"/>
  <c r="AD40" i="26"/>
  <c r="AD39" i="26"/>
  <c r="AC42" i="26"/>
  <c r="AC41" i="26"/>
  <c r="AC40" i="26"/>
  <c r="AC39" i="26"/>
  <c r="AB42" i="26"/>
  <c r="AB41" i="26"/>
  <c r="AB40" i="26"/>
  <c r="AB39" i="26"/>
  <c r="AA42" i="26"/>
  <c r="AA41" i="26"/>
  <c r="AA40" i="26"/>
  <c r="AA39" i="26"/>
  <c r="Z42" i="26"/>
  <c r="Z41" i="26"/>
  <c r="Z40" i="26"/>
  <c r="Z39" i="26"/>
  <c r="Y42" i="26"/>
  <c r="Y41" i="26"/>
  <c r="Y40" i="26"/>
  <c r="Y39" i="26"/>
  <c r="X42" i="26"/>
  <c r="X41" i="26"/>
  <c r="X40" i="26"/>
  <c r="X39" i="26"/>
  <c r="W42" i="26"/>
  <c r="W41" i="26"/>
  <c r="W40" i="26"/>
  <c r="W39" i="26"/>
  <c r="V42" i="26"/>
  <c r="V41" i="26"/>
  <c r="V40" i="26"/>
  <c r="V39" i="26"/>
  <c r="U42" i="26"/>
  <c r="U41" i="26"/>
  <c r="U40" i="26"/>
  <c r="U39" i="26"/>
  <c r="T42" i="26"/>
  <c r="T41" i="26"/>
  <c r="T40" i="26"/>
  <c r="T39" i="26"/>
  <c r="S42" i="26"/>
  <c r="S41" i="26"/>
  <c r="S40" i="26"/>
  <c r="S39" i="26"/>
  <c r="R42" i="26"/>
  <c r="R41" i="26"/>
  <c r="R40" i="26"/>
  <c r="R39" i="26"/>
  <c r="Q42" i="26"/>
  <c r="Q41" i="26"/>
  <c r="Q40" i="26"/>
  <c r="Q39" i="26"/>
  <c r="P42" i="26"/>
  <c r="P41" i="26"/>
  <c r="P40" i="26"/>
  <c r="P39" i="26"/>
  <c r="O42" i="26"/>
  <c r="O41" i="26"/>
  <c r="O40" i="26"/>
  <c r="O39" i="26"/>
  <c r="N42" i="26"/>
  <c r="N41" i="26"/>
  <c r="N40" i="26"/>
  <c r="N39" i="26"/>
  <c r="M42" i="26"/>
  <c r="M41" i="26"/>
  <c r="M40" i="26"/>
  <c r="M39" i="26"/>
  <c r="L42" i="26"/>
  <c r="L41" i="26"/>
  <c r="L40" i="26"/>
  <c r="L39" i="26"/>
  <c r="K42" i="26"/>
  <c r="K41" i="26"/>
  <c r="K40" i="26"/>
  <c r="K39" i="26"/>
  <c r="J42" i="26"/>
  <c r="J41" i="26"/>
  <c r="J40" i="26"/>
  <c r="J39" i="26"/>
  <c r="I42" i="26"/>
  <c r="I41" i="26"/>
  <c r="I40" i="26"/>
  <c r="I39" i="26"/>
  <c r="H42" i="26"/>
  <c r="H41" i="26"/>
  <c r="H40" i="26"/>
  <c r="H39" i="26"/>
  <c r="G42" i="26"/>
  <c r="G41" i="26"/>
  <c r="G40" i="26"/>
  <c r="G39" i="26"/>
  <c r="F42" i="26"/>
  <c r="F41" i="26"/>
  <c r="F40" i="26"/>
  <c r="F39" i="26"/>
  <c r="E42" i="26"/>
  <c r="E41" i="26"/>
  <c r="E40" i="26"/>
  <c r="E39" i="26"/>
  <c r="D42" i="26"/>
  <c r="D41" i="26"/>
  <c r="D40" i="26"/>
  <c r="D39" i="26"/>
  <c r="C42" i="26"/>
  <c r="C41" i="26"/>
  <c r="C40" i="26"/>
  <c r="C39" i="26"/>
  <c r="B42" i="26"/>
  <c r="B41" i="26"/>
  <c r="B40" i="26"/>
  <c r="B39" i="26"/>
  <c r="A37" i="26"/>
  <c r="CU31" i="26"/>
  <c r="CU32" i="26" s="1"/>
  <c r="CU30" i="26"/>
  <c r="CT31" i="26"/>
  <c r="CT30" i="26"/>
  <c r="CW30" i="26" s="1"/>
  <c r="CS31" i="26"/>
  <c r="CS30" i="26"/>
  <c r="CR31" i="26"/>
  <c r="CR30" i="26"/>
  <c r="CR32" i="26" s="1"/>
  <c r="CQ31" i="26"/>
  <c r="CQ30" i="26"/>
  <c r="CP31" i="26"/>
  <c r="CP30" i="26"/>
  <c r="CP32" i="26" s="1"/>
  <c r="CO31" i="26"/>
  <c r="CO30" i="26"/>
  <c r="CO32" i="26" s="1"/>
  <c r="CN31" i="26"/>
  <c r="CN30" i="26"/>
  <c r="CM31" i="26"/>
  <c r="CM30" i="26"/>
  <c r="CL31" i="26"/>
  <c r="CL30" i="26"/>
  <c r="CK31" i="26"/>
  <c r="CK30" i="26"/>
  <c r="CK32" i="26" s="1"/>
  <c r="CJ31" i="26"/>
  <c r="CJ30" i="26"/>
  <c r="CJ32" i="26" s="1"/>
  <c r="CI31" i="26"/>
  <c r="CI30" i="26"/>
  <c r="CH31" i="26"/>
  <c r="CH30" i="26"/>
  <c r="CH32" i="26" s="1"/>
  <c r="CG31" i="26"/>
  <c r="CG30" i="26"/>
  <c r="CG32" i="26" s="1"/>
  <c r="CF31" i="26"/>
  <c r="CF30" i="26"/>
  <c r="CF32" i="26" s="1"/>
  <c r="CE31" i="26"/>
  <c r="CE30" i="26"/>
  <c r="CD31" i="26"/>
  <c r="CD30" i="26"/>
  <c r="CD32" i="26" s="1"/>
  <c r="CC31" i="26"/>
  <c r="CC30" i="26"/>
  <c r="CB31" i="26"/>
  <c r="CB30" i="26"/>
  <c r="CB32" i="26" s="1"/>
  <c r="CA31" i="26"/>
  <c r="CA30" i="26"/>
  <c r="BZ31" i="26"/>
  <c r="BZ30" i="26"/>
  <c r="BZ32" i="26" s="1"/>
  <c r="BY31" i="26"/>
  <c r="BY30" i="26"/>
  <c r="BY32" i="26" s="1"/>
  <c r="BX31" i="26"/>
  <c r="BX30" i="26"/>
  <c r="BW31" i="26"/>
  <c r="BW30" i="26"/>
  <c r="BV31" i="26"/>
  <c r="BV30" i="26"/>
  <c r="BU31" i="26"/>
  <c r="BU30" i="26"/>
  <c r="BU32" i="26" s="1"/>
  <c r="BT32" i="26"/>
  <c r="BT31" i="26"/>
  <c r="BT30" i="26"/>
  <c r="BS31" i="26"/>
  <c r="BS30" i="26"/>
  <c r="BR31" i="26"/>
  <c r="BR30" i="26"/>
  <c r="BR32" i="26" s="1"/>
  <c r="BQ31" i="26"/>
  <c r="BQ30" i="26"/>
  <c r="BQ32" i="26" s="1"/>
  <c r="BP31" i="26"/>
  <c r="BP30" i="26"/>
  <c r="BP32" i="26" s="1"/>
  <c r="BO31" i="26"/>
  <c r="BO30" i="26"/>
  <c r="BN31" i="26"/>
  <c r="BN30" i="26"/>
  <c r="BN32" i="26" s="1"/>
  <c r="BM31" i="26"/>
  <c r="BM30" i="26"/>
  <c r="BL31" i="26"/>
  <c r="BL30" i="26"/>
  <c r="BL32" i="26" s="1"/>
  <c r="BK31" i="26"/>
  <c r="BK30" i="26"/>
  <c r="BJ31" i="26"/>
  <c r="BJ30" i="26"/>
  <c r="BJ32" i="26" s="1"/>
  <c r="BI31" i="26"/>
  <c r="BI30" i="26"/>
  <c r="BI32" i="26" s="1"/>
  <c r="BH31" i="26"/>
  <c r="BH32" i="26" s="1"/>
  <c r="BH30" i="26"/>
  <c r="BG31" i="26"/>
  <c r="BG30" i="26"/>
  <c r="BF31" i="26"/>
  <c r="BF30" i="26"/>
  <c r="BE31" i="26"/>
  <c r="BE30" i="26"/>
  <c r="BE32" i="26" s="1"/>
  <c r="BD32" i="26"/>
  <c r="BD31" i="26"/>
  <c r="BD30" i="26"/>
  <c r="BC31" i="26"/>
  <c r="BC30" i="26"/>
  <c r="BB31" i="26"/>
  <c r="BB30" i="26"/>
  <c r="BB32" i="26" s="1"/>
  <c r="BA31" i="26"/>
  <c r="BA30" i="26"/>
  <c r="BA32" i="26" s="1"/>
  <c r="AZ31" i="26"/>
  <c r="AZ30" i="26"/>
  <c r="AZ32" i="26" s="1"/>
  <c r="AY31" i="26"/>
  <c r="AY30" i="26"/>
  <c r="AX31" i="26"/>
  <c r="AX30" i="26"/>
  <c r="AX32" i="26" s="1"/>
  <c r="AW31" i="26"/>
  <c r="AW30" i="26"/>
  <c r="AV31" i="26"/>
  <c r="AV30" i="26"/>
  <c r="AV32" i="26" s="1"/>
  <c r="AU31" i="26"/>
  <c r="AU30" i="26"/>
  <c r="AT31" i="26"/>
  <c r="AT30" i="26"/>
  <c r="AT32" i="26" s="1"/>
  <c r="AS31" i="26"/>
  <c r="AS30" i="26"/>
  <c r="AS32" i="26" s="1"/>
  <c r="AR31" i="26"/>
  <c r="AR30" i="26"/>
  <c r="AQ31" i="26"/>
  <c r="AQ30" i="26"/>
  <c r="AP31" i="26"/>
  <c r="AP30" i="26"/>
  <c r="AO31" i="26"/>
  <c r="AO30" i="26"/>
  <c r="AO32" i="26" s="1"/>
  <c r="AN31" i="26"/>
  <c r="AN30" i="26"/>
  <c r="AN32" i="26" s="1"/>
  <c r="AM31" i="26"/>
  <c r="AM30" i="26"/>
  <c r="AL31" i="26"/>
  <c r="AL30" i="26"/>
  <c r="AL32" i="26" s="1"/>
  <c r="AK31" i="26"/>
  <c r="AK30" i="26"/>
  <c r="AK32" i="26" s="1"/>
  <c r="AJ31" i="26"/>
  <c r="AJ30" i="26"/>
  <c r="AJ32" i="26" s="1"/>
  <c r="AI31" i="26"/>
  <c r="AI30" i="26"/>
  <c r="AH31" i="26"/>
  <c r="AH30" i="26"/>
  <c r="AH32" i="26" s="1"/>
  <c r="AG31" i="26"/>
  <c r="AG30" i="26"/>
  <c r="AF31" i="26"/>
  <c r="AF30" i="26"/>
  <c r="AF32" i="26" s="1"/>
  <c r="AE31" i="26"/>
  <c r="AE30" i="26"/>
  <c r="AD31" i="26"/>
  <c r="AD30" i="26"/>
  <c r="AD32" i="26" s="1"/>
  <c r="AC31" i="26"/>
  <c r="AC30" i="26"/>
  <c r="AC32" i="26" s="1"/>
  <c r="AB31" i="26"/>
  <c r="AB32" i="26" s="1"/>
  <c r="AB30" i="26"/>
  <c r="AA31" i="26"/>
  <c r="AA30" i="26"/>
  <c r="Z31" i="26"/>
  <c r="Z30" i="26"/>
  <c r="Y31" i="26"/>
  <c r="Y30" i="26"/>
  <c r="Y32" i="26" s="1"/>
  <c r="X31" i="26"/>
  <c r="X30" i="26"/>
  <c r="X32" i="26" s="1"/>
  <c r="W31" i="26"/>
  <c r="W30" i="26"/>
  <c r="V31" i="26"/>
  <c r="V30" i="26"/>
  <c r="V32" i="26" s="1"/>
  <c r="U31" i="26"/>
  <c r="U30" i="26"/>
  <c r="U32" i="26" s="1"/>
  <c r="T31" i="26"/>
  <c r="T30" i="26"/>
  <c r="T32" i="26" s="1"/>
  <c r="S31" i="26"/>
  <c r="S30" i="26"/>
  <c r="R31" i="26"/>
  <c r="R30" i="26"/>
  <c r="Q31" i="26"/>
  <c r="Q30" i="26"/>
  <c r="P31" i="26"/>
  <c r="P30" i="26"/>
  <c r="P32" i="26" s="1"/>
  <c r="O31" i="26"/>
  <c r="O30" i="26"/>
  <c r="N31" i="26"/>
  <c r="N30" i="26"/>
  <c r="N32" i="26" s="1"/>
  <c r="M31" i="26"/>
  <c r="M30" i="26"/>
  <c r="M32" i="26" s="1"/>
  <c r="L31" i="26"/>
  <c r="L30" i="26"/>
  <c r="K31" i="26"/>
  <c r="K30" i="26"/>
  <c r="J31" i="26"/>
  <c r="J30" i="26"/>
  <c r="I31" i="26"/>
  <c r="I30" i="26"/>
  <c r="I32" i="26" s="1"/>
  <c r="H31" i="26"/>
  <c r="H30" i="26"/>
  <c r="H32" i="26" s="1"/>
  <c r="G31" i="26"/>
  <c r="G30" i="26"/>
  <c r="F31" i="26"/>
  <c r="F30" i="26"/>
  <c r="F32" i="26" s="1"/>
  <c r="E31" i="26"/>
  <c r="E30" i="26"/>
  <c r="E32" i="26" s="1"/>
  <c r="D31" i="26"/>
  <c r="D30" i="26"/>
  <c r="D32" i="26" s="1"/>
  <c r="C31" i="26"/>
  <c r="C32" i="26" s="1"/>
  <c r="C30" i="26"/>
  <c r="B31" i="26"/>
  <c r="B30" i="26"/>
  <c r="A28" i="26"/>
  <c r="CU24" i="26"/>
  <c r="CU25" i="26" s="1"/>
  <c r="CT24" i="26"/>
  <c r="CT25" i="26" s="1"/>
  <c r="CS24" i="26"/>
  <c r="CS25" i="26" s="1"/>
  <c r="CR24" i="26"/>
  <c r="CR25" i="26" s="1"/>
  <c r="CQ24" i="26"/>
  <c r="CQ25" i="26" s="1"/>
  <c r="CP24" i="26"/>
  <c r="CP25" i="26" s="1"/>
  <c r="CO24" i="26"/>
  <c r="CO25" i="26" s="1"/>
  <c r="CN24" i="26"/>
  <c r="CN25" i="26" s="1"/>
  <c r="CM24" i="26"/>
  <c r="CM25" i="26" s="1"/>
  <c r="CL24" i="26"/>
  <c r="CL25" i="26" s="1"/>
  <c r="CK24" i="26"/>
  <c r="CK25" i="26" s="1"/>
  <c r="CJ24" i="26"/>
  <c r="CJ25" i="26" s="1"/>
  <c r="CI24" i="26"/>
  <c r="CI25" i="26" s="1"/>
  <c r="CH24" i="26"/>
  <c r="CH25" i="26" s="1"/>
  <c r="CG25" i="26"/>
  <c r="CG24" i="26"/>
  <c r="CF24" i="26"/>
  <c r="CF25" i="26" s="1"/>
  <c r="CE24" i="26"/>
  <c r="CE25" i="26" s="1"/>
  <c r="CD24" i="26"/>
  <c r="CD25" i="26" s="1"/>
  <c r="CC24" i="26"/>
  <c r="CC25" i="26" s="1"/>
  <c r="CB24" i="26"/>
  <c r="CB25" i="26" s="1"/>
  <c r="CA24" i="26"/>
  <c r="CA25" i="26" s="1"/>
  <c r="BZ24" i="26"/>
  <c r="BZ25" i="26" s="1"/>
  <c r="BY25" i="26"/>
  <c r="BY24" i="26"/>
  <c r="BX24" i="26"/>
  <c r="BX25" i="26" s="1"/>
  <c r="BW24" i="26"/>
  <c r="BW25" i="26" s="1"/>
  <c r="BV24" i="26"/>
  <c r="BV25" i="26" s="1"/>
  <c r="BU24" i="26"/>
  <c r="BU25" i="26" s="1"/>
  <c r="BT24" i="26"/>
  <c r="BT25" i="26" s="1"/>
  <c r="BS24" i="26"/>
  <c r="BS25" i="26" s="1"/>
  <c r="BR24" i="26"/>
  <c r="BR25" i="26" s="1"/>
  <c r="BQ24" i="26"/>
  <c r="BQ25" i="26" s="1"/>
  <c r="BP24" i="26"/>
  <c r="BP25" i="26" s="1"/>
  <c r="BO24" i="26"/>
  <c r="BO25" i="26" s="1"/>
  <c r="BN24" i="26"/>
  <c r="BN25" i="26" s="1"/>
  <c r="BM24" i="26"/>
  <c r="BM25" i="26" s="1"/>
  <c r="BL24" i="26"/>
  <c r="BL25" i="26" s="1"/>
  <c r="BK24" i="26"/>
  <c r="BK25" i="26" s="1"/>
  <c r="BJ24" i="26"/>
  <c r="BJ25" i="26" s="1"/>
  <c r="BI24" i="26"/>
  <c r="BI25" i="26" s="1"/>
  <c r="BH24" i="26"/>
  <c r="BH25" i="26" s="1"/>
  <c r="BG24" i="26"/>
  <c r="BG25" i="26" s="1"/>
  <c r="BF24" i="26"/>
  <c r="BF25" i="26" s="1"/>
  <c r="BE24" i="26"/>
  <c r="BE25" i="26" s="1"/>
  <c r="BD24" i="26"/>
  <c r="BD25" i="26" s="1"/>
  <c r="BC24" i="26"/>
  <c r="BC25" i="26" s="1"/>
  <c r="BB24" i="26"/>
  <c r="BB25" i="26" s="1"/>
  <c r="BA24" i="26"/>
  <c r="BA25" i="26" s="1"/>
  <c r="AZ24" i="26"/>
  <c r="AZ25" i="26" s="1"/>
  <c r="AY24" i="26"/>
  <c r="AY25" i="26" s="1"/>
  <c r="AX24" i="26"/>
  <c r="AX25" i="26" s="1"/>
  <c r="AW24" i="26"/>
  <c r="AW25" i="26" s="1"/>
  <c r="AV24" i="26"/>
  <c r="AV25" i="26" s="1"/>
  <c r="AU24" i="26"/>
  <c r="AU25" i="26" s="1"/>
  <c r="AT24" i="26"/>
  <c r="AT25" i="26" s="1"/>
  <c r="AS24" i="26"/>
  <c r="AS25" i="26" s="1"/>
  <c r="AR24" i="26"/>
  <c r="AR25" i="26" s="1"/>
  <c r="AQ24" i="26"/>
  <c r="AQ25" i="26" s="1"/>
  <c r="AP24" i="26"/>
  <c r="AP25" i="26" s="1"/>
  <c r="AO24" i="26"/>
  <c r="AO25" i="26" s="1"/>
  <c r="AN24" i="26"/>
  <c r="AN25" i="26" s="1"/>
  <c r="AM24" i="26"/>
  <c r="AM25" i="26" s="1"/>
  <c r="AL24" i="26"/>
  <c r="AL25" i="26" s="1"/>
  <c r="AK24" i="26"/>
  <c r="AK25" i="26" s="1"/>
  <c r="AJ24" i="26"/>
  <c r="AJ25" i="26" s="1"/>
  <c r="AI24" i="26"/>
  <c r="AI25" i="26" s="1"/>
  <c r="AH24" i="26"/>
  <c r="AH25" i="26" s="1"/>
  <c r="AG24" i="26"/>
  <c r="AG25" i="26" s="1"/>
  <c r="AF24" i="26"/>
  <c r="AF25" i="26" s="1"/>
  <c r="AE24" i="26"/>
  <c r="AE25" i="26" s="1"/>
  <c r="AD24" i="26"/>
  <c r="AD25" i="26" s="1"/>
  <c r="AC24" i="26"/>
  <c r="AC25" i="26" s="1"/>
  <c r="AB24" i="26"/>
  <c r="AB25" i="26" s="1"/>
  <c r="AA24" i="26"/>
  <c r="AA25" i="26" s="1"/>
  <c r="Z24" i="26"/>
  <c r="Z25" i="26" s="1"/>
  <c r="Y24" i="26"/>
  <c r="Y25" i="26" s="1"/>
  <c r="X24" i="26"/>
  <c r="X25" i="26" s="1"/>
  <c r="W24" i="26"/>
  <c r="W25" i="26" s="1"/>
  <c r="V24" i="26"/>
  <c r="V25" i="26" s="1"/>
  <c r="U24" i="26"/>
  <c r="U25" i="26" s="1"/>
  <c r="T24" i="26"/>
  <c r="T25" i="26" s="1"/>
  <c r="S24" i="26"/>
  <c r="S25" i="26" s="1"/>
  <c r="R24" i="26"/>
  <c r="R25" i="26" s="1"/>
  <c r="Q24" i="26"/>
  <c r="Q25" i="26" s="1"/>
  <c r="P24" i="26"/>
  <c r="P25" i="26" s="1"/>
  <c r="O24" i="26"/>
  <c r="O25" i="26" s="1"/>
  <c r="N24" i="26"/>
  <c r="N25" i="26" s="1"/>
  <c r="M24" i="26"/>
  <c r="M25" i="26" s="1"/>
  <c r="L24" i="26"/>
  <c r="L25" i="26" s="1"/>
  <c r="K24" i="26"/>
  <c r="K25" i="26" s="1"/>
  <c r="J24" i="26"/>
  <c r="J25" i="26" s="1"/>
  <c r="I24" i="26"/>
  <c r="I25" i="26" s="1"/>
  <c r="H24" i="26"/>
  <c r="H25" i="26" s="1"/>
  <c r="G24" i="26"/>
  <c r="G25" i="26" s="1"/>
  <c r="F24" i="26"/>
  <c r="F25" i="26" s="1"/>
  <c r="E24" i="26"/>
  <c r="E25" i="26" s="1"/>
  <c r="D24" i="26"/>
  <c r="D25" i="26" s="1"/>
  <c r="C24" i="26"/>
  <c r="C25" i="26" s="1"/>
  <c r="B24" i="26"/>
  <c r="B25" i="26" s="1"/>
  <c r="A22" i="26"/>
  <c r="CU16" i="26"/>
  <c r="CU15" i="26"/>
  <c r="CU14" i="26"/>
  <c r="CT16" i="26"/>
  <c r="CT15" i="26"/>
  <c r="CT14" i="26"/>
  <c r="CS16" i="26"/>
  <c r="CS15" i="26"/>
  <c r="CS14" i="26"/>
  <c r="CR16" i="26"/>
  <c r="CR15" i="26"/>
  <c r="CR14" i="26"/>
  <c r="CQ16" i="26"/>
  <c r="CQ15" i="26"/>
  <c r="CQ14" i="26"/>
  <c r="CP16" i="26"/>
  <c r="CP15" i="26"/>
  <c r="CP14" i="26"/>
  <c r="CO16" i="26"/>
  <c r="CO15" i="26"/>
  <c r="CO14" i="26"/>
  <c r="CN16" i="26"/>
  <c r="CN15" i="26"/>
  <c r="CN14" i="26"/>
  <c r="CM16" i="26"/>
  <c r="CM15" i="26"/>
  <c r="CM14" i="26"/>
  <c r="CL16" i="26"/>
  <c r="CL15" i="26"/>
  <c r="CL14" i="26"/>
  <c r="CK16" i="26"/>
  <c r="CK15" i="26"/>
  <c r="CK14" i="26"/>
  <c r="CJ16" i="26"/>
  <c r="CJ15" i="26"/>
  <c r="CJ14" i="26"/>
  <c r="CI16" i="26"/>
  <c r="CI15" i="26"/>
  <c r="CI14" i="26"/>
  <c r="CH16" i="26"/>
  <c r="CH15" i="26"/>
  <c r="CH14" i="26"/>
  <c r="CG16" i="26"/>
  <c r="CG15" i="26"/>
  <c r="CG14" i="26"/>
  <c r="CF16" i="26"/>
  <c r="CF15" i="26"/>
  <c r="CF14" i="26"/>
  <c r="CE16" i="26"/>
  <c r="CE15" i="26"/>
  <c r="CE14" i="26"/>
  <c r="CD16" i="26"/>
  <c r="CD15" i="26"/>
  <c r="CD14" i="26"/>
  <c r="CC16" i="26"/>
  <c r="CC15" i="26"/>
  <c r="CC14" i="26"/>
  <c r="CB16" i="26"/>
  <c r="CB15" i="26"/>
  <c r="CB14" i="26"/>
  <c r="CA16" i="26"/>
  <c r="CA15" i="26"/>
  <c r="CA14" i="26"/>
  <c r="BZ16" i="26"/>
  <c r="BZ15" i="26"/>
  <c r="BZ14" i="26"/>
  <c r="BY16" i="26"/>
  <c r="BY15" i="26"/>
  <c r="BY14" i="26"/>
  <c r="BX16" i="26"/>
  <c r="BX15" i="26"/>
  <c r="BX14" i="26"/>
  <c r="BW16" i="26"/>
  <c r="BW15" i="26"/>
  <c r="BW14" i="26"/>
  <c r="BV16" i="26"/>
  <c r="BV15" i="26"/>
  <c r="BV14" i="26"/>
  <c r="BU16" i="26"/>
  <c r="BU15" i="26"/>
  <c r="BU14" i="26"/>
  <c r="BT16" i="26"/>
  <c r="BT15" i="26"/>
  <c r="BT14" i="26"/>
  <c r="BS16" i="26"/>
  <c r="BS15" i="26"/>
  <c r="BS14" i="26"/>
  <c r="BR16" i="26"/>
  <c r="BR15" i="26"/>
  <c r="BR14" i="26"/>
  <c r="BQ16" i="26"/>
  <c r="BQ15" i="26"/>
  <c r="BQ14" i="26"/>
  <c r="BP16" i="26"/>
  <c r="BP15" i="26"/>
  <c r="BP14" i="26"/>
  <c r="BO16" i="26"/>
  <c r="BO15" i="26"/>
  <c r="BO14" i="26"/>
  <c r="BN16" i="26"/>
  <c r="BN15" i="26"/>
  <c r="BN14" i="26"/>
  <c r="BM16" i="26"/>
  <c r="BM15" i="26"/>
  <c r="BM14" i="26"/>
  <c r="BL16" i="26"/>
  <c r="BL15" i="26"/>
  <c r="BL14" i="26"/>
  <c r="BK16" i="26"/>
  <c r="BK15" i="26"/>
  <c r="BK14" i="26"/>
  <c r="BJ16" i="26"/>
  <c r="BJ15" i="26"/>
  <c r="BJ14" i="26"/>
  <c r="BI16" i="26"/>
  <c r="BI15" i="26"/>
  <c r="BI14" i="26"/>
  <c r="BH16" i="26"/>
  <c r="BH15" i="26"/>
  <c r="BH14" i="26"/>
  <c r="BG16" i="26"/>
  <c r="BG15" i="26"/>
  <c r="BG14" i="26"/>
  <c r="BF16" i="26"/>
  <c r="BF15" i="26"/>
  <c r="BF14" i="26"/>
  <c r="BE16" i="26"/>
  <c r="BE15" i="26"/>
  <c r="BE14" i="26"/>
  <c r="BD16" i="26"/>
  <c r="BD15" i="26"/>
  <c r="BD14" i="26"/>
  <c r="BC16" i="26"/>
  <c r="BC15" i="26"/>
  <c r="BC14" i="26"/>
  <c r="BB16" i="26"/>
  <c r="BB15" i="26"/>
  <c r="BB14" i="26"/>
  <c r="BA16" i="26"/>
  <c r="BA15" i="26"/>
  <c r="BA14" i="26"/>
  <c r="AZ16" i="26"/>
  <c r="AZ15" i="26"/>
  <c r="AZ14" i="26"/>
  <c r="AY16" i="26"/>
  <c r="AY15" i="26"/>
  <c r="AY14" i="26"/>
  <c r="AX16" i="26"/>
  <c r="AX15" i="26"/>
  <c r="AX14" i="26"/>
  <c r="AW16" i="26"/>
  <c r="AW15" i="26"/>
  <c r="AW14" i="26"/>
  <c r="AV16" i="26"/>
  <c r="AV15" i="26"/>
  <c r="AV14" i="26"/>
  <c r="AU16" i="26"/>
  <c r="AU15" i="26"/>
  <c r="AU14" i="26"/>
  <c r="AT16" i="26"/>
  <c r="AT15" i="26"/>
  <c r="AT14" i="26"/>
  <c r="AS16" i="26"/>
  <c r="AS15" i="26"/>
  <c r="AS14" i="26"/>
  <c r="AR16" i="26"/>
  <c r="AR15" i="26"/>
  <c r="AR14" i="26"/>
  <c r="AQ16" i="26"/>
  <c r="AQ15" i="26"/>
  <c r="AQ14" i="26"/>
  <c r="AP16" i="26"/>
  <c r="AP15" i="26"/>
  <c r="AP14" i="26"/>
  <c r="AO16" i="26"/>
  <c r="AO15" i="26"/>
  <c r="AO14" i="26"/>
  <c r="AN16" i="26"/>
  <c r="AN15" i="26"/>
  <c r="AN14" i="26"/>
  <c r="AM16" i="26"/>
  <c r="AM15" i="26"/>
  <c r="AM14" i="26"/>
  <c r="AL16" i="26"/>
  <c r="AL15" i="26"/>
  <c r="AL14" i="26"/>
  <c r="AK16" i="26"/>
  <c r="AK15" i="26"/>
  <c r="AK14" i="26"/>
  <c r="AJ16" i="26"/>
  <c r="AJ15" i="26"/>
  <c r="AJ14" i="26"/>
  <c r="AI16" i="26"/>
  <c r="AI15" i="26"/>
  <c r="AI14" i="26"/>
  <c r="AH16" i="26"/>
  <c r="AH15" i="26"/>
  <c r="AH14" i="26"/>
  <c r="AG16" i="26"/>
  <c r="AG15" i="26"/>
  <c r="AG14" i="26"/>
  <c r="AF16" i="26"/>
  <c r="AF15" i="26"/>
  <c r="AF14" i="26"/>
  <c r="AE16" i="26"/>
  <c r="AE15" i="26"/>
  <c r="AE14" i="26"/>
  <c r="AD16" i="26"/>
  <c r="AD15" i="26"/>
  <c r="AD14" i="26"/>
  <c r="AC16" i="26"/>
  <c r="AC15" i="26"/>
  <c r="AC14" i="26"/>
  <c r="AB16" i="26"/>
  <c r="AB15" i="26"/>
  <c r="AB14" i="26"/>
  <c r="AA16" i="26"/>
  <c r="AA15" i="26"/>
  <c r="AA14" i="26"/>
  <c r="Z16" i="26"/>
  <c r="Z15" i="26"/>
  <c r="Z14" i="26"/>
  <c r="Y16" i="26"/>
  <c r="Y15" i="26"/>
  <c r="Y14" i="26"/>
  <c r="X16" i="26"/>
  <c r="X15" i="26"/>
  <c r="X14" i="26"/>
  <c r="W16" i="26"/>
  <c r="W15" i="26"/>
  <c r="W14" i="26"/>
  <c r="V16" i="26"/>
  <c r="V15" i="26"/>
  <c r="V14" i="26"/>
  <c r="U16" i="26"/>
  <c r="U15" i="26"/>
  <c r="U14" i="26"/>
  <c r="T16" i="26"/>
  <c r="T15" i="26"/>
  <c r="T14" i="26"/>
  <c r="S16" i="26"/>
  <c r="S15" i="26"/>
  <c r="S14" i="26"/>
  <c r="R16" i="26"/>
  <c r="R15" i="26"/>
  <c r="R14" i="26"/>
  <c r="Q16" i="26"/>
  <c r="Q15" i="26"/>
  <c r="Q14" i="26"/>
  <c r="P16" i="26"/>
  <c r="P15" i="26"/>
  <c r="P14" i="26"/>
  <c r="O16" i="26"/>
  <c r="O15" i="26"/>
  <c r="O14" i="26"/>
  <c r="N16" i="26"/>
  <c r="N15" i="26"/>
  <c r="N14" i="26"/>
  <c r="M16" i="26"/>
  <c r="M15" i="26"/>
  <c r="M14" i="26"/>
  <c r="L16" i="26"/>
  <c r="L15" i="26"/>
  <c r="L14" i="26"/>
  <c r="K16" i="26"/>
  <c r="K15" i="26"/>
  <c r="K14" i="26"/>
  <c r="J16" i="26"/>
  <c r="J15" i="26"/>
  <c r="J14" i="26"/>
  <c r="I16" i="26"/>
  <c r="I15" i="26"/>
  <c r="I14" i="26"/>
  <c r="H16" i="26"/>
  <c r="H15" i="26"/>
  <c r="H14" i="26"/>
  <c r="G16" i="26"/>
  <c r="G15" i="26"/>
  <c r="G14" i="26"/>
  <c r="F16" i="26"/>
  <c r="F15" i="26"/>
  <c r="F14" i="26"/>
  <c r="E16" i="26"/>
  <c r="E15" i="26"/>
  <c r="E14" i="26"/>
  <c r="D16" i="26"/>
  <c r="D15" i="26"/>
  <c r="D14" i="26"/>
  <c r="C16" i="26"/>
  <c r="C15" i="26"/>
  <c r="C14" i="26"/>
  <c r="B16" i="26"/>
  <c r="B15" i="26"/>
  <c r="B14" i="26"/>
  <c r="A12" i="26"/>
  <c r="CU8" i="26"/>
  <c r="CU7" i="26"/>
  <c r="CU6" i="26"/>
  <c r="CU5" i="26"/>
  <c r="CT8" i="26"/>
  <c r="CT7" i="26"/>
  <c r="CT6" i="26"/>
  <c r="CT5" i="26"/>
  <c r="CW5" i="26" s="1"/>
  <c r="CS8" i="26"/>
  <c r="CS7" i="26"/>
  <c r="CS6" i="26"/>
  <c r="CS5" i="26"/>
  <c r="CR8" i="26"/>
  <c r="CR7" i="26"/>
  <c r="CR6" i="26"/>
  <c r="CR5" i="26"/>
  <c r="CQ8" i="26"/>
  <c r="CQ7" i="26"/>
  <c r="CQ6" i="26"/>
  <c r="CQ5" i="26"/>
  <c r="CP8" i="26"/>
  <c r="CP7" i="26"/>
  <c r="CP6" i="26"/>
  <c r="CP5" i="26"/>
  <c r="CO8" i="26"/>
  <c r="CO7" i="26"/>
  <c r="CO6" i="26"/>
  <c r="CO5" i="26"/>
  <c r="CN8" i="26"/>
  <c r="CN7" i="26"/>
  <c r="CN6" i="26"/>
  <c r="CN5" i="26"/>
  <c r="CM8" i="26"/>
  <c r="CM7" i="26"/>
  <c r="CM6" i="26"/>
  <c r="CM5" i="26"/>
  <c r="CL8" i="26"/>
  <c r="CL7" i="26"/>
  <c r="CL6" i="26"/>
  <c r="CL5" i="26"/>
  <c r="CK8" i="26"/>
  <c r="CK7" i="26"/>
  <c r="CK6" i="26"/>
  <c r="CK5" i="26"/>
  <c r="CJ8" i="26"/>
  <c r="CJ7" i="26"/>
  <c r="CJ6" i="26"/>
  <c r="CJ5" i="26"/>
  <c r="CI8" i="26"/>
  <c r="CI7" i="26"/>
  <c r="CI6" i="26"/>
  <c r="CI5" i="26"/>
  <c r="CH8" i="26"/>
  <c r="CH7" i="26"/>
  <c r="CH6" i="26"/>
  <c r="CH5" i="26"/>
  <c r="CG8" i="26"/>
  <c r="CG7" i="26"/>
  <c r="CG6" i="26"/>
  <c r="CG5" i="26"/>
  <c r="CF8" i="26"/>
  <c r="CF7" i="26"/>
  <c r="CF6" i="26"/>
  <c r="CF5" i="26"/>
  <c r="CE8" i="26"/>
  <c r="CE7" i="26"/>
  <c r="CE6" i="26"/>
  <c r="CE5" i="26"/>
  <c r="CD8" i="26"/>
  <c r="CD7" i="26"/>
  <c r="CD6" i="26"/>
  <c r="CD5" i="26"/>
  <c r="CC8" i="26"/>
  <c r="CC7" i="26"/>
  <c r="CC6" i="26"/>
  <c r="CC5" i="26"/>
  <c r="CB8" i="26"/>
  <c r="CB7" i="26"/>
  <c r="CB6" i="26"/>
  <c r="CB5" i="26"/>
  <c r="CA8" i="26"/>
  <c r="CA7" i="26"/>
  <c r="CA6" i="26"/>
  <c r="CA5" i="26"/>
  <c r="BZ8" i="26"/>
  <c r="BZ7" i="26"/>
  <c r="BZ6" i="26"/>
  <c r="BZ5" i="26"/>
  <c r="BY8" i="26"/>
  <c r="BY7" i="26"/>
  <c r="BY6" i="26"/>
  <c r="BY5" i="26"/>
  <c r="BX8" i="26"/>
  <c r="BX7" i="26"/>
  <c r="BX6" i="26"/>
  <c r="BX5" i="26"/>
  <c r="BW8" i="26"/>
  <c r="BW7" i="26"/>
  <c r="BW6" i="26"/>
  <c r="BW5" i="26"/>
  <c r="BV8" i="26"/>
  <c r="BV7" i="26"/>
  <c r="BV6" i="26"/>
  <c r="BV5" i="26"/>
  <c r="BU8" i="26"/>
  <c r="BU7" i="26"/>
  <c r="BU6" i="26"/>
  <c r="BU5" i="26"/>
  <c r="BT8" i="26"/>
  <c r="BT7" i="26"/>
  <c r="BT6" i="26"/>
  <c r="BT5" i="26"/>
  <c r="BS8" i="26"/>
  <c r="BS7" i="26"/>
  <c r="BS6" i="26"/>
  <c r="BS5" i="26"/>
  <c r="BR8" i="26"/>
  <c r="BR7" i="26"/>
  <c r="BR6" i="26"/>
  <c r="BR5" i="26"/>
  <c r="BQ8" i="26"/>
  <c r="BQ7" i="26"/>
  <c r="BQ6" i="26"/>
  <c r="BQ5" i="26"/>
  <c r="BP8" i="26"/>
  <c r="BP7" i="26"/>
  <c r="BP6" i="26"/>
  <c r="BP5" i="26"/>
  <c r="BO8" i="26"/>
  <c r="BO7" i="26"/>
  <c r="BO6" i="26"/>
  <c r="BO5" i="26"/>
  <c r="BN8" i="26"/>
  <c r="BN7" i="26"/>
  <c r="BN6" i="26"/>
  <c r="BN5" i="26"/>
  <c r="BM8" i="26"/>
  <c r="BM7" i="26"/>
  <c r="BM6" i="26"/>
  <c r="BM5" i="26"/>
  <c r="BL8" i="26"/>
  <c r="BL7" i="26"/>
  <c r="BL6" i="26"/>
  <c r="BL5" i="26"/>
  <c r="BK8" i="26"/>
  <c r="BK7" i="26"/>
  <c r="BK6" i="26"/>
  <c r="BK5" i="26"/>
  <c r="BJ8" i="26"/>
  <c r="BJ7" i="26"/>
  <c r="BJ6" i="26"/>
  <c r="BJ5" i="26"/>
  <c r="BI8" i="26"/>
  <c r="BI7" i="26"/>
  <c r="BI6" i="26"/>
  <c r="BI5" i="26"/>
  <c r="BH8" i="26"/>
  <c r="BH7" i="26"/>
  <c r="BH6" i="26"/>
  <c r="BH5" i="26"/>
  <c r="BG8" i="26"/>
  <c r="BG7" i="26"/>
  <c r="BG6" i="26"/>
  <c r="BG5" i="26"/>
  <c r="BF8" i="26"/>
  <c r="BF7" i="26"/>
  <c r="BF6" i="26"/>
  <c r="BF5" i="26"/>
  <c r="BE8" i="26"/>
  <c r="BE7" i="26"/>
  <c r="BE6" i="26"/>
  <c r="BE5" i="26"/>
  <c r="BD8" i="26"/>
  <c r="BD7" i="26"/>
  <c r="BD6" i="26"/>
  <c r="BD5" i="26"/>
  <c r="BC8" i="26"/>
  <c r="BC7" i="26"/>
  <c r="BC6" i="26"/>
  <c r="BC5" i="26"/>
  <c r="BB8" i="26"/>
  <c r="BB7" i="26"/>
  <c r="BB6" i="26"/>
  <c r="BB5" i="26"/>
  <c r="BA8" i="26"/>
  <c r="BA7" i="26"/>
  <c r="BA6" i="26"/>
  <c r="BA5" i="26"/>
  <c r="AZ8" i="26"/>
  <c r="AZ7" i="26"/>
  <c r="AZ6" i="26"/>
  <c r="AZ5" i="26"/>
  <c r="AY8" i="26"/>
  <c r="AY7" i="26"/>
  <c r="AY6" i="26"/>
  <c r="AY5" i="26"/>
  <c r="AX8" i="26"/>
  <c r="AX7" i="26"/>
  <c r="AX6" i="26"/>
  <c r="AX5" i="26"/>
  <c r="AW8" i="26"/>
  <c r="AW7" i="26"/>
  <c r="AW6" i="26"/>
  <c r="AW5" i="26"/>
  <c r="AV8" i="26"/>
  <c r="AV7" i="26"/>
  <c r="AV6" i="26"/>
  <c r="AV5" i="26"/>
  <c r="AU8" i="26"/>
  <c r="AU7" i="26"/>
  <c r="AU6" i="26"/>
  <c r="AU5" i="26"/>
  <c r="AT8" i="26"/>
  <c r="AT7" i="26"/>
  <c r="AT6" i="26"/>
  <c r="AT5" i="26"/>
  <c r="AS8" i="26"/>
  <c r="AS7" i="26"/>
  <c r="AS6" i="26"/>
  <c r="AS5" i="26"/>
  <c r="AR8" i="26"/>
  <c r="AR7" i="26"/>
  <c r="AR6" i="26"/>
  <c r="AR5" i="26"/>
  <c r="AQ8" i="26"/>
  <c r="AQ7" i="26"/>
  <c r="AQ6" i="26"/>
  <c r="AQ5" i="26"/>
  <c r="AP8" i="26"/>
  <c r="AP7" i="26"/>
  <c r="AP6" i="26"/>
  <c r="AP5" i="26"/>
  <c r="AO8" i="26"/>
  <c r="AO7" i="26"/>
  <c r="AO6" i="26"/>
  <c r="AO5" i="26"/>
  <c r="AN8" i="26"/>
  <c r="AN7" i="26"/>
  <c r="AN6" i="26"/>
  <c r="AN5" i="26"/>
  <c r="AM8" i="26"/>
  <c r="AM7" i="26"/>
  <c r="AM6" i="26"/>
  <c r="AM5" i="26"/>
  <c r="AL8" i="26"/>
  <c r="AL7" i="26"/>
  <c r="AL6" i="26"/>
  <c r="AL5" i="26"/>
  <c r="AK8" i="26"/>
  <c r="AK7" i="26"/>
  <c r="AK6" i="26"/>
  <c r="AK5" i="26"/>
  <c r="AJ8" i="26"/>
  <c r="AJ7" i="26"/>
  <c r="AJ6" i="26"/>
  <c r="AJ5" i="26"/>
  <c r="AI8" i="26"/>
  <c r="AI7" i="26"/>
  <c r="AI6" i="26"/>
  <c r="AI5" i="26"/>
  <c r="AH8" i="26"/>
  <c r="AH7" i="26"/>
  <c r="AH6" i="26"/>
  <c r="AH5" i="26"/>
  <c r="AG8" i="26"/>
  <c r="AG7" i="26"/>
  <c r="AG6" i="26"/>
  <c r="AG5" i="26"/>
  <c r="AF8" i="26"/>
  <c r="AF7" i="26"/>
  <c r="AF6" i="26"/>
  <c r="AF5" i="26"/>
  <c r="AE8" i="26"/>
  <c r="AE7" i="26"/>
  <c r="AE6" i="26"/>
  <c r="AE5" i="26"/>
  <c r="AD8" i="26"/>
  <c r="AD7" i="26"/>
  <c r="AD6" i="26"/>
  <c r="AD5" i="26"/>
  <c r="AC8" i="26"/>
  <c r="AC7" i="26"/>
  <c r="AC6" i="26"/>
  <c r="AC5" i="26"/>
  <c r="AB8" i="26"/>
  <c r="AB7" i="26"/>
  <c r="AB6" i="26"/>
  <c r="AB5" i="26"/>
  <c r="AA8" i="26"/>
  <c r="AA7" i="26"/>
  <c r="AA6" i="26"/>
  <c r="AA5" i="26"/>
  <c r="Z8" i="26"/>
  <c r="Z7" i="26"/>
  <c r="Z6" i="26"/>
  <c r="Z5" i="26"/>
  <c r="Y8" i="26"/>
  <c r="Y7" i="26"/>
  <c r="Y6" i="26"/>
  <c r="Y5" i="26"/>
  <c r="X8" i="26"/>
  <c r="X7" i="26"/>
  <c r="X6" i="26"/>
  <c r="X5" i="26"/>
  <c r="W8" i="26"/>
  <c r="W7" i="26"/>
  <c r="W6" i="26"/>
  <c r="W5" i="26"/>
  <c r="V8" i="26"/>
  <c r="V7" i="26"/>
  <c r="V6" i="26"/>
  <c r="V5" i="26"/>
  <c r="U8" i="26"/>
  <c r="U7" i="26"/>
  <c r="U6" i="26"/>
  <c r="U5" i="26"/>
  <c r="T8" i="26"/>
  <c r="T7" i="26"/>
  <c r="T6" i="26"/>
  <c r="T5" i="26"/>
  <c r="S8" i="26"/>
  <c r="S7" i="26"/>
  <c r="S6" i="26"/>
  <c r="S5" i="26"/>
  <c r="R8" i="26"/>
  <c r="R7" i="26"/>
  <c r="R6" i="26"/>
  <c r="R5" i="26"/>
  <c r="Q8" i="26"/>
  <c r="Q7" i="26"/>
  <c r="Q6" i="26"/>
  <c r="Q5" i="26"/>
  <c r="P8" i="26"/>
  <c r="P7" i="26"/>
  <c r="P6" i="26"/>
  <c r="P5" i="26"/>
  <c r="O8" i="26"/>
  <c r="O7" i="26"/>
  <c r="O6" i="26"/>
  <c r="O5" i="26"/>
  <c r="N8" i="26"/>
  <c r="N7" i="26"/>
  <c r="N6" i="26"/>
  <c r="N5" i="26"/>
  <c r="M8" i="26"/>
  <c r="M7" i="26"/>
  <c r="M6" i="26"/>
  <c r="M5" i="26"/>
  <c r="L8" i="26"/>
  <c r="L7" i="26"/>
  <c r="L6" i="26"/>
  <c r="L5" i="26"/>
  <c r="K8" i="26"/>
  <c r="K7" i="26"/>
  <c r="K6" i="26"/>
  <c r="K5" i="26"/>
  <c r="J8" i="26"/>
  <c r="J7" i="26"/>
  <c r="J6" i="26"/>
  <c r="J5" i="26"/>
  <c r="I8" i="26"/>
  <c r="I7" i="26"/>
  <c r="I6" i="26"/>
  <c r="I5" i="26"/>
  <c r="H8" i="26"/>
  <c r="H7" i="26"/>
  <c r="H6" i="26"/>
  <c r="H5" i="26"/>
  <c r="G8" i="26"/>
  <c r="G7" i="26"/>
  <c r="G6" i="26"/>
  <c r="G5" i="26"/>
  <c r="F8" i="26"/>
  <c r="F7" i="26"/>
  <c r="F6" i="26"/>
  <c r="F5" i="26"/>
  <c r="E8" i="26"/>
  <c r="E7" i="26"/>
  <c r="E6" i="26"/>
  <c r="E5" i="26"/>
  <c r="D8" i="26"/>
  <c r="D7" i="26"/>
  <c r="D6" i="26"/>
  <c r="D5" i="26"/>
  <c r="C8" i="26"/>
  <c r="C7" i="26"/>
  <c r="C6" i="26"/>
  <c r="C5" i="26"/>
  <c r="B8" i="26"/>
  <c r="B7" i="26"/>
  <c r="B6" i="26"/>
  <c r="B5" i="26"/>
  <c r="A3" i="26"/>
  <c r="CU30" i="25"/>
  <c r="CU29" i="25"/>
  <c r="CU28" i="25"/>
  <c r="CU27" i="25"/>
  <c r="CU26" i="25"/>
  <c r="CU25" i="25"/>
  <c r="CU24" i="25"/>
  <c r="CU23" i="25"/>
  <c r="CU22" i="25"/>
  <c r="CT30" i="25"/>
  <c r="CT29" i="25"/>
  <c r="CT28" i="25"/>
  <c r="CT27" i="25"/>
  <c r="CT26" i="25"/>
  <c r="CT25" i="25"/>
  <c r="CT24" i="25"/>
  <c r="CT23" i="25"/>
  <c r="CT22" i="25"/>
  <c r="CT31" i="25" s="1"/>
  <c r="CS30" i="25"/>
  <c r="CS29" i="25"/>
  <c r="CS28" i="25"/>
  <c r="CS27" i="25"/>
  <c r="CS26" i="25"/>
  <c r="CS25" i="25"/>
  <c r="CS24" i="25"/>
  <c r="CS23" i="25"/>
  <c r="CS31" i="25" s="1"/>
  <c r="CS22" i="25"/>
  <c r="CR30" i="25"/>
  <c r="CR29" i="25"/>
  <c r="CR28" i="25"/>
  <c r="CR27" i="25"/>
  <c r="CR26" i="25"/>
  <c r="CR25" i="25"/>
  <c r="CR24" i="25"/>
  <c r="CR23" i="25"/>
  <c r="CR22" i="25"/>
  <c r="CQ30" i="25"/>
  <c r="CQ29" i="25"/>
  <c r="CQ28" i="25"/>
  <c r="CQ27" i="25"/>
  <c r="CQ26" i="25"/>
  <c r="CQ25" i="25"/>
  <c r="CQ24" i="25"/>
  <c r="CQ23" i="25"/>
  <c r="CQ22" i="25"/>
  <c r="CP30" i="25"/>
  <c r="CP29" i="25"/>
  <c r="CP28" i="25"/>
  <c r="CP27" i="25"/>
  <c r="CP26" i="25"/>
  <c r="CP25" i="25"/>
  <c r="CP24" i="25"/>
  <c r="CP23" i="25"/>
  <c r="CP22" i="25"/>
  <c r="CP31" i="25" s="1"/>
  <c r="CO30" i="25"/>
  <c r="CO29" i="25"/>
  <c r="CO28" i="25"/>
  <c r="CO27" i="25"/>
  <c r="CO26" i="25"/>
  <c r="CO25" i="25"/>
  <c r="CO24" i="25"/>
  <c r="CO23" i="25"/>
  <c r="CO31" i="25" s="1"/>
  <c r="CO22" i="25"/>
  <c r="CN30" i="25"/>
  <c r="CN29" i="25"/>
  <c r="CN28" i="25"/>
  <c r="CN27" i="25"/>
  <c r="CN26" i="25"/>
  <c r="CN25" i="25"/>
  <c r="CN24" i="25"/>
  <c r="CN23" i="25"/>
  <c r="CN22" i="25"/>
  <c r="CM30" i="25"/>
  <c r="CM29" i="25"/>
  <c r="CM28" i="25"/>
  <c r="CM27" i="25"/>
  <c r="CM26" i="25"/>
  <c r="CM25" i="25"/>
  <c r="CM24" i="25"/>
  <c r="CM23" i="25"/>
  <c r="CM22" i="25"/>
  <c r="CL30" i="25"/>
  <c r="CL29" i="25"/>
  <c r="CL28" i="25"/>
  <c r="CL27" i="25"/>
  <c r="CL26" i="25"/>
  <c r="CL25" i="25"/>
  <c r="CL24" i="25"/>
  <c r="CL23" i="25"/>
  <c r="CL22" i="25"/>
  <c r="CL31" i="25" s="1"/>
  <c r="CK30" i="25"/>
  <c r="CK29" i="25"/>
  <c r="CK28" i="25"/>
  <c r="CK27" i="25"/>
  <c r="CK26" i="25"/>
  <c r="CK25" i="25"/>
  <c r="CK24" i="25"/>
  <c r="CK23" i="25"/>
  <c r="CK31" i="25" s="1"/>
  <c r="CK22" i="25"/>
  <c r="CJ30" i="25"/>
  <c r="CJ29" i="25"/>
  <c r="CJ28" i="25"/>
  <c r="CJ27" i="25"/>
  <c r="CJ26" i="25"/>
  <c r="CJ25" i="25"/>
  <c r="CJ24" i="25"/>
  <c r="CJ23" i="25"/>
  <c r="CJ22" i="25"/>
  <c r="CI30" i="25"/>
  <c r="CI29" i="25"/>
  <c r="CI28" i="25"/>
  <c r="CI27" i="25"/>
  <c r="CI26" i="25"/>
  <c r="CI25" i="25"/>
  <c r="CI24" i="25"/>
  <c r="CI23" i="25"/>
  <c r="CI22" i="25"/>
  <c r="CH30" i="25"/>
  <c r="CH29" i="25"/>
  <c r="CH28" i="25"/>
  <c r="CH27" i="25"/>
  <c r="CH26" i="25"/>
  <c r="CH25" i="25"/>
  <c r="CH24" i="25"/>
  <c r="CH23" i="25"/>
  <c r="CH22" i="25"/>
  <c r="CH31" i="25" s="1"/>
  <c r="CG30" i="25"/>
  <c r="CG29" i="25"/>
  <c r="CG28" i="25"/>
  <c r="CG27" i="25"/>
  <c r="CG26" i="25"/>
  <c r="CG25" i="25"/>
  <c r="CG24" i="25"/>
  <c r="CG23" i="25"/>
  <c r="CG22" i="25"/>
  <c r="CF30" i="25"/>
  <c r="CF29" i="25"/>
  <c r="CF28" i="25"/>
  <c r="CF27" i="25"/>
  <c r="CF26" i="25"/>
  <c r="CF25" i="25"/>
  <c r="CF24" i="25"/>
  <c r="CF23" i="25"/>
  <c r="CF22" i="25"/>
  <c r="CE30" i="25"/>
  <c r="CE29" i="25"/>
  <c r="CE28" i="25"/>
  <c r="CE27" i="25"/>
  <c r="CE26" i="25"/>
  <c r="CE25" i="25"/>
  <c r="CE24" i="25"/>
  <c r="CE23" i="25"/>
  <c r="CE22" i="25"/>
  <c r="CD30" i="25"/>
  <c r="CD29" i="25"/>
  <c r="CD28" i="25"/>
  <c r="CD27" i="25"/>
  <c r="CD26" i="25"/>
  <c r="CD25" i="25"/>
  <c r="CD24" i="25"/>
  <c r="CD23" i="25"/>
  <c r="CD22" i="25"/>
  <c r="CD31" i="25" s="1"/>
  <c r="CC30" i="25"/>
  <c r="CC29" i="25"/>
  <c r="CC28" i="25"/>
  <c r="CC27" i="25"/>
  <c r="CC26" i="25"/>
  <c r="CC25" i="25"/>
  <c r="CC24" i="25"/>
  <c r="CC23" i="25"/>
  <c r="CC22" i="25"/>
  <c r="CB30" i="25"/>
  <c r="CB29" i="25"/>
  <c r="CB28" i="25"/>
  <c r="CB27" i="25"/>
  <c r="CB26" i="25"/>
  <c r="CB25" i="25"/>
  <c r="CB24" i="25"/>
  <c r="CB23" i="25"/>
  <c r="CB22" i="25"/>
  <c r="CA30" i="25"/>
  <c r="CA29" i="25"/>
  <c r="CA28" i="25"/>
  <c r="CA27" i="25"/>
  <c r="CA26" i="25"/>
  <c r="CA25" i="25"/>
  <c r="CA24" i="25"/>
  <c r="CA23" i="25"/>
  <c r="CA22" i="25"/>
  <c r="BZ30" i="25"/>
  <c r="BZ29" i="25"/>
  <c r="BZ28" i="25"/>
  <c r="BZ27" i="25"/>
  <c r="BZ26" i="25"/>
  <c r="BZ25" i="25"/>
  <c r="BZ24" i="25"/>
  <c r="BZ23" i="25"/>
  <c r="BZ22" i="25"/>
  <c r="BZ31" i="25" s="1"/>
  <c r="BY30" i="25"/>
  <c r="BY29" i="25"/>
  <c r="BY28" i="25"/>
  <c r="BY27" i="25"/>
  <c r="BY26" i="25"/>
  <c r="BY25" i="25"/>
  <c r="BY24" i="25"/>
  <c r="BY23" i="25"/>
  <c r="BY22" i="25"/>
  <c r="BX30" i="25"/>
  <c r="BX29" i="25"/>
  <c r="BX28" i="25"/>
  <c r="BX27" i="25"/>
  <c r="BX26" i="25"/>
  <c r="BX25" i="25"/>
  <c r="BX24" i="25"/>
  <c r="BX23" i="25"/>
  <c r="BX22" i="25"/>
  <c r="BW30" i="25"/>
  <c r="BW29" i="25"/>
  <c r="BW28" i="25"/>
  <c r="BW27" i="25"/>
  <c r="BW26" i="25"/>
  <c r="BW25" i="25"/>
  <c r="BW24" i="25"/>
  <c r="BW23" i="25"/>
  <c r="BW22" i="25"/>
  <c r="BV30" i="25"/>
  <c r="BV29" i="25"/>
  <c r="BV28" i="25"/>
  <c r="BV27" i="25"/>
  <c r="BV26" i="25"/>
  <c r="BV25" i="25"/>
  <c r="BV24" i="25"/>
  <c r="BV23" i="25"/>
  <c r="BV22" i="25"/>
  <c r="BV31" i="25" s="1"/>
  <c r="BU30" i="25"/>
  <c r="BU29" i="25"/>
  <c r="BU28" i="25"/>
  <c r="BU27" i="25"/>
  <c r="BU26" i="25"/>
  <c r="BU25" i="25"/>
  <c r="BU24" i="25"/>
  <c r="BU23" i="25"/>
  <c r="BU22" i="25"/>
  <c r="BT30" i="25"/>
  <c r="BT29" i="25"/>
  <c r="BT28" i="25"/>
  <c r="BT27" i="25"/>
  <c r="BT26" i="25"/>
  <c r="BT25" i="25"/>
  <c r="BT24" i="25"/>
  <c r="BT23" i="25"/>
  <c r="BT22" i="25"/>
  <c r="BS30" i="25"/>
  <c r="BS29" i="25"/>
  <c r="BS28" i="25"/>
  <c r="BS27" i="25"/>
  <c r="BS26" i="25"/>
  <c r="BS25" i="25"/>
  <c r="BS24" i="25"/>
  <c r="BS23" i="25"/>
  <c r="BS22" i="25"/>
  <c r="BR30" i="25"/>
  <c r="BR29" i="25"/>
  <c r="BR28" i="25"/>
  <c r="BR27" i="25"/>
  <c r="BR26" i="25"/>
  <c r="BR25" i="25"/>
  <c r="BR24" i="25"/>
  <c r="BR23" i="25"/>
  <c r="BR22" i="25"/>
  <c r="BR31" i="25" s="1"/>
  <c r="BQ30" i="25"/>
  <c r="BQ29" i="25"/>
  <c r="BQ28" i="25"/>
  <c r="BQ27" i="25"/>
  <c r="BQ26" i="25"/>
  <c r="BQ25" i="25"/>
  <c r="BQ24" i="25"/>
  <c r="BQ23" i="25"/>
  <c r="BQ22" i="25"/>
  <c r="BP30" i="25"/>
  <c r="BP29" i="25"/>
  <c r="BP28" i="25"/>
  <c r="BP27" i="25"/>
  <c r="BP26" i="25"/>
  <c r="BP25" i="25"/>
  <c r="BP24" i="25"/>
  <c r="BP23" i="25"/>
  <c r="BP22" i="25"/>
  <c r="BO30" i="25"/>
  <c r="BO29" i="25"/>
  <c r="BO28" i="25"/>
  <c r="BO27" i="25"/>
  <c r="BO26" i="25"/>
  <c r="BO25" i="25"/>
  <c r="BO24" i="25"/>
  <c r="BO23" i="25"/>
  <c r="BO22" i="25"/>
  <c r="BN30" i="25"/>
  <c r="BN29" i="25"/>
  <c r="BN28" i="25"/>
  <c r="BN27" i="25"/>
  <c r="BN26" i="25"/>
  <c r="BN25" i="25"/>
  <c r="BN24" i="25"/>
  <c r="BN23" i="25"/>
  <c r="BN22" i="25"/>
  <c r="BN31" i="25" s="1"/>
  <c r="BM30" i="25"/>
  <c r="BM29" i="25"/>
  <c r="BM28" i="25"/>
  <c r="BM27" i="25"/>
  <c r="BM26" i="25"/>
  <c r="BM25" i="25"/>
  <c r="BM24" i="25"/>
  <c r="BM23" i="25"/>
  <c r="BM22" i="25"/>
  <c r="BL30" i="25"/>
  <c r="BL29" i="25"/>
  <c r="BL28" i="25"/>
  <c r="BL27" i="25"/>
  <c r="BL26" i="25"/>
  <c r="BL25" i="25"/>
  <c r="BL24" i="25"/>
  <c r="BL23" i="25"/>
  <c r="BL22" i="25"/>
  <c r="BK30" i="25"/>
  <c r="BK29" i="25"/>
  <c r="BK28" i="25"/>
  <c r="BK27" i="25"/>
  <c r="BK26" i="25"/>
  <c r="BK25" i="25"/>
  <c r="BK24" i="25"/>
  <c r="BK23" i="25"/>
  <c r="BK22" i="25"/>
  <c r="BJ30" i="25"/>
  <c r="BJ29" i="25"/>
  <c r="BJ28" i="25"/>
  <c r="BJ27" i="25"/>
  <c r="BJ26" i="25"/>
  <c r="BJ25" i="25"/>
  <c r="BJ24" i="25"/>
  <c r="BJ23" i="25"/>
  <c r="BJ22" i="25"/>
  <c r="BJ31" i="25" s="1"/>
  <c r="BI30" i="25"/>
  <c r="BI29" i="25"/>
  <c r="BI28" i="25"/>
  <c r="BI27" i="25"/>
  <c r="BI26" i="25"/>
  <c r="BI25" i="25"/>
  <c r="BI24" i="25"/>
  <c r="BI23" i="25"/>
  <c r="BI22" i="25"/>
  <c r="BH30" i="25"/>
  <c r="BH29" i="25"/>
  <c r="BH28" i="25"/>
  <c r="BH27" i="25"/>
  <c r="BH26" i="25"/>
  <c r="BH25" i="25"/>
  <c r="BH24" i="25"/>
  <c r="BH23" i="25"/>
  <c r="BH22" i="25"/>
  <c r="BG30" i="25"/>
  <c r="BG29" i="25"/>
  <c r="BG28" i="25"/>
  <c r="BG27" i="25"/>
  <c r="BG26" i="25"/>
  <c r="BG25" i="25"/>
  <c r="BG24" i="25"/>
  <c r="BG23" i="25"/>
  <c r="BG22" i="25"/>
  <c r="BF30" i="25"/>
  <c r="BF29" i="25"/>
  <c r="BF28" i="25"/>
  <c r="BF27" i="25"/>
  <c r="BF26" i="25"/>
  <c r="BF25" i="25"/>
  <c r="BF24" i="25"/>
  <c r="BF23" i="25"/>
  <c r="BF22" i="25"/>
  <c r="BF31" i="25" s="1"/>
  <c r="BE30" i="25"/>
  <c r="BE29" i="25"/>
  <c r="BE28" i="25"/>
  <c r="BE27" i="25"/>
  <c r="BE26" i="25"/>
  <c r="BE25" i="25"/>
  <c r="BE24" i="25"/>
  <c r="BE23" i="25"/>
  <c r="BE22" i="25"/>
  <c r="BD30" i="25"/>
  <c r="BD29" i="25"/>
  <c r="BD28" i="25"/>
  <c r="BD27" i="25"/>
  <c r="BD26" i="25"/>
  <c r="BD25" i="25"/>
  <c r="BD24" i="25"/>
  <c r="BD23" i="25"/>
  <c r="BD22" i="25"/>
  <c r="BC30" i="25"/>
  <c r="BC29" i="25"/>
  <c r="BC28" i="25"/>
  <c r="BC27" i="25"/>
  <c r="BC26" i="25"/>
  <c r="BC25" i="25"/>
  <c r="BC24" i="25"/>
  <c r="BC23" i="25"/>
  <c r="BC22" i="25"/>
  <c r="BB30" i="25"/>
  <c r="BB29" i="25"/>
  <c r="BB28" i="25"/>
  <c r="BB27" i="25"/>
  <c r="BB26" i="25"/>
  <c r="BB25" i="25"/>
  <c r="BB24" i="25"/>
  <c r="BB23" i="25"/>
  <c r="BB22" i="25"/>
  <c r="BB31" i="25" s="1"/>
  <c r="BA30" i="25"/>
  <c r="BA29" i="25"/>
  <c r="BA28" i="25"/>
  <c r="BA27" i="25"/>
  <c r="BA26" i="25"/>
  <c r="BA25" i="25"/>
  <c r="BA24" i="25"/>
  <c r="BA23" i="25"/>
  <c r="BA22" i="25"/>
  <c r="AZ30" i="25"/>
  <c r="AZ29" i="25"/>
  <c r="AZ28" i="25"/>
  <c r="AZ27" i="25"/>
  <c r="AZ26" i="25"/>
  <c r="AZ25" i="25"/>
  <c r="AZ24" i="25"/>
  <c r="AZ23" i="25"/>
  <c r="AZ22" i="25"/>
  <c r="AY30" i="25"/>
  <c r="AY29" i="25"/>
  <c r="AY28" i="25"/>
  <c r="AY27" i="25"/>
  <c r="AY26" i="25"/>
  <c r="AY25" i="25"/>
  <c r="AY24" i="25"/>
  <c r="AY23" i="25"/>
  <c r="AY22" i="25"/>
  <c r="AX30" i="25"/>
  <c r="AX29" i="25"/>
  <c r="AX28" i="25"/>
  <c r="AX27" i="25"/>
  <c r="AX26" i="25"/>
  <c r="AX25" i="25"/>
  <c r="AX24" i="25"/>
  <c r="AX23" i="25"/>
  <c r="AX22" i="25"/>
  <c r="AX31" i="25" s="1"/>
  <c r="AW30" i="25"/>
  <c r="AW29" i="25"/>
  <c r="AW28" i="25"/>
  <c r="AW27" i="25"/>
  <c r="AW26" i="25"/>
  <c r="AW25" i="25"/>
  <c r="AW24" i="25"/>
  <c r="AW23" i="25"/>
  <c r="AW22" i="25"/>
  <c r="AV30" i="25"/>
  <c r="AV29" i="25"/>
  <c r="AV28" i="25"/>
  <c r="AV27" i="25"/>
  <c r="AV26" i="25"/>
  <c r="AV25" i="25"/>
  <c r="AV24" i="25"/>
  <c r="AV23" i="25"/>
  <c r="AV22" i="25"/>
  <c r="AU30" i="25"/>
  <c r="AU29" i="25"/>
  <c r="AU28" i="25"/>
  <c r="AU27" i="25"/>
  <c r="AU26" i="25"/>
  <c r="AU25" i="25"/>
  <c r="AU24" i="25"/>
  <c r="AU23" i="25"/>
  <c r="AU22" i="25"/>
  <c r="AT30" i="25"/>
  <c r="AT29" i="25"/>
  <c r="AT28" i="25"/>
  <c r="AT27" i="25"/>
  <c r="AT26" i="25"/>
  <c r="AT25" i="25"/>
  <c r="AT24" i="25"/>
  <c r="AT23" i="25"/>
  <c r="AT22" i="25"/>
  <c r="AT31" i="25" s="1"/>
  <c r="AS30" i="25"/>
  <c r="AS29" i="25"/>
  <c r="AS28" i="25"/>
  <c r="AS27" i="25"/>
  <c r="AS26" i="25"/>
  <c r="AS25" i="25"/>
  <c r="AS24" i="25"/>
  <c r="AS23" i="25"/>
  <c r="AS22" i="25"/>
  <c r="AR30" i="25"/>
  <c r="AR29" i="25"/>
  <c r="AR28" i="25"/>
  <c r="AR27" i="25"/>
  <c r="AR26" i="25"/>
  <c r="AR25" i="25"/>
  <c r="AR24" i="25"/>
  <c r="AR23" i="25"/>
  <c r="AR22" i="25"/>
  <c r="AQ30" i="25"/>
  <c r="AQ29" i="25"/>
  <c r="AQ28" i="25"/>
  <c r="AQ27" i="25"/>
  <c r="AQ26" i="25"/>
  <c r="AQ25" i="25"/>
  <c r="AQ24" i="25"/>
  <c r="AQ23" i="25"/>
  <c r="AQ22" i="25"/>
  <c r="AP30" i="25"/>
  <c r="AP29" i="25"/>
  <c r="AP28" i="25"/>
  <c r="AP27" i="25"/>
  <c r="AP26" i="25"/>
  <c r="AP25" i="25"/>
  <c r="AP24" i="25"/>
  <c r="AP23" i="25"/>
  <c r="AP22" i="25"/>
  <c r="AP31" i="25" s="1"/>
  <c r="AO30" i="25"/>
  <c r="AO29" i="25"/>
  <c r="AO28" i="25"/>
  <c r="AO27" i="25"/>
  <c r="AO26" i="25"/>
  <c r="AO25" i="25"/>
  <c r="AO24" i="25"/>
  <c r="AO23" i="25"/>
  <c r="AO22" i="25"/>
  <c r="AN30" i="25"/>
  <c r="AN29" i="25"/>
  <c r="AN28" i="25"/>
  <c r="AN27" i="25"/>
  <c r="AN26" i="25"/>
  <c r="AN25" i="25"/>
  <c r="AN24" i="25"/>
  <c r="AN23" i="25"/>
  <c r="AN22" i="25"/>
  <c r="AM30" i="25"/>
  <c r="AM29" i="25"/>
  <c r="AM28" i="25"/>
  <c r="AM27" i="25"/>
  <c r="AM26" i="25"/>
  <c r="AM25" i="25"/>
  <c r="AM24" i="25"/>
  <c r="AM23" i="25"/>
  <c r="AM22" i="25"/>
  <c r="AL30" i="25"/>
  <c r="AL29" i="25"/>
  <c r="AL28" i="25"/>
  <c r="AL27" i="25"/>
  <c r="AL26" i="25"/>
  <c r="AL25" i="25"/>
  <c r="AL24" i="25"/>
  <c r="AL23" i="25"/>
  <c r="AL22" i="25"/>
  <c r="AL31" i="25" s="1"/>
  <c r="AK30" i="25"/>
  <c r="AK29" i="25"/>
  <c r="AK28" i="25"/>
  <c r="AK27" i="25"/>
  <c r="AK26" i="25"/>
  <c r="AK25" i="25"/>
  <c r="AK24" i="25"/>
  <c r="AK23" i="25"/>
  <c r="AK22" i="25"/>
  <c r="AJ30" i="25"/>
  <c r="AJ29" i="25"/>
  <c r="AJ28" i="25"/>
  <c r="AJ27" i="25"/>
  <c r="AJ26" i="25"/>
  <c r="AJ25" i="25"/>
  <c r="AJ24" i="25"/>
  <c r="AJ23" i="25"/>
  <c r="AJ22" i="25"/>
  <c r="AI30" i="25"/>
  <c r="AI29" i="25"/>
  <c r="AI28" i="25"/>
  <c r="AI27" i="25"/>
  <c r="AI26" i="25"/>
  <c r="AI25" i="25"/>
  <c r="AI24" i="25"/>
  <c r="AI23" i="25"/>
  <c r="AI22" i="25"/>
  <c r="AH30" i="25"/>
  <c r="AH29" i="25"/>
  <c r="AH28" i="25"/>
  <c r="AH27" i="25"/>
  <c r="AH26" i="25"/>
  <c r="AH25" i="25"/>
  <c r="AH24" i="25"/>
  <c r="AH23" i="25"/>
  <c r="AH22" i="25"/>
  <c r="AH31" i="25" s="1"/>
  <c r="AG30" i="25"/>
  <c r="AG29" i="25"/>
  <c r="AG28" i="25"/>
  <c r="AG27" i="25"/>
  <c r="AG26" i="25"/>
  <c r="AG25" i="25"/>
  <c r="AG24" i="25"/>
  <c r="AG23" i="25"/>
  <c r="AG22" i="25"/>
  <c r="AF30" i="25"/>
  <c r="AF29" i="25"/>
  <c r="AF28" i="25"/>
  <c r="AF27" i="25"/>
  <c r="AF26" i="25"/>
  <c r="AF25" i="25"/>
  <c r="AF24" i="25"/>
  <c r="AF23" i="25"/>
  <c r="AF22" i="25"/>
  <c r="AE30" i="25"/>
  <c r="AE29" i="25"/>
  <c r="AE28" i="25"/>
  <c r="AE27" i="25"/>
  <c r="AE26" i="25"/>
  <c r="AE25" i="25"/>
  <c r="AE24" i="25"/>
  <c r="AE23" i="25"/>
  <c r="AE22" i="25"/>
  <c r="AD30" i="25"/>
  <c r="AD29" i="25"/>
  <c r="AD28" i="25"/>
  <c r="AD27" i="25"/>
  <c r="AD26" i="25"/>
  <c r="AD25" i="25"/>
  <c r="AD24" i="25"/>
  <c r="AD23" i="25"/>
  <c r="AD22" i="25"/>
  <c r="AD31" i="25" s="1"/>
  <c r="AC30" i="25"/>
  <c r="AC29" i="25"/>
  <c r="AC28" i="25"/>
  <c r="AC27" i="25"/>
  <c r="AC26" i="25"/>
  <c r="AC25" i="25"/>
  <c r="AC24" i="25"/>
  <c r="AC23" i="25"/>
  <c r="AC22" i="25"/>
  <c r="AB30" i="25"/>
  <c r="AB29" i="25"/>
  <c r="AB28" i="25"/>
  <c r="AB27" i="25"/>
  <c r="AB26" i="25"/>
  <c r="AB25" i="25"/>
  <c r="AB24" i="25"/>
  <c r="AB23" i="25"/>
  <c r="AB22" i="25"/>
  <c r="AA30" i="25"/>
  <c r="AA29" i="25"/>
  <c r="AA28" i="25"/>
  <c r="AA27" i="25"/>
  <c r="AA26" i="25"/>
  <c r="AA25" i="25"/>
  <c r="AA24" i="25"/>
  <c r="AA23" i="25"/>
  <c r="AA22" i="25"/>
  <c r="Z30" i="25"/>
  <c r="Z29" i="25"/>
  <c r="Z28" i="25"/>
  <c r="Z27" i="25"/>
  <c r="Z26" i="25"/>
  <c r="Z25" i="25"/>
  <c r="Z24" i="25"/>
  <c r="Z23" i="25"/>
  <c r="Z22" i="25"/>
  <c r="Z31" i="25" s="1"/>
  <c r="Y30" i="25"/>
  <c r="Y29" i="25"/>
  <c r="Y28" i="25"/>
  <c r="Y27" i="25"/>
  <c r="Y26" i="25"/>
  <c r="Y25" i="25"/>
  <c r="Y24" i="25"/>
  <c r="Y23" i="25"/>
  <c r="Y22" i="25"/>
  <c r="X30" i="25"/>
  <c r="X29" i="25"/>
  <c r="X28" i="25"/>
  <c r="X27" i="25"/>
  <c r="X26" i="25"/>
  <c r="X25" i="25"/>
  <c r="X24" i="25"/>
  <c r="X23" i="25"/>
  <c r="X22" i="25"/>
  <c r="W30" i="25"/>
  <c r="W29" i="25"/>
  <c r="W28" i="25"/>
  <c r="W27" i="25"/>
  <c r="W26" i="25"/>
  <c r="W25" i="25"/>
  <c r="W24" i="25"/>
  <c r="W23" i="25"/>
  <c r="W22" i="25"/>
  <c r="V30" i="25"/>
  <c r="V29" i="25"/>
  <c r="V28" i="25"/>
  <c r="V27" i="25"/>
  <c r="V26" i="25"/>
  <c r="V25" i="25"/>
  <c r="V24" i="25"/>
  <c r="V23" i="25"/>
  <c r="V22" i="25"/>
  <c r="V31" i="25" s="1"/>
  <c r="U30" i="25"/>
  <c r="U29" i="25"/>
  <c r="U28" i="25"/>
  <c r="U27" i="25"/>
  <c r="U26" i="25"/>
  <c r="U25" i="25"/>
  <c r="U24" i="25"/>
  <c r="U23" i="25"/>
  <c r="U22" i="25"/>
  <c r="T30" i="25"/>
  <c r="T29" i="25"/>
  <c r="T28" i="25"/>
  <c r="T27" i="25"/>
  <c r="T26" i="25"/>
  <c r="T25" i="25"/>
  <c r="T24" i="25"/>
  <c r="T23" i="25"/>
  <c r="T22" i="25"/>
  <c r="S30" i="25"/>
  <c r="S29" i="25"/>
  <c r="S28" i="25"/>
  <c r="S27" i="25"/>
  <c r="S26" i="25"/>
  <c r="S25" i="25"/>
  <c r="S24" i="25"/>
  <c r="S23" i="25"/>
  <c r="S22" i="25"/>
  <c r="R30" i="25"/>
  <c r="R29" i="25"/>
  <c r="R28" i="25"/>
  <c r="R27" i="25"/>
  <c r="R26" i="25"/>
  <c r="R25" i="25"/>
  <c r="R24" i="25"/>
  <c r="R23" i="25"/>
  <c r="R22" i="25"/>
  <c r="R31" i="25" s="1"/>
  <c r="Q30" i="25"/>
  <c r="Q29" i="25"/>
  <c r="Q28" i="25"/>
  <c r="Q27" i="25"/>
  <c r="Q26" i="25"/>
  <c r="Q25" i="25"/>
  <c r="Q24" i="25"/>
  <c r="Q23" i="25"/>
  <c r="Q22" i="25"/>
  <c r="P30" i="25"/>
  <c r="P29" i="25"/>
  <c r="P28" i="25"/>
  <c r="P27" i="25"/>
  <c r="P26" i="25"/>
  <c r="P25" i="25"/>
  <c r="P24" i="25"/>
  <c r="P23" i="25"/>
  <c r="P22" i="25"/>
  <c r="O30" i="25"/>
  <c r="O29" i="25"/>
  <c r="O28" i="25"/>
  <c r="O27" i="25"/>
  <c r="O26" i="25"/>
  <c r="O25" i="25"/>
  <c r="O24" i="25"/>
  <c r="O23" i="25"/>
  <c r="O22" i="25"/>
  <c r="N30" i="25"/>
  <c r="N29" i="25"/>
  <c r="N28" i="25"/>
  <c r="N27" i="25"/>
  <c r="N26" i="25"/>
  <c r="N25" i="25"/>
  <c r="N24" i="25"/>
  <c r="N23" i="25"/>
  <c r="N22" i="25"/>
  <c r="N31" i="25" s="1"/>
  <c r="M30" i="25"/>
  <c r="M29" i="25"/>
  <c r="M28" i="25"/>
  <c r="M27" i="25"/>
  <c r="M26" i="25"/>
  <c r="M25" i="25"/>
  <c r="M24" i="25"/>
  <c r="M23" i="25"/>
  <c r="M22" i="25"/>
  <c r="L30" i="25"/>
  <c r="L29" i="25"/>
  <c r="L28" i="25"/>
  <c r="L27" i="25"/>
  <c r="L26" i="25"/>
  <c r="L25" i="25"/>
  <c r="L24" i="25"/>
  <c r="L23" i="25"/>
  <c r="L22" i="25"/>
  <c r="K30" i="25"/>
  <c r="K29" i="25"/>
  <c r="K28" i="25"/>
  <c r="K27" i="25"/>
  <c r="K26" i="25"/>
  <c r="K25" i="25"/>
  <c r="K24" i="25"/>
  <c r="K23" i="25"/>
  <c r="K22" i="25"/>
  <c r="J30" i="25"/>
  <c r="J29" i="25"/>
  <c r="J28" i="25"/>
  <c r="J27" i="25"/>
  <c r="J26" i="25"/>
  <c r="J25" i="25"/>
  <c r="J24" i="25"/>
  <c r="J23" i="25"/>
  <c r="J22" i="25"/>
  <c r="J31" i="25" s="1"/>
  <c r="I30" i="25"/>
  <c r="I29" i="25"/>
  <c r="I28" i="25"/>
  <c r="I27" i="25"/>
  <c r="I26" i="25"/>
  <c r="I25" i="25"/>
  <c r="I24" i="25"/>
  <c r="I23" i="25"/>
  <c r="I22" i="25"/>
  <c r="H30" i="25"/>
  <c r="H29" i="25"/>
  <c r="H28" i="25"/>
  <c r="H27" i="25"/>
  <c r="H26" i="25"/>
  <c r="H25" i="25"/>
  <c r="H24" i="25"/>
  <c r="H23" i="25"/>
  <c r="H22" i="25"/>
  <c r="G30" i="25"/>
  <c r="G29" i="25"/>
  <c r="G28" i="25"/>
  <c r="G27" i="25"/>
  <c r="G26" i="25"/>
  <c r="G25" i="25"/>
  <c r="G24" i="25"/>
  <c r="G23" i="25"/>
  <c r="G22" i="25"/>
  <c r="F30" i="25"/>
  <c r="F29" i="25"/>
  <c r="F28" i="25"/>
  <c r="F27" i="25"/>
  <c r="F26" i="25"/>
  <c r="F25" i="25"/>
  <c r="F24" i="25"/>
  <c r="F23" i="25"/>
  <c r="F22" i="25"/>
  <c r="F31" i="25" s="1"/>
  <c r="E30" i="25"/>
  <c r="E29" i="25"/>
  <c r="E28" i="25"/>
  <c r="E27" i="25"/>
  <c r="E26" i="25"/>
  <c r="E25" i="25"/>
  <c r="E24" i="25"/>
  <c r="E23" i="25"/>
  <c r="E22" i="25"/>
  <c r="D30" i="25"/>
  <c r="D29" i="25"/>
  <c r="D28" i="25"/>
  <c r="D27" i="25"/>
  <c r="D26" i="25"/>
  <c r="D25" i="25"/>
  <c r="D24" i="25"/>
  <c r="D23" i="25"/>
  <c r="D22" i="25"/>
  <c r="C30" i="25"/>
  <c r="C29" i="25"/>
  <c r="C28" i="25"/>
  <c r="C27" i="25"/>
  <c r="C26" i="25"/>
  <c r="C25" i="25"/>
  <c r="C24" i="25"/>
  <c r="C23" i="25"/>
  <c r="C22" i="25"/>
  <c r="B30" i="25"/>
  <c r="B29" i="25"/>
  <c r="B28" i="25"/>
  <c r="B27" i="25"/>
  <c r="B26" i="25"/>
  <c r="B25" i="25"/>
  <c r="B24" i="25"/>
  <c r="B23" i="25"/>
  <c r="B22" i="25"/>
  <c r="B31" i="25" s="1"/>
  <c r="A20" i="25"/>
  <c r="CU15" i="25"/>
  <c r="CU14" i="25"/>
  <c r="CU13" i="25"/>
  <c r="CW13" i="25" s="1"/>
  <c r="CU12" i="25"/>
  <c r="CU11" i="25"/>
  <c r="CU10" i="25"/>
  <c r="CU9" i="25"/>
  <c r="CW9" i="25" s="1"/>
  <c r="CU8" i="25"/>
  <c r="CU7" i="25"/>
  <c r="CU6" i="25"/>
  <c r="CU5" i="25"/>
  <c r="CW5" i="25" s="1"/>
  <c r="CT15" i="25"/>
  <c r="CT14" i="25"/>
  <c r="CT13" i="25"/>
  <c r="CT12" i="25"/>
  <c r="CT11" i="25"/>
  <c r="CT10" i="25"/>
  <c r="CT9" i="25"/>
  <c r="CT8" i="25"/>
  <c r="CT7" i="25"/>
  <c r="CT6" i="25"/>
  <c r="CT5" i="25"/>
  <c r="CS15" i="25"/>
  <c r="CS14" i="25"/>
  <c r="CS13" i="25"/>
  <c r="CS12" i="25"/>
  <c r="CS11" i="25"/>
  <c r="CS10" i="25"/>
  <c r="CS9" i="25"/>
  <c r="CS8" i="25"/>
  <c r="CS7" i="25"/>
  <c r="CS6" i="25"/>
  <c r="CS5" i="25"/>
  <c r="CR15" i="25"/>
  <c r="CR14" i="25"/>
  <c r="CR13" i="25"/>
  <c r="CR12" i="25"/>
  <c r="CR11" i="25"/>
  <c r="CR10" i="25"/>
  <c r="CR9" i="25"/>
  <c r="CR8" i="25"/>
  <c r="CR7" i="25"/>
  <c r="CR6" i="25"/>
  <c r="CR16" i="25" s="1"/>
  <c r="CR5" i="25"/>
  <c r="CQ15" i="25"/>
  <c r="CQ14" i="25"/>
  <c r="CQ13" i="25"/>
  <c r="CQ12" i="25"/>
  <c r="CQ11" i="25"/>
  <c r="CQ10" i="25"/>
  <c r="CQ9" i="25"/>
  <c r="CQ8" i="25"/>
  <c r="CQ7" i="25"/>
  <c r="CQ6" i="25"/>
  <c r="CQ5" i="25"/>
  <c r="CP15" i="25"/>
  <c r="CP14" i="25"/>
  <c r="CP13" i="25"/>
  <c r="CP12" i="25"/>
  <c r="CP11" i="25"/>
  <c r="CP10" i="25"/>
  <c r="CP9" i="25"/>
  <c r="CP8" i="25"/>
  <c r="CP7" i="25"/>
  <c r="CP6" i="25"/>
  <c r="CP5" i="25"/>
  <c r="CO15" i="25"/>
  <c r="CO14" i="25"/>
  <c r="CO13" i="25"/>
  <c r="CO12" i="25"/>
  <c r="CO11" i="25"/>
  <c r="CO10" i="25"/>
  <c r="CO9" i="25"/>
  <c r="CO8" i="25"/>
  <c r="CO7" i="25"/>
  <c r="CO6" i="25"/>
  <c r="CO5" i="25"/>
  <c r="CN15" i="25"/>
  <c r="CN14" i="25"/>
  <c r="CN13" i="25"/>
  <c r="CN12" i="25"/>
  <c r="CN11" i="25"/>
  <c r="CN10" i="25"/>
  <c r="CN9" i="25"/>
  <c r="CN8" i="25"/>
  <c r="CN7" i="25"/>
  <c r="CN6" i="25"/>
  <c r="CN16" i="25" s="1"/>
  <c r="CN5" i="25"/>
  <c r="CM15" i="25"/>
  <c r="CM14" i="25"/>
  <c r="CM13" i="25"/>
  <c r="CM12" i="25"/>
  <c r="CM11" i="25"/>
  <c r="CM10" i="25"/>
  <c r="CM9" i="25"/>
  <c r="CM8" i="25"/>
  <c r="CM7" i="25"/>
  <c r="CM6" i="25"/>
  <c r="CM5" i="25"/>
  <c r="CL15" i="25"/>
  <c r="CL14" i="25"/>
  <c r="CL13" i="25"/>
  <c r="CL12" i="25"/>
  <c r="CL11" i="25"/>
  <c r="CL10" i="25"/>
  <c r="CL9" i="25"/>
  <c r="CL8" i="25"/>
  <c r="CL7" i="25"/>
  <c r="CL6" i="25"/>
  <c r="CL5" i="25"/>
  <c r="CK15" i="25"/>
  <c r="CK14" i="25"/>
  <c r="CK13" i="25"/>
  <c r="CK12" i="25"/>
  <c r="CK11" i="25"/>
  <c r="CK10" i="25"/>
  <c r="CK9" i="25"/>
  <c r="CK8" i="25"/>
  <c r="CK7" i="25"/>
  <c r="CK6" i="25"/>
  <c r="CK5" i="25"/>
  <c r="CJ15" i="25"/>
  <c r="CJ14" i="25"/>
  <c r="CJ13" i="25"/>
  <c r="CJ12" i="25"/>
  <c r="CJ11" i="25"/>
  <c r="CJ10" i="25"/>
  <c r="CJ9" i="25"/>
  <c r="CJ8" i="25"/>
  <c r="CJ7" i="25"/>
  <c r="CJ6" i="25"/>
  <c r="CJ16" i="25" s="1"/>
  <c r="CJ5" i="25"/>
  <c r="CI15" i="25"/>
  <c r="CI14" i="25"/>
  <c r="CI13" i="25"/>
  <c r="CI12" i="25"/>
  <c r="CI11" i="25"/>
  <c r="CI10" i="25"/>
  <c r="CI9" i="25"/>
  <c r="CI8" i="25"/>
  <c r="CI7" i="25"/>
  <c r="CI6" i="25"/>
  <c r="CI5" i="25"/>
  <c r="CH15" i="25"/>
  <c r="CH14" i="25"/>
  <c r="CH13" i="25"/>
  <c r="CH12" i="25"/>
  <c r="CH11" i="25"/>
  <c r="CH10" i="25"/>
  <c r="CH9" i="25"/>
  <c r="CH8" i="25"/>
  <c r="CH7" i="25"/>
  <c r="CH6" i="25"/>
  <c r="CH5" i="25"/>
  <c r="CG15" i="25"/>
  <c r="CG14" i="25"/>
  <c r="CG13" i="25"/>
  <c r="CG12" i="25"/>
  <c r="CG11" i="25"/>
  <c r="CG10" i="25"/>
  <c r="CG9" i="25"/>
  <c r="CG8" i="25"/>
  <c r="CG7" i="25"/>
  <c r="CG6" i="25"/>
  <c r="CG5" i="25"/>
  <c r="CF15" i="25"/>
  <c r="CF14" i="25"/>
  <c r="CF13" i="25"/>
  <c r="CF12" i="25"/>
  <c r="CF11" i="25"/>
  <c r="CF10" i="25"/>
  <c r="CF9" i="25"/>
  <c r="CF8" i="25"/>
  <c r="CF7" i="25"/>
  <c r="CF6" i="25"/>
  <c r="CF16" i="25" s="1"/>
  <c r="CF5" i="25"/>
  <c r="CE15" i="25"/>
  <c r="CE14" i="25"/>
  <c r="CE13" i="25"/>
  <c r="CE12" i="25"/>
  <c r="CE11" i="25"/>
  <c r="CE10" i="25"/>
  <c r="CE9" i="25"/>
  <c r="CE8" i="25"/>
  <c r="CE7" i="25"/>
  <c r="CE6" i="25"/>
  <c r="CE5" i="25"/>
  <c r="CD15" i="25"/>
  <c r="CD14" i="25"/>
  <c r="CD13" i="25"/>
  <c r="CD12" i="25"/>
  <c r="CD11" i="25"/>
  <c r="CD10" i="25"/>
  <c r="CD9" i="25"/>
  <c r="CD8" i="25"/>
  <c r="CD7" i="25"/>
  <c r="CD6" i="25"/>
  <c r="CD5" i="25"/>
  <c r="CC15" i="25"/>
  <c r="CC14" i="25"/>
  <c r="CC13" i="25"/>
  <c r="CC12" i="25"/>
  <c r="CC11" i="25"/>
  <c r="CC10" i="25"/>
  <c r="CC9" i="25"/>
  <c r="CC8" i="25"/>
  <c r="CC7" i="25"/>
  <c r="CC6" i="25"/>
  <c r="CC5" i="25"/>
  <c r="CB15" i="25"/>
  <c r="CB14" i="25"/>
  <c r="CB13" i="25"/>
  <c r="CB12" i="25"/>
  <c r="CB11" i="25"/>
  <c r="CB10" i="25"/>
  <c r="CB9" i="25"/>
  <c r="CB8" i="25"/>
  <c r="CB7" i="25"/>
  <c r="CB6" i="25"/>
  <c r="CB16" i="25" s="1"/>
  <c r="CB5" i="25"/>
  <c r="CA15" i="25"/>
  <c r="CA14" i="25"/>
  <c r="CA13" i="25"/>
  <c r="CA12" i="25"/>
  <c r="CA11" i="25"/>
  <c r="CA10" i="25"/>
  <c r="CA9" i="25"/>
  <c r="CA8" i="25"/>
  <c r="CA7" i="25"/>
  <c r="CA6" i="25"/>
  <c r="CA5" i="25"/>
  <c r="BZ15" i="25"/>
  <c r="BZ14" i="25"/>
  <c r="BZ13" i="25"/>
  <c r="BZ12" i="25"/>
  <c r="BZ11" i="25"/>
  <c r="BZ10" i="25"/>
  <c r="BZ9" i="25"/>
  <c r="BZ8" i="25"/>
  <c r="BZ7" i="25"/>
  <c r="BZ6" i="25"/>
  <c r="BZ5" i="25"/>
  <c r="BY15" i="25"/>
  <c r="BY14" i="25"/>
  <c r="BY13" i="25"/>
  <c r="BY12" i="25"/>
  <c r="BY11" i="25"/>
  <c r="BY10" i="25"/>
  <c r="BY9" i="25"/>
  <c r="BY8" i="25"/>
  <c r="BY7" i="25"/>
  <c r="BY6" i="25"/>
  <c r="BY5" i="25"/>
  <c r="BX15" i="25"/>
  <c r="BX14" i="25"/>
  <c r="BX13" i="25"/>
  <c r="BX12" i="25"/>
  <c r="BX11" i="25"/>
  <c r="BX10" i="25"/>
  <c r="BX9" i="25"/>
  <c r="BX8" i="25"/>
  <c r="BX7" i="25"/>
  <c r="BX6" i="25"/>
  <c r="BX5" i="25"/>
  <c r="BW15" i="25"/>
  <c r="BW14" i="25"/>
  <c r="BW13" i="25"/>
  <c r="BW12" i="25"/>
  <c r="BW11" i="25"/>
  <c r="BW10" i="25"/>
  <c r="BW9" i="25"/>
  <c r="BW8" i="25"/>
  <c r="BW7" i="25"/>
  <c r="BW6" i="25"/>
  <c r="BW5" i="25"/>
  <c r="BV15" i="25"/>
  <c r="BV14" i="25"/>
  <c r="BV13" i="25"/>
  <c r="BV12" i="25"/>
  <c r="BV11" i="25"/>
  <c r="BV10" i="25"/>
  <c r="BV9" i="25"/>
  <c r="BV8" i="25"/>
  <c r="BV7" i="25"/>
  <c r="BV6" i="25"/>
  <c r="BV5" i="25"/>
  <c r="BU15" i="25"/>
  <c r="BU14" i="25"/>
  <c r="BU13" i="25"/>
  <c r="BU12" i="25"/>
  <c r="BU11" i="25"/>
  <c r="BU10" i="25"/>
  <c r="BU9" i="25"/>
  <c r="BU8" i="25"/>
  <c r="BU7" i="25"/>
  <c r="BU6" i="25"/>
  <c r="BU5" i="25"/>
  <c r="BT15" i="25"/>
  <c r="BT14" i="25"/>
  <c r="BT13" i="25"/>
  <c r="BT12" i="25"/>
  <c r="BT11" i="25"/>
  <c r="BT10" i="25"/>
  <c r="BT9" i="25"/>
  <c r="BT8" i="25"/>
  <c r="BT7" i="25"/>
  <c r="BT6" i="25"/>
  <c r="BT5" i="25"/>
  <c r="BS15" i="25"/>
  <c r="BS14" i="25"/>
  <c r="BS13" i="25"/>
  <c r="BS12" i="25"/>
  <c r="BS11" i="25"/>
  <c r="BS10" i="25"/>
  <c r="BS9" i="25"/>
  <c r="BS8" i="25"/>
  <c r="BS7" i="25"/>
  <c r="BS6" i="25"/>
  <c r="BS5" i="25"/>
  <c r="BR15" i="25"/>
  <c r="BR14" i="25"/>
  <c r="BR13" i="25"/>
  <c r="BR12" i="25"/>
  <c r="BR11" i="25"/>
  <c r="BR10" i="25"/>
  <c r="BR9" i="25"/>
  <c r="BR8" i="25"/>
  <c r="BR7" i="25"/>
  <c r="BR6" i="25"/>
  <c r="BR5" i="25"/>
  <c r="BQ15" i="25"/>
  <c r="BQ14" i="25"/>
  <c r="BQ13" i="25"/>
  <c r="BQ12" i="25"/>
  <c r="BQ11" i="25"/>
  <c r="BQ10" i="25"/>
  <c r="BQ9" i="25"/>
  <c r="BQ8" i="25"/>
  <c r="BQ7" i="25"/>
  <c r="BQ6" i="25"/>
  <c r="BQ5" i="25"/>
  <c r="BP15" i="25"/>
  <c r="BP14" i="25"/>
  <c r="BP13" i="25"/>
  <c r="BP12" i="25"/>
  <c r="BP11" i="25"/>
  <c r="BP10" i="25"/>
  <c r="BP9" i="25"/>
  <c r="BP8" i="25"/>
  <c r="BP7" i="25"/>
  <c r="BP6" i="25"/>
  <c r="BP5" i="25"/>
  <c r="BO15" i="25"/>
  <c r="BO14" i="25"/>
  <c r="BO13" i="25"/>
  <c r="BO12" i="25"/>
  <c r="BO11" i="25"/>
  <c r="BO10" i="25"/>
  <c r="BO9" i="25"/>
  <c r="BO8" i="25"/>
  <c r="BO7" i="25"/>
  <c r="BO6" i="25"/>
  <c r="BO5" i="25"/>
  <c r="BN15" i="25"/>
  <c r="BN14" i="25"/>
  <c r="BN13" i="25"/>
  <c r="BN12" i="25"/>
  <c r="BN11" i="25"/>
  <c r="BN10" i="25"/>
  <c r="BN9" i="25"/>
  <c r="BN8" i="25"/>
  <c r="BN7" i="25"/>
  <c r="BN6" i="25"/>
  <c r="BN5" i="25"/>
  <c r="BM15" i="25"/>
  <c r="BM14" i="25"/>
  <c r="BM13" i="25"/>
  <c r="BM12" i="25"/>
  <c r="BM11" i="25"/>
  <c r="BM10" i="25"/>
  <c r="BM9" i="25"/>
  <c r="BM8" i="25"/>
  <c r="BM7" i="25"/>
  <c r="BM6" i="25"/>
  <c r="BM5" i="25"/>
  <c r="BL15" i="25"/>
  <c r="BL14" i="25"/>
  <c r="BL13" i="25"/>
  <c r="BL12" i="25"/>
  <c r="BL11" i="25"/>
  <c r="BL10" i="25"/>
  <c r="BL9" i="25"/>
  <c r="BL8" i="25"/>
  <c r="BL7" i="25"/>
  <c r="BL6" i="25"/>
  <c r="BL5" i="25"/>
  <c r="BK15" i="25"/>
  <c r="BK14" i="25"/>
  <c r="BK13" i="25"/>
  <c r="BK12" i="25"/>
  <c r="BK11" i="25"/>
  <c r="BK10" i="25"/>
  <c r="BK9" i="25"/>
  <c r="BK8" i="25"/>
  <c r="BK7" i="25"/>
  <c r="BK6" i="25"/>
  <c r="BK5" i="25"/>
  <c r="BJ15" i="25"/>
  <c r="BJ14" i="25"/>
  <c r="BJ13" i="25"/>
  <c r="BJ12" i="25"/>
  <c r="BJ11" i="25"/>
  <c r="BJ10" i="25"/>
  <c r="BJ9" i="25"/>
  <c r="BJ8" i="25"/>
  <c r="BJ7" i="25"/>
  <c r="BJ6" i="25"/>
  <c r="BJ5" i="25"/>
  <c r="BI15" i="25"/>
  <c r="BI14" i="25"/>
  <c r="BI13" i="25"/>
  <c r="BI12" i="25"/>
  <c r="BI11" i="25"/>
  <c r="BI10" i="25"/>
  <c r="BI9" i="25"/>
  <c r="BI8" i="25"/>
  <c r="BI7" i="25"/>
  <c r="BI6" i="25"/>
  <c r="BI5" i="25"/>
  <c r="BH15" i="25"/>
  <c r="BH14" i="25"/>
  <c r="BH13" i="25"/>
  <c r="BH12" i="25"/>
  <c r="BH11" i="25"/>
  <c r="BH10" i="25"/>
  <c r="BH9" i="25"/>
  <c r="BH8" i="25"/>
  <c r="BH7" i="25"/>
  <c r="BH6" i="25"/>
  <c r="BH5" i="25"/>
  <c r="BG15" i="25"/>
  <c r="BG14" i="25"/>
  <c r="BG13" i="25"/>
  <c r="BG12" i="25"/>
  <c r="BG11" i="25"/>
  <c r="BG10" i="25"/>
  <c r="BG9" i="25"/>
  <c r="BG8" i="25"/>
  <c r="BG7" i="25"/>
  <c r="BG6" i="25"/>
  <c r="BG5" i="25"/>
  <c r="BF15" i="25"/>
  <c r="BF14" i="25"/>
  <c r="BF13" i="25"/>
  <c r="BF12" i="25"/>
  <c r="BF11" i="25"/>
  <c r="BF10" i="25"/>
  <c r="BF9" i="25"/>
  <c r="BF8" i="25"/>
  <c r="BF7" i="25"/>
  <c r="BF6" i="25"/>
  <c r="BF5" i="25"/>
  <c r="BE15" i="25"/>
  <c r="BE14" i="25"/>
  <c r="BE13" i="25"/>
  <c r="BE12" i="25"/>
  <c r="BE11" i="25"/>
  <c r="BE10" i="25"/>
  <c r="BE9" i="25"/>
  <c r="BE8" i="25"/>
  <c r="BE7" i="25"/>
  <c r="BE6" i="25"/>
  <c r="BE5" i="25"/>
  <c r="BD15" i="25"/>
  <c r="BD14" i="25"/>
  <c r="BD13" i="25"/>
  <c r="BD12" i="25"/>
  <c r="BD11" i="25"/>
  <c r="BD10" i="25"/>
  <c r="BD9" i="25"/>
  <c r="BD8" i="25"/>
  <c r="BD7" i="25"/>
  <c r="BD6" i="25"/>
  <c r="BD5" i="25"/>
  <c r="BC15" i="25"/>
  <c r="BC14" i="25"/>
  <c r="BC13" i="25"/>
  <c r="BC12" i="25"/>
  <c r="BC11" i="25"/>
  <c r="BC10" i="25"/>
  <c r="BC9" i="25"/>
  <c r="BC8" i="25"/>
  <c r="BC7" i="25"/>
  <c r="BC6" i="25"/>
  <c r="BC5" i="25"/>
  <c r="BB15" i="25"/>
  <c r="BB14" i="25"/>
  <c r="BB13" i="25"/>
  <c r="BB12" i="25"/>
  <c r="BB11" i="25"/>
  <c r="BB10" i="25"/>
  <c r="BB9" i="25"/>
  <c r="BB8" i="25"/>
  <c r="BB7" i="25"/>
  <c r="BB6" i="25"/>
  <c r="BB5" i="25"/>
  <c r="BA15" i="25"/>
  <c r="BA14" i="25"/>
  <c r="BA13" i="25"/>
  <c r="BA12" i="25"/>
  <c r="BA11" i="25"/>
  <c r="BA10" i="25"/>
  <c r="BA9" i="25"/>
  <c r="BA8" i="25"/>
  <c r="BA7" i="25"/>
  <c r="BA6" i="25"/>
  <c r="BA5" i="25"/>
  <c r="AZ15" i="25"/>
  <c r="AZ14" i="25"/>
  <c r="AZ13" i="25"/>
  <c r="AZ12" i="25"/>
  <c r="AZ11" i="25"/>
  <c r="AZ10" i="25"/>
  <c r="AZ9" i="25"/>
  <c r="AZ8" i="25"/>
  <c r="AZ7" i="25"/>
  <c r="AZ6" i="25"/>
  <c r="AZ5" i="25"/>
  <c r="AY15" i="25"/>
  <c r="AY14" i="25"/>
  <c r="AY13" i="25"/>
  <c r="AY12" i="25"/>
  <c r="AY11" i="25"/>
  <c r="AY10" i="25"/>
  <c r="AY9" i="25"/>
  <c r="AY8" i="25"/>
  <c r="AY7" i="25"/>
  <c r="AY6" i="25"/>
  <c r="AY5" i="25"/>
  <c r="AX15" i="25"/>
  <c r="AX14" i="25"/>
  <c r="AX13" i="25"/>
  <c r="AX12" i="25"/>
  <c r="AX11" i="25"/>
  <c r="AX10" i="25"/>
  <c r="AX9" i="25"/>
  <c r="AX8" i="25"/>
  <c r="AX7" i="25"/>
  <c r="AX6" i="25"/>
  <c r="AX5" i="25"/>
  <c r="AW15" i="25"/>
  <c r="AW14" i="25"/>
  <c r="AW13" i="25"/>
  <c r="AW12" i="25"/>
  <c r="AW11" i="25"/>
  <c r="AW10" i="25"/>
  <c r="AW9" i="25"/>
  <c r="AW8" i="25"/>
  <c r="AW7" i="25"/>
  <c r="AW6" i="25"/>
  <c r="AW5" i="25"/>
  <c r="AV15" i="25"/>
  <c r="AV14" i="25"/>
  <c r="AV13" i="25"/>
  <c r="AV12" i="25"/>
  <c r="AV11" i="25"/>
  <c r="AV10" i="25"/>
  <c r="AV9" i="25"/>
  <c r="AV8" i="25"/>
  <c r="AV7" i="25"/>
  <c r="AV6" i="25"/>
  <c r="AV5" i="25"/>
  <c r="AU15" i="25"/>
  <c r="AU14" i="25"/>
  <c r="AU13" i="25"/>
  <c r="AU12" i="25"/>
  <c r="AU11" i="25"/>
  <c r="AU10" i="25"/>
  <c r="AU9" i="25"/>
  <c r="AU8" i="25"/>
  <c r="AU7" i="25"/>
  <c r="AU6" i="25"/>
  <c r="AU5" i="25"/>
  <c r="AT15" i="25"/>
  <c r="AT14" i="25"/>
  <c r="AT13" i="25"/>
  <c r="AT12" i="25"/>
  <c r="AT11" i="25"/>
  <c r="AT10" i="25"/>
  <c r="AT9" i="25"/>
  <c r="AT8" i="25"/>
  <c r="AT7" i="25"/>
  <c r="AT6" i="25"/>
  <c r="AT5" i="25"/>
  <c r="AS15" i="25"/>
  <c r="AS14" i="25"/>
  <c r="AS13" i="25"/>
  <c r="AS12" i="25"/>
  <c r="AS11" i="25"/>
  <c r="AS10" i="25"/>
  <c r="AS9" i="25"/>
  <c r="AS8" i="25"/>
  <c r="AS7" i="25"/>
  <c r="AS6" i="25"/>
  <c r="AS5" i="25"/>
  <c r="AR15" i="25"/>
  <c r="AR14" i="25"/>
  <c r="AR13" i="25"/>
  <c r="AR12" i="25"/>
  <c r="AR11" i="25"/>
  <c r="AR10" i="25"/>
  <c r="AR9" i="25"/>
  <c r="AR8" i="25"/>
  <c r="AR7" i="25"/>
  <c r="AR6" i="25"/>
  <c r="AR5" i="25"/>
  <c r="AQ15" i="25"/>
  <c r="AQ14" i="25"/>
  <c r="AQ13" i="25"/>
  <c r="AQ12" i="25"/>
  <c r="AQ11" i="25"/>
  <c r="AQ10" i="25"/>
  <c r="AQ9" i="25"/>
  <c r="AQ8" i="25"/>
  <c r="AQ7" i="25"/>
  <c r="AQ6" i="25"/>
  <c r="AQ5" i="25"/>
  <c r="AP15" i="25"/>
  <c r="AP14" i="25"/>
  <c r="AP13" i="25"/>
  <c r="AP12" i="25"/>
  <c r="AP11" i="25"/>
  <c r="AP10" i="25"/>
  <c r="AP9" i="25"/>
  <c r="AP8" i="25"/>
  <c r="AP7" i="25"/>
  <c r="AP6" i="25"/>
  <c r="AP5" i="25"/>
  <c r="AO15" i="25"/>
  <c r="AO14" i="25"/>
  <c r="AO13" i="25"/>
  <c r="AO12" i="25"/>
  <c r="AO11" i="25"/>
  <c r="AO10" i="25"/>
  <c r="AO9" i="25"/>
  <c r="AO8" i="25"/>
  <c r="AO7" i="25"/>
  <c r="AO6" i="25"/>
  <c r="AO5" i="25"/>
  <c r="AN15" i="25"/>
  <c r="AN14" i="25"/>
  <c r="AN13" i="25"/>
  <c r="AN12" i="25"/>
  <c r="AN11" i="25"/>
  <c r="AN10" i="25"/>
  <c r="AN9" i="25"/>
  <c r="AN8" i="25"/>
  <c r="AN7" i="25"/>
  <c r="AN6" i="25"/>
  <c r="AN5" i="25"/>
  <c r="AM15" i="25"/>
  <c r="AM14" i="25"/>
  <c r="AM13" i="25"/>
  <c r="AM12" i="25"/>
  <c r="AM11" i="25"/>
  <c r="AM10" i="25"/>
  <c r="AM9" i="25"/>
  <c r="AM8" i="25"/>
  <c r="AM7" i="25"/>
  <c r="AM6" i="25"/>
  <c r="AM5" i="25"/>
  <c r="AL15" i="25"/>
  <c r="AL14" i="25"/>
  <c r="AL13" i="25"/>
  <c r="AL12" i="25"/>
  <c r="AL11" i="25"/>
  <c r="AL10" i="25"/>
  <c r="AL9" i="25"/>
  <c r="AL8" i="25"/>
  <c r="AL7" i="25"/>
  <c r="AL6" i="25"/>
  <c r="AL5" i="25"/>
  <c r="AK15" i="25"/>
  <c r="AK14" i="25"/>
  <c r="AK13" i="25"/>
  <c r="AK12" i="25"/>
  <c r="AK11" i="25"/>
  <c r="AK10" i="25"/>
  <c r="AK9" i="25"/>
  <c r="AK8" i="25"/>
  <c r="AK7" i="25"/>
  <c r="AK6" i="25"/>
  <c r="AK5" i="25"/>
  <c r="AJ15" i="25"/>
  <c r="AJ14" i="25"/>
  <c r="AJ13" i="25"/>
  <c r="AJ12" i="25"/>
  <c r="AJ11" i="25"/>
  <c r="AJ10" i="25"/>
  <c r="AJ9" i="25"/>
  <c r="AJ8" i="25"/>
  <c r="AJ7" i="25"/>
  <c r="AJ6" i="25"/>
  <c r="AJ5" i="25"/>
  <c r="AI15" i="25"/>
  <c r="AI14" i="25"/>
  <c r="AI13" i="25"/>
  <c r="AI12" i="25"/>
  <c r="AI11" i="25"/>
  <c r="AI10" i="25"/>
  <c r="AI9" i="25"/>
  <c r="AI8" i="25"/>
  <c r="AI7" i="25"/>
  <c r="AI6" i="25"/>
  <c r="AI5" i="25"/>
  <c r="AH15" i="25"/>
  <c r="AH14" i="25"/>
  <c r="AH13" i="25"/>
  <c r="AH12" i="25"/>
  <c r="AH11" i="25"/>
  <c r="AH10" i="25"/>
  <c r="AH9" i="25"/>
  <c r="AH8" i="25"/>
  <c r="AH7" i="25"/>
  <c r="AH6" i="25"/>
  <c r="AH5" i="25"/>
  <c r="AG15" i="25"/>
  <c r="AG14" i="25"/>
  <c r="AG13" i="25"/>
  <c r="AG12" i="25"/>
  <c r="AG11" i="25"/>
  <c r="AG10" i="25"/>
  <c r="AG9" i="25"/>
  <c r="AG8" i="25"/>
  <c r="AG7" i="25"/>
  <c r="AG6" i="25"/>
  <c r="AG5" i="25"/>
  <c r="AF15" i="25"/>
  <c r="AF14" i="25"/>
  <c r="AF13" i="25"/>
  <c r="AF12" i="25"/>
  <c r="AF11" i="25"/>
  <c r="AF10" i="25"/>
  <c r="AF9" i="25"/>
  <c r="AF8" i="25"/>
  <c r="AF7" i="25"/>
  <c r="AF6" i="25"/>
  <c r="AF5" i="25"/>
  <c r="AE15" i="25"/>
  <c r="AE14" i="25"/>
  <c r="AE13" i="25"/>
  <c r="AE12" i="25"/>
  <c r="AE11" i="25"/>
  <c r="AE10" i="25"/>
  <c r="AE9" i="25"/>
  <c r="AE8" i="25"/>
  <c r="AE7" i="25"/>
  <c r="AE6" i="25"/>
  <c r="AE5" i="25"/>
  <c r="AD15" i="25"/>
  <c r="AD14" i="25"/>
  <c r="AD13" i="25"/>
  <c r="AD12" i="25"/>
  <c r="AD11" i="25"/>
  <c r="AD10" i="25"/>
  <c r="AD9" i="25"/>
  <c r="AD8" i="25"/>
  <c r="AD7" i="25"/>
  <c r="AD6" i="25"/>
  <c r="AD5" i="25"/>
  <c r="AC15" i="25"/>
  <c r="AC14" i="25"/>
  <c r="AC13" i="25"/>
  <c r="AC12" i="25"/>
  <c r="AC11" i="25"/>
  <c r="AC10" i="25"/>
  <c r="AC9" i="25"/>
  <c r="AC8" i="25"/>
  <c r="AC7" i="25"/>
  <c r="AC6" i="25"/>
  <c r="AC5" i="25"/>
  <c r="AB15" i="25"/>
  <c r="AB14" i="25"/>
  <c r="AB13" i="25"/>
  <c r="AB12" i="25"/>
  <c r="AB11" i="25"/>
  <c r="AB10" i="25"/>
  <c r="AB9" i="25"/>
  <c r="AB8" i="25"/>
  <c r="AB7" i="25"/>
  <c r="AB6" i="25"/>
  <c r="AB5" i="25"/>
  <c r="AA15" i="25"/>
  <c r="AA14" i="25"/>
  <c r="AA13" i="25"/>
  <c r="AA12" i="25"/>
  <c r="AA11" i="25"/>
  <c r="AA10" i="25"/>
  <c r="AA9" i="25"/>
  <c r="AA8" i="25"/>
  <c r="AA7" i="25"/>
  <c r="AA6" i="25"/>
  <c r="AA5" i="25"/>
  <c r="Z15" i="25"/>
  <c r="Z14" i="25"/>
  <c r="Z13" i="25"/>
  <c r="Z12" i="25"/>
  <c r="Z11" i="25"/>
  <c r="Z10" i="25"/>
  <c r="Z9" i="25"/>
  <c r="Z8" i="25"/>
  <c r="Z7" i="25"/>
  <c r="Z6" i="25"/>
  <c r="Z5" i="25"/>
  <c r="Y15" i="25"/>
  <c r="Y14" i="25"/>
  <c r="Y13" i="25"/>
  <c r="Y12" i="25"/>
  <c r="Y11" i="25"/>
  <c r="Y10" i="25"/>
  <c r="Y9" i="25"/>
  <c r="Y8" i="25"/>
  <c r="Y7" i="25"/>
  <c r="Y6" i="25"/>
  <c r="Y5" i="25"/>
  <c r="X15" i="25"/>
  <c r="X14" i="25"/>
  <c r="X13" i="25"/>
  <c r="X12" i="25"/>
  <c r="X11" i="25"/>
  <c r="X10" i="25"/>
  <c r="X9" i="25"/>
  <c r="X8" i="25"/>
  <c r="X7" i="25"/>
  <c r="X6" i="25"/>
  <c r="X5" i="25"/>
  <c r="W15" i="25"/>
  <c r="W14" i="25"/>
  <c r="W13" i="25"/>
  <c r="W12" i="25"/>
  <c r="W11" i="25"/>
  <c r="W10" i="25"/>
  <c r="W9" i="25"/>
  <c r="W8" i="25"/>
  <c r="W7" i="25"/>
  <c r="W6" i="25"/>
  <c r="W5" i="25"/>
  <c r="V15" i="25"/>
  <c r="V14" i="25"/>
  <c r="V13" i="25"/>
  <c r="V12" i="25"/>
  <c r="V11" i="25"/>
  <c r="V10" i="25"/>
  <c r="V9" i="25"/>
  <c r="V8" i="25"/>
  <c r="V7" i="25"/>
  <c r="V6" i="25"/>
  <c r="V5" i="25"/>
  <c r="U15" i="25"/>
  <c r="U14" i="25"/>
  <c r="U13" i="25"/>
  <c r="U12" i="25"/>
  <c r="U11" i="25"/>
  <c r="U10" i="25"/>
  <c r="U9" i="25"/>
  <c r="U8" i="25"/>
  <c r="U7" i="25"/>
  <c r="U6" i="25"/>
  <c r="U5" i="25"/>
  <c r="T15" i="25"/>
  <c r="T14" i="25"/>
  <c r="T13" i="25"/>
  <c r="T12" i="25"/>
  <c r="T11" i="25"/>
  <c r="T10" i="25"/>
  <c r="T9" i="25"/>
  <c r="T8" i="25"/>
  <c r="T7" i="25"/>
  <c r="T6" i="25"/>
  <c r="T5" i="25"/>
  <c r="S15" i="25"/>
  <c r="S14" i="25"/>
  <c r="S13" i="25"/>
  <c r="S12" i="25"/>
  <c r="S11" i="25"/>
  <c r="S10" i="25"/>
  <c r="S9" i="25"/>
  <c r="S8" i="25"/>
  <c r="S7" i="25"/>
  <c r="S6" i="25"/>
  <c r="S5" i="25"/>
  <c r="R15" i="25"/>
  <c r="R14" i="25"/>
  <c r="R13" i="25"/>
  <c r="R12" i="25"/>
  <c r="R11" i="25"/>
  <c r="R10" i="25"/>
  <c r="R9" i="25"/>
  <c r="R8" i="25"/>
  <c r="R7" i="25"/>
  <c r="R6" i="25"/>
  <c r="R5" i="25"/>
  <c r="Q15" i="25"/>
  <c r="Q14" i="25"/>
  <c r="Q13" i="25"/>
  <c r="Q12" i="25"/>
  <c r="Q11" i="25"/>
  <c r="Q10" i="25"/>
  <c r="Q9" i="25"/>
  <c r="Q8" i="25"/>
  <c r="Q7" i="25"/>
  <c r="Q6" i="25"/>
  <c r="Q5" i="25"/>
  <c r="P15" i="25"/>
  <c r="P14" i="25"/>
  <c r="P13" i="25"/>
  <c r="P12" i="25"/>
  <c r="P11" i="25"/>
  <c r="P10" i="25"/>
  <c r="P9" i="25"/>
  <c r="P8" i="25"/>
  <c r="P7" i="25"/>
  <c r="P6" i="25"/>
  <c r="P5" i="25"/>
  <c r="O15" i="25"/>
  <c r="O14" i="25"/>
  <c r="O13" i="25"/>
  <c r="O12" i="25"/>
  <c r="O11" i="25"/>
  <c r="O10" i="25"/>
  <c r="O9" i="25"/>
  <c r="O8" i="25"/>
  <c r="O7" i="25"/>
  <c r="O6" i="25"/>
  <c r="O5" i="25"/>
  <c r="N15" i="25"/>
  <c r="N14" i="25"/>
  <c r="N13" i="25"/>
  <c r="N12" i="25"/>
  <c r="N11" i="25"/>
  <c r="N10" i="25"/>
  <c r="N9" i="25"/>
  <c r="N8" i="25"/>
  <c r="N7" i="25"/>
  <c r="N6" i="25"/>
  <c r="N5" i="25"/>
  <c r="M15" i="25"/>
  <c r="M14" i="25"/>
  <c r="M13" i="25"/>
  <c r="M12" i="25"/>
  <c r="M11" i="25"/>
  <c r="M10" i="25"/>
  <c r="M9" i="25"/>
  <c r="M8" i="25"/>
  <c r="M7" i="25"/>
  <c r="M6" i="25"/>
  <c r="M5" i="25"/>
  <c r="L15" i="25"/>
  <c r="L14" i="25"/>
  <c r="L13" i="25"/>
  <c r="L12" i="25"/>
  <c r="L11" i="25"/>
  <c r="L10" i="25"/>
  <c r="L9" i="25"/>
  <c r="L8" i="25"/>
  <c r="L7" i="25"/>
  <c r="L6" i="25"/>
  <c r="L5" i="25"/>
  <c r="K15" i="25"/>
  <c r="K14" i="25"/>
  <c r="K13" i="25"/>
  <c r="K12" i="25"/>
  <c r="K11" i="25"/>
  <c r="K10" i="25"/>
  <c r="K9" i="25"/>
  <c r="K8" i="25"/>
  <c r="K7" i="25"/>
  <c r="K6" i="25"/>
  <c r="K5" i="25"/>
  <c r="J15" i="25"/>
  <c r="J14" i="25"/>
  <c r="J13" i="25"/>
  <c r="J12" i="25"/>
  <c r="J11" i="25"/>
  <c r="J10" i="25"/>
  <c r="J9" i="25"/>
  <c r="J8" i="25"/>
  <c r="J7" i="25"/>
  <c r="J6" i="25"/>
  <c r="J5" i="25"/>
  <c r="I15" i="25"/>
  <c r="I14" i="25"/>
  <c r="I13" i="25"/>
  <c r="I12" i="25"/>
  <c r="I11" i="25"/>
  <c r="I10" i="25"/>
  <c r="I9" i="25"/>
  <c r="I8" i="25"/>
  <c r="I7" i="25"/>
  <c r="I6" i="25"/>
  <c r="I5" i="25"/>
  <c r="H15" i="25"/>
  <c r="H14" i="25"/>
  <c r="H13" i="25"/>
  <c r="H12" i="25"/>
  <c r="H11" i="25"/>
  <c r="H10" i="25"/>
  <c r="H9" i="25"/>
  <c r="H8" i="25"/>
  <c r="H7" i="25"/>
  <c r="H6" i="25"/>
  <c r="H5" i="25"/>
  <c r="G15" i="25"/>
  <c r="G14" i="25"/>
  <c r="G13" i="25"/>
  <c r="G12" i="25"/>
  <c r="G11" i="25"/>
  <c r="G10" i="25"/>
  <c r="G9" i="25"/>
  <c r="G8" i="25"/>
  <c r="G7" i="25"/>
  <c r="G6" i="25"/>
  <c r="G5" i="25"/>
  <c r="F15" i="25"/>
  <c r="F14" i="25"/>
  <c r="F13" i="25"/>
  <c r="F12" i="25"/>
  <c r="F11" i="25"/>
  <c r="F10" i="25"/>
  <c r="F9" i="25"/>
  <c r="F8" i="25"/>
  <c r="F7" i="25"/>
  <c r="F6" i="25"/>
  <c r="F5" i="25"/>
  <c r="E15" i="25"/>
  <c r="E14" i="25"/>
  <c r="E13" i="25"/>
  <c r="E12" i="25"/>
  <c r="E11" i="25"/>
  <c r="E10" i="25"/>
  <c r="E9" i="25"/>
  <c r="E8" i="25"/>
  <c r="E7" i="25"/>
  <c r="E6" i="25"/>
  <c r="E5" i="25"/>
  <c r="D15" i="25"/>
  <c r="D14" i="25"/>
  <c r="D13" i="25"/>
  <c r="D12" i="25"/>
  <c r="D11" i="25"/>
  <c r="D10" i="25"/>
  <c r="D9" i="25"/>
  <c r="D8" i="25"/>
  <c r="D7" i="25"/>
  <c r="D6" i="25"/>
  <c r="D5" i="25"/>
  <c r="C15" i="25"/>
  <c r="C14" i="25"/>
  <c r="C13" i="25"/>
  <c r="C12" i="25"/>
  <c r="C11" i="25"/>
  <c r="C10" i="25"/>
  <c r="C9" i="25"/>
  <c r="C8" i="25"/>
  <c r="C7" i="25"/>
  <c r="C6" i="25"/>
  <c r="C5" i="25"/>
  <c r="B15" i="25"/>
  <c r="B14" i="25"/>
  <c r="B13" i="25"/>
  <c r="B12" i="25"/>
  <c r="B11" i="25"/>
  <c r="B10" i="25"/>
  <c r="B9" i="25"/>
  <c r="B8" i="25"/>
  <c r="B7" i="25"/>
  <c r="B6" i="25"/>
  <c r="B5" i="25"/>
  <c r="A3" i="25"/>
  <c r="CW7" i="25" l="1"/>
  <c r="CW11" i="25"/>
  <c r="CW15" i="25"/>
  <c r="CW28" i="25"/>
  <c r="CW23" i="25"/>
  <c r="CW27" i="25"/>
  <c r="BO32" i="26"/>
  <c r="CN32" i="26"/>
  <c r="AI32" i="26"/>
  <c r="BT16" i="25"/>
  <c r="BX16" i="25"/>
  <c r="CW7" i="26"/>
  <c r="BN17" i="26"/>
  <c r="BR17" i="26"/>
  <c r="BV17" i="26"/>
  <c r="BZ17" i="26"/>
  <c r="CD17" i="26"/>
  <c r="CH17" i="26"/>
  <c r="CL17" i="26"/>
  <c r="CP17" i="26"/>
  <c r="CT17" i="26"/>
  <c r="CW16" i="26"/>
  <c r="S32" i="26"/>
  <c r="AR32" i="26"/>
  <c r="CE32" i="26"/>
  <c r="CW67" i="26"/>
  <c r="BL17" i="26"/>
  <c r="BP17" i="26"/>
  <c r="BT17" i="26"/>
  <c r="BX17" i="26"/>
  <c r="CB17" i="26"/>
  <c r="CF17" i="26"/>
  <c r="CJ17" i="26"/>
  <c r="CN17" i="26"/>
  <c r="CR17" i="26"/>
  <c r="CW14" i="26"/>
  <c r="CW25" i="26"/>
  <c r="L32" i="26"/>
  <c r="AY32" i="26"/>
  <c r="BX32" i="26"/>
  <c r="CW75" i="26"/>
  <c r="BS16" i="25"/>
  <c r="BW16" i="25"/>
  <c r="CA16" i="25"/>
  <c r="CE16" i="25"/>
  <c r="CI16" i="25"/>
  <c r="CM16" i="25"/>
  <c r="CQ16" i="25"/>
  <c r="CW6" i="25"/>
  <c r="CW10" i="25"/>
  <c r="CW14" i="25"/>
  <c r="C31" i="25"/>
  <c r="G31" i="25"/>
  <c r="K31" i="25"/>
  <c r="O31" i="25"/>
  <c r="S31" i="25"/>
  <c r="W31" i="25"/>
  <c r="AA31" i="25"/>
  <c r="BV16" i="25"/>
  <c r="BZ16" i="25"/>
  <c r="CD16" i="25"/>
  <c r="CH16" i="25"/>
  <c r="CL16" i="25"/>
  <c r="CP16" i="25"/>
  <c r="CT16" i="25"/>
  <c r="D31" i="25"/>
  <c r="H31" i="25"/>
  <c r="L31" i="25"/>
  <c r="P31" i="25"/>
  <c r="T31" i="25"/>
  <c r="X31" i="25"/>
  <c r="AB31" i="25"/>
  <c r="H16" i="25"/>
  <c r="L16" i="25"/>
  <c r="P16" i="25"/>
  <c r="T16" i="25"/>
  <c r="X16" i="25"/>
  <c r="AB16" i="25"/>
  <c r="AF16" i="25"/>
  <c r="AJ16" i="25"/>
  <c r="AN16" i="25"/>
  <c r="AR16" i="25"/>
  <c r="AV16" i="25"/>
  <c r="AZ16" i="25"/>
  <c r="BD16" i="25"/>
  <c r="BH16" i="25"/>
  <c r="BL16" i="25"/>
  <c r="BQ16" i="25"/>
  <c r="BU16" i="25"/>
  <c r="BY16" i="25"/>
  <c r="CC16" i="25"/>
  <c r="CG16" i="25"/>
  <c r="CK16" i="25"/>
  <c r="CO16" i="25"/>
  <c r="CS16" i="25"/>
  <c r="CW8" i="25"/>
  <c r="CW12" i="25"/>
  <c r="E31" i="25"/>
  <c r="I31" i="25"/>
  <c r="M31" i="25"/>
  <c r="Q31" i="25"/>
  <c r="AE31" i="25"/>
  <c r="AI31" i="25"/>
  <c r="AM31" i="25"/>
  <c r="AQ31" i="25"/>
  <c r="AU31" i="25"/>
  <c r="AY31" i="25"/>
  <c r="BC31" i="25"/>
  <c r="BG31" i="25"/>
  <c r="BK31" i="25"/>
  <c r="BO31" i="25"/>
  <c r="BS31" i="25"/>
  <c r="BW31" i="25"/>
  <c r="CA31" i="25"/>
  <c r="CE31" i="25"/>
  <c r="CI31" i="25"/>
  <c r="CW22" i="25"/>
  <c r="CW26" i="25"/>
  <c r="CW30" i="25"/>
  <c r="AF31" i="25"/>
  <c r="AJ31" i="25"/>
  <c r="AN31" i="25"/>
  <c r="AR31" i="25"/>
  <c r="AV31" i="25"/>
  <c r="AZ31" i="25"/>
  <c r="BD31" i="25"/>
  <c r="BH31" i="25"/>
  <c r="BL31" i="25"/>
  <c r="BP31" i="25"/>
  <c r="BT31" i="25"/>
  <c r="BX31" i="25"/>
  <c r="CB31" i="25"/>
  <c r="CF31" i="25"/>
  <c r="CJ31" i="25"/>
  <c r="CM31" i="25"/>
  <c r="CN31" i="25"/>
  <c r="CQ31" i="25"/>
  <c r="CR31" i="25"/>
  <c r="U31" i="25"/>
  <c r="Y31" i="25"/>
  <c r="AC31" i="25"/>
  <c r="AG31" i="25"/>
  <c r="AK31" i="25"/>
  <c r="AO31" i="25"/>
  <c r="AS31" i="25"/>
  <c r="AW31" i="25"/>
  <c r="BA31" i="25"/>
  <c r="BE31" i="25"/>
  <c r="BI31" i="25"/>
  <c r="BM31" i="25"/>
  <c r="BQ31" i="25"/>
  <c r="BU31" i="25"/>
  <c r="BY31" i="25"/>
  <c r="CC31" i="25"/>
  <c r="CG31" i="25"/>
  <c r="CW25" i="25"/>
  <c r="CW29" i="25"/>
  <c r="CW24" i="25"/>
  <c r="B9" i="26"/>
  <c r="C9" i="26"/>
  <c r="D9" i="26"/>
  <c r="E9" i="26"/>
  <c r="F9" i="26"/>
  <c r="G9" i="26"/>
  <c r="H9" i="26"/>
  <c r="I9" i="26"/>
  <c r="J9" i="26"/>
  <c r="K9" i="26"/>
  <c r="L9" i="26"/>
  <c r="M9" i="26"/>
  <c r="N9" i="26"/>
  <c r="O9" i="26"/>
  <c r="P9" i="26"/>
  <c r="Q9" i="26"/>
  <c r="R9" i="26"/>
  <c r="S9" i="26"/>
  <c r="T9" i="26"/>
  <c r="U9" i="26"/>
  <c r="V9" i="26"/>
  <c r="W9" i="26"/>
  <c r="X9" i="26"/>
  <c r="Y9" i="26"/>
  <c r="Z9" i="26"/>
  <c r="AA9" i="26"/>
  <c r="AB9" i="26"/>
  <c r="AC9" i="26"/>
  <c r="AD9" i="26"/>
  <c r="AE9" i="26"/>
  <c r="AF9" i="26"/>
  <c r="AG9" i="26"/>
  <c r="AH9" i="26"/>
  <c r="AI9" i="26"/>
  <c r="AJ9" i="26"/>
  <c r="AK9" i="26"/>
  <c r="AL9" i="26"/>
  <c r="AM9" i="26"/>
  <c r="AN9" i="26"/>
  <c r="AO9" i="26"/>
  <c r="AP9" i="26"/>
  <c r="AQ9" i="26"/>
  <c r="AR9" i="26"/>
  <c r="AS9" i="26"/>
  <c r="AT9" i="26"/>
  <c r="AU9" i="26"/>
  <c r="AV9" i="26"/>
  <c r="AW9" i="26"/>
  <c r="AX9" i="26"/>
  <c r="AY9" i="26"/>
  <c r="AZ9" i="26"/>
  <c r="BA9" i="26"/>
  <c r="BB9" i="26"/>
  <c r="BC9" i="26"/>
  <c r="BD9" i="26"/>
  <c r="BE9" i="26"/>
  <c r="BF9" i="26"/>
  <c r="BG9" i="26"/>
  <c r="BH9" i="26"/>
  <c r="BI9" i="26"/>
  <c r="BJ9" i="26"/>
  <c r="BK9" i="26"/>
  <c r="BL9" i="26"/>
  <c r="BM9" i="26"/>
  <c r="BN9" i="26"/>
  <c r="B17" i="26"/>
  <c r="F17" i="26"/>
  <c r="J17" i="26"/>
  <c r="N17" i="26"/>
  <c r="R17" i="26"/>
  <c r="V17" i="26"/>
  <c r="Z17" i="26"/>
  <c r="AD17" i="26"/>
  <c r="AH17" i="26"/>
  <c r="AL17" i="26"/>
  <c r="AP17" i="26"/>
  <c r="AT17" i="26"/>
  <c r="AX17" i="26"/>
  <c r="BB17" i="26"/>
  <c r="BF17" i="26"/>
  <c r="BJ17" i="26"/>
  <c r="BK17" i="26"/>
  <c r="BO17" i="26"/>
  <c r="BS17" i="26"/>
  <c r="BW17" i="26"/>
  <c r="CA17" i="26"/>
  <c r="CE17" i="26"/>
  <c r="CI17" i="26"/>
  <c r="CM17" i="26"/>
  <c r="CQ17" i="26"/>
  <c r="CU17" i="26"/>
  <c r="CW17" i="26" s="1"/>
  <c r="B32" i="26"/>
  <c r="G32" i="26"/>
  <c r="R32" i="26"/>
  <c r="W32" i="26"/>
  <c r="AM32" i="26"/>
  <c r="BC32" i="26"/>
  <c r="BS32" i="26"/>
  <c r="CI32" i="26"/>
  <c r="CW76" i="26"/>
  <c r="BL85" i="26"/>
  <c r="BX85" i="26"/>
  <c r="CB85" i="26"/>
  <c r="CF85" i="26"/>
  <c r="CJ85" i="26"/>
  <c r="CN85" i="26"/>
  <c r="CW8" i="26"/>
  <c r="K32" i="26"/>
  <c r="AA32" i="26"/>
  <c r="AQ32" i="26"/>
  <c r="BG32" i="26"/>
  <c r="BW32" i="26"/>
  <c r="CM32" i="26"/>
  <c r="B43" i="26"/>
  <c r="C43" i="26"/>
  <c r="D43" i="26"/>
  <c r="E43" i="26"/>
  <c r="F43" i="26"/>
  <c r="G43" i="26"/>
  <c r="H43" i="26"/>
  <c r="I43" i="26"/>
  <c r="J43" i="26"/>
  <c r="K43" i="26"/>
  <c r="L43" i="26"/>
  <c r="M43" i="26"/>
  <c r="N43" i="26"/>
  <c r="O43" i="26"/>
  <c r="P43" i="26"/>
  <c r="Q43" i="26"/>
  <c r="R43" i="26"/>
  <c r="S43" i="26"/>
  <c r="T43" i="26"/>
  <c r="U43" i="26"/>
  <c r="V43" i="26"/>
  <c r="W43" i="26"/>
  <c r="X43" i="26"/>
  <c r="Y43" i="26"/>
  <c r="Z43" i="26"/>
  <c r="AA43" i="26"/>
  <c r="AB43" i="26"/>
  <c r="AC43" i="26"/>
  <c r="AD43" i="26"/>
  <c r="AE43" i="26"/>
  <c r="E53" i="26"/>
  <c r="I53" i="26"/>
  <c r="M53" i="26"/>
  <c r="Q53" i="26"/>
  <c r="X53" i="26"/>
  <c r="AB53" i="26"/>
  <c r="AF53" i="26"/>
  <c r="AJ53" i="26"/>
  <c r="AO53" i="26"/>
  <c r="AS53" i="26"/>
  <c r="AW53" i="26"/>
  <c r="BA53" i="26"/>
  <c r="BE53" i="26"/>
  <c r="BI53" i="26"/>
  <c r="BM53" i="26"/>
  <c r="BQ53" i="26"/>
  <c r="BU53" i="26"/>
  <c r="BY53" i="26"/>
  <c r="CC53" i="26"/>
  <c r="CF53" i="26"/>
  <c r="CG53" i="26"/>
  <c r="CJ53" i="26"/>
  <c r="CK53" i="26"/>
  <c r="CN53" i="26"/>
  <c r="CO53" i="26"/>
  <c r="CR53" i="26"/>
  <c r="CS53" i="26"/>
  <c r="BO9" i="26"/>
  <c r="BP9" i="26"/>
  <c r="BQ9" i="26"/>
  <c r="BR9" i="26"/>
  <c r="BS9" i="26"/>
  <c r="BT9" i="26"/>
  <c r="BU9" i="26"/>
  <c r="BV9" i="26"/>
  <c r="BW9" i="26"/>
  <c r="BX9" i="26"/>
  <c r="BY9" i="26"/>
  <c r="BZ9" i="26"/>
  <c r="CA9" i="26"/>
  <c r="CB9" i="26"/>
  <c r="CC9" i="26"/>
  <c r="CD9" i="26"/>
  <c r="CE9" i="26"/>
  <c r="CF9" i="26"/>
  <c r="CG9" i="26"/>
  <c r="CH9" i="26"/>
  <c r="CI9" i="26"/>
  <c r="CJ9" i="26"/>
  <c r="CK9" i="26"/>
  <c r="CL9" i="26"/>
  <c r="CM9" i="26"/>
  <c r="CN9" i="26"/>
  <c r="CO9" i="26"/>
  <c r="CP9" i="26"/>
  <c r="CQ9" i="26"/>
  <c r="CR9" i="26"/>
  <c r="CS9" i="26"/>
  <c r="CU9" i="26"/>
  <c r="AJ17" i="26"/>
  <c r="AN17" i="26"/>
  <c r="AR17" i="26"/>
  <c r="AV17" i="26"/>
  <c r="AZ17" i="26"/>
  <c r="BD17" i="26"/>
  <c r="BH17" i="26"/>
  <c r="BM17" i="26"/>
  <c r="BQ17" i="26"/>
  <c r="BU17" i="26"/>
  <c r="BY17" i="26"/>
  <c r="CC17" i="26"/>
  <c r="CG17" i="26"/>
  <c r="CK17" i="26"/>
  <c r="CO17" i="26"/>
  <c r="CS17" i="26"/>
  <c r="J32" i="26"/>
  <c r="O32" i="26"/>
  <c r="Q32" i="26"/>
  <c r="Z32" i="26"/>
  <c r="AE32" i="26"/>
  <c r="AG32" i="26"/>
  <c r="AP32" i="26"/>
  <c r="AU32" i="26"/>
  <c r="AW32" i="26"/>
  <c r="BF32" i="26"/>
  <c r="BK32" i="26"/>
  <c r="BM32" i="26"/>
  <c r="BV32" i="26"/>
  <c r="CA32" i="26"/>
  <c r="CC32" i="26"/>
  <c r="CL32" i="26"/>
  <c r="CQ32" i="26"/>
  <c r="CS32" i="26"/>
  <c r="CW6" i="26"/>
  <c r="CW41" i="26"/>
  <c r="BN77" i="26"/>
  <c r="B16" i="25"/>
  <c r="F16" i="25"/>
  <c r="J16" i="25"/>
  <c r="N16" i="25"/>
  <c r="R16" i="25"/>
  <c r="V16" i="25"/>
  <c r="Z16" i="25"/>
  <c r="AD16" i="25"/>
  <c r="AH16" i="25"/>
  <c r="AL16" i="25"/>
  <c r="AP16" i="25"/>
  <c r="AT16" i="25"/>
  <c r="AX16" i="25"/>
  <c r="BB16" i="25"/>
  <c r="BF16" i="25"/>
  <c r="BJ16" i="25"/>
  <c r="BN16" i="25"/>
  <c r="D16" i="25"/>
  <c r="E16" i="25"/>
  <c r="I16" i="25"/>
  <c r="M16" i="25"/>
  <c r="Q16" i="25"/>
  <c r="U16" i="25"/>
  <c r="Y16" i="25"/>
  <c r="AC16" i="25"/>
  <c r="AG16" i="25"/>
  <c r="AK16" i="25"/>
  <c r="AO16" i="25"/>
  <c r="AS16" i="25"/>
  <c r="AW16" i="25"/>
  <c r="BA16" i="25"/>
  <c r="BE16" i="25"/>
  <c r="BI16" i="25"/>
  <c r="BM16" i="25"/>
  <c r="BR16" i="25"/>
  <c r="C16" i="25"/>
  <c r="G16" i="25"/>
  <c r="K16" i="25"/>
  <c r="O16" i="25"/>
  <c r="S16" i="25"/>
  <c r="W16" i="25"/>
  <c r="AA16" i="25"/>
  <c r="AE16" i="25"/>
  <c r="AI16" i="25"/>
  <c r="AM16" i="25"/>
  <c r="AQ16" i="25"/>
  <c r="AU16" i="25"/>
  <c r="AY16" i="25"/>
  <c r="BC16" i="25"/>
  <c r="BG16" i="25"/>
  <c r="BK16" i="25"/>
  <c r="BO16" i="25"/>
  <c r="BP16" i="25"/>
  <c r="B53" i="26"/>
  <c r="F53" i="26"/>
  <c r="J53" i="26"/>
  <c r="N53" i="26"/>
  <c r="R53" i="26"/>
  <c r="U53" i="26"/>
  <c r="V53" i="26"/>
  <c r="Y53" i="26"/>
  <c r="AC53" i="26"/>
  <c r="AG53" i="26"/>
  <c r="AK53" i="26"/>
  <c r="BR53" i="26"/>
  <c r="BV53" i="26"/>
  <c r="BZ53" i="26"/>
  <c r="CD53" i="26"/>
  <c r="CW51" i="26"/>
  <c r="CW42" i="26"/>
  <c r="C53" i="26"/>
  <c r="G53" i="26"/>
  <c r="K53" i="26"/>
  <c r="O53" i="26"/>
  <c r="Z53" i="26"/>
  <c r="AD53" i="26"/>
  <c r="AH53" i="26"/>
  <c r="AL53" i="26"/>
  <c r="BC53" i="26"/>
  <c r="BG53" i="26"/>
  <c r="BK53" i="26"/>
  <c r="BO53" i="26"/>
  <c r="BS53" i="26"/>
  <c r="BW53" i="26"/>
  <c r="CA53" i="26"/>
  <c r="CE53" i="26"/>
  <c r="CH53" i="26"/>
  <c r="CI53" i="26"/>
  <c r="CL53" i="26"/>
  <c r="CM53" i="26"/>
  <c r="CP53" i="26"/>
  <c r="CQ53" i="26"/>
  <c r="CW49" i="26"/>
  <c r="CW48" i="26"/>
  <c r="CW52" i="26"/>
  <c r="AF43" i="26"/>
  <c r="AG43" i="26"/>
  <c r="AH43" i="26"/>
  <c r="AI43" i="26"/>
  <c r="AJ43" i="26"/>
  <c r="AK43" i="26"/>
  <c r="AL43" i="26"/>
  <c r="AM43" i="26"/>
  <c r="AN43" i="26"/>
  <c r="AO43" i="26"/>
  <c r="AP43" i="26"/>
  <c r="AQ43" i="26"/>
  <c r="AR43" i="26"/>
  <c r="AS43" i="26"/>
  <c r="AT43" i="26"/>
  <c r="AU43" i="26"/>
  <c r="AV43" i="26"/>
  <c r="AW43" i="26"/>
  <c r="AX43" i="26"/>
  <c r="AY43" i="26"/>
  <c r="AZ43" i="26"/>
  <c r="BA43" i="26"/>
  <c r="BB43" i="26"/>
  <c r="BC43" i="26"/>
  <c r="BD43" i="26"/>
  <c r="BE43" i="26"/>
  <c r="BF43" i="26"/>
  <c r="BG43" i="26"/>
  <c r="BH43" i="26"/>
  <c r="BI43" i="26"/>
  <c r="BJ43" i="26"/>
  <c r="BK43" i="26"/>
  <c r="BL43" i="26"/>
  <c r="BM43" i="26"/>
  <c r="BN43" i="26"/>
  <c r="BO43" i="26"/>
  <c r="BP43" i="26"/>
  <c r="BQ43" i="26"/>
  <c r="BR43" i="26"/>
  <c r="BS43" i="26"/>
  <c r="BT43" i="26"/>
  <c r="BU43" i="26"/>
  <c r="BV43" i="26"/>
  <c r="BW43" i="26"/>
  <c r="BX43" i="26"/>
  <c r="BY43" i="26"/>
  <c r="BZ43" i="26"/>
  <c r="CA43" i="26"/>
  <c r="CB43" i="26"/>
  <c r="CC43" i="26"/>
  <c r="CD43" i="26"/>
  <c r="CE43" i="26"/>
  <c r="CF43" i="26"/>
  <c r="CG43" i="26"/>
  <c r="CH43" i="26"/>
  <c r="CI43" i="26"/>
  <c r="CJ43" i="26"/>
  <c r="CK43" i="26"/>
  <c r="CL43" i="26"/>
  <c r="CM43" i="26"/>
  <c r="CN43" i="26"/>
  <c r="CO43" i="26"/>
  <c r="CP43" i="26"/>
  <c r="CQ43" i="26"/>
  <c r="CR43" i="26"/>
  <c r="CS43" i="26"/>
  <c r="CT43" i="26"/>
  <c r="CU43" i="26"/>
  <c r="D53" i="26"/>
  <c r="H53" i="26"/>
  <c r="L53" i="26"/>
  <c r="P53" i="26"/>
  <c r="S53" i="26"/>
  <c r="T53" i="26"/>
  <c r="W53" i="26"/>
  <c r="AA53" i="26"/>
  <c r="AE53" i="26"/>
  <c r="AI53" i="26"/>
  <c r="AM53" i="26"/>
  <c r="AR53" i="26"/>
  <c r="AV53" i="26"/>
  <c r="AZ53" i="26"/>
  <c r="CW50" i="26"/>
  <c r="CV60" i="26"/>
  <c r="CW40" i="26"/>
  <c r="CW60" i="26"/>
  <c r="CU61" i="26"/>
  <c r="CW61" i="26" s="1"/>
  <c r="E77" i="26"/>
  <c r="I77" i="26"/>
  <c r="M77" i="26"/>
  <c r="Q77" i="26"/>
  <c r="U77" i="26"/>
  <c r="Y77" i="26"/>
  <c r="AC77" i="26"/>
  <c r="AG77" i="26"/>
  <c r="AW77" i="26"/>
  <c r="BA77" i="26"/>
  <c r="BE77" i="26"/>
  <c r="BI77" i="26"/>
  <c r="BM77" i="26"/>
  <c r="BQ77" i="26"/>
  <c r="BU77" i="26"/>
  <c r="BY77" i="26"/>
  <c r="CC77" i="26"/>
  <c r="CG77" i="26"/>
  <c r="CK77" i="26"/>
  <c r="CO77" i="26"/>
  <c r="CS77" i="26"/>
  <c r="D85" i="26"/>
  <c r="H85" i="26"/>
  <c r="L85" i="26"/>
  <c r="P85" i="26"/>
  <c r="T85" i="26"/>
  <c r="X85" i="26"/>
  <c r="AB85" i="26"/>
  <c r="AF85" i="26"/>
  <c r="AJ85" i="26"/>
  <c r="AN85" i="26"/>
  <c r="AR85" i="26"/>
  <c r="AV85" i="26"/>
  <c r="AZ85" i="26"/>
  <c r="D77" i="26"/>
  <c r="H77" i="26"/>
  <c r="L77" i="26"/>
  <c r="P77" i="26"/>
  <c r="T77" i="26"/>
  <c r="X77" i="26"/>
  <c r="AB77" i="26"/>
  <c r="AF77" i="26"/>
  <c r="CV82" i="26"/>
  <c r="C85" i="26"/>
  <c r="G85" i="26"/>
  <c r="K85" i="26"/>
  <c r="O85" i="26"/>
  <c r="CW82" i="26"/>
  <c r="C77" i="26"/>
  <c r="G77" i="26"/>
  <c r="K77" i="26"/>
  <c r="O77" i="26"/>
  <c r="S77" i="26"/>
  <c r="W77" i="26"/>
  <c r="AA77" i="26"/>
  <c r="AE77" i="26"/>
  <c r="B85" i="26"/>
  <c r="F85" i="26"/>
  <c r="J85" i="26"/>
  <c r="N85" i="26"/>
  <c r="CP85" i="26"/>
  <c r="CT85" i="26"/>
  <c r="CW83" i="26"/>
  <c r="CO85" i="26"/>
  <c r="CV5" i="25"/>
  <c r="CU16" i="25"/>
  <c r="CW16" i="25" s="1"/>
  <c r="CV5" i="26"/>
  <c r="CV14" i="26"/>
  <c r="C17" i="26"/>
  <c r="G17" i="26"/>
  <c r="K17" i="26"/>
  <c r="O17" i="26"/>
  <c r="S17" i="26"/>
  <c r="W17" i="26"/>
  <c r="AA17" i="26"/>
  <c r="AE17" i="26"/>
  <c r="AI17" i="26"/>
  <c r="AM17" i="26"/>
  <c r="AQ17" i="26"/>
  <c r="AU17" i="26"/>
  <c r="AY17" i="26"/>
  <c r="BC17" i="26"/>
  <c r="BG17" i="26"/>
  <c r="CV22" i="25"/>
  <c r="CU31" i="25"/>
  <c r="CW31" i="25" s="1"/>
  <c r="CT9" i="26"/>
  <c r="CW9" i="26" s="1"/>
  <c r="E17" i="26"/>
  <c r="I17" i="26"/>
  <c r="M17" i="26"/>
  <c r="Q17" i="26"/>
  <c r="U17" i="26"/>
  <c r="Y17" i="26"/>
  <c r="AC17" i="26"/>
  <c r="AG17" i="26"/>
  <c r="AK17" i="26"/>
  <c r="AO17" i="26"/>
  <c r="AS17" i="26"/>
  <c r="AW17" i="26"/>
  <c r="BA17" i="26"/>
  <c r="BE17" i="26"/>
  <c r="BI17" i="26"/>
  <c r="D17" i="26"/>
  <c r="H17" i="26"/>
  <c r="L17" i="26"/>
  <c r="P17" i="26"/>
  <c r="T17" i="26"/>
  <c r="X17" i="26"/>
  <c r="AB17" i="26"/>
  <c r="AF17" i="26"/>
  <c r="CW15" i="26"/>
  <c r="CW43" i="26"/>
  <c r="CV30" i="26"/>
  <c r="CW31" i="26"/>
  <c r="CV24" i="26"/>
  <c r="CW39" i="26"/>
  <c r="AP53" i="26"/>
  <c r="AT53" i="26"/>
  <c r="AX53" i="26"/>
  <c r="BB53" i="26"/>
  <c r="BF53" i="26"/>
  <c r="BJ53" i="26"/>
  <c r="BN53" i="26"/>
  <c r="CW24" i="26"/>
  <c r="CV39" i="26"/>
  <c r="CV48" i="26"/>
  <c r="AQ53" i="26"/>
  <c r="AU53" i="26"/>
  <c r="AY53" i="26"/>
  <c r="CT32" i="26"/>
  <c r="CW32" i="26" s="1"/>
  <c r="AN53" i="26"/>
  <c r="BD53" i="26"/>
  <c r="BH53" i="26"/>
  <c r="BL53" i="26"/>
  <c r="BP53" i="26"/>
  <c r="BT53" i="26"/>
  <c r="BX53" i="26"/>
  <c r="CB53" i="26"/>
  <c r="CT53" i="26"/>
  <c r="CV66" i="26"/>
  <c r="AI77" i="26"/>
  <c r="AM77" i="26"/>
  <c r="AQ77" i="26"/>
  <c r="AU77" i="26"/>
  <c r="AY77" i="26"/>
  <c r="BC77" i="26"/>
  <c r="BG77" i="26"/>
  <c r="BK77" i="26"/>
  <c r="BO77" i="26"/>
  <c r="BS77" i="26"/>
  <c r="BW77" i="26"/>
  <c r="CA77" i="26"/>
  <c r="CE77" i="26"/>
  <c r="CI77" i="26"/>
  <c r="CM77" i="26"/>
  <c r="CQ77" i="26"/>
  <c r="CU77" i="26"/>
  <c r="CW77" i="26" s="1"/>
  <c r="CW66" i="26"/>
  <c r="CU53" i="26"/>
  <c r="CW53" i="26" s="1"/>
  <c r="AK77" i="26"/>
  <c r="AO77" i="26"/>
  <c r="AS77" i="26"/>
  <c r="CV74" i="26"/>
  <c r="AJ77" i="26"/>
  <c r="AN77" i="26"/>
  <c r="AR77" i="26"/>
  <c r="AV77" i="26"/>
  <c r="AZ77" i="26"/>
  <c r="BD77" i="26"/>
  <c r="BH77" i="26"/>
  <c r="BL77" i="26"/>
  <c r="BP77" i="26"/>
  <c r="BT77" i="26"/>
  <c r="BX77" i="26"/>
  <c r="CB77" i="26"/>
  <c r="CF77" i="26"/>
  <c r="CJ77" i="26"/>
  <c r="CN77" i="26"/>
  <c r="CR77" i="26"/>
  <c r="CW74" i="26"/>
  <c r="R85" i="26"/>
  <c r="V85" i="26"/>
  <c r="Z85" i="26"/>
  <c r="AD85" i="26"/>
  <c r="AH85" i="26"/>
  <c r="AL85" i="26"/>
  <c r="AP85" i="26"/>
  <c r="AT85" i="26"/>
  <c r="AX85" i="26"/>
  <c r="BB85" i="26"/>
  <c r="BF85" i="26"/>
  <c r="BJ85" i="26"/>
  <c r="BN85" i="26"/>
  <c r="BR85" i="26"/>
  <c r="BV85" i="26"/>
  <c r="BZ85" i="26"/>
  <c r="CD85" i="26"/>
  <c r="CH85" i="26"/>
  <c r="CL85" i="26"/>
  <c r="BE85" i="26"/>
  <c r="BI85" i="26"/>
  <c r="BM85" i="26"/>
  <c r="BQ85" i="26"/>
  <c r="BU85" i="26"/>
  <c r="BY85" i="26"/>
  <c r="CC85" i="26"/>
  <c r="CG85" i="26"/>
  <c r="CK85" i="26"/>
  <c r="CS85" i="26"/>
  <c r="CW84" i="26"/>
  <c r="CR85" i="26"/>
  <c r="S85" i="26"/>
  <c r="W85" i="26"/>
  <c r="AA85" i="26"/>
  <c r="AE85" i="26"/>
  <c r="AI85" i="26"/>
  <c r="AM85" i="26"/>
  <c r="AQ85" i="26"/>
  <c r="AU85" i="26"/>
  <c r="AY85" i="26"/>
  <c r="BC85" i="26"/>
  <c r="BG85" i="26"/>
  <c r="BK85" i="26"/>
  <c r="BO85" i="26"/>
  <c r="BS85" i="26"/>
  <c r="BW85" i="26"/>
  <c r="CA85" i="26"/>
  <c r="CE85" i="26"/>
  <c r="CI85" i="26"/>
  <c r="CM85" i="26"/>
  <c r="CQ85" i="26"/>
  <c r="CU85" i="26"/>
  <c r="CW85" i="26" s="1"/>
  <c r="CV84" i="26"/>
  <c r="CV83" i="26"/>
  <c r="CV76" i="26"/>
  <c r="CV75" i="26"/>
  <c r="CV67" i="26"/>
  <c r="CV61" i="26"/>
  <c r="CV53" i="26"/>
  <c r="CV52" i="26"/>
  <c r="CV51" i="26"/>
  <c r="CV50" i="26"/>
  <c r="CV49" i="26"/>
  <c r="CV43" i="26"/>
  <c r="CV42" i="26"/>
  <c r="CV41" i="26"/>
  <c r="CV40" i="26"/>
  <c r="CV32" i="26"/>
  <c r="CV31" i="26"/>
  <c r="CV25" i="26"/>
  <c r="CV17" i="26"/>
  <c r="CV16" i="26"/>
  <c r="CV15" i="26"/>
  <c r="CV9" i="26"/>
  <c r="CV8" i="26"/>
  <c r="CV7" i="26"/>
  <c r="CV6" i="26"/>
  <c r="CV31" i="25"/>
  <c r="CV30" i="25"/>
  <c r="CV29" i="25"/>
  <c r="CV28" i="25"/>
  <c r="CV27" i="25"/>
  <c r="CV26" i="25"/>
  <c r="CV25" i="25"/>
  <c r="CV24" i="25"/>
  <c r="CV23" i="25"/>
  <c r="CV16" i="25"/>
  <c r="CV15" i="25"/>
  <c r="CV14" i="25"/>
  <c r="CV13" i="25"/>
  <c r="CV12" i="25"/>
  <c r="CV11" i="25"/>
  <c r="CV10" i="25"/>
  <c r="CV9" i="25"/>
  <c r="CV8" i="25"/>
  <c r="CV7" i="25"/>
  <c r="CV6" i="25"/>
  <c r="CV85" i="26" l="1"/>
  <c r="CV77" i="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DII10172</author>
  </authors>
  <commentList>
    <comment ref="Q1" authorId="0" shapeId="0" xr:uid="{00000000-0006-0000-0100-000001000000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実施者、精査者双方で、状況が更新される度に入力して下さい。
例）
①実施中：実施者が入力
②精査中：実施者が実施完了時、入力
③再実施中：精査者が指摘した時に、入力
④再精査中；実施者が再実施完了時、入力
⑤完了：精査者が指摘無し 又は指摘内容が修正した事を確認して入力
</t>
        </r>
      </text>
    </comment>
    <comment ref="O2" authorId="0" shapeId="0" xr:uid="{00000000-0006-0000-0100-000002000000}">
      <text>
        <r>
          <rPr>
            <b/>
            <sz val="9"/>
            <color indexed="81"/>
            <rFont val="ＭＳ Ｐゴシック"/>
            <family val="3"/>
            <charset val="128"/>
          </rPr>
          <t>指摘が繰り返し行われる場合は、その都度、日付と状況を更新して下さい。</t>
        </r>
      </text>
    </comment>
    <comment ref="M3" authorId="0" shapeId="0" xr:uid="{00000000-0006-0000-0100-000003000000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指摘有無に関わらず、初回の精査実績日を入力して下さい。
</t>
        </r>
      </text>
    </comment>
  </commentList>
</comments>
</file>

<file path=xl/sharedStrings.xml><?xml version="1.0" encoding="utf-8"?>
<sst xmlns="http://schemas.openxmlformats.org/spreadsheetml/2006/main" count="1400" uniqueCount="114">
  <si>
    <t>精査者</t>
    <rPh sb="0" eb="2">
      <t>セイサ</t>
    </rPh>
    <rPh sb="2" eb="3">
      <t>シャ</t>
    </rPh>
    <phoneticPr fontId="2"/>
  </si>
  <si>
    <t>着手</t>
    <rPh sb="0" eb="2">
      <t>チャクシュ</t>
    </rPh>
    <phoneticPr fontId="2"/>
  </si>
  <si>
    <t>予定</t>
    <rPh sb="0" eb="2">
      <t>ヨテイ</t>
    </rPh>
    <phoneticPr fontId="2"/>
  </si>
  <si>
    <t>実績</t>
    <rPh sb="0" eb="2">
      <t>ジッセキ</t>
    </rPh>
    <phoneticPr fontId="2"/>
  </si>
  <si>
    <t>完了</t>
    <rPh sb="0" eb="2">
      <t>カンリョウ</t>
    </rPh>
    <phoneticPr fontId="2"/>
  </si>
  <si>
    <t>実施者</t>
    <rPh sb="0" eb="2">
      <t>ジッシ</t>
    </rPh>
    <rPh sb="2" eb="3">
      <t>シャ</t>
    </rPh>
    <phoneticPr fontId="2"/>
  </si>
  <si>
    <t>指摘対応</t>
    <rPh sb="0" eb="2">
      <t>シテキ</t>
    </rPh>
    <rPh sb="2" eb="4">
      <t>タイオウ</t>
    </rPh>
    <phoneticPr fontId="2"/>
  </si>
  <si>
    <t>指摘有無</t>
    <rPh sb="0" eb="2">
      <t>シテキ</t>
    </rPh>
    <rPh sb="2" eb="4">
      <t>ウム</t>
    </rPh>
    <phoneticPr fontId="2"/>
  </si>
  <si>
    <t>状況</t>
    <rPh sb="0" eb="2">
      <t>ジョウキョウ</t>
    </rPh>
    <phoneticPr fontId="2"/>
  </si>
  <si>
    <t>(実施者)
指摘修正日</t>
    <rPh sb="1" eb="3">
      <t>ジッシ</t>
    </rPh>
    <rPh sb="3" eb="4">
      <t>シャ</t>
    </rPh>
    <rPh sb="6" eb="8">
      <t>シテキ</t>
    </rPh>
    <rPh sb="8" eb="10">
      <t>シュウセイ</t>
    </rPh>
    <rPh sb="10" eb="11">
      <t>ヒ</t>
    </rPh>
    <phoneticPr fontId="2"/>
  </si>
  <si>
    <t>(精査者)
指摘確認日</t>
    <rPh sb="1" eb="3">
      <t>セイサ</t>
    </rPh>
    <rPh sb="3" eb="4">
      <t>シャ</t>
    </rPh>
    <rPh sb="6" eb="8">
      <t>シテキ</t>
    </rPh>
    <rPh sb="8" eb="10">
      <t>カクニン</t>
    </rPh>
    <rPh sb="10" eb="11">
      <t>ビ</t>
    </rPh>
    <phoneticPr fontId="2"/>
  </si>
  <si>
    <t>ID</t>
    <phoneticPr fontId="39"/>
  </si>
  <si>
    <t>ケース数</t>
    <rPh sb="3" eb="4">
      <t>スウ</t>
    </rPh>
    <phoneticPr fontId="39"/>
  </si>
  <si>
    <t>１．「初期化」ボタン押下</t>
    <rPh sb="3" eb="6">
      <t>ショキカ</t>
    </rPh>
    <rPh sb="10" eb="12">
      <t>オウカ</t>
    </rPh>
    <phoneticPr fontId="2"/>
  </si>
  <si>
    <t>２．「行数指定フォーム」にて、作成する行数を入力</t>
    <rPh sb="3" eb="5">
      <t>ギョウスウ</t>
    </rPh>
    <rPh sb="5" eb="7">
      <t>シテイ</t>
    </rPh>
    <rPh sb="15" eb="17">
      <t>サクセイ</t>
    </rPh>
    <rPh sb="19" eb="21">
      <t>ギョウスウ</t>
    </rPh>
    <rPh sb="20" eb="21">
      <t>ニュウコウ</t>
    </rPh>
    <rPh sb="22" eb="24">
      <t>ニュウリョク</t>
    </rPh>
    <phoneticPr fontId="2"/>
  </si>
  <si>
    <t>３．以下項目を入力</t>
    <rPh sb="2" eb="4">
      <t>イカ</t>
    </rPh>
    <rPh sb="4" eb="6">
      <t>コウモク</t>
    </rPh>
    <rPh sb="7" eb="9">
      <t>ニュウリョク</t>
    </rPh>
    <phoneticPr fontId="2"/>
  </si>
  <si>
    <t>・(B列)ID</t>
    <rPh sb="3" eb="4">
      <t>レツ</t>
    </rPh>
    <phoneticPr fontId="2"/>
  </si>
  <si>
    <t>・(E列)ケース数</t>
    <rPh sb="3" eb="4">
      <t>レツ</t>
    </rPh>
    <rPh sb="8" eb="9">
      <t>スウ</t>
    </rPh>
    <phoneticPr fontId="2"/>
  </si>
  <si>
    <t>４．「進捗管理」ボタン押下</t>
    <rPh sb="3" eb="5">
      <t>シンチョク</t>
    </rPh>
    <rPh sb="5" eb="7">
      <t>カンリ</t>
    </rPh>
    <rPh sb="11" eb="13">
      <t>オウカ</t>
    </rPh>
    <phoneticPr fontId="2"/>
  </si>
  <si>
    <t>１．「行Copy」ボタン押下</t>
    <rPh sb="3" eb="4">
      <t>ギョウ</t>
    </rPh>
    <rPh sb="12" eb="14">
      <t>オウカ</t>
    </rPh>
    <phoneticPr fontId="2"/>
  </si>
  <si>
    <t>２．「行数指定フォーム」にて、追加する行数を入力</t>
    <rPh sb="3" eb="5">
      <t>ギョウスウ</t>
    </rPh>
    <rPh sb="5" eb="7">
      <t>シテイ</t>
    </rPh>
    <rPh sb="15" eb="17">
      <t>ツイカ</t>
    </rPh>
    <rPh sb="19" eb="21">
      <t>ギョウスウ</t>
    </rPh>
    <rPh sb="20" eb="21">
      <t>ニュウコウ</t>
    </rPh>
    <rPh sb="22" eb="24">
      <t>ニュウリョク</t>
    </rPh>
    <phoneticPr fontId="2"/>
  </si>
  <si>
    <t>⇒　進捗管理したい行について、★の項目は必ず入力してください</t>
    <rPh sb="2" eb="4">
      <t>シンチョク</t>
    </rPh>
    <rPh sb="4" eb="6">
      <t>カンリ</t>
    </rPh>
    <rPh sb="9" eb="10">
      <t>ギョウ</t>
    </rPh>
    <rPh sb="17" eb="19">
      <t>コウモク</t>
    </rPh>
    <rPh sb="20" eb="21">
      <t>カナラ</t>
    </rPh>
    <rPh sb="22" eb="24">
      <t>ニュウリョク</t>
    </rPh>
    <phoneticPr fontId="2"/>
  </si>
  <si>
    <t>　　　（月曜日を週初として１週間単位でタイトルの背景色を塗り分けます）</t>
    <rPh sb="4" eb="7">
      <t>ゲツヨウビ</t>
    </rPh>
    <rPh sb="8" eb="9">
      <t>シュウ</t>
    </rPh>
    <rPh sb="9" eb="10">
      <t>ショ</t>
    </rPh>
    <rPh sb="14" eb="18">
      <t>シュウカンタンイ</t>
    </rPh>
    <rPh sb="24" eb="27">
      <t>ハイケイショク</t>
    </rPh>
    <rPh sb="28" eb="29">
      <t>ヌ</t>
    </rPh>
    <rPh sb="30" eb="31">
      <t>ワ</t>
    </rPh>
    <phoneticPr fontId="2"/>
  </si>
  <si>
    <t>３．追加された行に進捗管理したい内容を入力（上記★の項目を入力）</t>
    <rPh sb="2" eb="4">
      <t>ツイカ</t>
    </rPh>
    <rPh sb="7" eb="8">
      <t>ギョウ</t>
    </rPh>
    <rPh sb="9" eb="11">
      <t>シンチョク</t>
    </rPh>
    <rPh sb="11" eb="13">
      <t>カンリ</t>
    </rPh>
    <rPh sb="16" eb="18">
      <t>ナイヨウ</t>
    </rPh>
    <rPh sb="19" eb="21">
      <t>ニュウリョク</t>
    </rPh>
    <rPh sb="22" eb="24">
      <t>ジョウキ</t>
    </rPh>
    <rPh sb="26" eb="28">
      <t>コウモク</t>
    </rPh>
    <rPh sb="29" eb="31">
      <t>ニュウリョク</t>
    </rPh>
    <phoneticPr fontId="2"/>
  </si>
  <si>
    <t>１．削除したい行の(A列)チェックボックスにチェックを入れる</t>
    <rPh sb="2" eb="4">
      <t>サクジョ</t>
    </rPh>
    <rPh sb="7" eb="8">
      <t>ギョウ</t>
    </rPh>
    <rPh sb="11" eb="12">
      <t>レツ</t>
    </rPh>
    <rPh sb="27" eb="28">
      <t>イ</t>
    </rPh>
    <phoneticPr fontId="2"/>
  </si>
  <si>
    <t>２．「行削除」ボタンを押下</t>
    <rPh sb="3" eb="4">
      <t>ギョウ</t>
    </rPh>
    <rPh sb="4" eb="6">
      <t>サクジョ</t>
    </rPh>
    <rPh sb="11" eb="13">
      <t>オウカ</t>
    </rPh>
    <phoneticPr fontId="2"/>
  </si>
  <si>
    <t>…テストケース数</t>
    <rPh sb="7" eb="8">
      <t>スウ</t>
    </rPh>
    <phoneticPr fontId="2"/>
  </si>
  <si>
    <t>⇒　2回目以降「進捗管理」ボタンを押下する時、既に日次明細列が作成されている状態です</t>
    <rPh sb="3" eb="5">
      <t>カイメ</t>
    </rPh>
    <rPh sb="5" eb="7">
      <t>イコウ</t>
    </rPh>
    <rPh sb="17" eb="19">
      <t>オウカ</t>
    </rPh>
    <rPh sb="21" eb="22">
      <t>トキ</t>
    </rPh>
    <rPh sb="23" eb="24">
      <t>スデ</t>
    </rPh>
    <rPh sb="25" eb="27">
      <t>ニチジ</t>
    </rPh>
    <rPh sb="27" eb="29">
      <t>メイサイ</t>
    </rPh>
    <rPh sb="29" eb="30">
      <t>レツ</t>
    </rPh>
    <rPh sb="31" eb="33">
      <t>サクセイ</t>
    </rPh>
    <rPh sb="38" eb="40">
      <t>ジョウタイ</t>
    </rPh>
    <phoneticPr fontId="2"/>
  </si>
  <si>
    <t>　　 日次明細列の値を消して日次明細列を作成したい時は、</t>
    <rPh sb="3" eb="5">
      <t>ニチジ</t>
    </rPh>
    <rPh sb="5" eb="7">
      <t>メイサイ</t>
    </rPh>
    <rPh sb="7" eb="8">
      <t>レツ</t>
    </rPh>
    <rPh sb="9" eb="10">
      <t>アタイ</t>
    </rPh>
    <rPh sb="11" eb="12">
      <t>ケ</t>
    </rPh>
    <rPh sb="14" eb="16">
      <t>ニチジ</t>
    </rPh>
    <rPh sb="16" eb="18">
      <t>メイサイ</t>
    </rPh>
    <rPh sb="18" eb="19">
      <t>レツ</t>
    </rPh>
    <rPh sb="20" eb="22">
      <t>サクセイ</t>
    </rPh>
    <rPh sb="25" eb="26">
      <t>トキ</t>
    </rPh>
    <phoneticPr fontId="2"/>
  </si>
  <si>
    <t>【初回時】</t>
    <rPh sb="1" eb="3">
      <t>ショカイ</t>
    </rPh>
    <rPh sb="3" eb="4">
      <t>ジ</t>
    </rPh>
    <phoneticPr fontId="2"/>
  </si>
  <si>
    <t>【行を追加したいとき】</t>
    <rPh sb="1" eb="2">
      <t>ギョウ</t>
    </rPh>
    <rPh sb="3" eb="5">
      <t>ツイカ</t>
    </rPh>
    <phoneticPr fontId="2"/>
  </si>
  <si>
    <t>【行を削除したいとき】</t>
    <rPh sb="1" eb="2">
      <t>ギョウ</t>
    </rPh>
    <rPh sb="3" eb="5">
      <t>サクジョ</t>
    </rPh>
    <phoneticPr fontId="2"/>
  </si>
  <si>
    <t>&lt;使用方法&gt;</t>
    <rPh sb="1" eb="3">
      <t>シヨウ</t>
    </rPh>
    <rPh sb="3" eb="5">
      <t>ホウホウ</t>
    </rPh>
    <phoneticPr fontId="2"/>
  </si>
  <si>
    <t>⇒　予定日のうち、最小の日付から最大の日付について１日単位で日次明細列を作成します</t>
    <rPh sb="2" eb="5">
      <t>ヨテイビ</t>
    </rPh>
    <rPh sb="9" eb="11">
      <t>サイショウ</t>
    </rPh>
    <rPh sb="12" eb="14">
      <t>ヒヅケ</t>
    </rPh>
    <rPh sb="16" eb="18">
      <t>サイダイ</t>
    </rPh>
    <rPh sb="19" eb="21">
      <t>ヒヅケ</t>
    </rPh>
    <rPh sb="26" eb="27">
      <t>ニチ</t>
    </rPh>
    <rPh sb="27" eb="29">
      <t>タンイ</t>
    </rPh>
    <rPh sb="30" eb="32">
      <t>ニチジ</t>
    </rPh>
    <rPh sb="32" eb="34">
      <t>メイサイ</t>
    </rPh>
    <rPh sb="34" eb="35">
      <t>レツ</t>
    </rPh>
    <rPh sb="36" eb="38">
      <t>サクセイ</t>
    </rPh>
    <phoneticPr fontId="2"/>
  </si>
  <si>
    <t>&lt;当ツールについて&gt;</t>
    <rPh sb="1" eb="2">
      <t>トウ</t>
    </rPh>
    <phoneticPr fontId="2"/>
  </si>
  <si>
    <t>　　　　　　シナリオ名</t>
    <rPh sb="10" eb="11">
      <t>メイ</t>
    </rPh>
    <phoneticPr fontId="2"/>
  </si>
  <si>
    <t>テスト実施</t>
    <rPh sb="3" eb="5">
      <t>ジッシ</t>
    </rPh>
    <phoneticPr fontId="2"/>
  </si>
  <si>
    <t>テスト精査</t>
    <rPh sb="3" eb="5">
      <t>セイサ</t>
    </rPh>
    <phoneticPr fontId="2"/>
  </si>
  <si>
    <t>・テスト実施ケース数、精査ケース数の進捗管理を行います</t>
    <rPh sb="4" eb="6">
      <t>ジッシ</t>
    </rPh>
    <rPh sb="9" eb="10">
      <t>スウ</t>
    </rPh>
    <rPh sb="11" eb="13">
      <t>セイサ</t>
    </rPh>
    <rPh sb="16" eb="17">
      <t>スウ</t>
    </rPh>
    <rPh sb="18" eb="20">
      <t>シンチョク</t>
    </rPh>
    <rPh sb="20" eb="22">
      <t>カンリ</t>
    </rPh>
    <rPh sb="23" eb="24">
      <t>オコナ</t>
    </rPh>
    <phoneticPr fontId="2"/>
  </si>
  <si>
    <t>・(C列)シナリオ名</t>
    <rPh sb="3" eb="4">
      <t>レツ</t>
    </rPh>
    <rPh sb="9" eb="10">
      <t>メイ</t>
    </rPh>
    <phoneticPr fontId="2"/>
  </si>
  <si>
    <t>・(F列)テスト実施 - 実施者</t>
    <rPh sb="3" eb="4">
      <t>レツ</t>
    </rPh>
    <rPh sb="8" eb="10">
      <t>ジッシ</t>
    </rPh>
    <rPh sb="13" eb="15">
      <t>ジッシ</t>
    </rPh>
    <rPh sb="15" eb="16">
      <t>シャ</t>
    </rPh>
    <phoneticPr fontId="2"/>
  </si>
  <si>
    <t>・(G列)テスト実施 - 着手 - 予定</t>
    <rPh sb="3" eb="4">
      <t>レツ</t>
    </rPh>
    <rPh sb="8" eb="10">
      <t>ジッシ</t>
    </rPh>
    <rPh sb="13" eb="15">
      <t>チャクシュ</t>
    </rPh>
    <rPh sb="18" eb="20">
      <t>ヨテイ</t>
    </rPh>
    <phoneticPr fontId="2"/>
  </si>
  <si>
    <t>…テスト実施の着手予定日</t>
    <rPh sb="4" eb="6">
      <t>ジッシ</t>
    </rPh>
    <rPh sb="7" eb="9">
      <t>チャクシュ</t>
    </rPh>
    <rPh sb="9" eb="12">
      <t>ヨテイビ</t>
    </rPh>
    <phoneticPr fontId="2"/>
  </si>
  <si>
    <t>・(K列)テスト精査 - 実施者</t>
    <rPh sb="3" eb="4">
      <t>レツ</t>
    </rPh>
    <rPh sb="8" eb="10">
      <t>セイサ</t>
    </rPh>
    <rPh sb="13" eb="15">
      <t>ジッシ</t>
    </rPh>
    <rPh sb="15" eb="16">
      <t>シャ</t>
    </rPh>
    <phoneticPr fontId="2"/>
  </si>
  <si>
    <t>・(L列)テスト精査 - 完了 - 予定</t>
    <rPh sb="3" eb="4">
      <t>レツ</t>
    </rPh>
    <rPh sb="8" eb="10">
      <t>セイサ</t>
    </rPh>
    <rPh sb="13" eb="15">
      <t>カンリョウ</t>
    </rPh>
    <rPh sb="18" eb="20">
      <t>ヨテイ</t>
    </rPh>
    <phoneticPr fontId="2"/>
  </si>
  <si>
    <t>…テスト精査の完了予定日</t>
    <rPh sb="4" eb="6">
      <t>セイサ</t>
    </rPh>
    <rPh sb="7" eb="9">
      <t>カンリョウ</t>
    </rPh>
    <rPh sb="9" eb="12">
      <t>ヨテイビ</t>
    </rPh>
    <phoneticPr fontId="2"/>
  </si>
  <si>
    <t>　　　（(C列)シナリオ名に、サブタイトル入力して下さい）</t>
    <rPh sb="21" eb="23">
      <t>ニュウリョク</t>
    </rPh>
    <rPh sb="25" eb="26">
      <t>クダ</t>
    </rPh>
    <phoneticPr fontId="2"/>
  </si>
  <si>
    <t>…テスト実施の完了予定日</t>
    <rPh sb="4" eb="6">
      <t>ジッシ</t>
    </rPh>
    <rPh sb="7" eb="9">
      <t>カンリョウ</t>
    </rPh>
    <rPh sb="9" eb="12">
      <t>ヨテイビ</t>
    </rPh>
    <phoneticPr fontId="2"/>
  </si>
  <si>
    <t>・(I列)テスト実施 - 完了 - 予定</t>
    <rPh sb="3" eb="4">
      <t>レツ</t>
    </rPh>
    <rPh sb="8" eb="10">
      <t>ジッシ</t>
    </rPh>
    <rPh sb="13" eb="15">
      <t>カンリョウ</t>
    </rPh>
    <rPh sb="18" eb="20">
      <t>ヨテイ</t>
    </rPh>
    <phoneticPr fontId="2"/>
  </si>
  <si>
    <t>…管理対象のテストシナリオNo</t>
    <rPh sb="1" eb="3">
      <t>カンリ</t>
    </rPh>
    <rPh sb="3" eb="5">
      <t>タイショウ</t>
    </rPh>
    <phoneticPr fontId="2"/>
  </si>
  <si>
    <t>・日次管理シートにて、テスト実施完了予定/完了実績、テスト精査完了予定/完了実績を日次で入力して下さい、最終列にて累積数を表示します</t>
    <rPh sb="1" eb="3">
      <t>ニチジ</t>
    </rPh>
    <rPh sb="3" eb="5">
      <t>カンリ</t>
    </rPh>
    <rPh sb="14" eb="16">
      <t>ジッシ</t>
    </rPh>
    <rPh sb="16" eb="18">
      <t>カンリョウ</t>
    </rPh>
    <rPh sb="18" eb="20">
      <t>ヨテイ</t>
    </rPh>
    <rPh sb="21" eb="23">
      <t>カンリョウ</t>
    </rPh>
    <rPh sb="23" eb="25">
      <t>ジッセキ</t>
    </rPh>
    <rPh sb="29" eb="31">
      <t>セイサ</t>
    </rPh>
    <rPh sb="31" eb="33">
      <t>カンリョウ</t>
    </rPh>
    <rPh sb="33" eb="35">
      <t>ヨテイ</t>
    </rPh>
    <rPh sb="36" eb="38">
      <t>カンリョウ</t>
    </rPh>
    <rPh sb="38" eb="40">
      <t>ジッセキ</t>
    </rPh>
    <rPh sb="41" eb="43">
      <t>ニチジ</t>
    </rPh>
    <rPh sb="44" eb="46">
      <t>ニュウリョク</t>
    </rPh>
    <rPh sb="48" eb="49">
      <t>クダ</t>
    </rPh>
    <rPh sb="52" eb="54">
      <t>サイシュウ</t>
    </rPh>
    <rPh sb="54" eb="55">
      <t>レツ</t>
    </rPh>
    <rPh sb="57" eb="59">
      <t>ルイセキ</t>
    </rPh>
    <rPh sb="59" eb="60">
      <t>スウ</t>
    </rPh>
    <rPh sb="61" eb="63">
      <t>ヒョウジ</t>
    </rPh>
    <phoneticPr fontId="2"/>
  </si>
  <si>
    <t>　　　★(B列)ID項目に入力ない場合は、サブタイトルを意味する明細行となり、背景色を設定します</t>
    <rPh sb="10" eb="12">
      <t>コウモク</t>
    </rPh>
    <rPh sb="13" eb="15">
      <t>ニュウリョク</t>
    </rPh>
    <rPh sb="17" eb="19">
      <t>バアイ</t>
    </rPh>
    <rPh sb="28" eb="30">
      <t>イミ</t>
    </rPh>
    <rPh sb="32" eb="34">
      <t>メイサイ</t>
    </rPh>
    <rPh sb="34" eb="35">
      <t>ギョウ</t>
    </rPh>
    <rPh sb="39" eb="42">
      <t>ハイケイショク</t>
    </rPh>
    <rPh sb="43" eb="45">
      <t>セッテイ</t>
    </rPh>
    <phoneticPr fontId="2"/>
  </si>
  <si>
    <t>　　 「進捗管理」ボタン押下時、存在している日次明細列の値を保管、新規の日次明細列に反映します</t>
    <rPh sb="12" eb="14">
      <t>オウカ</t>
    </rPh>
    <rPh sb="14" eb="15">
      <t>ジ</t>
    </rPh>
    <rPh sb="16" eb="18">
      <t>ソンザイ</t>
    </rPh>
    <rPh sb="22" eb="24">
      <t>ニチジ</t>
    </rPh>
    <rPh sb="24" eb="26">
      <t>メイサイ</t>
    </rPh>
    <rPh sb="26" eb="27">
      <t>レツ</t>
    </rPh>
    <rPh sb="28" eb="29">
      <t>アタイ</t>
    </rPh>
    <rPh sb="30" eb="32">
      <t>ホカン</t>
    </rPh>
    <rPh sb="33" eb="35">
      <t>シンキ</t>
    </rPh>
    <rPh sb="36" eb="38">
      <t>ニチジ</t>
    </rPh>
    <rPh sb="38" eb="40">
      <t>メイサイ</t>
    </rPh>
    <rPh sb="40" eb="41">
      <t>レツ</t>
    </rPh>
    <rPh sb="42" eb="44">
      <t>ハンエイ</t>
    </rPh>
    <phoneticPr fontId="2"/>
  </si>
  <si>
    <t>・予実管理シートにて、担当者毎にテスト実施数、精査数を週単位で集計し、進捗率・完了率を表示します</t>
    <rPh sb="1" eb="3">
      <t>ヨジツ</t>
    </rPh>
    <rPh sb="3" eb="5">
      <t>カンリ</t>
    </rPh>
    <rPh sb="11" eb="14">
      <t>タントウシャ</t>
    </rPh>
    <rPh sb="14" eb="15">
      <t>ゴト</t>
    </rPh>
    <rPh sb="19" eb="21">
      <t>ジッシ</t>
    </rPh>
    <rPh sb="21" eb="22">
      <t>スウ</t>
    </rPh>
    <rPh sb="23" eb="25">
      <t>セイサ</t>
    </rPh>
    <rPh sb="25" eb="26">
      <t>スウ</t>
    </rPh>
    <rPh sb="27" eb="28">
      <t>シュウ</t>
    </rPh>
    <rPh sb="28" eb="30">
      <t>タンイ</t>
    </rPh>
    <rPh sb="31" eb="33">
      <t>シュウケイ</t>
    </rPh>
    <rPh sb="35" eb="37">
      <t>シンチョク</t>
    </rPh>
    <rPh sb="37" eb="38">
      <t>リツ</t>
    </rPh>
    <rPh sb="39" eb="41">
      <t>カンリョウ</t>
    </rPh>
    <rPh sb="41" eb="42">
      <t>リツ</t>
    </rPh>
    <rPh sb="43" eb="45">
      <t>ヒョウジ</t>
    </rPh>
    <phoneticPr fontId="2"/>
  </si>
  <si>
    <t>⇒　テスト実施 - 実施者、及び、テスト精査 - 精査者に記載された担当者毎に、テスト実施・テスト精査に関する以下の情報を表示します</t>
    <rPh sb="5" eb="7">
      <t>ジッシ</t>
    </rPh>
    <rPh sb="10" eb="12">
      <t>ジッシ</t>
    </rPh>
    <rPh sb="12" eb="13">
      <t>シャ</t>
    </rPh>
    <rPh sb="14" eb="15">
      <t>オヨ</t>
    </rPh>
    <rPh sb="20" eb="22">
      <t>セイサ</t>
    </rPh>
    <rPh sb="25" eb="27">
      <t>セイサ</t>
    </rPh>
    <rPh sb="27" eb="28">
      <t>シャ</t>
    </rPh>
    <rPh sb="29" eb="31">
      <t>キサイ</t>
    </rPh>
    <rPh sb="34" eb="37">
      <t>タントウシャ</t>
    </rPh>
    <rPh sb="37" eb="38">
      <t>ゴト</t>
    </rPh>
    <rPh sb="43" eb="45">
      <t>ジッシ</t>
    </rPh>
    <rPh sb="49" eb="51">
      <t>セイサ</t>
    </rPh>
    <rPh sb="52" eb="53">
      <t>カン</t>
    </rPh>
    <rPh sb="55" eb="57">
      <t>イカ</t>
    </rPh>
    <rPh sb="58" eb="60">
      <t>ジョウホウ</t>
    </rPh>
    <rPh sb="61" eb="63">
      <t>ヒョウジ</t>
    </rPh>
    <phoneticPr fontId="2"/>
  </si>
  <si>
    <t>　　　・最終列に、当ツールを起動している本日時点の週末金曜日を基準とした進捗率、及び全体の完了率を表示</t>
    <rPh sb="4" eb="6">
      <t>サイシュウ</t>
    </rPh>
    <rPh sb="6" eb="7">
      <t>レツ</t>
    </rPh>
    <rPh sb="9" eb="10">
      <t>トウ</t>
    </rPh>
    <rPh sb="14" eb="16">
      <t>キドウ</t>
    </rPh>
    <rPh sb="20" eb="22">
      <t>ホンジツ</t>
    </rPh>
    <rPh sb="22" eb="24">
      <t>ジテン</t>
    </rPh>
    <rPh sb="25" eb="27">
      <t>シュウマツ</t>
    </rPh>
    <rPh sb="27" eb="30">
      <t>キンヨウビ</t>
    </rPh>
    <rPh sb="31" eb="33">
      <t>キジュン</t>
    </rPh>
    <rPh sb="36" eb="38">
      <t>シンチョク</t>
    </rPh>
    <rPh sb="38" eb="39">
      <t>リツ</t>
    </rPh>
    <rPh sb="40" eb="41">
      <t>オヨ</t>
    </rPh>
    <rPh sb="42" eb="44">
      <t>ゼンタイ</t>
    </rPh>
    <rPh sb="45" eb="47">
      <t>カンリョウ</t>
    </rPh>
    <rPh sb="47" eb="48">
      <t>リツ</t>
    </rPh>
    <rPh sb="49" eb="51">
      <t>ヒョウジ</t>
    </rPh>
    <phoneticPr fontId="2"/>
  </si>
  <si>
    <t>予実管理</t>
  </si>
  <si>
    <t>　　(H列)テスト実施 - 着手 - 実績、(J列)テスト実施 - 完了 - 実績、(M列)テスト精査 - 完了 - 実績の日付を自動入力します</t>
    <rPh sb="4" eb="5">
      <t>レツ</t>
    </rPh>
    <rPh sb="9" eb="11">
      <t>ジッシ</t>
    </rPh>
    <rPh sb="14" eb="16">
      <t>チャクシュ</t>
    </rPh>
    <rPh sb="19" eb="21">
      <t>ジッセキ</t>
    </rPh>
    <rPh sb="34" eb="36">
      <t>カンリョウ</t>
    </rPh>
    <rPh sb="49" eb="51">
      <t>セイサ</t>
    </rPh>
    <rPh sb="54" eb="56">
      <t>カンリョウ</t>
    </rPh>
    <rPh sb="62" eb="64">
      <t>ヒヅケ</t>
    </rPh>
    <rPh sb="65" eb="67">
      <t>ジドウ</t>
    </rPh>
    <rPh sb="67" eb="69">
      <t>ニュウリョク</t>
    </rPh>
    <phoneticPr fontId="2"/>
  </si>
  <si>
    <t>⇒　テスト実施・テスト精査それぞれにおいて、各行の累積予定数と累積実績数が一致した時、</t>
    <rPh sb="5" eb="7">
      <t>ジッシ</t>
    </rPh>
    <rPh sb="11" eb="13">
      <t>セイサ</t>
    </rPh>
    <rPh sb="22" eb="23">
      <t>カク</t>
    </rPh>
    <rPh sb="23" eb="24">
      <t>ギョウ</t>
    </rPh>
    <rPh sb="25" eb="27">
      <t>ルイセキ</t>
    </rPh>
    <rPh sb="27" eb="29">
      <t>ヨテイ</t>
    </rPh>
    <rPh sb="29" eb="30">
      <t>スウ</t>
    </rPh>
    <rPh sb="31" eb="33">
      <t>ルイセキ</t>
    </rPh>
    <rPh sb="33" eb="35">
      <t>ジッセキ</t>
    </rPh>
    <rPh sb="35" eb="36">
      <t>スウ</t>
    </rPh>
    <rPh sb="37" eb="39">
      <t>イッチ</t>
    </rPh>
    <rPh sb="41" eb="42">
      <t>トキ</t>
    </rPh>
    <phoneticPr fontId="2"/>
  </si>
  <si>
    <t>・Excel2010にて動作確認済み</t>
    <rPh sb="16" eb="17">
      <t>ズ</t>
    </rPh>
    <phoneticPr fontId="2"/>
  </si>
  <si>
    <t>予定</t>
  </si>
  <si>
    <t>実績</t>
  </si>
  <si>
    <t>テスト実施</t>
  </si>
  <si>
    <t>(累積管理)</t>
  </si>
  <si>
    <t>担当</t>
  </si>
  <si>
    <t>合計</t>
  </si>
  <si>
    <t>実績日による管理_x000D_
(指摘有無に関わらず_x000D_
初回の実績入力日で管理)</t>
  </si>
  <si>
    <t>進捗率</t>
  </si>
  <si>
    <t>完了率</t>
  </si>
  <si>
    <t>テスト精査</t>
  </si>
  <si>
    <t>安部</t>
  </si>
  <si>
    <t>ルイ</t>
  </si>
  <si>
    <t>岡田</t>
  </si>
  <si>
    <t>諏訪</t>
  </si>
  <si>
    <t>森山</t>
  </si>
  <si>
    <t>石川</t>
  </si>
  <si>
    <t>JMAS西村</t>
  </si>
  <si>
    <t>JMAS植田</t>
  </si>
  <si>
    <t>清水</t>
  </si>
  <si>
    <t>趙</t>
  </si>
  <si>
    <t>山本</t>
  </si>
  <si>
    <t>仲川</t>
  </si>
  <si>
    <t>GDC（黄）</t>
  </si>
  <si>
    <t>GDC（梁）</t>
  </si>
  <si>
    <t>GDC（鄭）</t>
  </si>
  <si>
    <t>GDC（陳）</t>
  </si>
  <si>
    <t>(19/03/26 修正)</t>
    <rPh sb="10" eb="12">
      <t>シュウセイ</t>
    </rPh>
    <phoneticPr fontId="2"/>
  </si>
  <si>
    <t>・予実管理シートにて、担当者毎にテスト実施数、精査数を1日単位で集計し、進捗率・完了率を表示します</t>
    <rPh sb="1" eb="3">
      <t>ヨジツ</t>
    </rPh>
    <rPh sb="3" eb="5">
      <t>カンリ</t>
    </rPh>
    <rPh sb="11" eb="14">
      <t>タントウシャ</t>
    </rPh>
    <rPh sb="14" eb="15">
      <t>ゴト</t>
    </rPh>
    <rPh sb="19" eb="21">
      <t>ジッシ</t>
    </rPh>
    <rPh sb="21" eb="22">
      <t>スウ</t>
    </rPh>
    <rPh sb="23" eb="25">
      <t>セイサ</t>
    </rPh>
    <rPh sb="25" eb="26">
      <t>スウ</t>
    </rPh>
    <rPh sb="28" eb="29">
      <t>ニチ</t>
    </rPh>
    <rPh sb="29" eb="31">
      <t>タンイ</t>
    </rPh>
    <rPh sb="32" eb="34">
      <t>シュウケイ</t>
    </rPh>
    <rPh sb="36" eb="38">
      <t>シンチョク</t>
    </rPh>
    <rPh sb="38" eb="39">
      <t>リツ</t>
    </rPh>
    <rPh sb="40" eb="42">
      <t>カンリョウ</t>
    </rPh>
    <rPh sb="42" eb="43">
      <t>リツ</t>
    </rPh>
    <rPh sb="44" eb="46">
      <t>ヒョウジ</t>
    </rPh>
    <phoneticPr fontId="2"/>
  </si>
  <si>
    <t>(19/03/26 追加)</t>
    <rPh sb="10" eb="12">
      <t>ツイカ</t>
    </rPh>
    <phoneticPr fontId="2"/>
  </si>
  <si>
    <t>⇒　(H列)テスト実施 - 着手 - 実績の日付を自動入力します</t>
    <rPh sb="4" eb="5">
      <t>レツ</t>
    </rPh>
    <rPh sb="9" eb="11">
      <t>ジッシ</t>
    </rPh>
    <rPh sb="14" eb="16">
      <t>チャクシュ</t>
    </rPh>
    <rPh sb="19" eb="21">
      <t>ジッセキ</t>
    </rPh>
    <rPh sb="22" eb="24">
      <t>ヒヅケ</t>
    </rPh>
    <rPh sb="25" eb="27">
      <t>ジドウ</t>
    </rPh>
    <rPh sb="27" eb="29">
      <t>ニュウリョク</t>
    </rPh>
    <phoneticPr fontId="2"/>
  </si>
  <si>
    <r>
      <rPr>
        <sz val="11"/>
        <rFont val="Meiryo UI"/>
        <family val="3"/>
        <charset val="128"/>
      </rPr>
      <t>　　　</t>
    </r>
    <r>
      <rPr>
        <strike/>
        <sz val="11"/>
        <rFont val="Meiryo UI"/>
        <family val="3"/>
        <charset val="128"/>
      </rPr>
      <t>・(週末を金曜日とした)週単位に、予定数・実績数を表示</t>
    </r>
    <rPh sb="5" eb="7">
      <t>シュウマツ</t>
    </rPh>
    <rPh sb="8" eb="11">
      <t>キンヨウビ</t>
    </rPh>
    <rPh sb="15" eb="16">
      <t>シュウ</t>
    </rPh>
    <rPh sb="16" eb="18">
      <t>タンイ</t>
    </rPh>
    <rPh sb="20" eb="22">
      <t>ヨテイ</t>
    </rPh>
    <rPh sb="22" eb="23">
      <t>スウ</t>
    </rPh>
    <rPh sb="24" eb="26">
      <t>ジッセキ</t>
    </rPh>
    <rPh sb="26" eb="27">
      <t>スウ</t>
    </rPh>
    <rPh sb="28" eb="30">
      <t>ヒョウジ</t>
    </rPh>
    <phoneticPr fontId="2"/>
  </si>
  <si>
    <t>　　　・1日単位に、予定数・実績数を表示</t>
    <rPh sb="5" eb="6">
      <t>ニチ</t>
    </rPh>
    <rPh sb="6" eb="8">
      <t>タンイ</t>
    </rPh>
    <rPh sb="10" eb="12">
      <t>ヨテイ</t>
    </rPh>
    <rPh sb="12" eb="13">
      <t>スウ</t>
    </rPh>
    <rPh sb="14" eb="16">
      <t>ジッセキ</t>
    </rPh>
    <rPh sb="16" eb="17">
      <t>スウ</t>
    </rPh>
    <rPh sb="18" eb="20">
      <t>ヒョウジ</t>
    </rPh>
    <phoneticPr fontId="2"/>
  </si>
  <si>
    <t>[注意] 行を削除することで、(H列)テスト実施 - 着手 - 予定の最小日付と、R列から始まる最小日付が異なってくるケースがあります。</t>
    <rPh sb="1" eb="3">
      <t>チュウイ</t>
    </rPh>
    <rPh sb="5" eb="6">
      <t>ギョウ</t>
    </rPh>
    <rPh sb="7" eb="9">
      <t>サクジョ</t>
    </rPh>
    <rPh sb="32" eb="34">
      <t>ヨテイ</t>
    </rPh>
    <rPh sb="35" eb="37">
      <t>サイショウ</t>
    </rPh>
    <rPh sb="37" eb="39">
      <t>ヒヅケ</t>
    </rPh>
    <rPh sb="42" eb="43">
      <t>レツ</t>
    </rPh>
    <rPh sb="45" eb="46">
      <t>ハジ</t>
    </rPh>
    <rPh sb="48" eb="50">
      <t>サイショウ</t>
    </rPh>
    <rPh sb="50" eb="52">
      <t>ヒヅケ</t>
    </rPh>
    <rPh sb="53" eb="54">
      <t>コト</t>
    </rPh>
    <phoneticPr fontId="2"/>
  </si>
  <si>
    <t>　　　　　その時に「進捗管理」ボタン押下すると、日次明細列の値がずれてしまいます。</t>
    <rPh sb="7" eb="8">
      <t>トキ</t>
    </rPh>
    <rPh sb="10" eb="12">
      <t>シンチョク</t>
    </rPh>
    <rPh sb="12" eb="14">
      <t>カンリ</t>
    </rPh>
    <rPh sb="18" eb="20">
      <t>オウカ</t>
    </rPh>
    <rPh sb="24" eb="26">
      <t>ニチジ</t>
    </rPh>
    <rPh sb="26" eb="28">
      <t>メイサイ</t>
    </rPh>
    <rPh sb="28" eb="29">
      <t>レツ</t>
    </rPh>
    <rPh sb="30" eb="31">
      <t>アタイ</t>
    </rPh>
    <phoneticPr fontId="2"/>
  </si>
  <si>
    <t>　　　　　対策としては、(H列)テスト実施 - 着手 - 予定の日付のいずれかをR列から始まる最小日付と揃える様にして下さい。</t>
    <rPh sb="5" eb="7">
      <t>タイサク</t>
    </rPh>
    <rPh sb="41" eb="42">
      <t>レツ</t>
    </rPh>
    <rPh sb="44" eb="45">
      <t>ハジ</t>
    </rPh>
    <rPh sb="47" eb="49">
      <t>サイショウ</t>
    </rPh>
    <rPh sb="49" eb="51">
      <t>ヒヅケ</t>
    </rPh>
    <rPh sb="52" eb="53">
      <t>ソロ</t>
    </rPh>
    <rPh sb="55" eb="56">
      <t>ヨウ</t>
    </rPh>
    <rPh sb="59" eb="60">
      <t>クダ</t>
    </rPh>
    <phoneticPr fontId="2"/>
  </si>
  <si>
    <t>GDC（ｻｲｸﾙ）</t>
  </si>
  <si>
    <t>機能名</t>
    <rPh sb="0" eb="2">
      <t>キノウ</t>
    </rPh>
    <rPh sb="2" eb="3">
      <t>メイ</t>
    </rPh>
    <phoneticPr fontId="2"/>
  </si>
  <si>
    <t>(19/04/04 追加)</t>
    <rPh sb="10" eb="12">
      <t>ツイカ</t>
    </rPh>
    <phoneticPr fontId="2"/>
  </si>
  <si>
    <t>・予実管理_機能単位シートにて、機能単位かつ担当者毎にテスト実施数、精査数を1日単位で集計し、進捗率・完了率を表示します</t>
    <rPh sb="1" eb="3">
      <t>ヨジツ</t>
    </rPh>
    <rPh sb="3" eb="5">
      <t>カンリ</t>
    </rPh>
    <rPh sb="6" eb="8">
      <t>キノウ</t>
    </rPh>
    <rPh sb="8" eb="10">
      <t>タンイ</t>
    </rPh>
    <rPh sb="16" eb="18">
      <t>キノウ</t>
    </rPh>
    <rPh sb="18" eb="20">
      <t>タンイ</t>
    </rPh>
    <rPh sb="22" eb="25">
      <t>タントウシャ</t>
    </rPh>
    <rPh sb="25" eb="26">
      <t>ゴト</t>
    </rPh>
    <rPh sb="30" eb="32">
      <t>ジッシ</t>
    </rPh>
    <rPh sb="32" eb="33">
      <t>スウ</t>
    </rPh>
    <rPh sb="34" eb="36">
      <t>セイサ</t>
    </rPh>
    <rPh sb="36" eb="37">
      <t>スウ</t>
    </rPh>
    <rPh sb="39" eb="40">
      <t>ニチ</t>
    </rPh>
    <rPh sb="40" eb="42">
      <t>タンイ</t>
    </rPh>
    <rPh sb="43" eb="45">
      <t>シュウケイ</t>
    </rPh>
    <rPh sb="47" eb="49">
      <t>シンチョク</t>
    </rPh>
    <rPh sb="49" eb="50">
      <t>リツ</t>
    </rPh>
    <rPh sb="51" eb="53">
      <t>カンリョウ</t>
    </rPh>
    <rPh sb="53" eb="54">
      <t>リツ</t>
    </rPh>
    <rPh sb="55" eb="57">
      <t>ヒョウジ</t>
    </rPh>
    <phoneticPr fontId="2"/>
  </si>
  <si>
    <t>★</t>
    <phoneticPr fontId="2"/>
  </si>
  <si>
    <t>・(D列)機能名</t>
    <rPh sb="3" eb="4">
      <t>レツ</t>
    </rPh>
    <rPh sb="5" eb="7">
      <t>キノウ</t>
    </rPh>
    <rPh sb="7" eb="8">
      <t>メイ</t>
    </rPh>
    <phoneticPr fontId="2"/>
  </si>
  <si>
    <t>…サブ機能名</t>
    <rPh sb="3" eb="5">
      <t>キノウ</t>
    </rPh>
    <rPh sb="5" eb="6">
      <t>メイ</t>
    </rPh>
    <phoneticPr fontId="2"/>
  </si>
  <si>
    <t>⇒　B列(ID)の値の有無で最終行を判断しています</t>
    <phoneticPr fontId="2"/>
  </si>
  <si>
    <t>(日次管理シートについて)</t>
    <phoneticPr fontId="2"/>
  </si>
  <si>
    <t>　　「日次明細列の値削除」にチェックを入れた状態で、「進捗管理」ボタン押下してください</t>
    <phoneticPr fontId="2"/>
  </si>
  <si>
    <t>(予実管理シートについて)</t>
    <phoneticPr fontId="2"/>
  </si>
  <si>
    <t>(19/03/26 修正)</t>
    <phoneticPr fontId="2"/>
  </si>
  <si>
    <t>予実管理(機能単位)</t>
  </si>
  <si>
    <t>掛金</t>
  </si>
  <si>
    <t>制度</t>
  </si>
  <si>
    <t>給付</t>
  </si>
  <si>
    <t>事業報告書</t>
  </si>
  <si>
    <t>Itb独自</t>
  </si>
  <si>
    <t>清水→糟谷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</si>
</sst>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0">
    <numFmt numFmtId="6" formatCode="&quot;¥&quot;#,##0;[Red]&quot;¥&quot;\-#,##0"/>
    <numFmt numFmtId="8" formatCode="&quot;¥&quot;#,##0.00;[Red]&quot;¥&quot;\-#,##0.00"/>
    <numFmt numFmtId="41" formatCode="_ * #,##0_ ;_ * \-#,##0_ ;_ * &quot;-&quot;_ ;_ @_ "/>
    <numFmt numFmtId="43" formatCode="_ * #,##0.00_ ;_ * \-#,##0.00_ ;_ * &quot;-&quot;??_ ;_ @_ "/>
    <numFmt numFmtId="176" formatCode="yyyy/mm/dd"/>
    <numFmt numFmtId="177" formatCode="#,##0;\-#,##0;&quot;-&quot;"/>
    <numFmt numFmtId="178" formatCode="####"/>
    <numFmt numFmtId="179" formatCode="0.00_)"/>
    <numFmt numFmtId="180" formatCode="\$#,##0.00"/>
    <numFmt numFmtId="181" formatCode="_ &quot;｣､&quot;* #,##0_ ;_ &quot;｣､&quot;* \-#,##0_ ;_ &quot;｣､&quot;* &quot;-&quot;_ ;_ @_ "/>
    <numFmt numFmtId="182" formatCode="#,##0_ ;[Red]\-#,##0\ "/>
    <numFmt numFmtId="183" formatCode="#,##0.0&quot;人月&quot;"/>
    <numFmt numFmtId="184" formatCode="0_);\(0\)"/>
    <numFmt numFmtId="185" formatCode="#,##0&quot; &quot;;[Red]&quot;▲&quot;#,##0&quot; &quot;"/>
    <numFmt numFmtId="186" formatCode="0.0"/>
    <numFmt numFmtId="187" formatCode="#,##0.00;\(#,##0.00\)"/>
    <numFmt numFmtId="188" formatCode="0.000000000"/>
    <numFmt numFmtId="189" formatCode="0%;\(0%\)"/>
    <numFmt numFmtId="190" formatCode="0.0%"/>
    <numFmt numFmtId="191" formatCode="#,##0.0_ "/>
    <numFmt numFmtId="192" formatCode="d&quot;¥&quot;&quot;¥&quot;\.mmm&quot;¥&quot;&quot;¥&quot;\.yy"/>
    <numFmt numFmtId="193" formatCode="&quot;No_&quot;@"/>
    <numFmt numFmtId="194" formatCode="&quot;$&quot;#,##0_);\(&quot;$&quot;#,##0\)"/>
    <numFmt numFmtId="195" formatCode="0.0%;[Red]\(0.0%\)"/>
    <numFmt numFmtId="196" formatCode="#,##0.00\ &quot;f&quot;;\-#,##0.00\ &quot;f&quot;"/>
    <numFmt numFmtId="197" formatCode="0%;[Red]\(0%\)"/>
    <numFmt numFmtId="198" formatCode="0.0%;\(0.0%\)"/>
    <numFmt numFmtId="199" formatCode="&quot;   &quot;@"/>
    <numFmt numFmtId="200" formatCode="&quot;$&quot;#,##0;\-&quot;$&quot;#,##0"/>
    <numFmt numFmtId="201" formatCode="_(* #,##0_);_(* \(#,##0\);_(* &quot;-&quot;_)"/>
    <numFmt numFmtId="202" formatCode="_(* #,##0_);_(* \(#,##0\);_(* &quot;-&quot;_);_(@_)"/>
    <numFmt numFmtId="203" formatCode="#,##0.0_);\(#,##0.0\)"/>
    <numFmt numFmtId="204" formatCode="_-* #,##0.0_-;\-* #,##0.0_-;_-* &quot;-&quot;??_-;_-@_-"/>
    <numFmt numFmtId="205" formatCode="_(&quot;$&quot;* #,##0_);_(&quot;$&quot;* \(#,##0\);_(&quot;$&quot;* &quot;-&quot;_);_(@_)"/>
    <numFmt numFmtId="206" formatCode="&quot;$&quot;#,##0.00_);\(&quot;$&quot;#,##0.00\)"/>
    <numFmt numFmtId="207" formatCode="\(@\)"/>
    <numFmt numFmtId="208" formatCode="#,##0.0"/>
    <numFmt numFmtId="209" formatCode="_-* #,##0\ _F_-;\-* #,##0\ _F_-;_-* &quot;-&quot;\ _F_-;_-@_-"/>
    <numFmt numFmtId="210" formatCode="_-* #,##0.00\ _F_-;\-* #,##0.00\ _F_-;_-* &quot;-&quot;??\ _F_-;_-@_-"/>
    <numFmt numFmtId="211" formatCode="&quot;$&quot;#,##0.00_);[Red]\(&quot;$&quot;#,##0.00\)"/>
    <numFmt numFmtId="212" formatCode="_-* #,##0\ &quot;F&quot;_-;\-* #,##0\ &quot;F&quot;_-;_-* &quot;-&quot;\ &quot;F&quot;_-;_-@_-"/>
    <numFmt numFmtId="213" formatCode="_-* #,##0.00\ &quot;F&quot;_-;\-* #,##0.00\ &quot;F&quot;_-;_-* &quot;-&quot;??\ &quot;F&quot;_-;_-@_-"/>
    <numFmt numFmtId="214" formatCode="_(* #,##0.0000_);_(* \(#,##0.0000\);_(* &quot;-&quot;??_);_(@_)"/>
    <numFmt numFmtId="215" formatCode="_(* #,##0.00_);_(* \(#,##0.00\);_(* &quot;-&quot;??_);_(@_)"/>
    <numFmt numFmtId="216" formatCode="0%_);\(0%\)"/>
    <numFmt numFmtId="217" formatCode="_(* #,##0,_);_(* \(#,##0,\);_(* &quot;-&quot;_)"/>
    <numFmt numFmtId="218" formatCode=";;;"/>
    <numFmt numFmtId="219" formatCode="&quot;(&quot;0%&quot;)   &quot;;[Red]\-&quot;(&quot;0%&quot;)   &quot;;&quot;－    &quot;"/>
    <numFmt numFmtId="220" formatCode="&quot;(&quot;0.00%&quot;)   &quot;;[Red]\-&quot;(&quot;0.00%&quot;)   &quot;;&quot;－    &quot;"/>
    <numFmt numFmtId="221" formatCode="0.00%;[Red]\-0.00%;&quot;－&quot;"/>
    <numFmt numFmtId="222" formatCode="&quot;¥&quot;#,##0.00;\-&quot;¥&quot;#,##0.00"/>
    <numFmt numFmtId="223" formatCode="_-* #,##0_-;\-* #,##0_-;_-* &quot;-&quot;_-;_-@_-"/>
    <numFmt numFmtId="224" formatCode="#,##0_ ;[Red]&quot;¥&quot;\!\-#,##0&quot;¥&quot;\!\ "/>
    <numFmt numFmtId="225" formatCode="0_ ;[Red]&quot;¥&quot;\!\-0&quot;¥&quot;\!\ "/>
    <numFmt numFmtId="226" formatCode="#,##0_ "/>
    <numFmt numFmtId="227" formatCode="&quot;¥&quot;#,##0.00;[Red]\-&quot;¥&quot;#,##0.00"/>
    <numFmt numFmtId="228" formatCode="&quot;¥&quot;#,##0;[Red]\-&quot;¥&quot;#,##0"/>
    <numFmt numFmtId="229" formatCode="m/d"/>
    <numFmt numFmtId="230" formatCode="hh:mm\ \T\K"/>
    <numFmt numFmtId="231" formatCode="mm&quot;月&quot;dd&quot;日&quot;"/>
  </numFmts>
  <fonts count="170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name val="ＭＳ ゴシック"/>
      <family val="3"/>
      <charset val="128"/>
    </font>
    <font>
      <sz val="10"/>
      <color theme="1"/>
      <name val="ＭＳ ゴシック"/>
      <family val="3"/>
      <charset val="128"/>
    </font>
    <font>
      <sz val="11"/>
      <name val="明朝"/>
      <family val="1"/>
      <charset val="128"/>
    </font>
    <font>
      <sz val="11"/>
      <name val="標準明朝"/>
      <family val="1"/>
      <charset val="128"/>
    </font>
    <font>
      <sz val="11"/>
      <name val="ＭＳ Ｐ明朝"/>
      <family val="1"/>
      <charset val="128"/>
    </font>
    <font>
      <sz val="12"/>
      <name val="Tms Rmn"/>
      <family val="1"/>
    </font>
    <font>
      <sz val="10"/>
      <color indexed="8"/>
      <name val="Arial"/>
      <family val="2"/>
    </font>
    <font>
      <sz val="9"/>
      <name val="Times New Roman"/>
      <family val="1"/>
    </font>
    <font>
      <sz val="8"/>
      <name val="Arial"/>
      <family val="2"/>
    </font>
    <font>
      <b/>
      <sz val="12"/>
      <color indexed="9"/>
      <name val="Tms Rmn"/>
      <family val="1"/>
    </font>
    <font>
      <b/>
      <sz val="12"/>
      <name val="Arial"/>
      <family val="2"/>
    </font>
    <font>
      <sz val="7"/>
      <name val="Small Fonts"/>
      <family val="3"/>
      <charset val="128"/>
    </font>
    <font>
      <b/>
      <i/>
      <sz val="16"/>
      <name val="Helv"/>
      <family val="2"/>
    </font>
    <font>
      <sz val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9"/>
      <name val="Times New Roman"/>
      <family val="1"/>
    </font>
    <font>
      <sz val="12"/>
      <name val="Times New Roman"/>
      <family val="1"/>
    </font>
    <font>
      <sz val="10"/>
      <name val="Helv"/>
      <family val="2"/>
    </font>
    <font>
      <sz val="11"/>
      <name val="ＭＳ 明朝"/>
      <family val="1"/>
      <charset val="128"/>
    </font>
    <font>
      <sz val="14"/>
      <name val="ＭＳ ゴシック"/>
      <family val="3"/>
      <charset val="128"/>
    </font>
    <font>
      <sz val="9"/>
      <name val="ＭＳ ゴシック"/>
      <family val="3"/>
      <charset val="128"/>
    </font>
    <font>
      <sz val="10"/>
      <name val="ＭＳ 明朝"/>
      <family val="1"/>
      <charset val="128"/>
    </font>
    <font>
      <sz val="11"/>
      <color theme="1"/>
      <name val="ＭＳ Ｐゴシック"/>
      <family val="3"/>
      <charset val="128"/>
      <scheme val="minor"/>
    </font>
    <font>
      <u/>
      <sz val="8.25"/>
      <color indexed="36"/>
      <name val="ＭＳ Ｐゴシック"/>
      <family val="3"/>
      <charset val="128"/>
    </font>
    <font>
      <sz val="12"/>
      <name val="ＭＳ Ｐゴシック"/>
      <family val="3"/>
      <charset val="128"/>
    </font>
    <font>
      <sz val="14"/>
      <name val="ＭＳ 明朝"/>
      <family val="1"/>
      <charset val="128"/>
    </font>
    <font>
      <b/>
      <sz val="12"/>
      <name val="楲污澂厃嚃"/>
      <family val="3"/>
      <charset val="128"/>
    </font>
    <font>
      <sz val="10"/>
      <color indexed="8"/>
      <name val="楲污澂厃嚃"/>
      <family val="3"/>
      <charset val="128"/>
    </font>
    <font>
      <sz val="10"/>
      <name val="楲污澂厃嚃"/>
      <family val="3"/>
      <charset val="128"/>
    </font>
    <font>
      <sz val="6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9"/>
      <name val="ＭＳ Ｐゴシック"/>
      <family val="3"/>
      <charset val="128"/>
    </font>
    <font>
      <sz val="11"/>
      <name val="ＭＳ ゴシック"/>
      <family val="3"/>
      <charset val="128"/>
    </font>
    <font>
      <sz val="10"/>
      <color indexed="8"/>
      <name val="MS Sans Serif"/>
      <family val="2"/>
    </font>
    <font>
      <sz val="11"/>
      <name val="??"/>
      <family val="1"/>
    </font>
    <font>
      <sz val="11"/>
      <name val="MS ??"/>
      <family val="1"/>
    </font>
    <font>
      <sz val="14"/>
      <name val="AngsanaUPC"/>
      <family val="1"/>
    </font>
    <font>
      <u/>
      <sz val="11"/>
      <color indexed="12"/>
      <name val="MS P????"/>
      <family val="3"/>
    </font>
    <font>
      <u/>
      <sz val="11"/>
      <color indexed="12"/>
      <name val="MS P????"/>
      <family val="2"/>
    </font>
    <font>
      <u/>
      <sz val="11"/>
      <color indexed="36"/>
      <name val="MS P????"/>
      <family val="3"/>
    </font>
    <font>
      <u/>
      <sz val="11"/>
      <color indexed="36"/>
      <name val="MS P????"/>
      <family val="2"/>
    </font>
    <font>
      <b/>
      <sz val="14"/>
      <name val="MS P????"/>
      <family val="3"/>
    </font>
    <font>
      <b/>
      <sz val="14"/>
      <name val="MS P????"/>
      <family val="2"/>
    </font>
    <font>
      <sz val="9"/>
      <name val="ＭＳ 明朝"/>
      <family val="1"/>
      <charset val="128"/>
    </font>
    <font>
      <sz val="14"/>
      <name val="‚l‚r –¾’©"/>
      <family val="3"/>
      <charset val="128"/>
    </font>
    <font>
      <sz val="14"/>
      <name val="Terminal"/>
      <family val="3"/>
      <charset val="255"/>
    </font>
    <font>
      <u/>
      <sz val="8.25"/>
      <color indexed="36"/>
      <name val="lr oSVbN"/>
      <family val="3"/>
    </font>
    <font>
      <u/>
      <sz val="11"/>
      <color indexed="36"/>
      <name val="lr oSVbN"/>
      <family val="3"/>
    </font>
    <font>
      <u/>
      <sz val="8.25"/>
      <color indexed="12"/>
      <name val="lr oSVbN"/>
      <family val="3"/>
    </font>
    <font>
      <sz val="11"/>
      <name val="¾©"/>
      <family val="1"/>
    </font>
    <font>
      <sz val="11"/>
      <name val="lr ¾©"/>
      <family val="2"/>
    </font>
    <font>
      <sz val="11"/>
      <color indexed="12"/>
      <name val="ＭＳ Ｐ明朝"/>
      <family val="1"/>
      <charset val="128"/>
    </font>
    <font>
      <sz val="13"/>
      <name val="Tms Rmn"/>
      <family val="1"/>
    </font>
    <font>
      <sz val="12"/>
      <name val="細明朝体"/>
      <family val="3"/>
      <charset val="128"/>
    </font>
    <font>
      <sz val="12"/>
      <name val="明朝"/>
      <family val="1"/>
      <charset val="128"/>
    </font>
    <font>
      <sz val="11"/>
      <color indexed="8"/>
      <name val="Calibri"/>
      <family val="2"/>
    </font>
    <font>
      <sz val="11"/>
      <color indexed="8"/>
      <name val="ＭＳ Ｐゴシック"/>
      <family val="3"/>
      <charset val="128"/>
    </font>
    <font>
      <b/>
      <i/>
      <u/>
      <sz val="10"/>
      <name val="Times New Roman"/>
      <family val="1"/>
    </font>
    <font>
      <sz val="11"/>
      <color indexed="9"/>
      <name val="Calibri"/>
      <family val="2"/>
    </font>
    <font>
      <sz val="11"/>
      <color indexed="9"/>
      <name val="ＭＳ Ｐゴシック"/>
      <family val="3"/>
      <charset val="128"/>
    </font>
    <font>
      <b/>
      <sz val="10"/>
      <color indexed="10"/>
      <name val="Arial"/>
      <family val="2"/>
    </font>
    <font>
      <sz val="8"/>
      <name val="ＭＳ ゴシック"/>
      <family val="3"/>
      <charset val="128"/>
    </font>
    <font>
      <sz val="8"/>
      <name val="Times New Roman"/>
      <family val="1"/>
    </font>
    <font>
      <sz val="11"/>
      <color indexed="20"/>
      <name val="Calibri"/>
      <family val="2"/>
    </font>
    <font>
      <sz val="10"/>
      <name val="中ゴシックＢＢＢ"/>
      <family val="1"/>
      <charset val="128"/>
    </font>
    <font>
      <sz val="9"/>
      <name val="Helv"/>
      <family val="2"/>
    </font>
    <font>
      <b/>
      <sz val="11"/>
      <color indexed="52"/>
      <name val="Calibri"/>
      <family val="2"/>
    </font>
    <font>
      <sz val="7"/>
      <name val="Times New Roman"/>
      <family val="1"/>
    </font>
    <font>
      <b/>
      <sz val="11"/>
      <color indexed="9"/>
      <name val="Calibri"/>
      <family val="2"/>
    </font>
    <font>
      <b/>
      <sz val="13"/>
      <name val="Tms Rmn"/>
      <family val="1"/>
    </font>
    <font>
      <sz val="12"/>
      <name val="Arial"/>
      <family val="2"/>
    </font>
    <font>
      <sz val="10"/>
      <color indexed="0"/>
      <name val="MS Sans Serif"/>
      <family val="2"/>
    </font>
    <font>
      <sz val="10"/>
      <name val="MS Serif"/>
      <family val="1"/>
    </font>
    <font>
      <sz val="10"/>
      <color indexed="16"/>
      <name val="Arial"/>
      <family val="2"/>
    </font>
    <font>
      <b/>
      <sz val="8"/>
      <color indexed="14"/>
      <name val="Verdana"/>
      <family val="2"/>
    </font>
    <font>
      <sz val="10"/>
      <name val="Times New Roman"/>
      <family val="1"/>
    </font>
    <font>
      <sz val="10"/>
      <color indexed="16"/>
      <name val="MS Serif"/>
      <family val="1"/>
    </font>
    <font>
      <i/>
      <sz val="11"/>
      <color indexed="23"/>
      <name val="Calibri"/>
      <family val="2"/>
    </font>
    <font>
      <u/>
      <sz val="13.75"/>
      <color indexed="36"/>
      <name val="ＭＳ Ｐゴシック"/>
      <family val="3"/>
      <charset val="128"/>
    </font>
    <font>
      <u/>
      <sz val="10"/>
      <color indexed="36"/>
      <name val="Arial"/>
      <family val="2"/>
    </font>
    <font>
      <sz val="11"/>
      <color indexed="17"/>
      <name val="Calibri"/>
      <family val="2"/>
    </font>
    <font>
      <sz val="11"/>
      <color indexed="10"/>
      <name val="明朝"/>
      <family val="1"/>
      <charset val="128"/>
    </font>
    <font>
      <b/>
      <sz val="10"/>
      <name val="Arial"/>
      <family val="2"/>
    </font>
    <font>
      <b/>
      <sz val="11"/>
      <color indexed="56"/>
      <name val="Calibri"/>
      <family val="2"/>
    </font>
    <font>
      <b/>
      <sz val="8"/>
      <name val="MS Sans Serif"/>
      <family val="2"/>
    </font>
    <font>
      <u/>
      <sz val="10"/>
      <color indexed="12"/>
      <name val="Arial"/>
      <family val="2"/>
    </font>
    <font>
      <u/>
      <sz val="10"/>
      <color theme="10"/>
      <name val="Meiryo UI"/>
      <family val="2"/>
      <charset val="128"/>
    </font>
    <font>
      <sz val="8.5"/>
      <name val="ＭＳ ゴシック"/>
      <family val="3"/>
      <charset val="128"/>
    </font>
    <font>
      <sz val="11"/>
      <color indexed="62"/>
      <name val="Calibri"/>
      <family val="2"/>
    </font>
    <font>
      <b/>
      <i/>
      <sz val="9"/>
      <color indexed="10"/>
      <name val="Century Gothic"/>
      <family val="2"/>
    </font>
    <font>
      <b/>
      <sz val="8"/>
      <color indexed="17"/>
      <name val="Haettenschweiler"/>
      <family val="2"/>
    </font>
    <font>
      <b/>
      <sz val="8"/>
      <color indexed="37"/>
      <name val="Courier New"/>
      <family val="3"/>
    </font>
    <font>
      <b/>
      <sz val="8"/>
      <color indexed="39"/>
      <name val="Century"/>
      <family val="1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2"/>
      <name val="Osaka"/>
      <family val="3"/>
      <charset val="128"/>
    </font>
    <font>
      <sz val="11"/>
      <name val="HG丸ｺﾞｼｯｸM-PRO"/>
      <family val="3"/>
      <charset val="128"/>
    </font>
    <font>
      <b/>
      <sz val="11"/>
      <color indexed="63"/>
      <name val="Calibri"/>
      <family val="2"/>
    </font>
    <font>
      <sz val="10"/>
      <name val="Tms Rmn"/>
      <family val="1"/>
    </font>
    <font>
      <sz val="8"/>
      <color indexed="10"/>
      <name val="Helv"/>
      <family val="2"/>
    </font>
    <font>
      <sz val="8"/>
      <name val="Wingdings"/>
      <charset val="2"/>
    </font>
    <font>
      <sz val="8"/>
      <name val="Helv"/>
      <family val="2"/>
    </font>
    <font>
      <sz val="8"/>
      <name val="MS Sans Serif"/>
      <family val="2"/>
    </font>
    <font>
      <sz val="10"/>
      <color indexed="8"/>
      <name val="ＭＳ Ｐゴシック"/>
      <family val="3"/>
      <charset val="128"/>
    </font>
    <font>
      <b/>
      <sz val="8"/>
      <color indexed="8"/>
      <name val="Helv"/>
      <family val="2"/>
    </font>
    <font>
      <b/>
      <u/>
      <sz val="12"/>
      <color indexed="10"/>
      <name val="ＭＳ Ｐゴシック"/>
      <family val="3"/>
      <charset val="128"/>
    </font>
    <font>
      <sz val="11"/>
      <color indexed="10"/>
      <name val="Calibri"/>
      <family val="2"/>
    </font>
    <font>
      <sz val="9.5"/>
      <name val="ＭＳ ゴシック"/>
      <family val="3"/>
      <charset val="128"/>
    </font>
    <font>
      <sz val="22"/>
      <name val="ＭＳ 明朝"/>
      <family val="1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u/>
      <sz val="10"/>
      <color theme="10"/>
      <name val="Meiryo UI"/>
      <family val="3"/>
      <charset val="128"/>
    </font>
    <font>
      <sz val="9"/>
      <name val="HG丸ｺﾞｼｯｸM-PRO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0"/>
      <name val="HG丸ｺﾞｼｯｸM-PRO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sz val="9"/>
      <color indexed="8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sz val="24"/>
      <name val="ＭＳ ゴシック"/>
      <family val="3"/>
      <charset val="128"/>
    </font>
    <font>
      <b/>
      <sz val="14"/>
      <name val="ＭＳ Ｐゴシック"/>
      <family val="3"/>
      <charset val="128"/>
    </font>
    <font>
      <b/>
      <sz val="16"/>
      <name val="ＭＳ 明朝"/>
      <family val="1"/>
      <charset val="128"/>
    </font>
    <font>
      <b/>
      <sz val="20"/>
      <name val="ＭＳ ゴシック"/>
      <family val="3"/>
      <charset val="128"/>
    </font>
    <font>
      <b/>
      <sz val="16"/>
      <name val="ＭＳ ゴシック"/>
      <family val="3"/>
      <charset val="128"/>
    </font>
    <font>
      <b/>
      <sz val="14"/>
      <name val="ＭＳ ゴシック"/>
      <family val="3"/>
      <charset val="128"/>
    </font>
    <font>
      <b/>
      <sz val="12"/>
      <name val="ＭＳ ゴシック"/>
      <family val="3"/>
      <charset val="128"/>
    </font>
    <font>
      <b/>
      <sz val="11"/>
      <name val="ＭＳ ゴシック"/>
      <family val="3"/>
      <charset val="128"/>
    </font>
    <font>
      <i/>
      <sz val="9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name val="OLF明朝"/>
      <family val="3"/>
      <charset val="128"/>
    </font>
    <font>
      <i/>
      <sz val="11"/>
      <color indexed="23"/>
      <name val="ＭＳ Ｐゴシック"/>
      <family val="3"/>
      <charset val="128"/>
    </font>
    <font>
      <b/>
      <sz val="16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0"/>
      <color theme="1"/>
      <name val="Meiryo UI"/>
      <family val="2"/>
      <charset val="128"/>
    </font>
    <font>
      <sz val="10"/>
      <color theme="1"/>
      <name val="ＭＳ ゴシック"/>
      <family val="2"/>
      <charset val="128"/>
    </font>
    <font>
      <sz val="11"/>
      <color theme="1"/>
      <name val="ＭＳ Ｐゴシック"/>
      <family val="2"/>
      <charset val="128"/>
      <scheme val="minor"/>
    </font>
    <font>
      <sz val="9"/>
      <name val="ＭＳ Ｐ明朝"/>
      <family val="1"/>
      <charset val="128"/>
    </font>
    <font>
      <u/>
      <sz val="11"/>
      <color indexed="36"/>
      <name val="ＭＳ Ｐゴシック"/>
      <family val="3"/>
      <charset val="128"/>
    </font>
    <font>
      <sz val="8"/>
      <name val="ＦＡ 明朝"/>
      <family val="1"/>
      <charset val="128"/>
    </font>
    <font>
      <sz val="11"/>
      <color indexed="12"/>
      <name val="ＭＳ 明朝"/>
      <family val="1"/>
      <charset val="128"/>
    </font>
    <font>
      <sz val="14"/>
      <name val="ＭＳ ・団"/>
      <family val="1"/>
      <charset val="128"/>
    </font>
    <font>
      <sz val="12"/>
      <name val="ＭＳ Ｐゴシック"/>
      <family val="1"/>
      <charset val="128"/>
    </font>
    <font>
      <sz val="11"/>
      <color indexed="17"/>
      <name val="ＭＳ Ｐゴシック"/>
      <family val="3"/>
      <charset val="128"/>
    </font>
    <font>
      <sz val="9"/>
      <color theme="0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9"/>
      <color rgb="FF000000"/>
      <name val="ＭＳ Ｐゴシック"/>
      <family val="3"/>
      <charset val="128"/>
    </font>
    <font>
      <sz val="9"/>
      <color rgb="FF000000"/>
      <name val="Meiryo UI"/>
      <family val="3"/>
      <charset val="128"/>
    </font>
    <font>
      <sz val="11"/>
      <name val="Meiryo UI"/>
      <family val="3"/>
      <charset val="128"/>
    </font>
    <font>
      <b/>
      <sz val="11"/>
      <name val="ＭＳ Ｐゴシック"/>
      <family val="3"/>
      <charset val="128"/>
    </font>
    <font>
      <strike/>
      <sz val="11"/>
      <color theme="0" tint="-0.499984740745262"/>
      <name val="Meiryo UI"/>
      <family val="3"/>
      <charset val="128"/>
    </font>
    <font>
      <sz val="11"/>
      <color rgb="FF0099CC"/>
      <name val="Meiryo UI"/>
      <family val="3"/>
      <charset val="128"/>
    </font>
    <font>
      <strike/>
      <sz val="11"/>
      <name val="Meiryo UI"/>
      <family val="3"/>
      <charset val="128"/>
    </font>
    <font>
      <b/>
      <sz val="11"/>
      <color rgb="FF66CCFF"/>
      <name val="Meiryo UI"/>
      <family val="3"/>
      <charset val="128"/>
    </font>
    <font>
      <sz val="11"/>
      <color rgb="FF66CCFF"/>
      <name val="Meiryo UI"/>
      <family val="3"/>
      <charset val="128"/>
    </font>
    <font>
      <sz val="9"/>
      <name val="Meiryo UI"/>
      <family val="3"/>
      <charset val="128"/>
    </font>
  </fonts>
  <fills count="4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gray0625"/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darkVertical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</fills>
  <borders count="7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auto="1"/>
      </bottom>
      <diagonal/>
    </border>
    <border>
      <left/>
      <right/>
      <top style="hair">
        <color indexed="64"/>
      </top>
      <bottom style="thin">
        <color auto="1"/>
      </bottom>
      <diagonal/>
    </border>
    <border>
      <left/>
      <right style="thin">
        <color indexed="64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indexed="64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</borders>
  <cellStyleXfs count="5917">
    <xf numFmtId="0" fontId="0" fillId="0" borderId="0"/>
    <xf numFmtId="49" fontId="8" fillId="0" borderId="0"/>
    <xf numFmtId="0" fontId="5" fillId="0" borderId="0"/>
    <xf numFmtId="0" fontId="9" fillId="0" borderId="0" applyFont="0"/>
    <xf numFmtId="8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177" fontId="12" fillId="0" borderId="0" applyFill="0" applyBorder="0" applyAlignment="0"/>
    <xf numFmtId="0" fontId="10" fillId="0" borderId="0"/>
    <xf numFmtId="0" fontId="13" fillId="0" borderId="0">
      <alignment horizontal="left"/>
    </xf>
    <xf numFmtId="38" fontId="14" fillId="6" borderId="0" applyNumberFormat="0" applyBorder="0" applyAlignment="0" applyProtection="0"/>
    <xf numFmtId="0" fontId="15" fillId="7" borderId="0"/>
    <xf numFmtId="0" fontId="16" fillId="0" borderId="8" applyNumberFormat="0" applyAlignment="0" applyProtection="0">
      <alignment horizontal="left" vertical="center"/>
    </xf>
    <xf numFmtId="0" fontId="16" fillId="0" borderId="7">
      <alignment horizontal="left" vertical="center"/>
    </xf>
    <xf numFmtId="0" fontId="6" fillId="0" borderId="0" applyBorder="0"/>
    <xf numFmtId="10" fontId="14" fillId="8" borderId="1" applyNumberFormat="0" applyBorder="0" applyAlignment="0" applyProtection="0"/>
    <xf numFmtId="0" fontId="6" fillId="0" borderId="0"/>
    <xf numFmtId="9" fontId="10" fillId="0" borderId="0" applyFont="0" applyFill="0" applyBorder="0" applyAlignment="0" applyProtection="0"/>
    <xf numFmtId="37" fontId="17" fillId="0" borderId="0"/>
    <xf numFmtId="178" fontId="5" fillId="0" borderId="0"/>
    <xf numFmtId="179" fontId="18" fillId="0" borderId="0"/>
    <xf numFmtId="10" fontId="19" fillId="0" borderId="0" applyFont="0" applyFill="0" applyBorder="0" applyAlignment="0" applyProtection="0"/>
    <xf numFmtId="4" fontId="13" fillId="0" borderId="0">
      <alignment horizontal="right"/>
    </xf>
    <xf numFmtId="0" fontId="20" fillId="0" borderId="0" applyNumberFormat="0" applyFont="0" applyFill="0" applyBorder="0" applyAlignment="0" applyProtection="0">
      <alignment horizontal="left"/>
    </xf>
    <xf numFmtId="0" fontId="21" fillId="0" borderId="9">
      <alignment horizontal="center"/>
    </xf>
    <xf numFmtId="4" fontId="22" fillId="0" borderId="0">
      <alignment horizontal="right"/>
    </xf>
    <xf numFmtId="0" fontId="23" fillId="0" borderId="0">
      <alignment horizontal="left"/>
    </xf>
    <xf numFmtId="0" fontId="24" fillId="0" borderId="0"/>
    <xf numFmtId="0" fontId="25" fillId="0" borderId="0">
      <alignment horizontal="center"/>
    </xf>
    <xf numFmtId="180" fontId="26" fillId="0" borderId="0"/>
    <xf numFmtId="0" fontId="19" fillId="0" borderId="0"/>
    <xf numFmtId="0" fontId="26" fillId="0" borderId="0"/>
    <xf numFmtId="1" fontId="26" fillId="0" borderId="0" applyNumberFormat="0"/>
    <xf numFmtId="181" fontId="26" fillId="0" borderId="0" applyFont="0" applyFill="0" applyBorder="0" applyAlignment="0" applyProtection="0"/>
    <xf numFmtId="180" fontId="26" fillId="0" borderId="0" applyFont="0" applyFill="0" applyBorder="0" applyAlignment="0" applyProtection="0"/>
    <xf numFmtId="0" fontId="27" fillId="0" borderId="0"/>
    <xf numFmtId="56" fontId="2" fillId="0" borderId="0" applyNumberFormat="0" applyFill="0" applyBorder="0" applyAlignment="0" applyProtection="0">
      <alignment horizontal="center"/>
    </xf>
    <xf numFmtId="38" fontId="20" fillId="0" borderId="0" applyFont="0" applyFill="0" applyBorder="0" applyAlignment="0" applyProtection="0"/>
    <xf numFmtId="40" fontId="20" fillId="0" borderId="0" applyFont="0" applyFill="0" applyBorder="0" applyAlignment="0" applyProtection="0"/>
    <xf numFmtId="41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28" fillId="0" borderId="0"/>
    <xf numFmtId="0" fontId="29" fillId="0" borderId="3"/>
    <xf numFmtId="182" fontId="3" fillId="0" borderId="0" applyBorder="0">
      <alignment horizontal="right"/>
    </xf>
    <xf numFmtId="0" fontId="30" fillId="0" borderId="4" applyNumberFormat="0" applyBorder="0">
      <alignment vertical="center"/>
    </xf>
    <xf numFmtId="49" fontId="5" fillId="0" borderId="0">
      <alignment vertical="center"/>
    </xf>
    <xf numFmtId="49" fontId="5" fillId="0" borderId="0" applyFont="0"/>
    <xf numFmtId="0" fontId="31" fillId="0" borderId="0">
      <alignment vertical="center"/>
    </xf>
    <xf numFmtId="183" fontId="8" fillId="0" borderId="0"/>
    <xf numFmtId="184" fontId="3" fillId="0" borderId="0" applyBorder="0">
      <alignment horizontal="left"/>
    </xf>
    <xf numFmtId="185" fontId="5" fillId="0" borderId="0" applyFont="0" applyFill="0" applyBorder="0" applyProtection="0">
      <alignment vertical="center"/>
    </xf>
    <xf numFmtId="14" fontId="3" fillId="0" borderId="10" applyBorder="0">
      <alignment horizontal="left"/>
    </xf>
    <xf numFmtId="0" fontId="5" fillId="0" borderId="0"/>
    <xf numFmtId="0" fontId="5" fillId="0" borderId="0">
      <alignment vertical="center"/>
    </xf>
    <xf numFmtId="0" fontId="5" fillId="0" borderId="0"/>
    <xf numFmtId="0" fontId="32" fillId="0" borderId="0">
      <alignment vertical="center"/>
    </xf>
    <xf numFmtId="0" fontId="5" fillId="0" borderId="0">
      <alignment vertical="center"/>
    </xf>
    <xf numFmtId="0" fontId="28" fillId="0" borderId="0"/>
    <xf numFmtId="0" fontId="33" fillId="0" borderId="0" applyNumberFormat="0" applyFill="0" applyBorder="0" applyAlignment="0" applyProtection="0">
      <alignment vertical="top"/>
      <protection locked="0"/>
    </xf>
    <xf numFmtId="49" fontId="3" fillId="0" borderId="0" applyBorder="0">
      <alignment horizontal="left"/>
    </xf>
    <xf numFmtId="0" fontId="34" fillId="0" borderId="0"/>
    <xf numFmtId="0" fontId="35" fillId="0" borderId="0"/>
    <xf numFmtId="0" fontId="36" fillId="0" borderId="7">
      <alignment horizontal="left" vertical="center"/>
    </xf>
    <xf numFmtId="0" fontId="37" fillId="0" borderId="0" applyFill="0" applyBorder="0" applyAlignment="0"/>
    <xf numFmtId="0" fontId="36" fillId="0" borderId="8" applyNumberFormat="0" applyAlignment="0" applyProtection="0">
      <alignment horizontal="left" vertical="center"/>
    </xf>
    <xf numFmtId="0" fontId="38" fillId="0" borderId="0"/>
    <xf numFmtId="0" fontId="5" fillId="0" borderId="0"/>
    <xf numFmtId="0" fontId="1" fillId="0" borderId="0">
      <alignment vertical="center"/>
    </xf>
    <xf numFmtId="0" fontId="42" fillId="0" borderId="0"/>
    <xf numFmtId="9" fontId="42" fillId="0" borderId="0" applyFont="0" applyFill="0" applyBorder="0" applyAlignment="0" applyProtection="0"/>
    <xf numFmtId="0" fontId="43" fillId="0" borderId="0"/>
    <xf numFmtId="49" fontId="8" fillId="0" borderId="0"/>
    <xf numFmtId="49" fontId="8" fillId="0" borderId="0"/>
    <xf numFmtId="49" fontId="8" fillId="0" borderId="0"/>
    <xf numFmtId="49" fontId="28" fillId="0" borderId="0">
      <alignment horizontal="left" vertical="center"/>
    </xf>
    <xf numFmtId="0" fontId="28" fillId="0" borderId="0"/>
    <xf numFmtId="0" fontId="19" fillId="0" borderId="0" applyFont="0" applyFill="0" applyBorder="0" applyAlignment="0" applyProtection="0"/>
    <xf numFmtId="8" fontId="44" fillId="0" borderId="0" applyFont="0" applyFill="0" applyBorder="0" applyAlignment="0" applyProtection="0"/>
    <xf numFmtId="0" fontId="45" fillId="0" borderId="0" applyNumberFormat="0" applyFont="0" applyFill="0" applyBorder="0">
      <alignment horizontal="left" vertical="top" wrapText="1"/>
    </xf>
    <xf numFmtId="0" fontId="19" fillId="0" borderId="0" applyFont="0" applyFill="0" applyBorder="0" applyAlignment="0" applyProtection="0"/>
    <xf numFmtId="186" fontId="46" fillId="0" borderId="0" applyFont="0" applyFill="0" applyBorder="0" applyAlignment="0" applyProtection="0"/>
    <xf numFmtId="186" fontId="46" fillId="0" borderId="0" applyFont="0" applyFill="0" applyBorder="0" applyAlignment="0" applyProtection="0"/>
    <xf numFmtId="187" fontId="46" fillId="0" borderId="0" applyFont="0" applyFill="0" applyBorder="0" applyAlignment="0" applyProtection="0">
      <alignment vertical="top"/>
    </xf>
    <xf numFmtId="187" fontId="46" fillId="0" borderId="0" applyFont="0" applyFill="0" applyBorder="0" applyAlignment="0" applyProtection="0">
      <alignment vertical="top"/>
    </xf>
    <xf numFmtId="0" fontId="47" fillId="0" borderId="0" applyNumberFormat="0" applyFill="0" applyBorder="0" applyAlignment="0" applyProtection="0">
      <alignment vertical="top"/>
      <protection locked="0"/>
    </xf>
    <xf numFmtId="0" fontId="48" fillId="0" borderId="0" applyNumberFormat="0" applyFill="0" applyBorder="0" applyAlignment="0" applyProtection="0">
      <alignment vertical="top"/>
      <protection locked="0"/>
    </xf>
    <xf numFmtId="0" fontId="49" fillId="0" borderId="0" applyNumberFormat="0" applyFill="0" applyBorder="0" applyAlignment="0" applyProtection="0">
      <alignment vertical="top"/>
      <protection locked="0"/>
    </xf>
    <xf numFmtId="0" fontId="50" fillId="0" borderId="0" applyNumberFormat="0" applyFill="0" applyBorder="0" applyAlignment="0" applyProtection="0">
      <alignment vertical="top"/>
      <protection locked="0"/>
    </xf>
    <xf numFmtId="188" fontId="46" fillId="0" borderId="0" applyFont="0" applyFill="0" applyBorder="0" applyAlignment="0" applyProtection="0"/>
    <xf numFmtId="188" fontId="46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51" fillId="0" borderId="0" applyFill="0" applyBorder="0" applyProtection="0"/>
    <xf numFmtId="0" fontId="52" fillId="0" borderId="0" applyFill="0" applyBorder="0" applyProtection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7" fillId="0" borderId="0"/>
    <xf numFmtId="0" fontId="27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42" fillId="0" borderId="0" applyBorder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7" fillId="0" borderId="0"/>
    <xf numFmtId="0" fontId="2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7" fillId="0" borderId="0"/>
    <xf numFmtId="0" fontId="19" fillId="0" borderId="0"/>
    <xf numFmtId="0" fontId="26" fillId="0" borderId="0"/>
    <xf numFmtId="0" fontId="2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7" fillId="0" borderId="0"/>
    <xf numFmtId="0" fontId="27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53" fillId="0" borderId="0">
      <alignment horizontal="right" vertical="top"/>
    </xf>
    <xf numFmtId="0" fontId="53" fillId="0" borderId="15">
      <alignment horizontal="right" vertical="top"/>
    </xf>
    <xf numFmtId="0" fontId="54" fillId="0" borderId="0"/>
    <xf numFmtId="0" fontId="55" fillId="0" borderId="0"/>
    <xf numFmtId="0" fontId="56" fillId="0" borderId="0" applyNumberFormat="0" applyFill="0" applyBorder="0" applyAlignment="0" applyProtection="0">
      <alignment vertical="top"/>
      <protection locked="0"/>
    </xf>
    <xf numFmtId="0" fontId="57" fillId="0" borderId="0" applyNumberFormat="0" applyFill="0" applyBorder="0" applyAlignment="0" applyProtection="0">
      <alignment vertical="top"/>
      <protection locked="0"/>
    </xf>
    <xf numFmtId="0" fontId="58" fillId="0" borderId="0" applyNumberFormat="0" applyFill="0" applyBorder="0" applyAlignment="0" applyProtection="0">
      <alignment vertical="top"/>
      <protection locked="0"/>
    </xf>
    <xf numFmtId="0" fontId="59" fillId="0" borderId="0"/>
    <xf numFmtId="0" fontId="60" fillId="0" borderId="0"/>
    <xf numFmtId="0" fontId="61" fillId="0" borderId="19">
      <alignment vertical="center"/>
    </xf>
    <xf numFmtId="0" fontId="61" fillId="0" borderId="19">
      <alignment vertical="center"/>
    </xf>
    <xf numFmtId="0" fontId="61" fillId="0" borderId="19">
      <alignment vertical="center"/>
    </xf>
    <xf numFmtId="189" fontId="6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26" fillId="0" borderId="0"/>
    <xf numFmtId="3" fontId="63" fillId="0" borderId="0" applyNumberFormat="0" applyAlignment="0">
      <alignment vertical="center"/>
    </xf>
    <xf numFmtId="190" fontId="62" fillId="0" borderId="0" applyFont="0" applyFill="0" applyBorder="0" applyAlignment="0" applyProtection="0"/>
    <xf numFmtId="10" fontId="62" fillId="0" borderId="0" applyFont="0" applyFill="0" applyBorder="0" applyAlignment="0" applyProtection="0"/>
    <xf numFmtId="0" fontId="28" fillId="0" borderId="0" applyFont="0">
      <alignment horizontal="left"/>
    </xf>
    <xf numFmtId="0" fontId="53" fillId="0" borderId="0">
      <alignment vertical="top"/>
    </xf>
    <xf numFmtId="0" fontId="29" fillId="0" borderId="0" applyNumberFormat="0" applyFill="0" applyBorder="0" applyAlignment="0" applyProtection="0"/>
    <xf numFmtId="191" fontId="31" fillId="0" borderId="1" applyFill="0" applyBorder="0" applyProtection="0">
      <alignment vertical="center"/>
    </xf>
    <xf numFmtId="191" fontId="31" fillId="0" borderId="1" applyFill="0" applyBorder="0" applyProtection="0">
      <alignment vertical="center"/>
    </xf>
    <xf numFmtId="191" fontId="31" fillId="0" borderId="1" applyFill="0" applyBorder="0" applyProtection="0">
      <alignment vertical="center"/>
    </xf>
    <xf numFmtId="191" fontId="31" fillId="0" borderId="1" applyFill="0" applyBorder="0" applyProtection="0">
      <alignment vertical="center"/>
    </xf>
    <xf numFmtId="191" fontId="31" fillId="0" borderId="1" applyFill="0" applyBorder="0" applyProtection="0">
      <alignment vertical="center"/>
    </xf>
    <xf numFmtId="191" fontId="31" fillId="0" borderId="1" applyFill="0" applyBorder="0" applyProtection="0">
      <alignment vertical="center"/>
    </xf>
    <xf numFmtId="191" fontId="31" fillId="0" borderId="1" applyFill="0" applyBorder="0" applyProtection="0">
      <alignment vertical="center"/>
    </xf>
    <xf numFmtId="191" fontId="31" fillId="0" borderId="1" applyFill="0" applyBorder="0" applyProtection="0">
      <alignment vertical="center"/>
    </xf>
    <xf numFmtId="192" fontId="5" fillId="0" borderId="1">
      <alignment horizontal="right"/>
    </xf>
    <xf numFmtId="192" fontId="5" fillId="0" borderId="1">
      <alignment horizontal="right"/>
    </xf>
    <xf numFmtId="192" fontId="5" fillId="0" borderId="1">
      <alignment horizontal="right"/>
    </xf>
    <xf numFmtId="192" fontId="5" fillId="0" borderId="1">
      <alignment horizontal="right"/>
    </xf>
    <xf numFmtId="192" fontId="5" fillId="0" borderId="1">
      <alignment horizontal="right"/>
    </xf>
    <xf numFmtId="192" fontId="5" fillId="0" borderId="1">
      <alignment horizontal="right"/>
    </xf>
    <xf numFmtId="192" fontId="5" fillId="0" borderId="1">
      <alignment horizontal="right"/>
    </xf>
    <xf numFmtId="192" fontId="5" fillId="0" borderId="1">
      <alignment horizontal="right"/>
    </xf>
    <xf numFmtId="0" fontId="64" fillId="0" borderId="20" applyNumberFormat="0" applyFill="0" applyBorder="0" applyAlignment="0" applyProtection="0"/>
    <xf numFmtId="0" fontId="64" fillId="0" borderId="20" applyNumberFormat="0" applyFill="0" applyBorder="0" applyAlignment="0" applyProtection="0"/>
    <xf numFmtId="0" fontId="64" fillId="0" borderId="20" applyNumberFormat="0" applyFill="0" applyBorder="0" applyAlignment="0" applyProtection="0"/>
    <xf numFmtId="0" fontId="64" fillId="0" borderId="20" applyNumberFormat="0" applyFill="0" applyBorder="0" applyAlignment="0" applyProtection="0"/>
    <xf numFmtId="0" fontId="64" fillId="0" borderId="20" applyNumberFormat="0" applyFill="0" applyBorder="0" applyAlignment="0" applyProtection="0"/>
    <xf numFmtId="0" fontId="64" fillId="0" borderId="20" applyNumberFormat="0" applyFill="0" applyBorder="0" applyAlignment="0" applyProtection="0"/>
    <xf numFmtId="0" fontId="64" fillId="0" borderId="20" applyNumberFormat="0" applyFill="0" applyBorder="0" applyAlignment="0" applyProtection="0"/>
    <xf numFmtId="0" fontId="64" fillId="0" borderId="20" applyNumberFormat="0" applyFill="0" applyBorder="0" applyAlignment="0" applyProtection="0"/>
    <xf numFmtId="0" fontId="64" fillId="0" borderId="20" applyNumberFormat="0" applyFill="0" applyBorder="0" applyAlignment="0" applyProtection="0"/>
    <xf numFmtId="0" fontId="64" fillId="0" borderId="20" applyNumberFormat="0" applyFill="0" applyBorder="0" applyAlignment="0" applyProtection="0"/>
    <xf numFmtId="0" fontId="64" fillId="0" borderId="20" applyNumberFormat="0" applyFill="0" applyBorder="0" applyAlignment="0" applyProtection="0"/>
    <xf numFmtId="0" fontId="64" fillId="0" borderId="20" applyNumberFormat="0" applyFill="0" applyBorder="0" applyAlignment="0" applyProtection="0"/>
    <xf numFmtId="0" fontId="64" fillId="0" borderId="20" applyNumberFormat="0" applyFill="0" applyBorder="0" applyAlignment="0" applyProtection="0"/>
    <xf numFmtId="0" fontId="64" fillId="0" borderId="20" applyNumberFormat="0" applyFill="0" applyBorder="0" applyAlignment="0" applyProtection="0"/>
    <xf numFmtId="0" fontId="64" fillId="0" borderId="20" applyNumberFormat="0" applyFill="0" applyBorder="0" applyAlignment="0" applyProtection="0"/>
    <xf numFmtId="0" fontId="65" fillId="9" borderId="0" applyNumberFormat="0" applyBorder="0" applyAlignment="0" applyProtection="0"/>
    <xf numFmtId="0" fontId="65" fillId="10" borderId="0" applyNumberFormat="0" applyBorder="0" applyAlignment="0" applyProtection="0"/>
    <xf numFmtId="0" fontId="65" fillId="11" borderId="0" applyNumberFormat="0" applyBorder="0" applyAlignment="0" applyProtection="0"/>
    <xf numFmtId="0" fontId="65" fillId="12" borderId="0" applyNumberFormat="0" applyBorder="0" applyAlignment="0" applyProtection="0"/>
    <xf numFmtId="0" fontId="65" fillId="13" borderId="0" applyNumberFormat="0" applyBorder="0" applyAlignment="0" applyProtection="0"/>
    <xf numFmtId="0" fontId="65" fillId="14" borderId="0" applyNumberFormat="0" applyBorder="0" applyAlignment="0" applyProtection="0"/>
    <xf numFmtId="0" fontId="66" fillId="9" borderId="0" applyNumberFormat="0" applyBorder="0" applyAlignment="0" applyProtection="0">
      <alignment vertical="center"/>
    </xf>
    <xf numFmtId="0" fontId="66" fillId="9" borderId="0" applyNumberFormat="0" applyBorder="0" applyAlignment="0" applyProtection="0">
      <alignment vertical="center"/>
    </xf>
    <xf numFmtId="0" fontId="66" fillId="9" borderId="0" applyNumberFormat="0" applyBorder="0" applyAlignment="0" applyProtection="0">
      <alignment vertical="center"/>
    </xf>
    <xf numFmtId="0" fontId="66" fillId="9" borderId="0" applyNumberFormat="0" applyBorder="0" applyAlignment="0" applyProtection="0">
      <alignment vertical="center"/>
    </xf>
    <xf numFmtId="0" fontId="66" fillId="9" borderId="0" applyNumberFormat="0" applyBorder="0" applyAlignment="0" applyProtection="0">
      <alignment vertical="center"/>
    </xf>
    <xf numFmtId="0" fontId="66" fillId="9" borderId="0" applyNumberFormat="0" applyBorder="0" applyAlignment="0" applyProtection="0">
      <alignment vertical="center"/>
    </xf>
    <xf numFmtId="0" fontId="66" fillId="9" borderId="0" applyNumberFormat="0" applyBorder="0" applyAlignment="0" applyProtection="0">
      <alignment vertical="center"/>
    </xf>
    <xf numFmtId="0" fontId="66" fillId="9" borderId="0" applyNumberFormat="0" applyBorder="0" applyAlignment="0" applyProtection="0">
      <alignment vertical="center"/>
    </xf>
    <xf numFmtId="0" fontId="66" fillId="10" borderId="0" applyNumberFormat="0" applyBorder="0" applyAlignment="0" applyProtection="0">
      <alignment vertical="center"/>
    </xf>
    <xf numFmtId="0" fontId="66" fillId="10" borderId="0" applyNumberFormat="0" applyBorder="0" applyAlignment="0" applyProtection="0">
      <alignment vertical="center"/>
    </xf>
    <xf numFmtId="0" fontId="66" fillId="10" borderId="0" applyNumberFormat="0" applyBorder="0" applyAlignment="0" applyProtection="0">
      <alignment vertical="center"/>
    </xf>
    <xf numFmtId="0" fontId="66" fillId="10" borderId="0" applyNumberFormat="0" applyBorder="0" applyAlignment="0" applyProtection="0">
      <alignment vertical="center"/>
    </xf>
    <xf numFmtId="0" fontId="66" fillId="10" borderId="0" applyNumberFormat="0" applyBorder="0" applyAlignment="0" applyProtection="0">
      <alignment vertical="center"/>
    </xf>
    <xf numFmtId="0" fontId="66" fillId="10" borderId="0" applyNumberFormat="0" applyBorder="0" applyAlignment="0" applyProtection="0">
      <alignment vertical="center"/>
    </xf>
    <xf numFmtId="0" fontId="66" fillId="10" borderId="0" applyNumberFormat="0" applyBorder="0" applyAlignment="0" applyProtection="0">
      <alignment vertical="center"/>
    </xf>
    <xf numFmtId="0" fontId="66" fillId="10" borderId="0" applyNumberFormat="0" applyBorder="0" applyAlignment="0" applyProtection="0">
      <alignment vertical="center"/>
    </xf>
    <xf numFmtId="0" fontId="66" fillId="11" borderId="0" applyNumberFormat="0" applyBorder="0" applyAlignment="0" applyProtection="0">
      <alignment vertical="center"/>
    </xf>
    <xf numFmtId="0" fontId="66" fillId="11" borderId="0" applyNumberFormat="0" applyBorder="0" applyAlignment="0" applyProtection="0">
      <alignment vertical="center"/>
    </xf>
    <xf numFmtId="0" fontId="66" fillId="11" borderId="0" applyNumberFormat="0" applyBorder="0" applyAlignment="0" applyProtection="0">
      <alignment vertical="center"/>
    </xf>
    <xf numFmtId="0" fontId="66" fillId="11" borderId="0" applyNumberFormat="0" applyBorder="0" applyAlignment="0" applyProtection="0">
      <alignment vertical="center"/>
    </xf>
    <xf numFmtId="0" fontId="66" fillId="11" borderId="0" applyNumberFormat="0" applyBorder="0" applyAlignment="0" applyProtection="0">
      <alignment vertical="center"/>
    </xf>
    <xf numFmtId="0" fontId="66" fillId="11" borderId="0" applyNumberFormat="0" applyBorder="0" applyAlignment="0" applyProtection="0">
      <alignment vertical="center"/>
    </xf>
    <xf numFmtId="0" fontId="66" fillId="11" borderId="0" applyNumberFormat="0" applyBorder="0" applyAlignment="0" applyProtection="0">
      <alignment vertical="center"/>
    </xf>
    <xf numFmtId="0" fontId="66" fillId="11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3" borderId="0" applyNumberFormat="0" applyBorder="0" applyAlignment="0" applyProtection="0">
      <alignment vertical="center"/>
    </xf>
    <xf numFmtId="0" fontId="66" fillId="13" borderId="0" applyNumberFormat="0" applyBorder="0" applyAlignment="0" applyProtection="0">
      <alignment vertical="center"/>
    </xf>
    <xf numFmtId="0" fontId="66" fillId="13" borderId="0" applyNumberFormat="0" applyBorder="0" applyAlignment="0" applyProtection="0">
      <alignment vertical="center"/>
    </xf>
    <xf numFmtId="0" fontId="66" fillId="13" borderId="0" applyNumberFormat="0" applyBorder="0" applyAlignment="0" applyProtection="0">
      <alignment vertical="center"/>
    </xf>
    <xf numFmtId="0" fontId="66" fillId="13" borderId="0" applyNumberFormat="0" applyBorder="0" applyAlignment="0" applyProtection="0">
      <alignment vertical="center"/>
    </xf>
    <xf numFmtId="0" fontId="66" fillId="13" borderId="0" applyNumberFormat="0" applyBorder="0" applyAlignment="0" applyProtection="0">
      <alignment vertical="center"/>
    </xf>
    <xf numFmtId="0" fontId="66" fillId="13" borderId="0" applyNumberFormat="0" applyBorder="0" applyAlignment="0" applyProtection="0">
      <alignment vertical="center"/>
    </xf>
    <xf numFmtId="0" fontId="66" fillId="13" borderId="0" applyNumberFormat="0" applyBorder="0" applyAlignment="0" applyProtection="0">
      <alignment vertical="center"/>
    </xf>
    <xf numFmtId="0" fontId="66" fillId="14" borderId="0" applyNumberFormat="0" applyBorder="0" applyAlignment="0" applyProtection="0">
      <alignment vertical="center"/>
    </xf>
    <xf numFmtId="0" fontId="66" fillId="14" borderId="0" applyNumberFormat="0" applyBorder="0" applyAlignment="0" applyProtection="0">
      <alignment vertical="center"/>
    </xf>
    <xf numFmtId="0" fontId="66" fillId="14" borderId="0" applyNumberFormat="0" applyBorder="0" applyAlignment="0" applyProtection="0">
      <alignment vertical="center"/>
    </xf>
    <xf numFmtId="0" fontId="66" fillId="14" borderId="0" applyNumberFormat="0" applyBorder="0" applyAlignment="0" applyProtection="0">
      <alignment vertical="center"/>
    </xf>
    <xf numFmtId="0" fontId="66" fillId="14" borderId="0" applyNumberFormat="0" applyBorder="0" applyAlignment="0" applyProtection="0">
      <alignment vertical="center"/>
    </xf>
    <xf numFmtId="0" fontId="66" fillId="14" borderId="0" applyNumberFormat="0" applyBorder="0" applyAlignment="0" applyProtection="0">
      <alignment vertical="center"/>
    </xf>
    <xf numFmtId="0" fontId="66" fillId="14" borderId="0" applyNumberFormat="0" applyBorder="0" applyAlignment="0" applyProtection="0">
      <alignment vertical="center"/>
    </xf>
    <xf numFmtId="0" fontId="66" fillId="14" borderId="0" applyNumberFormat="0" applyBorder="0" applyAlignment="0" applyProtection="0">
      <alignment vertical="center"/>
    </xf>
    <xf numFmtId="193" fontId="67" fillId="0" borderId="0">
      <alignment horizontal="right"/>
    </xf>
    <xf numFmtId="0" fontId="65" fillId="15" borderId="0" applyNumberFormat="0" applyBorder="0" applyAlignment="0" applyProtection="0"/>
    <xf numFmtId="0" fontId="65" fillId="16" borderId="0" applyNumberFormat="0" applyBorder="0" applyAlignment="0" applyProtection="0"/>
    <xf numFmtId="0" fontId="65" fillId="17" borderId="0" applyNumberFormat="0" applyBorder="0" applyAlignment="0" applyProtection="0"/>
    <xf numFmtId="0" fontId="65" fillId="12" borderId="0" applyNumberFormat="0" applyBorder="0" applyAlignment="0" applyProtection="0"/>
    <xf numFmtId="0" fontId="65" fillId="15" borderId="0" applyNumberFormat="0" applyBorder="0" applyAlignment="0" applyProtection="0"/>
    <xf numFmtId="0" fontId="65" fillId="18" borderId="0" applyNumberFormat="0" applyBorder="0" applyAlignment="0" applyProtection="0"/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6" borderId="0" applyNumberFormat="0" applyBorder="0" applyAlignment="0" applyProtection="0">
      <alignment vertical="center"/>
    </xf>
    <xf numFmtId="0" fontId="66" fillId="16" borderId="0" applyNumberFormat="0" applyBorder="0" applyAlignment="0" applyProtection="0">
      <alignment vertical="center"/>
    </xf>
    <xf numFmtId="0" fontId="66" fillId="16" borderId="0" applyNumberFormat="0" applyBorder="0" applyAlignment="0" applyProtection="0">
      <alignment vertical="center"/>
    </xf>
    <xf numFmtId="0" fontId="66" fillId="16" borderId="0" applyNumberFormat="0" applyBorder="0" applyAlignment="0" applyProtection="0">
      <alignment vertical="center"/>
    </xf>
    <xf numFmtId="0" fontId="66" fillId="16" borderId="0" applyNumberFormat="0" applyBorder="0" applyAlignment="0" applyProtection="0">
      <alignment vertical="center"/>
    </xf>
    <xf numFmtId="0" fontId="66" fillId="16" borderId="0" applyNumberFormat="0" applyBorder="0" applyAlignment="0" applyProtection="0">
      <alignment vertical="center"/>
    </xf>
    <xf numFmtId="0" fontId="66" fillId="16" borderId="0" applyNumberFormat="0" applyBorder="0" applyAlignment="0" applyProtection="0">
      <alignment vertical="center"/>
    </xf>
    <xf numFmtId="0" fontId="66" fillId="16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8" borderId="0" applyNumberFormat="0" applyBorder="0" applyAlignment="0" applyProtection="0">
      <alignment vertical="center"/>
    </xf>
    <xf numFmtId="0" fontId="66" fillId="18" borderId="0" applyNumberFormat="0" applyBorder="0" applyAlignment="0" applyProtection="0">
      <alignment vertical="center"/>
    </xf>
    <xf numFmtId="0" fontId="66" fillId="18" borderId="0" applyNumberFormat="0" applyBorder="0" applyAlignment="0" applyProtection="0">
      <alignment vertical="center"/>
    </xf>
    <xf numFmtId="0" fontId="66" fillId="18" borderId="0" applyNumberFormat="0" applyBorder="0" applyAlignment="0" applyProtection="0">
      <alignment vertical="center"/>
    </xf>
    <xf numFmtId="0" fontId="66" fillId="18" borderId="0" applyNumberFormat="0" applyBorder="0" applyAlignment="0" applyProtection="0">
      <alignment vertical="center"/>
    </xf>
    <xf numFmtId="0" fontId="66" fillId="18" borderId="0" applyNumberFormat="0" applyBorder="0" applyAlignment="0" applyProtection="0">
      <alignment vertical="center"/>
    </xf>
    <xf numFmtId="0" fontId="66" fillId="18" borderId="0" applyNumberFormat="0" applyBorder="0" applyAlignment="0" applyProtection="0">
      <alignment vertical="center"/>
    </xf>
    <xf numFmtId="0" fontId="66" fillId="18" borderId="0" applyNumberFormat="0" applyBorder="0" applyAlignment="0" applyProtection="0">
      <alignment vertical="center"/>
    </xf>
    <xf numFmtId="0" fontId="68" fillId="19" borderId="0" applyNumberFormat="0" applyBorder="0" applyAlignment="0" applyProtection="0"/>
    <xf numFmtId="0" fontId="68" fillId="16" borderId="0" applyNumberFormat="0" applyBorder="0" applyAlignment="0" applyProtection="0"/>
    <xf numFmtId="0" fontId="68" fillId="17" borderId="0" applyNumberFormat="0" applyBorder="0" applyAlignment="0" applyProtection="0"/>
    <xf numFmtId="0" fontId="68" fillId="20" borderId="0" applyNumberFormat="0" applyBorder="0" applyAlignment="0" applyProtection="0"/>
    <xf numFmtId="0" fontId="68" fillId="21" borderId="0" applyNumberFormat="0" applyBorder="0" applyAlignment="0" applyProtection="0"/>
    <xf numFmtId="0" fontId="68" fillId="22" borderId="0" applyNumberFormat="0" applyBorder="0" applyAlignment="0" applyProtection="0"/>
    <xf numFmtId="0" fontId="69" fillId="19" borderId="0" applyNumberFormat="0" applyBorder="0" applyAlignment="0" applyProtection="0">
      <alignment vertical="center"/>
    </xf>
    <xf numFmtId="0" fontId="69" fillId="19" borderId="0" applyNumberFormat="0" applyBorder="0" applyAlignment="0" applyProtection="0">
      <alignment vertical="center"/>
    </xf>
    <xf numFmtId="0" fontId="69" fillId="19" borderId="0" applyNumberFormat="0" applyBorder="0" applyAlignment="0" applyProtection="0">
      <alignment vertical="center"/>
    </xf>
    <xf numFmtId="0" fontId="69" fillId="19" borderId="0" applyNumberFormat="0" applyBorder="0" applyAlignment="0" applyProtection="0">
      <alignment vertical="center"/>
    </xf>
    <xf numFmtId="0" fontId="69" fillId="16" borderId="0" applyNumberFormat="0" applyBorder="0" applyAlignment="0" applyProtection="0">
      <alignment vertical="center"/>
    </xf>
    <xf numFmtId="0" fontId="69" fillId="16" borderId="0" applyNumberFormat="0" applyBorder="0" applyAlignment="0" applyProtection="0">
      <alignment vertical="center"/>
    </xf>
    <xf numFmtId="0" fontId="69" fillId="16" borderId="0" applyNumberFormat="0" applyBorder="0" applyAlignment="0" applyProtection="0">
      <alignment vertical="center"/>
    </xf>
    <xf numFmtId="0" fontId="69" fillId="16" borderId="0" applyNumberFormat="0" applyBorder="0" applyAlignment="0" applyProtection="0">
      <alignment vertical="center"/>
    </xf>
    <xf numFmtId="0" fontId="69" fillId="17" borderId="0" applyNumberFormat="0" applyBorder="0" applyAlignment="0" applyProtection="0">
      <alignment vertical="center"/>
    </xf>
    <xf numFmtId="0" fontId="69" fillId="17" borderId="0" applyNumberFormat="0" applyBorder="0" applyAlignment="0" applyProtection="0">
      <alignment vertical="center"/>
    </xf>
    <xf numFmtId="0" fontId="69" fillId="17" borderId="0" applyNumberFormat="0" applyBorder="0" applyAlignment="0" applyProtection="0">
      <alignment vertical="center"/>
    </xf>
    <xf numFmtId="0" fontId="69" fillId="17" borderId="0" applyNumberFormat="0" applyBorder="0" applyAlignment="0" applyProtection="0">
      <alignment vertical="center"/>
    </xf>
    <xf numFmtId="0" fontId="69" fillId="20" borderId="0" applyNumberFormat="0" applyBorder="0" applyAlignment="0" applyProtection="0">
      <alignment vertical="center"/>
    </xf>
    <xf numFmtId="0" fontId="69" fillId="20" borderId="0" applyNumberFormat="0" applyBorder="0" applyAlignment="0" applyProtection="0">
      <alignment vertical="center"/>
    </xf>
    <xf numFmtId="0" fontId="69" fillId="20" borderId="0" applyNumberFormat="0" applyBorder="0" applyAlignment="0" applyProtection="0">
      <alignment vertical="center"/>
    </xf>
    <xf numFmtId="0" fontId="69" fillId="20" borderId="0" applyNumberFormat="0" applyBorder="0" applyAlignment="0" applyProtection="0">
      <alignment vertical="center"/>
    </xf>
    <xf numFmtId="0" fontId="69" fillId="21" borderId="0" applyNumberFormat="0" applyBorder="0" applyAlignment="0" applyProtection="0">
      <alignment vertical="center"/>
    </xf>
    <xf numFmtId="0" fontId="69" fillId="21" borderId="0" applyNumberFormat="0" applyBorder="0" applyAlignment="0" applyProtection="0">
      <alignment vertical="center"/>
    </xf>
    <xf numFmtId="0" fontId="69" fillId="21" borderId="0" applyNumberFormat="0" applyBorder="0" applyAlignment="0" applyProtection="0">
      <alignment vertical="center"/>
    </xf>
    <xf numFmtId="0" fontId="69" fillId="21" borderId="0" applyNumberFormat="0" applyBorder="0" applyAlignment="0" applyProtection="0">
      <alignment vertical="center"/>
    </xf>
    <xf numFmtId="0" fontId="69" fillId="22" borderId="0" applyNumberFormat="0" applyBorder="0" applyAlignment="0" applyProtection="0">
      <alignment vertical="center"/>
    </xf>
    <xf numFmtId="0" fontId="69" fillId="22" borderId="0" applyNumberFormat="0" applyBorder="0" applyAlignment="0" applyProtection="0">
      <alignment vertical="center"/>
    </xf>
    <xf numFmtId="0" fontId="69" fillId="22" borderId="0" applyNumberFormat="0" applyBorder="0" applyAlignment="0" applyProtection="0">
      <alignment vertical="center"/>
    </xf>
    <xf numFmtId="0" fontId="69" fillId="22" borderId="0" applyNumberFormat="0" applyBorder="0" applyAlignment="0" applyProtection="0">
      <alignment vertical="center"/>
    </xf>
    <xf numFmtId="0" fontId="30" fillId="0" borderId="1" applyNumberFormat="0" applyFont="0" applyAlignment="0">
      <alignment horizontal="right"/>
      <protection locked="0"/>
    </xf>
    <xf numFmtId="0" fontId="30" fillId="0" borderId="1" applyNumberFormat="0" applyFont="0" applyAlignment="0">
      <alignment horizontal="right"/>
      <protection locked="0"/>
    </xf>
    <xf numFmtId="0" fontId="30" fillId="0" borderId="1" applyNumberFormat="0" applyFont="0" applyAlignment="0">
      <alignment horizontal="right"/>
      <protection locked="0"/>
    </xf>
    <xf numFmtId="0" fontId="30" fillId="0" borderId="1" applyNumberFormat="0" applyFont="0" applyAlignment="0">
      <alignment horizontal="right"/>
      <protection locked="0"/>
    </xf>
    <xf numFmtId="0" fontId="68" fillId="23" borderId="0" applyNumberFormat="0" applyBorder="0" applyAlignment="0" applyProtection="0"/>
    <xf numFmtId="0" fontId="68" fillId="24" borderId="0" applyNumberFormat="0" applyBorder="0" applyAlignment="0" applyProtection="0"/>
    <xf numFmtId="0" fontId="68" fillId="25" borderId="0" applyNumberFormat="0" applyBorder="0" applyAlignment="0" applyProtection="0"/>
    <xf numFmtId="0" fontId="68" fillId="20" borderId="0" applyNumberFormat="0" applyBorder="0" applyAlignment="0" applyProtection="0"/>
    <xf numFmtId="0" fontId="68" fillId="21" borderId="0" applyNumberFormat="0" applyBorder="0" applyAlignment="0" applyProtection="0"/>
    <xf numFmtId="0" fontId="68" fillId="26" borderId="0" applyNumberFormat="0" applyBorder="0" applyAlignment="0" applyProtection="0"/>
    <xf numFmtId="0" fontId="70" fillId="0" borderId="14" applyFill="0" applyBorder="0" applyAlignment="0">
      <alignment horizontal="center" wrapText="1"/>
    </xf>
    <xf numFmtId="0" fontId="70" fillId="0" borderId="14" applyFill="0" applyBorder="0" applyAlignment="0">
      <alignment horizontal="center" wrapText="1"/>
    </xf>
    <xf numFmtId="0" fontId="6" fillId="0" borderId="0"/>
    <xf numFmtId="0" fontId="71" fillId="0" borderId="1">
      <alignment horizontal="center" vertical="center" wrapText="1"/>
    </xf>
    <xf numFmtId="0" fontId="71" fillId="0" borderId="1">
      <alignment horizontal="center" vertical="center" wrapText="1"/>
    </xf>
    <xf numFmtId="0" fontId="71" fillId="0" borderId="1">
      <alignment horizontal="center" vertical="center" wrapText="1"/>
    </xf>
    <xf numFmtId="0" fontId="71" fillId="0" borderId="1">
      <alignment horizontal="center" vertical="center" wrapText="1"/>
    </xf>
    <xf numFmtId="0" fontId="72" fillId="0" borderId="0">
      <alignment horizontal="center" wrapText="1"/>
      <protection locked="0"/>
    </xf>
    <xf numFmtId="0" fontId="73" fillId="10" borderId="0" applyNumberFormat="0" applyBorder="0" applyAlignment="0" applyProtection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194" fontId="21" fillId="0" borderId="16" applyAlignment="0" applyProtection="0"/>
    <xf numFmtId="194" fontId="21" fillId="0" borderId="16" applyAlignment="0" applyProtection="0"/>
    <xf numFmtId="194" fontId="21" fillId="0" borderId="16" applyAlignment="0" applyProtection="0"/>
    <xf numFmtId="194" fontId="21" fillId="0" borderId="16" applyAlignment="0" applyProtection="0"/>
    <xf numFmtId="194" fontId="21" fillId="0" borderId="16" applyAlignment="0" applyProtection="0"/>
    <xf numFmtId="194" fontId="21" fillId="0" borderId="16" applyAlignment="0" applyProtection="0"/>
    <xf numFmtId="184" fontId="75" fillId="0" borderId="0" applyFill="0" applyBorder="0" applyAlignment="0"/>
    <xf numFmtId="195" fontId="27" fillId="0" borderId="0" applyFill="0" applyBorder="0" applyAlignment="0"/>
    <xf numFmtId="196" fontId="6" fillId="0" borderId="0" applyFill="0" applyBorder="0" applyAlignment="0"/>
    <xf numFmtId="197" fontId="27" fillId="0" borderId="0" applyFill="0" applyBorder="0" applyAlignment="0"/>
    <xf numFmtId="0" fontId="19" fillId="0" borderId="0" applyFill="0" applyBorder="0" applyAlignment="0"/>
    <xf numFmtId="198" fontId="27" fillId="0" borderId="0" applyFill="0" applyBorder="0" applyAlignment="0"/>
    <xf numFmtId="0" fontId="19" fillId="0" borderId="0" applyFill="0" applyBorder="0" applyAlignment="0"/>
    <xf numFmtId="199" fontId="27" fillId="0" borderId="0" applyFill="0" applyBorder="0" applyAlignment="0"/>
    <xf numFmtId="196" fontId="6" fillId="0" borderId="0" applyFill="0" applyBorder="0" applyAlignment="0"/>
    <xf numFmtId="200" fontId="27" fillId="0" borderId="0" applyFill="0" applyBorder="0" applyAlignment="0"/>
    <xf numFmtId="0" fontId="19" fillId="0" borderId="0" applyFill="0" applyBorder="0" applyAlignment="0"/>
    <xf numFmtId="201" fontId="27" fillId="0" borderId="0" applyFill="0" applyBorder="0" applyAlignment="0"/>
    <xf numFmtId="184" fontId="75" fillId="0" borderId="0" applyFill="0" applyBorder="0" applyAlignment="0"/>
    <xf numFmtId="195" fontId="27" fillId="0" borderId="0" applyFill="0" applyBorder="0" applyAlignment="0"/>
    <xf numFmtId="0" fontId="76" fillId="27" borderId="21" applyNumberFormat="0" applyAlignment="0" applyProtection="0"/>
    <xf numFmtId="0" fontId="76" fillId="27" borderId="21" applyNumberFormat="0" applyAlignment="0" applyProtection="0"/>
    <xf numFmtId="0" fontId="76" fillId="27" borderId="21" applyNumberFormat="0" applyAlignment="0" applyProtection="0"/>
    <xf numFmtId="0" fontId="76" fillId="27" borderId="21" applyNumberFormat="0" applyAlignment="0" applyProtection="0"/>
    <xf numFmtId="0" fontId="76" fillId="27" borderId="21" applyNumberFormat="0" applyAlignment="0" applyProtection="0"/>
    <xf numFmtId="49" fontId="77" fillId="0" borderId="0">
      <alignment horizontal="right" vertical="top"/>
    </xf>
    <xf numFmtId="0" fontId="78" fillId="28" borderId="22" applyNumberFormat="0" applyAlignment="0" applyProtection="0"/>
    <xf numFmtId="0" fontId="79" fillId="0" borderId="17" applyNumberFormat="0" applyFill="0" applyProtection="0">
      <alignment horizontal="center"/>
    </xf>
    <xf numFmtId="202" fontId="80" fillId="0" borderId="0" applyFont="0" applyFill="0" applyBorder="0" applyAlignment="0" applyProtection="0"/>
    <xf numFmtId="196" fontId="6" fillId="0" borderId="0" applyFont="0" applyFill="0" applyBorder="0" applyAlignment="0" applyProtection="0"/>
    <xf numFmtId="200" fontId="27" fillId="0" borderId="0" applyFont="0" applyFill="0" applyBorder="0" applyAlignment="0" applyProtection="0"/>
    <xf numFmtId="37" fontId="62" fillId="0" borderId="0" applyFont="0" applyFill="0" applyBorder="0" applyAlignment="0" applyProtection="0"/>
    <xf numFmtId="203" fontId="62" fillId="0" borderId="0" applyFont="0" applyFill="0" applyBorder="0" applyAlignment="0" applyProtection="0"/>
    <xf numFmtId="39" fontId="62" fillId="0" borderId="0" applyFont="0" applyFill="0" applyBorder="0" applyAlignment="0" applyProtection="0"/>
    <xf numFmtId="204" fontId="19" fillId="0" borderId="0" applyFont="0" applyFill="0" applyBorder="0" applyAlignment="0" applyProtection="0"/>
    <xf numFmtId="0" fontId="81" fillId="0" borderId="0" applyNumberFormat="0" applyFill="0" applyBorder="0" applyAlignment="0" applyProtection="0"/>
    <xf numFmtId="0" fontId="82" fillId="0" borderId="0" applyNumberFormat="0" applyAlignment="0">
      <alignment horizontal="left"/>
    </xf>
    <xf numFmtId="205" fontId="80" fillId="0" borderId="0" applyFont="0" applyFill="0" applyBorder="0" applyAlignment="0" applyProtection="0"/>
    <xf numFmtId="184" fontId="75" fillId="0" borderId="0" applyFont="0" applyFill="0" applyBorder="0" applyAlignment="0" applyProtection="0"/>
    <xf numFmtId="195" fontId="27" fillId="0" borderId="0" applyFont="0" applyFill="0" applyBorder="0" applyAlignment="0" applyProtection="0"/>
    <xf numFmtId="194" fontId="62" fillId="0" borderId="0" applyFont="0" applyFill="0" applyBorder="0" applyAlignment="0" applyProtection="0"/>
    <xf numFmtId="206" fontId="62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81" fillId="0" borderId="0" applyNumberFormat="0" applyFill="0" applyBorder="0" applyAlignment="0" applyProtection="0"/>
    <xf numFmtId="0" fontId="83" fillId="0" borderId="14" applyFill="0" applyBorder="0" applyAlignment="0">
      <alignment horizontal="center" wrapText="1"/>
    </xf>
    <xf numFmtId="0" fontId="83" fillId="0" borderId="14" applyFill="0" applyBorder="0" applyAlignment="0">
      <alignment horizontal="center" wrapText="1"/>
    </xf>
    <xf numFmtId="14" fontId="19" fillId="0" borderId="0"/>
    <xf numFmtId="14" fontId="12" fillId="0" borderId="0" applyFill="0" applyBorder="0" applyAlignment="0"/>
    <xf numFmtId="0" fontId="84" fillId="0" borderId="14" applyFill="0" applyBorder="0" applyAlignment="0">
      <alignment horizontal="center"/>
    </xf>
    <xf numFmtId="0" fontId="84" fillId="0" borderId="14" applyFill="0" applyBorder="0" applyAlignment="0">
      <alignment horizontal="center"/>
    </xf>
    <xf numFmtId="17" fontId="27" fillId="0" borderId="0" applyNumberFormat="0" applyFont="0" applyFill="0" applyBorder="0" applyAlignment="0" applyProtection="0">
      <alignment horizontal="right"/>
    </xf>
    <xf numFmtId="0" fontId="85" fillId="0" borderId="0"/>
    <xf numFmtId="0" fontId="77" fillId="0" borderId="0"/>
    <xf numFmtId="0" fontId="85" fillId="0" borderId="0">
      <alignment horizontal="centerContinuous"/>
    </xf>
    <xf numFmtId="0" fontId="77" fillId="0" borderId="0">
      <alignment horizontal="centerContinuous"/>
    </xf>
    <xf numFmtId="0" fontId="85" fillId="1" borderId="0">
      <alignment horizontal="centerContinuous"/>
    </xf>
    <xf numFmtId="196" fontId="6" fillId="0" borderId="0" applyFill="0" applyBorder="0" applyAlignment="0"/>
    <xf numFmtId="200" fontId="27" fillId="0" borderId="0" applyFill="0" applyBorder="0" applyAlignment="0"/>
    <xf numFmtId="184" fontId="75" fillId="0" borderId="0" applyFill="0" applyBorder="0" applyAlignment="0"/>
    <xf numFmtId="195" fontId="27" fillId="0" borderId="0" applyFill="0" applyBorder="0" applyAlignment="0"/>
    <xf numFmtId="196" fontId="6" fillId="0" borderId="0" applyFill="0" applyBorder="0" applyAlignment="0"/>
    <xf numFmtId="200" fontId="27" fillId="0" borderId="0" applyFill="0" applyBorder="0" applyAlignment="0"/>
    <xf numFmtId="0" fontId="19" fillId="0" borderId="0" applyFill="0" applyBorder="0" applyAlignment="0"/>
    <xf numFmtId="201" fontId="27" fillId="0" borderId="0" applyFill="0" applyBorder="0" applyAlignment="0"/>
    <xf numFmtId="184" fontId="75" fillId="0" borderId="0" applyFill="0" applyBorder="0" applyAlignment="0"/>
    <xf numFmtId="195" fontId="27" fillId="0" borderId="0" applyFill="0" applyBorder="0" applyAlignment="0"/>
    <xf numFmtId="0" fontId="86" fillId="0" borderId="0" applyNumberFormat="0" applyAlignment="0">
      <alignment horizontal="left"/>
    </xf>
    <xf numFmtId="0" fontId="87" fillId="0" borderId="0" applyNumberFormat="0" applyFill="0" applyBorder="0" applyAlignment="0" applyProtection="0"/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5" fillId="0" borderId="0">
      <alignment vertical="center"/>
    </xf>
    <xf numFmtId="0" fontId="90" fillId="11" borderId="0" applyNumberFormat="0" applyBorder="0" applyAlignment="0" applyProtection="0"/>
    <xf numFmtId="0" fontId="91" fillId="0" borderId="0"/>
    <xf numFmtId="0" fontId="15" fillId="7" borderId="0"/>
    <xf numFmtId="0" fontId="15" fillId="7" borderId="0"/>
    <xf numFmtId="0" fontId="15" fillId="7" borderId="0"/>
    <xf numFmtId="0" fontId="16" fillId="0" borderId="7">
      <alignment horizontal="left" vertical="center"/>
    </xf>
    <xf numFmtId="0" fontId="16" fillId="0" borderId="7">
      <alignment horizontal="left" vertical="center"/>
    </xf>
    <xf numFmtId="0" fontId="16" fillId="0" borderId="7">
      <alignment horizontal="left" vertical="center"/>
    </xf>
    <xf numFmtId="0" fontId="16" fillId="0" borderId="7">
      <alignment horizontal="left" vertical="center"/>
    </xf>
    <xf numFmtId="0" fontId="16" fillId="0" borderId="7">
      <alignment horizontal="left" vertical="center"/>
    </xf>
    <xf numFmtId="0" fontId="16" fillId="0" borderId="7">
      <alignment horizontal="left" vertical="center"/>
    </xf>
    <xf numFmtId="0" fontId="16" fillId="0" borderId="7">
      <alignment horizontal="left" vertical="center"/>
    </xf>
    <xf numFmtId="14" fontId="92" fillId="4" borderId="9">
      <alignment horizontal="center" vertical="center" wrapText="1"/>
    </xf>
    <xf numFmtId="0" fontId="81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93" fillId="0" borderId="23" applyNumberFormat="0" applyFill="0" applyAlignment="0" applyProtection="0"/>
    <xf numFmtId="0" fontId="93" fillId="0" borderId="0" applyNumberFormat="0" applyFill="0" applyBorder="0" applyAlignment="0" applyProtection="0"/>
    <xf numFmtId="0" fontId="94" fillId="0" borderId="9">
      <alignment horizontal="center"/>
    </xf>
    <xf numFmtId="0" fontId="94" fillId="0" borderId="0">
      <alignment horizontal="center"/>
    </xf>
    <xf numFmtId="0" fontId="95" fillId="0" borderId="0" applyNumberFormat="0" applyFill="0" applyBorder="0" applyAlignment="0" applyProtection="0">
      <alignment vertical="top"/>
      <protection locked="0"/>
    </xf>
    <xf numFmtId="0" fontId="96" fillId="0" borderId="0" applyNumberFormat="0" applyFill="0" applyBorder="0" applyAlignment="0" applyProtection="0">
      <alignment vertical="center"/>
    </xf>
    <xf numFmtId="0" fontId="97" fillId="0" borderId="0">
      <alignment vertical="center"/>
    </xf>
    <xf numFmtId="0" fontId="98" fillId="14" borderId="21" applyNumberFormat="0" applyAlignment="0" applyProtection="0"/>
    <xf numFmtId="10" fontId="14" fillId="8" borderId="1" applyNumberFormat="0" applyBorder="0" applyAlignment="0" applyProtection="0"/>
    <xf numFmtId="10" fontId="14" fillId="8" borderId="1" applyNumberFormat="0" applyBorder="0" applyAlignment="0" applyProtection="0"/>
    <xf numFmtId="10" fontId="14" fillId="8" borderId="1" applyNumberFormat="0" applyBorder="0" applyAlignment="0" applyProtection="0"/>
    <xf numFmtId="0" fontId="98" fillId="14" borderId="21" applyNumberFormat="0" applyAlignment="0" applyProtection="0"/>
    <xf numFmtId="0" fontId="98" fillId="14" borderId="21" applyNumberFormat="0" applyAlignment="0" applyProtection="0"/>
    <xf numFmtId="0" fontId="98" fillId="14" borderId="21" applyNumberFormat="0" applyAlignment="0" applyProtection="0"/>
    <xf numFmtId="0" fontId="98" fillId="14" borderId="21" applyNumberFormat="0" applyAlignment="0" applyProtection="0"/>
    <xf numFmtId="0" fontId="99" fillId="0" borderId="13" applyFill="0" applyBorder="0">
      <alignment horizontal="center"/>
    </xf>
    <xf numFmtId="0" fontId="16" fillId="0" borderId="0" applyFont="0" applyAlignment="0">
      <alignment horizontal="justify" vertical="top" wrapText="1"/>
    </xf>
    <xf numFmtId="0" fontId="100" fillId="0" borderId="14" applyFill="0" applyBorder="0" applyAlignment="0">
      <alignment horizontal="center"/>
    </xf>
    <xf numFmtId="0" fontId="100" fillId="0" borderId="14" applyFill="0" applyBorder="0" applyAlignment="0">
      <alignment horizontal="center"/>
    </xf>
    <xf numFmtId="0" fontId="101" fillId="0" borderId="14" applyFill="0" applyBorder="0" applyAlignment="0">
      <alignment horizontal="center" wrapText="1"/>
    </xf>
    <xf numFmtId="0" fontId="101" fillId="0" borderId="14" applyFill="0" applyBorder="0" applyAlignment="0">
      <alignment horizontal="center" wrapText="1"/>
    </xf>
    <xf numFmtId="0" fontId="102" fillId="0" borderId="14" applyFill="0" applyBorder="0">
      <alignment horizontal="center" wrapText="1"/>
    </xf>
    <xf numFmtId="0" fontId="102" fillId="0" borderId="14" applyFill="0" applyBorder="0">
      <alignment horizontal="center" wrapText="1"/>
    </xf>
    <xf numFmtId="0" fontId="53" fillId="0" borderId="0">
      <alignment vertical="top"/>
    </xf>
    <xf numFmtId="207" fontId="28" fillId="0" borderId="0">
      <alignment horizontal="centerContinuous" vertical="center"/>
    </xf>
    <xf numFmtId="49" fontId="28" fillId="0" borderId="0">
      <alignment horizontal="centerContinuous" vertical="center"/>
    </xf>
    <xf numFmtId="49" fontId="28" fillId="0" borderId="0">
      <alignment horizontal="centerContinuous" vertical="center"/>
    </xf>
    <xf numFmtId="49" fontId="28" fillId="0" borderId="0">
      <alignment horizontal="left" vertical="center"/>
    </xf>
    <xf numFmtId="49" fontId="28" fillId="0" borderId="0">
      <alignment horizontal="left"/>
    </xf>
    <xf numFmtId="49" fontId="28" fillId="0" borderId="0">
      <alignment horizontal="left" vertical="top"/>
    </xf>
    <xf numFmtId="49" fontId="28" fillId="0" borderId="0">
      <alignment vertical="center"/>
    </xf>
    <xf numFmtId="49" fontId="28" fillId="29" borderId="0">
      <alignment horizontal="centerContinuous" vertical="center"/>
    </xf>
    <xf numFmtId="49" fontId="85" fillId="0" borderId="0">
      <alignment horizontal="left" vertical="center"/>
    </xf>
    <xf numFmtId="49" fontId="77" fillId="0" borderId="0">
      <alignment horizontal="left" vertical="center"/>
    </xf>
    <xf numFmtId="0" fontId="20" fillId="0" borderId="0"/>
    <xf numFmtId="196" fontId="6" fillId="0" borderId="0" applyFill="0" applyBorder="0" applyAlignment="0"/>
    <xf numFmtId="200" fontId="27" fillId="0" borderId="0" applyFill="0" applyBorder="0" applyAlignment="0"/>
    <xf numFmtId="184" fontId="75" fillId="0" borderId="0" applyFill="0" applyBorder="0" applyAlignment="0"/>
    <xf numFmtId="195" fontId="27" fillId="0" borderId="0" applyFill="0" applyBorder="0" applyAlignment="0"/>
    <xf numFmtId="196" fontId="6" fillId="0" borderId="0" applyFill="0" applyBorder="0" applyAlignment="0"/>
    <xf numFmtId="200" fontId="27" fillId="0" borderId="0" applyFill="0" applyBorder="0" applyAlignment="0"/>
    <xf numFmtId="0" fontId="19" fillId="0" borderId="0" applyFill="0" applyBorder="0" applyAlignment="0"/>
    <xf numFmtId="201" fontId="27" fillId="0" borderId="0" applyFill="0" applyBorder="0" applyAlignment="0"/>
    <xf numFmtId="184" fontId="75" fillId="0" borderId="0" applyFill="0" applyBorder="0" applyAlignment="0"/>
    <xf numFmtId="195" fontId="27" fillId="0" borderId="0" applyFill="0" applyBorder="0" applyAlignment="0"/>
    <xf numFmtId="0" fontId="103" fillId="0" borderId="24" applyNumberFormat="0" applyFill="0" applyAlignment="0" applyProtection="0"/>
    <xf numFmtId="0" fontId="30" fillId="3" borderId="1" applyFill="0" applyBorder="0" applyAlignment="0">
      <alignment vertical="center"/>
    </xf>
    <xf numFmtId="0" fontId="30" fillId="3" borderId="1" applyFill="0" applyBorder="0" applyAlignment="0">
      <alignment vertical="center"/>
    </xf>
    <xf numFmtId="0" fontId="30" fillId="3" borderId="1" applyFill="0" applyBorder="0" applyAlignment="0">
      <alignment vertical="center"/>
    </xf>
    <xf numFmtId="0" fontId="30" fillId="3" borderId="1" applyFill="0" applyBorder="0" applyAlignment="0">
      <alignment vertical="center"/>
    </xf>
    <xf numFmtId="208" fontId="5" fillId="0" borderId="0" applyFont="0" applyFill="0" applyBorder="0" applyAlignment="0" applyProtection="0"/>
    <xf numFmtId="4" fontId="27" fillId="0" borderId="0" applyFont="0" applyFill="0" applyBorder="0" applyAlignment="0" applyProtection="0"/>
    <xf numFmtId="209" fontId="19" fillId="0" borderId="0" applyFont="0" applyFill="0" applyBorder="0" applyAlignment="0" applyProtection="0"/>
    <xf numFmtId="210" fontId="19" fillId="0" borderId="0" applyFont="0" applyFill="0" applyBorder="0" applyAlignment="0" applyProtection="0"/>
    <xf numFmtId="205" fontId="19" fillId="0" borderId="0" applyFont="0" applyFill="0" applyBorder="0" applyAlignment="0" applyProtection="0"/>
    <xf numFmtId="211" fontId="27" fillId="0" borderId="0" applyFont="0" applyFill="0" applyBorder="0" applyAlignment="0" applyProtection="0"/>
    <xf numFmtId="212" fontId="19" fillId="0" borderId="0" applyFont="0" applyFill="0" applyBorder="0" applyAlignment="0" applyProtection="0"/>
    <xf numFmtId="213" fontId="19" fillId="0" borderId="0" applyFont="0" applyFill="0" applyBorder="0" applyAlignment="0" applyProtection="0"/>
    <xf numFmtId="0" fontId="53" fillId="0" borderId="0"/>
    <xf numFmtId="0" fontId="28" fillId="0" borderId="0" applyNumberFormat="0" applyFont="0" applyBorder="0" applyProtection="0">
      <alignment vertical="center"/>
    </xf>
    <xf numFmtId="0" fontId="104" fillId="30" borderId="0" applyNumberFormat="0" applyBorder="0" applyAlignment="0" applyProtection="0"/>
    <xf numFmtId="193" fontId="67" fillId="0" borderId="0">
      <alignment horizontal="right"/>
    </xf>
    <xf numFmtId="179" fontId="18" fillId="0" borderId="0"/>
    <xf numFmtId="178" fontId="5" fillId="0" borderId="0"/>
    <xf numFmtId="214" fontId="8" fillId="0" borderId="0"/>
    <xf numFmtId="0" fontId="19" fillId="0" borderId="0"/>
    <xf numFmtId="0" fontId="20" fillId="0" borderId="0"/>
    <xf numFmtId="0" fontId="5" fillId="31" borderId="25" applyNumberFormat="0" applyFont="0" applyAlignment="0" applyProtection="0"/>
    <xf numFmtId="0" fontId="5" fillId="31" borderId="25" applyNumberFormat="0" applyFont="0" applyAlignment="0" applyProtection="0"/>
    <xf numFmtId="0" fontId="5" fillId="31" borderId="25" applyNumberFormat="0" applyFont="0" applyAlignment="0" applyProtection="0"/>
    <xf numFmtId="0" fontId="5" fillId="31" borderId="25" applyNumberFormat="0" applyFont="0" applyAlignment="0" applyProtection="0"/>
    <xf numFmtId="0" fontId="5" fillId="31" borderId="25" applyNumberFormat="0" applyFont="0" applyAlignment="0" applyProtection="0"/>
    <xf numFmtId="0" fontId="5" fillId="31" borderId="25" applyNumberFormat="0" applyFont="0" applyAlignment="0" applyProtection="0"/>
    <xf numFmtId="0" fontId="5" fillId="31" borderId="25" applyNumberFormat="0" applyFont="0" applyAlignment="0" applyProtection="0"/>
    <xf numFmtId="0" fontId="5" fillId="31" borderId="25" applyNumberFormat="0" applyFont="0" applyAlignment="0" applyProtection="0"/>
    <xf numFmtId="0" fontId="5" fillId="31" borderId="25" applyNumberFormat="0" applyFont="0" applyAlignment="0" applyProtection="0"/>
    <xf numFmtId="0" fontId="5" fillId="31" borderId="25" applyNumberFormat="0" applyFont="0" applyAlignment="0" applyProtection="0"/>
    <xf numFmtId="0" fontId="105" fillId="0" borderId="11" applyNumberFormat="0" applyFont="0" applyFill="0" applyBorder="0">
      <alignment vertical="center"/>
    </xf>
    <xf numFmtId="0" fontId="106" fillId="0" borderId="1" applyNumberFormat="0" applyBorder="0" applyAlignment="0">
      <alignment horizontal="center" vertical="center"/>
    </xf>
    <xf numFmtId="0" fontId="106" fillId="0" borderId="1" applyNumberFormat="0" applyBorder="0" applyAlignment="0">
      <alignment horizontal="center" vertical="center"/>
    </xf>
    <xf numFmtId="0" fontId="106" fillId="0" borderId="1" applyNumberFormat="0" applyBorder="0" applyAlignment="0">
      <alignment horizontal="center" vertical="center"/>
    </xf>
    <xf numFmtId="0" fontId="106" fillId="0" borderId="1" applyNumberFormat="0" applyBorder="0" applyAlignment="0">
      <alignment horizontal="center" vertical="center"/>
    </xf>
    <xf numFmtId="215" fontId="19" fillId="0" borderId="0" applyFont="0" applyFill="0" applyBorder="0" applyAlignment="0" applyProtection="0"/>
    <xf numFmtId="202" fontId="19" fillId="0" borderId="0" applyFont="0" applyFill="0" applyBorder="0" applyAlignment="0" applyProtection="0"/>
    <xf numFmtId="0" fontId="91" fillId="0" borderId="0"/>
    <xf numFmtId="0" fontId="91" fillId="0" borderId="0"/>
    <xf numFmtId="0" fontId="8" fillId="0" borderId="0"/>
    <xf numFmtId="0" fontId="19" fillId="0" borderId="0"/>
    <xf numFmtId="0" fontId="107" fillId="27" borderId="26" applyNumberFormat="0" applyAlignment="0" applyProtection="0"/>
    <xf numFmtId="0" fontId="107" fillId="27" borderId="26" applyNumberFormat="0" applyAlignment="0" applyProtection="0"/>
    <xf numFmtId="0" fontId="107" fillId="27" borderId="26" applyNumberFormat="0" applyAlignment="0" applyProtection="0"/>
    <xf numFmtId="0" fontId="107" fillId="27" borderId="26" applyNumberFormat="0" applyAlignment="0" applyProtection="0"/>
    <xf numFmtId="0" fontId="107" fillId="27" borderId="26" applyNumberFormat="0" applyAlignment="0" applyProtection="0"/>
    <xf numFmtId="14" fontId="72" fillId="0" borderId="0">
      <alignment horizontal="center" wrapText="1"/>
      <protection locked="0"/>
    </xf>
    <xf numFmtId="216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199" fontId="27" fillId="0" borderId="0" applyFont="0" applyFill="0" applyBorder="0" applyAlignment="0" applyProtection="0"/>
    <xf numFmtId="204" fontId="19" fillId="0" borderId="0" applyFont="0" applyFill="0" applyBorder="0" applyAlignment="0" applyProtection="0"/>
    <xf numFmtId="214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77" fillId="0" borderId="0">
      <alignment horizontal="left"/>
    </xf>
    <xf numFmtId="196" fontId="6" fillId="0" borderId="0" applyFill="0" applyBorder="0" applyAlignment="0"/>
    <xf numFmtId="200" fontId="27" fillId="0" borderId="0" applyFill="0" applyBorder="0" applyAlignment="0"/>
    <xf numFmtId="184" fontId="75" fillId="0" borderId="0" applyFill="0" applyBorder="0" applyAlignment="0"/>
    <xf numFmtId="195" fontId="27" fillId="0" borderId="0" applyFill="0" applyBorder="0" applyAlignment="0"/>
    <xf numFmtId="196" fontId="6" fillId="0" borderId="0" applyFill="0" applyBorder="0" applyAlignment="0"/>
    <xf numFmtId="200" fontId="27" fillId="0" borderId="0" applyFill="0" applyBorder="0" applyAlignment="0"/>
    <xf numFmtId="0" fontId="19" fillId="0" borderId="0" applyFill="0" applyBorder="0" applyAlignment="0"/>
    <xf numFmtId="201" fontId="27" fillId="0" borderId="0" applyFill="0" applyBorder="0" applyAlignment="0"/>
    <xf numFmtId="184" fontId="75" fillId="0" borderId="0" applyFill="0" applyBorder="0" applyAlignment="0"/>
    <xf numFmtId="195" fontId="27" fillId="0" borderId="0" applyFill="0" applyBorder="0" applyAlignment="0"/>
    <xf numFmtId="194" fontId="27" fillId="0" borderId="0">
      <alignment horizontal="right"/>
    </xf>
    <xf numFmtId="200" fontId="108" fillId="0" borderId="0"/>
    <xf numFmtId="15" fontId="20" fillId="0" borderId="0" applyFont="0" applyFill="0" applyBorder="0" applyAlignment="0" applyProtection="0"/>
    <xf numFmtId="4" fontId="20" fillId="0" borderId="0" applyFont="0" applyFill="0" applyBorder="0" applyAlignment="0" applyProtection="0"/>
    <xf numFmtId="3" fontId="20" fillId="0" borderId="0" applyFont="0" applyFill="0" applyBorder="0" applyAlignment="0" applyProtection="0"/>
    <xf numFmtId="0" fontId="20" fillId="32" borderId="0" applyNumberFormat="0" applyFont="0" applyBorder="0" applyAlignment="0" applyProtection="0"/>
    <xf numFmtId="49" fontId="85" fillId="0" borderId="0">
      <alignment horizontal="right" vertical="center"/>
    </xf>
    <xf numFmtId="49" fontId="77" fillId="0" borderId="0">
      <alignment horizontal="right" vertical="center"/>
    </xf>
    <xf numFmtId="0" fontId="109" fillId="0" borderId="0"/>
    <xf numFmtId="0" fontId="110" fillId="33" borderId="0" applyNumberFormat="0" applyFont="0" applyBorder="0" applyAlignment="0">
      <alignment horizontal="center"/>
    </xf>
    <xf numFmtId="30" fontId="111" fillId="0" borderId="0" applyNumberFormat="0" applyFill="0" applyBorder="0" applyAlignment="0" applyProtection="0">
      <alignment horizontal="left"/>
    </xf>
    <xf numFmtId="0" fontId="110" fillId="1" borderId="7" applyNumberFormat="0" applyFont="0" applyAlignment="0">
      <alignment horizontal="center"/>
    </xf>
    <xf numFmtId="0" fontId="110" fillId="1" borderId="7" applyNumberFormat="0" applyFont="0" applyAlignment="0">
      <alignment horizontal="center"/>
    </xf>
    <xf numFmtId="0" fontId="110" fillId="1" borderId="7" applyNumberFormat="0" applyFont="0" applyAlignment="0">
      <alignment horizontal="center"/>
    </xf>
    <xf numFmtId="0" fontId="110" fillId="1" borderId="7" applyNumberFormat="0" applyFont="0" applyAlignment="0">
      <alignment horizontal="center"/>
    </xf>
    <xf numFmtId="0" fontId="112" fillId="0" borderId="0" applyNumberFormat="0" applyFill="0" applyBorder="0" applyAlignment="0">
      <alignment horizontal="center"/>
    </xf>
    <xf numFmtId="0" fontId="113" fillId="34" borderId="0">
      <alignment horizontal="left" vertical="top"/>
    </xf>
    <xf numFmtId="0" fontId="14" fillId="0" borderId="0" applyNumberFormat="0" applyFill="0" applyBorder="0" applyProtection="0">
      <alignment horizontal="left" vertical="top" wrapText="1"/>
    </xf>
    <xf numFmtId="40" fontId="114" fillId="0" borderId="0" applyBorder="0">
      <alignment horizontal="right"/>
    </xf>
    <xf numFmtId="0" fontId="115" fillId="0" borderId="0" applyNumberFormat="0" applyFill="0" applyBorder="0"/>
    <xf numFmtId="49" fontId="12" fillId="0" borderId="0" applyFill="0" applyBorder="0" applyAlignment="0"/>
    <xf numFmtId="0" fontId="19" fillId="0" borderId="0" applyFill="0" applyBorder="0" applyAlignment="0"/>
    <xf numFmtId="217" fontId="27" fillId="0" borderId="0" applyFill="0" applyBorder="0" applyAlignment="0"/>
    <xf numFmtId="0" fontId="19" fillId="0" borderId="0" applyFill="0" applyBorder="0" applyAlignment="0"/>
    <xf numFmtId="218" fontId="27" fillId="0" borderId="0" applyFill="0" applyBorder="0" applyAlignment="0"/>
    <xf numFmtId="0" fontId="70" fillId="0" borderId="0" applyFill="0" applyBorder="0" applyProtection="0">
      <alignment horizontal="left" vertical="top"/>
    </xf>
    <xf numFmtId="0" fontId="53" fillId="0" borderId="0">
      <alignment vertical="top"/>
    </xf>
    <xf numFmtId="0" fontId="81" fillId="0" borderId="0" applyNumberFormat="0" applyFill="0" applyBorder="0" applyAlignment="0" applyProtection="0"/>
    <xf numFmtId="0" fontId="31" fillId="0" borderId="0"/>
    <xf numFmtId="0" fontId="30" fillId="0" borderId="0">
      <protection locked="0"/>
    </xf>
    <xf numFmtId="0" fontId="116" fillId="0" borderId="0" applyNumberFormat="0" applyFill="0" applyBorder="0" applyAlignment="0" applyProtection="0"/>
    <xf numFmtId="0" fontId="69" fillId="23" borderId="0" applyNumberFormat="0" applyBorder="0" applyAlignment="0" applyProtection="0">
      <alignment vertical="center"/>
    </xf>
    <xf numFmtId="0" fontId="69" fillId="23" borderId="0" applyNumberFormat="0" applyBorder="0" applyAlignment="0" applyProtection="0">
      <alignment vertical="center"/>
    </xf>
    <xf numFmtId="0" fontId="69" fillId="23" borderId="0" applyNumberFormat="0" applyBorder="0" applyAlignment="0" applyProtection="0">
      <alignment vertical="center"/>
    </xf>
    <xf numFmtId="0" fontId="69" fillId="23" borderId="0" applyNumberFormat="0" applyBorder="0" applyAlignment="0" applyProtection="0">
      <alignment vertical="center"/>
    </xf>
    <xf numFmtId="0" fontId="69" fillId="24" borderId="0" applyNumberFormat="0" applyBorder="0" applyAlignment="0" applyProtection="0">
      <alignment vertical="center"/>
    </xf>
    <xf numFmtId="0" fontId="69" fillId="24" borderId="0" applyNumberFormat="0" applyBorder="0" applyAlignment="0" applyProtection="0">
      <alignment vertical="center"/>
    </xf>
    <xf numFmtId="0" fontId="69" fillId="24" borderId="0" applyNumberFormat="0" applyBorder="0" applyAlignment="0" applyProtection="0">
      <alignment vertical="center"/>
    </xf>
    <xf numFmtId="0" fontId="69" fillId="24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0" borderId="0" applyNumberFormat="0" applyBorder="0" applyAlignment="0" applyProtection="0">
      <alignment vertical="center"/>
    </xf>
    <xf numFmtId="0" fontId="69" fillId="20" borderId="0" applyNumberFormat="0" applyBorder="0" applyAlignment="0" applyProtection="0">
      <alignment vertical="center"/>
    </xf>
    <xf numFmtId="0" fontId="69" fillId="20" borderId="0" applyNumberFormat="0" applyBorder="0" applyAlignment="0" applyProtection="0">
      <alignment vertical="center"/>
    </xf>
    <xf numFmtId="0" fontId="69" fillId="20" borderId="0" applyNumberFormat="0" applyBorder="0" applyAlignment="0" applyProtection="0">
      <alignment vertical="center"/>
    </xf>
    <xf numFmtId="0" fontId="69" fillId="21" borderId="0" applyNumberFormat="0" applyBorder="0" applyAlignment="0" applyProtection="0">
      <alignment vertical="center"/>
    </xf>
    <xf numFmtId="0" fontId="69" fillId="21" borderId="0" applyNumberFormat="0" applyBorder="0" applyAlignment="0" applyProtection="0">
      <alignment vertical="center"/>
    </xf>
    <xf numFmtId="0" fontId="69" fillId="21" borderId="0" applyNumberFormat="0" applyBorder="0" applyAlignment="0" applyProtection="0">
      <alignment vertical="center"/>
    </xf>
    <xf numFmtId="0" fontId="69" fillId="21" borderId="0" applyNumberFormat="0" applyBorder="0" applyAlignment="0" applyProtection="0">
      <alignment vertical="center"/>
    </xf>
    <xf numFmtId="0" fontId="69" fillId="26" borderId="0" applyNumberFormat="0" applyBorder="0" applyAlignment="0" applyProtection="0">
      <alignment vertical="center"/>
    </xf>
    <xf numFmtId="0" fontId="69" fillId="26" borderId="0" applyNumberFormat="0" applyBorder="0" applyAlignment="0" applyProtection="0">
      <alignment vertical="center"/>
    </xf>
    <xf numFmtId="0" fontId="69" fillId="26" borderId="0" applyNumberFormat="0" applyBorder="0" applyAlignment="0" applyProtection="0">
      <alignment vertical="center"/>
    </xf>
    <xf numFmtId="0" fontId="69" fillId="26" borderId="0" applyNumberFormat="0" applyBorder="0" applyAlignment="0" applyProtection="0">
      <alignment vertical="center"/>
    </xf>
    <xf numFmtId="0" fontId="117" fillId="0" borderId="2" applyNumberFormat="0" applyBorder="0" applyAlignment="0">
      <alignment vertical="top" wrapText="1"/>
    </xf>
    <xf numFmtId="0" fontId="117" fillId="0" borderId="2" applyNumberFormat="0" applyBorder="0" applyAlignment="0">
      <alignment vertical="top" wrapText="1"/>
    </xf>
    <xf numFmtId="0" fontId="117" fillId="0" borderId="2" applyNumberFormat="0" applyBorder="0" applyAlignment="0">
      <alignment vertical="top" wrapText="1"/>
    </xf>
    <xf numFmtId="0" fontId="117" fillId="0" borderId="2" applyNumberFormat="0" applyBorder="0" applyAlignment="0">
      <alignment vertical="top" wrapText="1"/>
    </xf>
    <xf numFmtId="0" fontId="117" fillId="0" borderId="0" applyProtection="0"/>
    <xf numFmtId="0" fontId="71" fillId="0" borderId="0" applyFill="0" applyBorder="0" applyProtection="0"/>
    <xf numFmtId="0" fontId="27" fillId="0" borderId="0"/>
    <xf numFmtId="0" fontId="3" fillId="0" borderId="27">
      <alignment vertical="center"/>
    </xf>
    <xf numFmtId="6" fontId="14" fillId="0" borderId="0" applyFont="0" applyFill="0" applyBorder="0" applyAlignment="0" applyProtection="0"/>
    <xf numFmtId="0" fontId="5" fillId="0" borderId="0"/>
    <xf numFmtId="0" fontId="118" fillId="0" borderId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20" fillId="28" borderId="22" applyNumberFormat="0" applyAlignment="0" applyProtection="0">
      <alignment vertical="center"/>
    </xf>
    <xf numFmtId="0" fontId="120" fillId="28" borderId="22" applyNumberFormat="0" applyAlignment="0" applyProtection="0">
      <alignment vertical="center"/>
    </xf>
    <xf numFmtId="0" fontId="120" fillId="28" borderId="22" applyNumberFormat="0" applyAlignment="0" applyProtection="0">
      <alignment vertical="center"/>
    </xf>
    <xf numFmtId="0" fontId="120" fillId="28" borderId="22" applyNumberFormat="0" applyAlignment="0" applyProtection="0">
      <alignment vertical="center"/>
    </xf>
    <xf numFmtId="0" fontId="121" fillId="30" borderId="0" applyNumberFormat="0" applyBorder="0" applyAlignment="0" applyProtection="0">
      <alignment vertical="center"/>
    </xf>
    <xf numFmtId="0" fontId="121" fillId="30" borderId="0" applyNumberFormat="0" applyBorder="0" applyAlignment="0" applyProtection="0">
      <alignment vertical="center"/>
    </xf>
    <xf numFmtId="0" fontId="121" fillId="30" borderId="0" applyNumberFormat="0" applyBorder="0" applyAlignment="0" applyProtection="0">
      <alignment vertical="center"/>
    </xf>
    <xf numFmtId="0" fontId="121" fillId="30" borderId="0" applyNumberFormat="0" applyBorder="0" applyAlignment="0" applyProtection="0">
      <alignment vertical="center"/>
    </xf>
    <xf numFmtId="56" fontId="2" fillId="0" borderId="0" applyNumberFormat="0" applyFill="0" applyBorder="0" applyAlignment="0" applyProtection="0">
      <alignment horizontal="center"/>
    </xf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>
      <alignment vertical="center"/>
    </xf>
    <xf numFmtId="219" fontId="42" fillId="0" borderId="0" applyFont="0" applyFill="0" applyBorder="0" applyAlignment="0" applyProtection="0"/>
    <xf numFmtId="220" fontId="42" fillId="0" borderId="0" applyFont="0" applyFill="0" applyBorder="0" applyAlignment="0" applyProtection="0">
      <alignment vertical="top"/>
    </xf>
    <xf numFmtId="221" fontId="42" fillId="0" borderId="0" applyFont="0" applyFill="0" applyBorder="0" applyAlignment="0" applyProtection="0"/>
    <xf numFmtId="0" fontId="122" fillId="0" borderId="0" applyNumberFormat="0" applyFill="0" applyBorder="0" applyAlignment="0" applyProtection="0">
      <alignment vertical="center"/>
    </xf>
    <xf numFmtId="49" fontId="28" fillId="0" borderId="0">
      <alignment horizontal="left"/>
    </xf>
    <xf numFmtId="49" fontId="28" fillId="0" borderId="15">
      <alignment horizontal="left"/>
    </xf>
    <xf numFmtId="0" fontId="123" fillId="35" borderId="10" applyBorder="0">
      <alignment horizontal="center" vertical="center" wrapText="1"/>
    </xf>
    <xf numFmtId="0" fontId="123" fillId="35" borderId="10" applyBorder="0">
      <alignment horizontal="center" vertical="center" wrapText="1"/>
    </xf>
    <xf numFmtId="0" fontId="123" fillId="35" borderId="10" applyBorder="0">
      <alignment horizontal="center" vertical="center" wrapText="1"/>
    </xf>
    <xf numFmtId="0" fontId="123" fillId="35" borderId="10" applyBorder="0">
      <alignment horizontal="center" vertical="center" wrapText="1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6" fillId="31" borderId="25" applyNumberFormat="0" applyFont="0" applyAlignment="0" applyProtection="0">
      <alignment vertical="center"/>
    </xf>
    <xf numFmtId="0" fontId="6" fillId="31" borderId="25" applyNumberFormat="0" applyFont="0" applyAlignment="0" applyProtection="0">
      <alignment vertical="center"/>
    </xf>
    <xf numFmtId="0" fontId="6" fillId="31" borderId="25" applyNumberFormat="0" applyFont="0" applyAlignment="0" applyProtection="0">
      <alignment vertical="center"/>
    </xf>
    <xf numFmtId="0" fontId="6" fillId="31" borderId="25" applyNumberFormat="0" applyFont="0" applyAlignment="0" applyProtection="0">
      <alignment vertical="center"/>
    </xf>
    <xf numFmtId="0" fontId="6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124" fillId="0" borderId="24" applyNumberFormat="0" applyFill="0" applyAlignment="0" applyProtection="0">
      <alignment vertical="center"/>
    </xf>
    <xf numFmtId="0" fontId="124" fillId="0" borderId="24" applyNumberFormat="0" applyFill="0" applyAlignment="0" applyProtection="0">
      <alignment vertical="center"/>
    </xf>
    <xf numFmtId="0" fontId="124" fillId="0" borderId="24" applyNumberFormat="0" applyFill="0" applyAlignment="0" applyProtection="0">
      <alignment vertical="center"/>
    </xf>
    <xf numFmtId="0" fontId="124" fillId="0" borderId="24" applyNumberFormat="0" applyFill="0" applyAlignment="0" applyProtection="0">
      <alignment vertical="center"/>
    </xf>
    <xf numFmtId="0" fontId="31" fillId="0" borderId="0" applyNumberFormat="0" applyFont="0" applyBorder="0" applyAlignment="0" applyProtection="0"/>
    <xf numFmtId="0" fontId="28" fillId="0" borderId="0"/>
    <xf numFmtId="0" fontId="8" fillId="0" borderId="0"/>
    <xf numFmtId="0" fontId="8" fillId="0" borderId="0"/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41" fillId="0" borderId="0">
      <alignment vertical="center"/>
    </xf>
    <xf numFmtId="0" fontId="31" fillId="0" borderId="0">
      <alignment vertical="top"/>
    </xf>
    <xf numFmtId="0" fontId="5" fillId="0" borderId="28"/>
    <xf numFmtId="0" fontId="5" fillId="0" borderId="28"/>
    <xf numFmtId="0" fontId="31" fillId="0" borderId="0">
      <alignment vertical="top"/>
    </xf>
    <xf numFmtId="0" fontId="126" fillId="4" borderId="16" applyBorder="0">
      <alignment horizontal="center" vertical="center"/>
    </xf>
    <xf numFmtId="0" fontId="126" fillId="4" borderId="16" applyBorder="0">
      <alignment horizontal="center" vertical="center"/>
    </xf>
    <xf numFmtId="0" fontId="126" fillId="4" borderId="16" applyBorder="0">
      <alignment horizontal="center" vertical="center"/>
    </xf>
    <xf numFmtId="0" fontId="126" fillId="4" borderId="16" applyBorder="0">
      <alignment horizontal="center" vertical="center"/>
    </xf>
    <xf numFmtId="0" fontId="126" fillId="4" borderId="16" applyBorder="0">
      <alignment horizontal="center" vertical="center"/>
    </xf>
    <xf numFmtId="0" fontId="126" fillId="4" borderId="16" applyBorder="0">
      <alignment horizontal="center" vertical="center"/>
    </xf>
    <xf numFmtId="0" fontId="30" fillId="0" borderId="4" applyNumberFormat="0" applyBorder="0">
      <alignment vertical="center"/>
    </xf>
    <xf numFmtId="0" fontId="30" fillId="0" borderId="4" applyNumberFormat="0" applyBorder="0">
      <alignment vertical="center"/>
    </xf>
    <xf numFmtId="0" fontId="30" fillId="0" borderId="4" applyNumberFormat="0" applyBorder="0">
      <alignment vertical="center"/>
    </xf>
    <xf numFmtId="0" fontId="30" fillId="0" borderId="4" applyNumberFormat="0" applyBorder="0">
      <alignment vertical="center"/>
    </xf>
    <xf numFmtId="0" fontId="6" fillId="0" borderId="0"/>
    <xf numFmtId="49" fontId="5" fillId="0" borderId="0">
      <alignment vertical="center"/>
    </xf>
    <xf numFmtId="0" fontId="127" fillId="27" borderId="21" applyNumberFormat="0" applyAlignment="0" applyProtection="0">
      <alignment vertical="center"/>
    </xf>
    <xf numFmtId="0" fontId="127" fillId="27" borderId="21" applyNumberFormat="0" applyAlignment="0" applyProtection="0">
      <alignment vertical="center"/>
    </xf>
    <xf numFmtId="0" fontId="127" fillId="27" borderId="21" applyNumberFormat="0" applyAlignment="0" applyProtection="0">
      <alignment vertical="center"/>
    </xf>
    <xf numFmtId="0" fontId="127" fillId="27" borderId="21" applyNumberFormat="0" applyAlignment="0" applyProtection="0">
      <alignment vertical="center"/>
    </xf>
    <xf numFmtId="0" fontId="127" fillId="27" borderId="21" applyNumberFormat="0" applyAlignment="0" applyProtection="0">
      <alignment vertical="center"/>
    </xf>
    <xf numFmtId="0" fontId="127" fillId="27" borderId="21" applyNumberFormat="0" applyAlignment="0" applyProtection="0">
      <alignment vertical="center"/>
    </xf>
    <xf numFmtId="0" fontId="127" fillId="27" borderId="21" applyNumberFormat="0" applyAlignment="0" applyProtection="0">
      <alignment vertical="center"/>
    </xf>
    <xf numFmtId="0" fontId="127" fillId="27" borderId="21" applyNumberFormat="0" applyAlignment="0" applyProtection="0">
      <alignment vertical="center"/>
    </xf>
    <xf numFmtId="0" fontId="127" fillId="27" borderId="21" applyNumberFormat="0" applyAlignment="0" applyProtection="0">
      <alignment vertical="center"/>
    </xf>
    <xf numFmtId="0" fontId="127" fillId="27" borderId="21" applyNumberFormat="0" applyAlignment="0" applyProtection="0">
      <alignment vertical="center"/>
    </xf>
    <xf numFmtId="0" fontId="127" fillId="27" borderId="21" applyNumberFormat="0" applyAlignment="0" applyProtection="0">
      <alignment vertical="center"/>
    </xf>
    <xf numFmtId="0" fontId="127" fillId="27" borderId="21" applyNumberFormat="0" applyAlignment="0" applyProtection="0">
      <alignment vertical="center"/>
    </xf>
    <xf numFmtId="0" fontId="127" fillId="27" borderId="21" applyNumberFormat="0" applyAlignment="0" applyProtection="0">
      <alignment vertical="center"/>
    </xf>
    <xf numFmtId="0" fontId="127" fillId="27" borderId="21" applyNumberFormat="0" applyAlignment="0" applyProtection="0">
      <alignment vertical="center"/>
    </xf>
    <xf numFmtId="0" fontId="127" fillId="27" borderId="21" applyNumberFormat="0" applyAlignment="0" applyProtection="0">
      <alignment vertical="center"/>
    </xf>
    <xf numFmtId="0" fontId="127" fillId="27" borderId="21" applyNumberFormat="0" applyAlignment="0" applyProtection="0">
      <alignment vertical="center"/>
    </xf>
    <xf numFmtId="0" fontId="127" fillId="27" borderId="21" applyNumberFormat="0" applyAlignment="0" applyProtection="0">
      <alignment vertical="center"/>
    </xf>
    <xf numFmtId="0" fontId="127" fillId="27" borderId="21" applyNumberFormat="0" applyAlignment="0" applyProtection="0">
      <alignment vertical="center"/>
    </xf>
    <xf numFmtId="0" fontId="127" fillId="27" borderId="21" applyNumberFormat="0" applyAlignment="0" applyProtection="0">
      <alignment vertical="center"/>
    </xf>
    <xf numFmtId="0" fontId="127" fillId="27" borderId="21" applyNumberFormat="0" applyAlignment="0" applyProtection="0">
      <alignment vertical="center"/>
    </xf>
    <xf numFmtId="0" fontId="128" fillId="0" borderId="0" applyNumberFormat="0" applyFill="0" applyBorder="0" applyAlignment="0" applyProtection="0">
      <alignment vertical="center"/>
    </xf>
    <xf numFmtId="0" fontId="128" fillId="0" borderId="0" applyNumberFormat="0" applyFill="0" applyBorder="0" applyAlignment="0" applyProtection="0">
      <alignment vertical="center"/>
    </xf>
    <xf numFmtId="0" fontId="128" fillId="0" borderId="0" applyNumberFormat="0" applyFill="0" applyBorder="0" applyAlignment="0" applyProtection="0">
      <alignment vertical="center"/>
    </xf>
    <xf numFmtId="0" fontId="128" fillId="0" borderId="0" applyNumberFormat="0" applyFill="0" applyBorder="0" applyAlignment="0" applyProtection="0">
      <alignment vertical="center"/>
    </xf>
    <xf numFmtId="43" fontId="129" fillId="0" borderId="0" applyFont="0" applyFill="0" applyBorder="0" applyAlignment="0" applyProtection="0"/>
    <xf numFmtId="41" fontId="129" fillId="0" borderId="0" applyFont="0" applyFill="0" applyBorder="0" applyAlignment="0" applyProtection="0"/>
    <xf numFmtId="40" fontId="5" fillId="0" borderId="0" applyFont="0" applyFill="0" applyBorder="0" applyAlignment="0" applyProtection="0"/>
    <xf numFmtId="40" fontId="5" fillId="0" borderId="0" applyFont="0" applyFill="0" applyBorder="0" applyAlignment="0" applyProtection="0"/>
    <xf numFmtId="38" fontId="5" fillId="0" borderId="0" applyFont="0" applyFill="0" applyBorder="0" applyAlignment="0" applyProtection="0"/>
    <xf numFmtId="38" fontId="5" fillId="0" borderId="0" applyFont="0" applyFill="0" applyBorder="0" applyAlignment="0" applyProtection="0"/>
    <xf numFmtId="38" fontId="41" fillId="0" borderId="0" applyFont="0" applyFill="0" applyBorder="0" applyAlignment="0" applyProtection="0">
      <alignment vertical="center"/>
    </xf>
    <xf numFmtId="38" fontId="32" fillId="0" borderId="0" applyFont="0" applyFill="0" applyBorder="0" applyAlignment="0" applyProtection="0">
      <alignment vertical="center"/>
    </xf>
    <xf numFmtId="0" fontId="130" fillId="0" borderId="29" applyNumberFormat="0" applyFill="0" applyAlignment="0" applyProtection="0">
      <alignment vertical="center"/>
    </xf>
    <xf numFmtId="0" fontId="130" fillId="0" borderId="29" applyNumberFormat="0" applyFill="0" applyAlignment="0" applyProtection="0">
      <alignment vertical="center"/>
    </xf>
    <xf numFmtId="0" fontId="130" fillId="0" borderId="29" applyNumberFormat="0" applyFill="0" applyAlignment="0" applyProtection="0">
      <alignment vertical="center"/>
    </xf>
    <xf numFmtId="0" fontId="130" fillId="0" borderId="29" applyNumberFormat="0" applyFill="0" applyAlignment="0" applyProtection="0">
      <alignment vertical="center"/>
    </xf>
    <xf numFmtId="0" fontId="131" fillId="0" borderId="30" applyNumberFormat="0" applyFill="0" applyAlignment="0" applyProtection="0">
      <alignment vertical="center"/>
    </xf>
    <xf numFmtId="0" fontId="131" fillId="0" borderId="30" applyNumberFormat="0" applyFill="0" applyAlignment="0" applyProtection="0">
      <alignment vertical="center"/>
    </xf>
    <xf numFmtId="0" fontId="131" fillId="0" borderId="30" applyNumberFormat="0" applyFill="0" applyAlignment="0" applyProtection="0">
      <alignment vertical="center"/>
    </xf>
    <xf numFmtId="0" fontId="131" fillId="0" borderId="30" applyNumberFormat="0" applyFill="0" applyAlignment="0" applyProtection="0">
      <alignment vertical="center"/>
    </xf>
    <xf numFmtId="0" fontId="132" fillId="0" borderId="23" applyNumberFormat="0" applyFill="0" applyAlignment="0" applyProtection="0">
      <alignment vertical="center"/>
    </xf>
    <xf numFmtId="0" fontId="132" fillId="0" borderId="23" applyNumberFormat="0" applyFill="0" applyAlignment="0" applyProtection="0">
      <alignment vertical="center"/>
    </xf>
    <xf numFmtId="0" fontId="132" fillId="0" borderId="23" applyNumberFormat="0" applyFill="0" applyAlignment="0" applyProtection="0">
      <alignment vertical="center"/>
    </xf>
    <xf numFmtId="0" fontId="132" fillId="0" borderId="23" applyNumberFormat="0" applyFill="0" applyAlignment="0" applyProtection="0">
      <alignment vertical="center"/>
    </xf>
    <xf numFmtId="0" fontId="132" fillId="0" borderId="0" applyNumberFormat="0" applyFill="0" applyBorder="0" applyAlignment="0" applyProtection="0">
      <alignment vertical="center"/>
    </xf>
    <xf numFmtId="0" fontId="132" fillId="0" borderId="0" applyNumberFormat="0" applyFill="0" applyBorder="0" applyAlignment="0" applyProtection="0">
      <alignment vertical="center"/>
    </xf>
    <xf numFmtId="0" fontId="132" fillId="0" borderId="0" applyNumberFormat="0" applyFill="0" applyBorder="0" applyAlignment="0" applyProtection="0">
      <alignment vertical="center"/>
    </xf>
    <xf numFmtId="0" fontId="132" fillId="0" borderId="0" applyNumberFormat="0" applyFill="0" applyBorder="0" applyAlignment="0" applyProtection="0">
      <alignment vertical="center"/>
    </xf>
    <xf numFmtId="0" fontId="133" fillId="0" borderId="0"/>
    <xf numFmtId="0" fontId="134" fillId="0" borderId="0" applyFill="0" applyBorder="0" applyProtection="0"/>
    <xf numFmtId="0" fontId="133" fillId="0" borderId="0"/>
    <xf numFmtId="0" fontId="135" fillId="0" borderId="0">
      <alignment horizontal="center"/>
    </xf>
    <xf numFmtId="0" fontId="136" fillId="0" borderId="0"/>
    <xf numFmtId="0" fontId="137" fillId="0" borderId="0"/>
    <xf numFmtId="0" fontId="138" fillId="0" borderId="0"/>
    <xf numFmtId="0" fontId="139" fillId="0" borderId="0"/>
    <xf numFmtId="0" fontId="140" fillId="0" borderId="0"/>
    <xf numFmtId="14" fontId="141" fillId="0" borderId="0">
      <alignment horizontal="right" vertical="center" wrapText="1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3" fillId="27" borderId="26" applyNumberFormat="0" applyAlignment="0" applyProtection="0">
      <alignment vertical="center"/>
    </xf>
    <xf numFmtId="0" fontId="143" fillId="27" borderId="26" applyNumberFormat="0" applyAlignment="0" applyProtection="0">
      <alignment vertical="center"/>
    </xf>
    <xf numFmtId="0" fontId="143" fillId="27" borderId="26" applyNumberFormat="0" applyAlignment="0" applyProtection="0">
      <alignment vertical="center"/>
    </xf>
    <xf numFmtId="0" fontId="143" fillId="27" borderId="26" applyNumberFormat="0" applyAlignment="0" applyProtection="0">
      <alignment vertical="center"/>
    </xf>
    <xf numFmtId="0" fontId="143" fillId="27" borderId="26" applyNumberFormat="0" applyAlignment="0" applyProtection="0">
      <alignment vertical="center"/>
    </xf>
    <xf numFmtId="0" fontId="143" fillId="27" borderId="26" applyNumberFormat="0" applyAlignment="0" applyProtection="0">
      <alignment vertical="center"/>
    </xf>
    <xf numFmtId="0" fontId="143" fillId="27" borderId="26" applyNumberFormat="0" applyAlignment="0" applyProtection="0">
      <alignment vertical="center"/>
    </xf>
    <xf numFmtId="0" fontId="143" fillId="27" borderId="26" applyNumberFormat="0" applyAlignment="0" applyProtection="0">
      <alignment vertical="center"/>
    </xf>
    <xf numFmtId="0" fontId="143" fillId="27" borderId="26" applyNumberFormat="0" applyAlignment="0" applyProtection="0">
      <alignment vertical="center"/>
    </xf>
    <xf numFmtId="0" fontId="143" fillId="27" borderId="26" applyNumberFormat="0" applyAlignment="0" applyProtection="0">
      <alignment vertical="center"/>
    </xf>
    <xf numFmtId="0" fontId="143" fillId="27" borderId="26" applyNumberFormat="0" applyAlignment="0" applyProtection="0">
      <alignment vertical="center"/>
    </xf>
    <xf numFmtId="0" fontId="143" fillId="27" borderId="26" applyNumberFormat="0" applyAlignment="0" applyProtection="0">
      <alignment vertical="center"/>
    </xf>
    <xf numFmtId="0" fontId="143" fillId="27" borderId="26" applyNumberFormat="0" applyAlignment="0" applyProtection="0">
      <alignment vertical="center"/>
    </xf>
    <xf numFmtId="0" fontId="143" fillId="27" borderId="26" applyNumberFormat="0" applyAlignment="0" applyProtection="0">
      <alignment vertical="center"/>
    </xf>
    <xf numFmtId="0" fontId="143" fillId="27" borderId="26" applyNumberFormat="0" applyAlignment="0" applyProtection="0">
      <alignment vertical="center"/>
    </xf>
    <xf numFmtId="0" fontId="143" fillId="27" borderId="26" applyNumberFormat="0" applyAlignment="0" applyProtection="0">
      <alignment vertical="center"/>
    </xf>
    <xf numFmtId="0" fontId="143" fillId="27" borderId="26" applyNumberFormat="0" applyAlignment="0" applyProtection="0">
      <alignment vertical="center"/>
    </xf>
    <xf numFmtId="0" fontId="143" fillId="27" borderId="26" applyNumberFormat="0" applyAlignment="0" applyProtection="0">
      <alignment vertical="center"/>
    </xf>
    <xf numFmtId="0" fontId="143" fillId="27" borderId="26" applyNumberFormat="0" applyAlignment="0" applyProtection="0">
      <alignment vertical="center"/>
    </xf>
    <xf numFmtId="0" fontId="143" fillId="27" borderId="26" applyNumberFormat="0" applyAlignment="0" applyProtection="0">
      <alignment vertical="center"/>
    </xf>
    <xf numFmtId="0" fontId="126" fillId="0" borderId="0" applyBorder="0">
      <alignment vertical="center"/>
    </xf>
    <xf numFmtId="0" fontId="5" fillId="0" borderId="0">
      <alignment vertical="center"/>
    </xf>
    <xf numFmtId="0" fontId="5" fillId="0" borderId="0">
      <alignment vertical="center"/>
    </xf>
    <xf numFmtId="222" fontId="71" fillId="0" borderId="0">
      <alignment vertical="center"/>
    </xf>
    <xf numFmtId="223" fontId="71" fillId="0" borderId="0" applyFont="0" applyFill="0" applyBorder="0" applyProtection="0">
      <alignment vertical="center"/>
    </xf>
    <xf numFmtId="0" fontId="144" fillId="0" borderId="0" applyFont="0"/>
    <xf numFmtId="0" fontId="5" fillId="0" borderId="0">
      <alignment vertical="center"/>
    </xf>
    <xf numFmtId="0" fontId="126" fillId="8" borderId="16" applyBorder="0">
      <alignment horizontal="center" vertical="center"/>
    </xf>
    <xf numFmtId="0" fontId="126" fillId="8" borderId="16" applyBorder="0">
      <alignment horizontal="center" vertical="center"/>
    </xf>
    <xf numFmtId="0" fontId="126" fillId="8" borderId="16" applyBorder="0">
      <alignment horizontal="center" vertical="center"/>
    </xf>
    <xf numFmtId="0" fontId="126" fillId="8" borderId="16" applyBorder="0">
      <alignment horizontal="center" vertical="center"/>
    </xf>
    <xf numFmtId="0" fontId="126" fillId="8" borderId="16" applyBorder="0">
      <alignment horizontal="center" vertical="center"/>
    </xf>
    <xf numFmtId="183" fontId="8" fillId="0" borderId="0"/>
    <xf numFmtId="183" fontId="8" fillId="0" borderId="0"/>
    <xf numFmtId="224" fontId="3" fillId="0" borderId="0" applyFill="0" applyBorder="0"/>
    <xf numFmtId="225" fontId="3" fillId="0" borderId="0" applyFill="0" applyBorder="0"/>
    <xf numFmtId="185" fontId="5" fillId="0" borderId="0" applyFont="0" applyFill="0" applyBorder="0" applyProtection="0">
      <alignment vertical="center"/>
    </xf>
    <xf numFmtId="185" fontId="5" fillId="0" borderId="0" applyFont="0" applyFill="0" applyBorder="0" applyProtection="0">
      <alignment vertical="center"/>
    </xf>
    <xf numFmtId="49" fontId="3" fillId="34" borderId="32">
      <alignment horizontal="center"/>
    </xf>
    <xf numFmtId="226" fontId="3" fillId="34" borderId="32">
      <alignment horizontal="right"/>
    </xf>
    <xf numFmtId="14" fontId="3" fillId="34" borderId="0" applyBorder="0">
      <alignment horizontal="center"/>
    </xf>
    <xf numFmtId="49" fontId="3" fillId="0" borderId="32"/>
    <xf numFmtId="0" fontId="28" fillId="0" borderId="0" applyNumberFormat="0" applyFont="0" applyFill="0" applyBorder="0">
      <alignment horizontal="left" vertical="top" wrapText="1"/>
    </xf>
    <xf numFmtId="0" fontId="145" fillId="0" borderId="0" applyNumberFormat="0" applyFill="0" applyBorder="0" applyAlignment="0" applyProtection="0">
      <alignment vertical="center"/>
    </xf>
    <xf numFmtId="0" fontId="145" fillId="0" borderId="0" applyNumberFormat="0" applyFill="0" applyBorder="0" applyAlignment="0" applyProtection="0">
      <alignment vertical="center"/>
    </xf>
    <xf numFmtId="0" fontId="145" fillId="0" borderId="0" applyNumberFormat="0" applyFill="0" applyBorder="0" applyAlignment="0" applyProtection="0">
      <alignment vertical="center"/>
    </xf>
    <xf numFmtId="0" fontId="145" fillId="0" borderId="0" applyNumberFormat="0" applyFill="0" applyBorder="0" applyAlignment="0" applyProtection="0">
      <alignment vertical="center"/>
    </xf>
    <xf numFmtId="0" fontId="146" fillId="0" borderId="0">
      <alignment vertical="center"/>
    </xf>
    <xf numFmtId="227" fontId="5" fillId="0" borderId="0" applyFont="0" applyFill="0" applyBorder="0" applyAlignment="0" applyProtection="0"/>
    <xf numFmtId="228" fontId="5" fillId="0" borderId="0" applyFont="0" applyFill="0" applyBorder="0" applyAlignment="0" applyProtection="0"/>
    <xf numFmtId="0" fontId="105" fillId="0" borderId="9"/>
    <xf numFmtId="0" fontId="34" fillId="0" borderId="0">
      <alignment vertical="center"/>
    </xf>
    <xf numFmtId="0" fontId="30" fillId="0" borderId="0">
      <alignment horizontal="left" vertical="center"/>
    </xf>
    <xf numFmtId="0" fontId="64" fillId="0" borderId="32" applyFill="0" applyBorder="0" applyProtection="0">
      <alignment horizontal="left" vertical="center"/>
    </xf>
    <xf numFmtId="0" fontId="64" fillId="0" borderId="32" applyFill="0" applyBorder="0" applyProtection="0">
      <alignment horizontal="left" vertical="center"/>
    </xf>
    <xf numFmtId="0" fontId="64" fillId="0" borderId="32" applyFill="0" applyBorder="0" applyProtection="0">
      <alignment horizontal="left" vertical="center"/>
    </xf>
    <xf numFmtId="0" fontId="64" fillId="0" borderId="32" applyFill="0" applyBorder="0" applyProtection="0">
      <alignment horizontal="left" vertical="center"/>
    </xf>
    <xf numFmtId="0" fontId="64" fillId="0" borderId="32" applyFill="0" applyBorder="0" applyProtection="0">
      <alignment horizontal="left" vertical="center"/>
    </xf>
    <xf numFmtId="0" fontId="64" fillId="0" borderId="32" applyFill="0" applyBorder="0" applyProtection="0">
      <alignment horizontal="left" vertical="center"/>
    </xf>
    <xf numFmtId="0" fontId="64" fillId="0" borderId="32" applyFill="0" applyBorder="0" applyProtection="0">
      <alignment horizontal="left" vertical="center"/>
    </xf>
    <xf numFmtId="0" fontId="64" fillId="0" borderId="32" applyFill="0" applyBorder="0" applyProtection="0">
      <alignment horizontal="left" vertical="center"/>
    </xf>
    <xf numFmtId="0" fontId="64" fillId="0" borderId="32" applyFill="0" applyBorder="0" applyProtection="0">
      <alignment horizontal="left" vertical="center"/>
    </xf>
    <xf numFmtId="0" fontId="64" fillId="0" borderId="32" applyFill="0" applyBorder="0" applyProtection="0">
      <alignment horizontal="left" vertical="center"/>
    </xf>
    <xf numFmtId="0" fontId="64" fillId="0" borderId="32" applyFill="0" applyBorder="0" applyProtection="0">
      <alignment horizontal="left" vertical="center"/>
    </xf>
    <xf numFmtId="0" fontId="64" fillId="0" borderId="32" applyFill="0" applyBorder="0" applyProtection="0">
      <alignment horizontal="left" vertical="center"/>
    </xf>
    <xf numFmtId="0" fontId="64" fillId="0" borderId="32" applyFill="0" applyBorder="0" applyProtection="0">
      <alignment horizontal="left" vertical="center"/>
    </xf>
    <xf numFmtId="0" fontId="64" fillId="0" borderId="32" applyFill="0" applyBorder="0" applyProtection="0">
      <alignment horizontal="left" vertical="center"/>
    </xf>
    <xf numFmtId="0" fontId="64" fillId="0" borderId="32" applyFill="0" applyBorder="0" applyProtection="0">
      <alignment horizontal="left" vertical="center"/>
    </xf>
    <xf numFmtId="0" fontId="53" fillId="0" borderId="0">
      <alignment horizontal="center" vertical="center"/>
    </xf>
    <xf numFmtId="8" fontId="6" fillId="0" borderId="0" applyFont="0" applyFill="0" applyBorder="0" applyAlignment="0" applyProtection="0"/>
    <xf numFmtId="6" fontId="6" fillId="0" borderId="0" applyFont="0" applyFill="0" applyBorder="0" applyAlignment="0" applyProtection="0"/>
    <xf numFmtId="6" fontId="6" fillId="0" borderId="0" applyFont="0" applyFill="0" applyBorder="0" applyAlignment="0" applyProtection="0"/>
    <xf numFmtId="6" fontId="6" fillId="0" borderId="0" applyFont="0" applyFill="0" applyBorder="0" applyAlignment="0" applyProtection="0"/>
    <xf numFmtId="0" fontId="105" fillId="0" borderId="9"/>
    <xf numFmtId="229" fontId="126" fillId="0" borderId="0" applyBorder="0">
      <alignment horizontal="center" vertical="center"/>
    </xf>
    <xf numFmtId="14" fontId="3" fillId="0" borderId="10" applyBorder="0">
      <alignment horizontal="left"/>
    </xf>
    <xf numFmtId="14" fontId="3" fillId="0" borderId="10" applyBorder="0">
      <alignment horizontal="left"/>
    </xf>
    <xf numFmtId="14" fontId="3" fillId="0" borderId="10" applyBorder="0">
      <alignment horizontal="left"/>
    </xf>
    <xf numFmtId="14" fontId="3" fillId="0" borderId="0"/>
    <xf numFmtId="0" fontId="147" fillId="14" borderId="21" applyNumberFormat="0" applyAlignment="0" applyProtection="0">
      <alignment vertical="center"/>
    </xf>
    <xf numFmtId="0" fontId="147" fillId="14" borderId="21" applyNumberFormat="0" applyAlignment="0" applyProtection="0">
      <alignment vertical="center"/>
    </xf>
    <xf numFmtId="0" fontId="147" fillId="14" borderId="21" applyNumberFormat="0" applyAlignment="0" applyProtection="0">
      <alignment vertical="center"/>
    </xf>
    <xf numFmtId="0" fontId="147" fillId="14" borderId="21" applyNumberFormat="0" applyAlignment="0" applyProtection="0">
      <alignment vertical="center"/>
    </xf>
    <xf numFmtId="0" fontId="147" fillId="14" borderId="21" applyNumberFormat="0" applyAlignment="0" applyProtection="0">
      <alignment vertical="center"/>
    </xf>
    <xf numFmtId="0" fontId="147" fillId="14" borderId="21" applyNumberFormat="0" applyAlignment="0" applyProtection="0">
      <alignment vertical="center"/>
    </xf>
    <xf numFmtId="0" fontId="147" fillId="14" borderId="21" applyNumberFormat="0" applyAlignment="0" applyProtection="0">
      <alignment vertical="center"/>
    </xf>
    <xf numFmtId="0" fontId="147" fillId="14" borderId="21" applyNumberFormat="0" applyAlignment="0" applyProtection="0">
      <alignment vertical="center"/>
    </xf>
    <xf numFmtId="0" fontId="147" fillId="14" borderId="21" applyNumberFormat="0" applyAlignment="0" applyProtection="0">
      <alignment vertical="center"/>
    </xf>
    <xf numFmtId="0" fontId="147" fillId="14" borderId="21" applyNumberFormat="0" applyAlignment="0" applyProtection="0">
      <alignment vertical="center"/>
    </xf>
    <xf numFmtId="0" fontId="147" fillId="14" borderId="21" applyNumberFormat="0" applyAlignment="0" applyProtection="0">
      <alignment vertical="center"/>
    </xf>
    <xf numFmtId="0" fontId="147" fillId="14" borderId="21" applyNumberFormat="0" applyAlignment="0" applyProtection="0">
      <alignment vertical="center"/>
    </xf>
    <xf numFmtId="0" fontId="147" fillId="14" borderId="21" applyNumberFormat="0" applyAlignment="0" applyProtection="0">
      <alignment vertical="center"/>
    </xf>
    <xf numFmtId="0" fontId="147" fillId="14" borderId="21" applyNumberFormat="0" applyAlignment="0" applyProtection="0">
      <alignment vertical="center"/>
    </xf>
    <xf numFmtId="0" fontId="147" fillId="14" borderId="21" applyNumberFormat="0" applyAlignment="0" applyProtection="0">
      <alignment vertical="center"/>
    </xf>
    <xf numFmtId="0" fontId="147" fillId="14" borderId="21" applyNumberFormat="0" applyAlignment="0" applyProtection="0">
      <alignment vertical="center"/>
    </xf>
    <xf numFmtId="0" fontId="147" fillId="14" borderId="21" applyNumberFormat="0" applyAlignment="0" applyProtection="0">
      <alignment vertical="center"/>
    </xf>
    <xf numFmtId="0" fontId="147" fillId="14" borderId="21" applyNumberFormat="0" applyAlignment="0" applyProtection="0">
      <alignment vertical="center"/>
    </xf>
    <xf numFmtId="0" fontId="147" fillId="14" borderId="21" applyNumberFormat="0" applyAlignment="0" applyProtection="0">
      <alignment vertical="center"/>
    </xf>
    <xf numFmtId="0" fontId="147" fillId="14" borderId="21" applyNumberFormat="0" applyAlignment="0" applyProtection="0">
      <alignment vertical="center"/>
    </xf>
    <xf numFmtId="14" fontId="3" fillId="0" borderId="0" applyFill="0" applyBorder="0"/>
    <xf numFmtId="0" fontId="20" fillId="0" borderId="0"/>
    <xf numFmtId="0" fontId="5" fillId="0" borderId="0"/>
    <xf numFmtId="0" fontId="5" fillId="0" borderId="0"/>
    <xf numFmtId="0" fontId="32" fillId="0" borderId="0"/>
    <xf numFmtId="0" fontId="66" fillId="0" borderId="0"/>
    <xf numFmtId="0" fontId="148" fillId="0" borderId="0">
      <alignment vertical="center"/>
    </xf>
    <xf numFmtId="0" fontId="42" fillId="0" borderId="0">
      <alignment horizontal="left" vertical="top"/>
    </xf>
    <xf numFmtId="0" fontId="6" fillId="0" borderId="0"/>
    <xf numFmtId="0" fontId="149" fillId="0" borderId="0">
      <alignment vertical="center"/>
    </xf>
    <xf numFmtId="0" fontId="5" fillId="0" borderId="0"/>
    <xf numFmtId="0" fontId="150" fillId="0" borderId="0">
      <alignment vertical="center"/>
    </xf>
    <xf numFmtId="0" fontId="32" fillId="0" borderId="0">
      <alignment vertical="center"/>
    </xf>
    <xf numFmtId="0" fontId="150" fillId="0" borderId="0">
      <alignment vertical="center"/>
    </xf>
    <xf numFmtId="0" fontId="5" fillId="0" borderId="0"/>
    <xf numFmtId="0" fontId="5" fillId="0" borderId="0"/>
    <xf numFmtId="0" fontId="32" fillId="0" borderId="0">
      <alignment vertical="center"/>
    </xf>
    <xf numFmtId="0" fontId="66" fillId="0" borderId="0">
      <alignment vertical="center"/>
    </xf>
    <xf numFmtId="0" fontId="129" fillId="0" borderId="0">
      <alignment vertical="center"/>
    </xf>
    <xf numFmtId="0" fontId="32" fillId="0" borderId="0">
      <alignment vertical="center"/>
    </xf>
    <xf numFmtId="0" fontId="5" fillId="0" borderId="0">
      <alignment vertical="center"/>
    </xf>
    <xf numFmtId="0" fontId="5" fillId="0" borderId="0"/>
    <xf numFmtId="0" fontId="41" fillId="0" borderId="0"/>
    <xf numFmtId="0" fontId="66" fillId="0" borderId="0">
      <alignment vertical="center"/>
    </xf>
    <xf numFmtId="0" fontId="5" fillId="0" borderId="0"/>
    <xf numFmtId="0" fontId="5" fillId="0" borderId="0"/>
    <xf numFmtId="0" fontId="32" fillId="0" borderId="0">
      <alignment vertical="center"/>
    </xf>
    <xf numFmtId="0" fontId="66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41" fillId="0" borderId="0">
      <alignment vertical="center"/>
    </xf>
    <xf numFmtId="0" fontId="32" fillId="0" borderId="0">
      <alignment vertical="center"/>
    </xf>
    <xf numFmtId="0" fontId="32" fillId="0" borderId="0"/>
    <xf numFmtId="0" fontId="5" fillId="0" borderId="0"/>
    <xf numFmtId="0" fontId="5" fillId="0" borderId="0"/>
    <xf numFmtId="0" fontId="5" fillId="0" borderId="0"/>
    <xf numFmtId="0" fontId="66" fillId="0" borderId="0">
      <alignment vertical="center"/>
    </xf>
    <xf numFmtId="0" fontId="148" fillId="0" borderId="0">
      <alignment vertical="center"/>
    </xf>
    <xf numFmtId="0" fontId="5" fillId="0" borderId="0"/>
    <xf numFmtId="0" fontId="5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7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32" fillId="0" borderId="0">
      <alignment vertical="center"/>
    </xf>
    <xf numFmtId="0" fontId="32" fillId="0" borderId="0"/>
    <xf numFmtId="0" fontId="66" fillId="0" borderId="0"/>
    <xf numFmtId="0" fontId="32" fillId="0" borderId="0"/>
    <xf numFmtId="0" fontId="66" fillId="0" borderId="0"/>
    <xf numFmtId="0" fontId="28" fillId="0" borderId="0">
      <alignment vertical="top" wrapText="1"/>
    </xf>
    <xf numFmtId="49" fontId="53" fillId="0" borderId="0">
      <alignment vertical="center" wrapText="1"/>
    </xf>
    <xf numFmtId="0" fontId="151" fillId="0" borderId="0"/>
    <xf numFmtId="230" fontId="28" fillId="0" borderId="0"/>
    <xf numFmtId="0" fontId="28" fillId="0" borderId="0">
      <alignment horizontal="centerContinuous" vertical="center"/>
    </xf>
    <xf numFmtId="0" fontId="8" fillId="0" borderId="0"/>
    <xf numFmtId="0" fontId="5" fillId="0" borderId="1">
      <alignment horizontal="left" vertical="top"/>
    </xf>
    <xf numFmtId="0" fontId="5" fillId="0" borderId="1">
      <alignment horizontal="left" vertical="top"/>
    </xf>
    <xf numFmtId="0" fontId="5" fillId="0" borderId="1">
      <alignment horizontal="left" vertical="top"/>
    </xf>
    <xf numFmtId="0" fontId="5" fillId="0" borderId="1">
      <alignment horizontal="left" vertical="top"/>
    </xf>
    <xf numFmtId="0" fontId="5" fillId="0" borderId="1">
      <alignment horizontal="left" vertical="top"/>
    </xf>
    <xf numFmtId="0" fontId="5" fillId="0" borderId="1">
      <alignment horizontal="left" vertical="top"/>
    </xf>
    <xf numFmtId="0" fontId="5" fillId="0" borderId="1">
      <alignment horizontal="left" vertical="top"/>
    </xf>
    <xf numFmtId="0" fontId="5" fillId="0" borderId="1">
      <alignment horizontal="left" vertical="top"/>
    </xf>
    <xf numFmtId="0" fontId="6" fillId="0" borderId="0" applyNumberFormat="0" applyFill="0" applyBorder="0" applyAlignment="0"/>
    <xf numFmtId="0" fontId="31" fillId="0" borderId="18" applyBorder="0">
      <alignment vertical="top"/>
    </xf>
    <xf numFmtId="0" fontId="152" fillId="0" borderId="0" applyNumberFormat="0" applyFill="0" applyBorder="0" applyAlignment="0" applyProtection="0">
      <alignment vertical="top"/>
      <protection locked="0"/>
    </xf>
    <xf numFmtId="0" fontId="31" fillId="6" borderId="0" applyNumberFormat="0" applyAlignment="0"/>
    <xf numFmtId="0" fontId="152" fillId="0" borderId="0" applyNumberFormat="0" applyFill="0" applyBorder="0" applyAlignment="0" applyProtection="0">
      <alignment vertical="top"/>
      <protection locked="0"/>
    </xf>
    <xf numFmtId="0" fontId="153" fillId="0" borderId="0">
      <alignment vertical="center"/>
    </xf>
    <xf numFmtId="49" fontId="30" fillId="0" borderId="0">
      <alignment horizontal="center" vertical="center"/>
    </xf>
    <xf numFmtId="0" fontId="154" fillId="0" borderId="12">
      <alignment horizontal="left"/>
      <protection locked="0"/>
    </xf>
    <xf numFmtId="0" fontId="31" fillId="0" borderId="0"/>
    <xf numFmtId="0" fontId="155" fillId="0" borderId="0"/>
    <xf numFmtId="0" fontId="156" fillId="0" borderId="0"/>
    <xf numFmtId="0" fontId="34" fillId="0" borderId="0"/>
    <xf numFmtId="0" fontId="34" fillId="0" borderId="0"/>
    <xf numFmtId="0" fontId="35" fillId="0" borderId="0"/>
    <xf numFmtId="1" fontId="35" fillId="0" borderId="0"/>
    <xf numFmtId="0" fontId="28" fillId="0" borderId="0"/>
    <xf numFmtId="0" fontId="6" fillId="0" borderId="0"/>
    <xf numFmtId="0" fontId="157" fillId="11" borderId="0" applyNumberFormat="0" applyBorder="0" applyAlignment="0" applyProtection="0">
      <alignment vertical="center"/>
    </xf>
    <xf numFmtId="0" fontId="157" fillId="11" borderId="0" applyNumberFormat="0" applyBorder="0" applyAlignment="0" applyProtection="0">
      <alignment vertical="center"/>
    </xf>
    <xf numFmtId="0" fontId="157" fillId="11" borderId="0" applyNumberFormat="0" applyBorder="0" applyAlignment="0" applyProtection="0">
      <alignment vertical="center"/>
    </xf>
    <xf numFmtId="0" fontId="157" fillId="11" borderId="0" applyNumberFormat="0" applyBorder="0" applyAlignment="0" applyProtection="0">
      <alignment vertical="center"/>
    </xf>
    <xf numFmtId="0" fontId="28" fillId="0" borderId="0">
      <alignment horizontal="centerContinuous" vertical="center"/>
    </xf>
    <xf numFmtId="0" fontId="36" fillId="0" borderId="7">
      <alignment horizontal="left" vertical="center"/>
    </xf>
    <xf numFmtId="0" fontId="36" fillId="0" borderId="7">
      <alignment horizontal="left" vertical="center"/>
    </xf>
    <xf numFmtId="0" fontId="36" fillId="0" borderId="7">
      <alignment horizontal="left" vertical="center"/>
    </xf>
    <xf numFmtId="0" fontId="36" fillId="0" borderId="33">
      <alignment horizontal="left" vertical="center"/>
    </xf>
    <xf numFmtId="0" fontId="37" fillId="0" borderId="0" applyFill="0" applyBorder="0" applyAlignment="0"/>
    <xf numFmtId="0" fontId="36" fillId="0" borderId="34" applyNumberFormat="0" applyAlignment="0" applyProtection="0"/>
    <xf numFmtId="0" fontId="38" fillId="0" borderId="0"/>
    <xf numFmtId="0" fontId="126" fillId="4" borderId="35" applyBorder="0">
      <alignment horizontal="center" vertical="center"/>
    </xf>
    <xf numFmtId="0" fontId="126" fillId="4" borderId="35" applyBorder="0">
      <alignment horizontal="center" vertical="center"/>
    </xf>
    <xf numFmtId="0" fontId="126" fillId="4" borderId="35" applyBorder="0">
      <alignment horizontal="center" vertical="center"/>
    </xf>
    <xf numFmtId="0" fontId="126" fillId="4" borderId="35" applyBorder="0">
      <alignment horizontal="center" vertical="center"/>
    </xf>
    <xf numFmtId="0" fontId="126" fillId="4" borderId="35" applyBorder="0">
      <alignment horizontal="center" vertical="center"/>
    </xf>
    <xf numFmtId="0" fontId="126" fillId="4" borderId="35" applyBorder="0">
      <alignment horizontal="center" vertical="center"/>
    </xf>
  </cellStyleXfs>
  <cellXfs count="144">
    <xf numFmtId="0" fontId="0" fillId="0" borderId="0" xfId="0"/>
    <xf numFmtId="0" fontId="162" fillId="0" borderId="0" xfId="0" applyFont="1"/>
    <xf numFmtId="0" fontId="162" fillId="37" borderId="47" xfId="0" applyFont="1" applyFill="1" applyBorder="1"/>
    <xf numFmtId="0" fontId="162" fillId="37" borderId="35" xfId="0" applyFont="1" applyFill="1" applyBorder="1"/>
    <xf numFmtId="0" fontId="162" fillId="37" borderId="44" xfId="0" applyFont="1" applyFill="1" applyBorder="1"/>
    <xf numFmtId="0" fontId="162" fillId="37" borderId="15" xfId="0" applyFont="1" applyFill="1" applyBorder="1"/>
    <xf numFmtId="0" fontId="162" fillId="37" borderId="0" xfId="0" applyFont="1" applyFill="1" applyBorder="1"/>
    <xf numFmtId="0" fontId="162" fillId="37" borderId="36" xfId="0" applyFont="1" applyFill="1" applyBorder="1"/>
    <xf numFmtId="0" fontId="162" fillId="37" borderId="0" xfId="0" applyFont="1" applyFill="1" applyBorder="1" applyAlignment="1">
      <alignment horizontal="right"/>
    </xf>
    <xf numFmtId="0" fontId="162" fillId="37" borderId="0" xfId="0" applyFont="1" applyFill="1" applyBorder="1" applyAlignment="1">
      <alignment horizontal="left"/>
    </xf>
    <xf numFmtId="0" fontId="162" fillId="37" borderId="12" xfId="0" applyFont="1" applyFill="1" applyBorder="1"/>
    <xf numFmtId="0" fontId="162" fillId="37" borderId="17" xfId="0" applyFont="1" applyFill="1" applyBorder="1"/>
    <xf numFmtId="0" fontId="162" fillId="37" borderId="45" xfId="0" applyFont="1" applyFill="1" applyBorder="1"/>
    <xf numFmtId="0" fontId="162" fillId="37" borderId="48" xfId="0" applyFont="1" applyFill="1" applyBorder="1"/>
    <xf numFmtId="0" fontId="162" fillId="37" borderId="49" xfId="0" applyFont="1" applyFill="1" applyBorder="1"/>
    <xf numFmtId="0" fontId="162" fillId="37" borderId="50" xfId="0" applyFont="1" applyFill="1" applyBorder="1"/>
    <xf numFmtId="0" fontId="162" fillId="37" borderId="51" xfId="0" applyFont="1" applyFill="1" applyBorder="1"/>
    <xf numFmtId="0" fontId="162" fillId="37" borderId="52" xfId="0" applyFont="1" applyFill="1" applyBorder="1"/>
    <xf numFmtId="0" fontId="162" fillId="37" borderId="53" xfId="0" applyFont="1" applyFill="1" applyBorder="1"/>
    <xf numFmtId="0" fontId="162" fillId="37" borderId="54" xfId="0" applyFont="1" applyFill="1" applyBorder="1"/>
    <xf numFmtId="0" fontId="162" fillId="37" borderId="55" xfId="0" applyFont="1" applyFill="1" applyBorder="1"/>
    <xf numFmtId="0" fontId="162" fillId="37" borderId="56" xfId="0" applyFont="1" applyFill="1" applyBorder="1"/>
    <xf numFmtId="0" fontId="162" fillId="38" borderId="15" xfId="0" applyFont="1" applyFill="1" applyBorder="1"/>
    <xf numFmtId="0" fontId="162" fillId="38" borderId="0" xfId="0" applyFont="1" applyFill="1" applyBorder="1"/>
    <xf numFmtId="0" fontId="162" fillId="38" borderId="36" xfId="0" applyFont="1" applyFill="1" applyBorder="1"/>
    <xf numFmtId="0" fontId="162" fillId="38" borderId="12" xfId="0" applyFont="1" applyFill="1" applyBorder="1"/>
    <xf numFmtId="0" fontId="162" fillId="38" borderId="17" xfId="0" applyFont="1" applyFill="1" applyBorder="1"/>
    <xf numFmtId="0" fontId="162" fillId="38" borderId="45" xfId="0" applyFont="1" applyFill="1" applyBorder="1"/>
    <xf numFmtId="0" fontId="162" fillId="36" borderId="15" xfId="0" applyFont="1" applyFill="1" applyBorder="1"/>
    <xf numFmtId="0" fontId="162" fillId="36" borderId="0" xfId="0" applyFont="1" applyFill="1" applyBorder="1"/>
    <xf numFmtId="0" fontId="162" fillId="36" borderId="36" xfId="0" applyFont="1" applyFill="1" applyBorder="1"/>
    <xf numFmtId="0" fontId="162" fillId="36" borderId="12" xfId="0" applyFont="1" applyFill="1" applyBorder="1"/>
    <xf numFmtId="0" fontId="162" fillId="36" borderId="17" xfId="0" applyFont="1" applyFill="1" applyBorder="1"/>
    <xf numFmtId="0" fontId="162" fillId="36" borderId="45" xfId="0" applyFont="1" applyFill="1" applyBorder="1"/>
    <xf numFmtId="0" fontId="162" fillId="38" borderId="35" xfId="0" applyFont="1" applyFill="1" applyBorder="1"/>
    <xf numFmtId="0" fontId="162" fillId="36" borderId="35" xfId="0" applyFont="1" applyFill="1" applyBorder="1"/>
    <xf numFmtId="176" fontId="41" fillId="2" borderId="57" xfId="0" applyNumberFormat="1" applyFont="1" applyFill="1" applyBorder="1" applyAlignment="1">
      <alignment horizontal="center" vertical="center"/>
    </xf>
    <xf numFmtId="176" fontId="41" fillId="2" borderId="46" xfId="0" applyNumberFormat="1" applyFont="1" applyFill="1" applyBorder="1" applyAlignment="1">
      <alignment horizontal="center" vertical="center"/>
    </xf>
    <xf numFmtId="231" fontId="158" fillId="2" borderId="4" xfId="65" applyNumberFormat="1" applyFont="1" applyFill="1" applyBorder="1" applyAlignment="1">
      <alignment horizontal="center" vertical="center" wrapText="1"/>
    </xf>
    <xf numFmtId="0" fontId="158" fillId="2" borderId="5" xfId="65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0" fontId="16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34" borderId="37" xfId="0" applyFont="1" applyFill="1" applyBorder="1" applyAlignment="1">
      <alignment horizontal="center" vertical="center"/>
    </xf>
    <xf numFmtId="231" fontId="3" fillId="34" borderId="37" xfId="0" applyNumberFormat="1" applyFont="1" applyFill="1" applyBorder="1" applyAlignment="1">
      <alignment horizontal="center" vertical="center"/>
    </xf>
    <xf numFmtId="0" fontId="3" fillId="40" borderId="37" xfId="0" applyFont="1" applyFill="1" applyBorder="1" applyAlignment="1">
      <alignment horizontal="center" vertical="center"/>
    </xf>
    <xf numFmtId="0" fontId="3" fillId="8" borderId="37" xfId="0" applyFont="1" applyFill="1" applyBorder="1" applyAlignment="1">
      <alignment horizontal="left" vertical="center"/>
    </xf>
    <xf numFmtId="0" fontId="3" fillId="8" borderId="37" xfId="0" applyFont="1" applyFill="1" applyBorder="1" applyAlignment="1">
      <alignment horizontal="center" vertical="center"/>
    </xf>
    <xf numFmtId="231" fontId="3" fillId="40" borderId="37" xfId="0" applyNumberFormat="1" applyFont="1" applyFill="1" applyBorder="1" applyAlignment="1">
      <alignment horizontal="center" vertical="center"/>
    </xf>
    <xf numFmtId="176" fontId="3" fillId="8" borderId="37" xfId="0" applyNumberFormat="1" applyFont="1" applyFill="1" applyBorder="1" applyAlignment="1">
      <alignment horizontal="center" vertical="center"/>
    </xf>
    <xf numFmtId="231" fontId="3" fillId="8" borderId="37" xfId="0" applyNumberFormat="1" applyFont="1" applyFill="1" applyBorder="1" applyAlignment="1">
      <alignment horizontal="center" vertical="center"/>
    </xf>
    <xf numFmtId="14" fontId="0" fillId="41" borderId="62" xfId="0" applyNumberFormat="1" applyFill="1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9" fontId="0" fillId="0" borderId="58" xfId="0" applyNumberFormat="1" applyBorder="1" applyAlignment="1">
      <alignment horizontal="center" vertical="center"/>
    </xf>
    <xf numFmtId="9" fontId="0" fillId="0" borderId="59" xfId="0" applyNumberFormat="1" applyBorder="1" applyAlignment="1">
      <alignment horizontal="center" vertical="center"/>
    </xf>
    <xf numFmtId="0" fontId="0" fillId="42" borderId="42" xfId="0" applyFill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14" fontId="120" fillId="43" borderId="60" xfId="0" applyNumberFormat="1" applyFont="1" applyFill="1" applyBorder="1" applyAlignment="1">
      <alignment horizontal="center" vertical="center"/>
    </xf>
    <xf numFmtId="14" fontId="0" fillId="3" borderId="62" xfId="0" applyNumberFormat="1" applyFill="1" applyBorder="1" applyAlignment="1">
      <alignment horizontal="center" vertical="center"/>
    </xf>
    <xf numFmtId="0" fontId="164" fillId="0" borderId="0" xfId="0" applyFont="1"/>
    <xf numFmtId="0" fontId="165" fillId="0" borderId="0" xfId="0" applyFont="1"/>
    <xf numFmtId="0" fontId="165" fillId="37" borderId="0" xfId="0" applyFont="1" applyFill="1" applyBorder="1"/>
    <xf numFmtId="0" fontId="165" fillId="37" borderId="0" xfId="0" applyFont="1" applyFill="1" applyBorder="1" applyAlignment="1">
      <alignment horizontal="left"/>
    </xf>
    <xf numFmtId="0" fontId="166" fillId="37" borderId="0" xfId="0" applyFont="1" applyFill="1" applyBorder="1" applyAlignment="1">
      <alignment horizontal="left"/>
    </xf>
    <xf numFmtId="0" fontId="165" fillId="36" borderId="0" xfId="0" applyFont="1" applyFill="1" applyBorder="1"/>
    <xf numFmtId="0" fontId="41" fillId="2" borderId="42" xfId="65" applyFont="1" applyFill="1" applyBorder="1" applyAlignment="1">
      <alignment horizontal="center" vertical="center"/>
    </xf>
    <xf numFmtId="0" fontId="167" fillId="37" borderId="51" xfId="0" applyFont="1" applyFill="1" applyBorder="1"/>
    <xf numFmtId="0" fontId="167" fillId="37" borderId="52" xfId="0" applyFont="1" applyFill="1" applyBorder="1"/>
    <xf numFmtId="0" fontId="168" fillId="37" borderId="52" xfId="0" applyFont="1" applyFill="1" applyBorder="1"/>
    <xf numFmtId="0" fontId="167" fillId="37" borderId="0" xfId="0" applyFont="1" applyFill="1" applyBorder="1"/>
    <xf numFmtId="0" fontId="162" fillId="38" borderId="47" xfId="0" applyFont="1" applyFill="1" applyBorder="1"/>
    <xf numFmtId="0" fontId="162" fillId="38" borderId="44" xfId="0" applyFont="1" applyFill="1" applyBorder="1"/>
    <xf numFmtId="0" fontId="162" fillId="36" borderId="47" xfId="0" applyFont="1" applyFill="1" applyBorder="1"/>
    <xf numFmtId="0" fontId="162" fillId="36" borderId="44" xfId="0" applyFont="1" applyFill="1" applyBorder="1"/>
    <xf numFmtId="0" fontId="163" fillId="0" borderId="0" xfId="0" applyFont="1" applyAlignment="1">
      <alignment horizontal="left" vertical="center"/>
    </xf>
    <xf numFmtId="14" fontId="120" fillId="43" borderId="60" xfId="0" applyNumberFormat="1" applyFont="1" applyFill="1" applyBorder="1" applyAlignment="1">
      <alignment horizontal="left" vertical="center"/>
    </xf>
    <xf numFmtId="0" fontId="0" fillId="0" borderId="61" xfId="0" applyBorder="1" applyAlignment="1">
      <alignment horizontal="left" vertical="center"/>
    </xf>
    <xf numFmtId="14" fontId="0" fillId="41" borderId="65" xfId="0" applyNumberFormat="1" applyFill="1" applyBorder="1" applyAlignment="1">
      <alignment horizontal="center" vertical="center"/>
    </xf>
    <xf numFmtId="14" fontId="0" fillId="3" borderId="65" xfId="0" applyNumberFormat="1" applyFill="1" applyBorder="1" applyAlignment="1">
      <alignment horizontal="center" vertical="center"/>
    </xf>
    <xf numFmtId="0" fontId="0" fillId="43" borderId="69" xfId="0" applyFill="1" applyBorder="1" applyAlignment="1">
      <alignment horizontal="center" vertical="center"/>
    </xf>
    <xf numFmtId="0" fontId="0" fillId="41" borderId="67" xfId="0" applyFill="1" applyBorder="1" applyAlignment="1">
      <alignment horizontal="center" vertical="center"/>
    </xf>
    <xf numFmtId="0" fontId="0" fillId="41" borderId="71" xfId="0" applyFill="1" applyBorder="1" applyAlignment="1">
      <alignment horizontal="center" vertical="center"/>
    </xf>
    <xf numFmtId="0" fontId="0" fillId="3" borderId="67" xfId="0" applyFill="1" applyBorder="1" applyAlignment="1">
      <alignment horizontal="center" vertical="center"/>
    </xf>
    <xf numFmtId="0" fontId="0" fillId="3" borderId="71" xfId="0" applyFill="1" applyBorder="1" applyAlignment="1">
      <alignment horizontal="center" vertical="center"/>
    </xf>
    <xf numFmtId="0" fontId="0" fillId="3" borderId="68" xfId="0" applyFill="1" applyBorder="1" applyAlignment="1">
      <alignment horizontal="center" vertical="center"/>
    </xf>
    <xf numFmtId="0" fontId="0" fillId="42" borderId="70" xfId="0" applyFill="1" applyBorder="1" applyAlignment="1">
      <alignment horizontal="center" vertical="center"/>
    </xf>
    <xf numFmtId="0" fontId="0" fillId="42" borderId="66" xfId="0" applyFill="1" applyBorder="1" applyAlignment="1">
      <alignment horizontal="center" vertical="center"/>
    </xf>
    <xf numFmtId="9" fontId="0" fillId="42" borderId="66" xfId="0" applyNumberFormat="1" applyFill="1" applyBorder="1" applyAlignment="1">
      <alignment horizontal="center" vertical="center"/>
    </xf>
    <xf numFmtId="9" fontId="0" fillId="42" borderId="63" xfId="0" applyNumberFormat="1" applyFill="1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9" fontId="0" fillId="0" borderId="66" xfId="0" applyNumberFormat="1" applyBorder="1" applyAlignment="1">
      <alignment horizontal="center" vertical="center"/>
    </xf>
    <xf numFmtId="9" fontId="0" fillId="0" borderId="63" xfId="0" applyNumberFormat="1" applyBorder="1" applyAlignment="1">
      <alignment horizontal="center" vertical="center"/>
    </xf>
    <xf numFmtId="0" fontId="0" fillId="42" borderId="69" xfId="0" applyFill="1" applyBorder="1" applyAlignment="1">
      <alignment horizontal="center" vertical="center"/>
    </xf>
    <xf numFmtId="0" fontId="0" fillId="42" borderId="67" xfId="0" applyFill="1" applyBorder="1" applyAlignment="1">
      <alignment horizontal="center" vertical="center"/>
    </xf>
    <xf numFmtId="0" fontId="0" fillId="42" borderId="71" xfId="0" applyFill="1" applyBorder="1" applyAlignment="1">
      <alignment horizontal="center" vertical="center"/>
    </xf>
    <xf numFmtId="9" fontId="0" fillId="42" borderId="67" xfId="0" applyNumberFormat="1" applyFill="1" applyBorder="1" applyAlignment="1">
      <alignment horizontal="center" vertical="center"/>
    </xf>
    <xf numFmtId="9" fontId="0" fillId="42" borderId="68" xfId="0" applyNumberFormat="1" applyFill="1" applyBorder="1" applyAlignment="1">
      <alignment horizontal="center" vertical="center"/>
    </xf>
    <xf numFmtId="0" fontId="0" fillId="43" borderId="69" xfId="0" applyFill="1" applyBorder="1" applyAlignment="1">
      <alignment horizontal="left" vertical="center"/>
    </xf>
    <xf numFmtId="0" fontId="0" fillId="42" borderId="70" xfId="0" applyFill="1" applyBorder="1" applyAlignment="1">
      <alignment horizontal="left" vertical="center"/>
    </xf>
    <xf numFmtId="0" fontId="0" fillId="0" borderId="70" xfId="0" applyBorder="1" applyAlignment="1">
      <alignment horizontal="left" vertical="center"/>
    </xf>
    <xf numFmtId="0" fontId="0" fillId="0" borderId="69" xfId="0" applyBorder="1" applyAlignment="1">
      <alignment horizontal="left" vertical="center"/>
    </xf>
    <xf numFmtId="0" fontId="0" fillId="0" borderId="67" xfId="0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9" fontId="0" fillId="0" borderId="67" xfId="0" applyNumberFormat="1" applyBorder="1" applyAlignment="1">
      <alignment horizontal="center" vertical="center"/>
    </xf>
    <xf numFmtId="9" fontId="0" fillId="0" borderId="68" xfId="0" applyNumberFormat="1" applyBorder="1" applyAlignment="1">
      <alignment horizontal="center" vertical="center"/>
    </xf>
    <xf numFmtId="0" fontId="0" fillId="42" borderId="69" xfId="0" applyFill="1" applyBorder="1" applyAlignment="1">
      <alignment horizontal="left" vertical="center"/>
    </xf>
    <xf numFmtId="0" fontId="3" fillId="2" borderId="37" xfId="0" applyFont="1" applyFill="1" applyBorder="1" applyAlignment="1">
      <alignment horizontal="center" vertical="center"/>
    </xf>
    <xf numFmtId="0" fontId="41" fillId="2" borderId="37" xfId="65" applyFont="1" applyFill="1" applyBorder="1" applyAlignment="1">
      <alignment horizontal="center" vertical="center" wrapText="1"/>
    </xf>
    <xf numFmtId="176" fontId="41" fillId="2" borderId="37" xfId="0" applyNumberFormat="1" applyFont="1" applyFill="1" applyBorder="1" applyAlignment="1">
      <alignment horizontal="center" vertical="center"/>
    </xf>
    <xf numFmtId="176" fontId="41" fillId="2" borderId="5" xfId="0" applyNumberFormat="1" applyFont="1" applyFill="1" applyBorder="1" applyAlignment="1">
      <alignment horizontal="center" vertical="center"/>
    </xf>
    <xf numFmtId="176" fontId="41" fillId="5" borderId="37" xfId="0" applyNumberFormat="1" applyFont="1" applyFill="1" applyBorder="1" applyAlignment="1">
      <alignment horizontal="center" vertical="center" wrapText="1"/>
    </xf>
    <xf numFmtId="176" fontId="41" fillId="39" borderId="44" xfId="0" applyNumberFormat="1" applyFont="1" applyFill="1" applyBorder="1" applyAlignment="1">
      <alignment horizontal="center" vertical="center"/>
    </xf>
    <xf numFmtId="176" fontId="41" fillId="39" borderId="36" xfId="0" applyNumberFormat="1" applyFont="1" applyFill="1" applyBorder="1" applyAlignment="1">
      <alignment horizontal="center" vertical="center"/>
    </xf>
    <xf numFmtId="176" fontId="41" fillId="39" borderId="45" xfId="0" applyNumberFormat="1" applyFont="1" applyFill="1" applyBorder="1" applyAlignment="1">
      <alignment horizontal="center" vertical="center"/>
    </xf>
    <xf numFmtId="176" fontId="41" fillId="5" borderId="37" xfId="0" applyNumberFormat="1" applyFont="1" applyFill="1" applyBorder="1" applyAlignment="1">
      <alignment horizontal="center" vertical="center"/>
    </xf>
    <xf numFmtId="231" fontId="3" fillId="2" borderId="36" xfId="0" applyNumberFormat="1" applyFont="1" applyFill="1" applyBorder="1" applyAlignment="1">
      <alignment horizontal="center" vertical="center"/>
    </xf>
    <xf numFmtId="0" fontId="3" fillId="2" borderId="37" xfId="0" applyFont="1" applyFill="1" applyBorder="1" applyAlignment="1">
      <alignment horizontal="center" vertical="center"/>
    </xf>
    <xf numFmtId="231" fontId="41" fillId="2" borderId="4" xfId="65" applyNumberFormat="1" applyFont="1" applyFill="1" applyBorder="1" applyAlignment="1">
      <alignment horizontal="center" vertical="center" wrapText="1"/>
    </xf>
    <xf numFmtId="231" fontId="41" fillId="2" borderId="10" xfId="65" applyNumberFormat="1" applyFont="1" applyFill="1" applyBorder="1" applyAlignment="1">
      <alignment horizontal="center" vertical="center" wrapText="1"/>
    </xf>
    <xf numFmtId="0" fontId="41" fillId="2" borderId="37" xfId="65" applyFont="1" applyFill="1" applyBorder="1" applyAlignment="1">
      <alignment horizontal="center" vertical="center" wrapText="1"/>
    </xf>
    <xf numFmtId="231" fontId="159" fillId="2" borderId="2" xfId="65" applyNumberFormat="1" applyFont="1" applyFill="1" applyBorder="1" applyAlignment="1">
      <alignment horizontal="center" vertical="center" wrapText="1"/>
    </xf>
    <xf numFmtId="0" fontId="159" fillId="2" borderId="37" xfId="65" applyFont="1" applyFill="1" applyBorder="1" applyAlignment="1">
      <alignment horizontal="center" vertical="center" wrapText="1"/>
    </xf>
    <xf numFmtId="231" fontId="41" fillId="2" borderId="5" xfId="0" applyNumberFormat="1" applyFont="1" applyFill="1" applyBorder="1" applyAlignment="1">
      <alignment horizontal="center" vertical="center"/>
    </xf>
    <xf numFmtId="231" fontId="41" fillId="2" borderId="7" xfId="0" applyNumberFormat="1" applyFont="1" applyFill="1" applyBorder="1" applyAlignment="1">
      <alignment horizontal="center" vertical="center"/>
    </xf>
    <xf numFmtId="231" fontId="41" fillId="2" borderId="38" xfId="0" applyNumberFormat="1" applyFont="1" applyFill="1" applyBorder="1" applyAlignment="1">
      <alignment horizontal="center" vertical="center"/>
    </xf>
    <xf numFmtId="231" fontId="41" fillId="2" borderId="39" xfId="0" applyNumberFormat="1" applyFont="1" applyFill="1" applyBorder="1" applyAlignment="1">
      <alignment horizontal="center" vertical="center"/>
    </xf>
    <xf numFmtId="231" fontId="41" fillId="2" borderId="6" xfId="0" applyNumberFormat="1" applyFont="1" applyFill="1" applyBorder="1" applyAlignment="1">
      <alignment horizontal="center" vertical="center"/>
    </xf>
    <xf numFmtId="176" fontId="41" fillId="2" borderId="37" xfId="0" applyNumberFormat="1" applyFont="1" applyFill="1" applyBorder="1" applyAlignment="1">
      <alignment horizontal="center" vertical="center"/>
    </xf>
    <xf numFmtId="176" fontId="41" fillId="2" borderId="5" xfId="0" applyNumberFormat="1" applyFont="1" applyFill="1" applyBorder="1" applyAlignment="1">
      <alignment horizontal="center" vertical="center"/>
    </xf>
    <xf numFmtId="0" fontId="41" fillId="2" borderId="37" xfId="0" applyFont="1" applyFill="1" applyBorder="1" applyAlignment="1">
      <alignment horizontal="center" vertical="center"/>
    </xf>
    <xf numFmtId="176" fontId="41" fillId="2" borderId="40" xfId="0" applyNumberFormat="1" applyFont="1" applyFill="1" applyBorder="1" applyAlignment="1">
      <alignment horizontal="center" vertical="center"/>
    </xf>
    <xf numFmtId="176" fontId="41" fillId="2" borderId="41" xfId="0" applyNumberFormat="1" applyFont="1" applyFill="1" applyBorder="1" applyAlignment="1">
      <alignment horizontal="center" vertical="center"/>
    </xf>
    <xf numFmtId="176" fontId="41" fillId="5" borderId="37" xfId="0" applyNumberFormat="1" applyFont="1" applyFill="1" applyBorder="1" applyAlignment="1">
      <alignment horizontal="center" vertical="center" wrapText="1"/>
    </xf>
    <xf numFmtId="231" fontId="41" fillId="2" borderId="42" xfId="0" applyNumberFormat="1" applyFont="1" applyFill="1" applyBorder="1" applyAlignment="1">
      <alignment horizontal="center" vertical="center"/>
    </xf>
    <xf numFmtId="231" fontId="41" fillId="2" borderId="43" xfId="0" applyNumberFormat="1" applyFont="1" applyFill="1" applyBorder="1" applyAlignment="1">
      <alignment horizontal="center" vertical="center"/>
    </xf>
    <xf numFmtId="0" fontId="0" fillId="3" borderId="65" xfId="0" applyFill="1" applyBorder="1" applyAlignment="1">
      <alignment horizontal="center" vertical="center" wrapText="1"/>
    </xf>
    <xf numFmtId="0" fontId="0" fillId="3" borderId="64" xfId="0" applyFill="1" applyBorder="1" applyAlignment="1">
      <alignment horizontal="center" vertical="center" wrapText="1"/>
    </xf>
    <xf numFmtId="0" fontId="40" fillId="8" borderId="37" xfId="0" applyFont="1" applyFill="1" applyBorder="1" applyAlignment="1">
      <alignment horizontal="center" vertical="center"/>
    </xf>
  </cellXfs>
  <cellStyles count="5917">
    <cellStyle name=" LBP-830 LIPS4" xfId="67" xr:uid="{00000000-0005-0000-0000-000000000000}"/>
    <cellStyle name="_x000c_ーセン_x000c_" xfId="68" xr:uid="{00000000-0005-0000-0000-000001000000}"/>
    <cellStyle name="_x000d__x000a_JournalTemplate=C:\COMFO\CTALK\JOURSTD.TPL_x000d__x000a_LbStateAddress=3 3 0 251 1 89 2 311_x000d__x000a_LbStateJou" xfId="69" xr:uid="{00000000-0005-0000-0000-000002000000}"/>
    <cellStyle name="####" xfId="1" xr:uid="{00000000-0005-0000-0000-000003000000}"/>
    <cellStyle name="#### 2" xfId="70" xr:uid="{00000000-0005-0000-0000-000004000000}"/>
    <cellStyle name="#### 2 2" xfId="71" xr:uid="{00000000-0005-0000-0000-000005000000}"/>
    <cellStyle name="#### 3" xfId="72" xr:uid="{00000000-0005-0000-0000-000006000000}"/>
    <cellStyle name="*JOB標準" xfId="73" xr:uid="{00000000-0005-0000-0000-000007000000}"/>
    <cellStyle name="*標準" xfId="74" xr:uid="{00000000-0005-0000-0000-000008000000}"/>
    <cellStyle name="??" xfId="75" xr:uid="{00000000-0005-0000-0000-000009000000}"/>
    <cellStyle name="?? [0.00]_??????????" xfId="76" xr:uid="{00000000-0005-0000-0000-00000A000000}"/>
    <cellStyle name="????" xfId="77" xr:uid="{00000000-0005-0000-0000-00000B000000}"/>
    <cellStyle name="???? [0.00]_??????????FunctionsApps " xfId="78" xr:uid="{00000000-0005-0000-0000-00000C000000}"/>
    <cellStyle name="?????()" xfId="79" xr:uid="{00000000-0005-0000-0000-00000D000000}"/>
    <cellStyle name="?????() 2" xfId="80" xr:uid="{00000000-0005-0000-0000-00000E000000}"/>
    <cellStyle name="?????(0.00)" xfId="81" xr:uid="{00000000-0005-0000-0000-00000F000000}"/>
    <cellStyle name="?????(0.00) 2" xfId="82" xr:uid="{00000000-0005-0000-0000-000010000000}"/>
    <cellStyle name="???????" xfId="83" xr:uid="{00000000-0005-0000-0000-000011000000}"/>
    <cellStyle name="??????? 2" xfId="84" xr:uid="{00000000-0005-0000-0000-000012000000}"/>
    <cellStyle name="????????????at match the" xfId="85" xr:uid="{00000000-0005-0000-0000-000013000000}"/>
    <cellStyle name="????????????at match the 2" xfId="86" xr:uid="{00000000-0005-0000-0000-000014000000}"/>
    <cellStyle name="?????[0.00]" xfId="87" xr:uid="{00000000-0005-0000-0000-000015000000}"/>
    <cellStyle name="?????[0.00] 2" xfId="88" xr:uid="{00000000-0005-0000-0000-000016000000}"/>
    <cellStyle name="????_??????????FunctionsApps " xfId="89" xr:uid="{00000000-0005-0000-0000-000017000000}"/>
    <cellStyle name="???1" xfId="90" xr:uid="{00000000-0005-0000-0000-000018000000}"/>
    <cellStyle name="???1 2" xfId="91" xr:uid="{00000000-0005-0000-0000-000019000000}"/>
    <cellStyle name="??_???? (?)??_Y2K Ve" xfId="92" xr:uid="{00000000-0005-0000-0000-00001A000000}"/>
    <cellStyle name="_(資源配布) 【20090611】千里導入明細資料_２１年度fj分" xfId="93" xr:uid="{00000000-0005-0000-0000-00001B000000}"/>
    <cellStyle name="_(資源配布) 【20090611】千里導入明細資料_２１年度fj分 2" xfId="94" xr:uid="{00000000-0005-0000-0000-00001C000000}"/>
    <cellStyle name="_(資源配布) 【20090611】千里導入明細資料_２１年度fj分_【20091218】千里導入明細資料_２１年度分（ネットワーク敷設）" xfId="95" xr:uid="{00000000-0005-0000-0000-00001D000000}"/>
    <cellStyle name="_(資源配布) 【20090611】千里導入明細資料_２１年度fj分_【20091218】千里導入明細資料_２１年度分（ネットワーク敷設） 2" xfId="96" xr:uid="{00000000-0005-0000-0000-00001E000000}"/>
    <cellStyle name="_(資源配布) 【20090611】千里導入明細資料_２１年度fj分_【20091218】千里導入明細資料_２１年度分（ネットワーク敷設）_Ⅹ_課題と対応策_20121211" xfId="97" xr:uid="{00000000-0005-0000-0000-00001F000000}"/>
    <cellStyle name="_(資源配布) 【20090611】千里導入明細資料_２１年度fj分_【20091218】千里導入明細資料_２１年度分（ネットワーク敷設）_Ⅹ_課題と対応策_20121211 2" xfId="98" xr:uid="{00000000-0005-0000-0000-000020000000}"/>
    <cellStyle name="_(資源配布) 【20090611】千里導入明細資料_２１年度fj分_Ⅹ_課題と対応策_20121211" xfId="99" xr:uid="{00000000-0005-0000-0000-000021000000}"/>
    <cellStyle name="_(資源配布) 【20090611】千里導入明細資料_２１年度fj分_Ⅹ_課題と対応策_20121211 2" xfId="100" xr:uid="{00000000-0005-0000-0000-000022000000}"/>
    <cellStyle name="_(資源配布) 【20090611】千里導入明細資料_２１年度fj分_千里導入明細資料_２２年度分（ネットワーク敷設）_fj" xfId="101" xr:uid="{00000000-0005-0000-0000-000023000000}"/>
    <cellStyle name="_(資源配布) 【20090611】千里導入明細資料_２１年度fj分_千里導入明細資料_２２年度分（ネットワーク敷設）_fj 2" xfId="102" xr:uid="{00000000-0005-0000-0000-000024000000}"/>
    <cellStyle name="_(資源配布) 【20090611】千里導入明細資料_２１年度fj分_千里導入明細資料_２２年度分（ネットワーク敷設）_fj_Ⅹ_課題と対応策_20121211" xfId="103" xr:uid="{00000000-0005-0000-0000-000025000000}"/>
    <cellStyle name="_(資源配布) 【20090611】千里導入明細資料_２１年度fj分_千里導入明細資料_２２年度分（ネットワーク敷設）_fj_Ⅹ_課題と対応策_20121211 2" xfId="104" xr:uid="{00000000-0005-0000-0000-000026000000}"/>
    <cellStyle name="_(自動機監視GW) 【20090611】千里導入明細資料_２１年度fj分" xfId="105" xr:uid="{00000000-0005-0000-0000-000027000000}"/>
    <cellStyle name="_(自動機監視GW) 【20090611】千里導入明細資料_２１年度fj分 2" xfId="106" xr:uid="{00000000-0005-0000-0000-000028000000}"/>
    <cellStyle name="_(自動機監視GW) 【20090611】千里導入明細資料_２１年度fj分_【20091218】千里導入明細資料_２１年度分（ネットワーク敷設）" xfId="107" xr:uid="{00000000-0005-0000-0000-000029000000}"/>
    <cellStyle name="_(自動機監視GW) 【20090611】千里導入明細資料_２１年度fj分_【20091218】千里導入明細資料_２１年度分（ネットワーク敷設） 2" xfId="108" xr:uid="{00000000-0005-0000-0000-00002A000000}"/>
    <cellStyle name="_(自動機監視GW) 【20090611】千里導入明細資料_２１年度fj分_【20091218】千里導入明細資料_２１年度分（ネットワーク敷設）_Ⅹ_課題と対応策_20121211" xfId="109" xr:uid="{00000000-0005-0000-0000-00002B000000}"/>
    <cellStyle name="_(自動機監視GW) 【20090611】千里導入明細資料_２１年度fj分_【20091218】千里導入明細資料_２１年度分（ネットワーク敷設）_Ⅹ_課題と対応策_20121211 2" xfId="110" xr:uid="{00000000-0005-0000-0000-00002C000000}"/>
    <cellStyle name="_(自動機監視GW) 【20090611】千里導入明細資料_２１年度fj分_Ⅹ_課題と対応策_20121211" xfId="111" xr:uid="{00000000-0005-0000-0000-00002D000000}"/>
    <cellStyle name="_(自動機監視GW) 【20090611】千里導入明細資料_２１年度fj分_Ⅹ_課題と対応策_20121211 2" xfId="112" xr:uid="{00000000-0005-0000-0000-00002E000000}"/>
    <cellStyle name="_(自動機監視GW) 【20090611】千里導入明細資料_２１年度fj分_千里導入明細資料_２２年度分（ネットワーク敷設）_fj" xfId="113" xr:uid="{00000000-0005-0000-0000-00002F000000}"/>
    <cellStyle name="_(自動機監視GW) 【20090611】千里導入明細資料_２１年度fj分_千里導入明細資料_２２年度分（ネットワーク敷設）_fj 2" xfId="114" xr:uid="{00000000-0005-0000-0000-000030000000}"/>
    <cellStyle name="_(自動機監視GW) 【20090611】千里導入明細資料_２１年度fj分_千里導入明細資料_２２年度分（ネットワーク敷設）_fj_Ⅹ_課題と対応策_20121211" xfId="115" xr:uid="{00000000-0005-0000-0000-000031000000}"/>
    <cellStyle name="_(自動機監視GW) 【20090611】千里導入明細資料_２１年度fj分_千里導入明細資料_２２年度分（ネットワーク敷設）_fj_Ⅹ_課題と対応策_20121211 2" xfId="116" xr:uid="{00000000-0005-0000-0000-000032000000}"/>
    <cellStyle name="_［修正版］【20090708】千里導入明細資料_２１年度分（７月工事分）" xfId="117" xr:uid="{00000000-0005-0000-0000-000033000000}"/>
    <cellStyle name="_［修正版］【20090708】千里導入明細資料_２１年度分（７月工事分） 2" xfId="118" xr:uid="{00000000-0005-0000-0000-000034000000}"/>
    <cellStyle name="_［修正版］【20090708】千里導入明細資料_２１年度分（７月工事分）_【20091218】千里導入明細資料_２１年度分（ネットワーク敷設）" xfId="119" xr:uid="{00000000-0005-0000-0000-000035000000}"/>
    <cellStyle name="_［修正版］【20090708】千里導入明細資料_２１年度分（７月工事分）_【20091218】千里導入明細資料_２１年度分（ネットワーク敷設） 2" xfId="120" xr:uid="{00000000-0005-0000-0000-000036000000}"/>
    <cellStyle name="_［修正版］【20090708】千里導入明細資料_２１年度分（７月工事分）_【20091218】千里導入明細資料_２１年度分（ネットワーク敷設）_Ⅹ_課題と対応策_20121211" xfId="121" xr:uid="{00000000-0005-0000-0000-000037000000}"/>
    <cellStyle name="_［修正版］【20090708】千里導入明細資料_２１年度分（７月工事分）_【20091218】千里導入明細資料_２１年度分（ネットワーク敷設）_Ⅹ_課題と対応策_20121211 2" xfId="122" xr:uid="{00000000-0005-0000-0000-000038000000}"/>
    <cellStyle name="_［修正版］【20090708】千里導入明細資料_２１年度分（７月工事分）_【20091224】千里導入明細資料_２２年度上期分_営業店DB" xfId="123" xr:uid="{00000000-0005-0000-0000-000039000000}"/>
    <cellStyle name="_［修正版］【20090708】千里導入明細資料_２１年度分（７月工事分）_【20091224】千里導入明細資料_２２年度上期分_営業店DB 2" xfId="124" xr:uid="{00000000-0005-0000-0000-00003A000000}"/>
    <cellStyle name="_［修正版］【20090708】千里導入明細資料_２１年度分（７月工事分）_【20091224】千里導入明細資料_２２年度上期分_営業店DB_【20091225】千里導入明細資料_２２年度上期分（営業店ＡＰ－ＤＢ）" xfId="125" xr:uid="{00000000-0005-0000-0000-00003B000000}"/>
    <cellStyle name="_［修正版］【20090708】千里導入明細資料_２１年度分（７月工事分）_【20091224】千里導入明細資料_２２年度上期分_営業店DB_【20091225】千里導入明細資料_２２年度上期分（営業店ＡＰ－ＤＢ） 2" xfId="126" xr:uid="{00000000-0005-0000-0000-00003C000000}"/>
    <cellStyle name="_［修正版］【20090708】千里導入明細資料_２１年度分（７月工事分）_【20091224】千里導入明細資料_２２年度上期分_営業店DB_【20091225】千里導入明細資料_２２年度上期分（営業店ＡＰ－ＤＢ）_【調整中】千里導入明細資料_２２年度上期分_fj_20100127" xfId="127" xr:uid="{00000000-0005-0000-0000-00003D000000}"/>
    <cellStyle name="_［修正版］【20090708】千里導入明細資料_２１年度分（７月工事分）_【20091224】千里導入明細資料_２２年度上期分_営業店DB_【20091225】千里導入明細資料_２２年度上期分（営業店ＡＰ－ＤＢ）_【調整中】千里導入明細資料_２２年度上期分_fj_20100127 2" xfId="128" xr:uid="{00000000-0005-0000-0000-00003E000000}"/>
    <cellStyle name="_［修正版］【20090708】千里導入明細資料_２１年度分（７月工事分）_【20091224】千里導入明細資料_２２年度上期分_営業店DB_【20091225】千里導入明細資料_２２年度上期分（営業店ＡＰ－ＤＢ）_【調整中】千里導入明細資料_２２年度上期分_fj_20100127_Ⅹ_課題と対応策_20121211" xfId="129" xr:uid="{00000000-0005-0000-0000-00003F000000}"/>
    <cellStyle name="_［修正版］【20090708】千里導入明細資料_２１年度分（７月工事分）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130" xr:uid="{00000000-0005-0000-0000-000040000000}"/>
    <cellStyle name="_［修正版］【20090708】千里導入明細資料_２１年度分（７月工事分）_【20091224】千里導入明細資料_２２年度上期分_営業店DB_【20091225】千里導入明細資料_２２年度上期分（営業店ＡＰ－ＤＢ）_Ⅹ_課題と対応策_20121211" xfId="131" xr:uid="{00000000-0005-0000-0000-000041000000}"/>
    <cellStyle name="_［修正版］【20090708】千里導入明細資料_２１年度分（７月工事分）_【20091224】千里導入明細資料_２２年度上期分_営業店DB_【20091225】千里導入明細資料_２２年度上期分（営業店ＡＰ－ＤＢ）_Ⅹ_課題と対応策_20121211 2" xfId="132" xr:uid="{00000000-0005-0000-0000-000042000000}"/>
    <cellStyle name="_［修正版］【20090708】千里導入明細資料_２１年度分（７月工事分）_【20091224】千里導入明細資料_２２年度上期分_営業店DB_【20091225】千里導入明細資料_２２年度上期分_営業店DB" xfId="133" xr:uid="{00000000-0005-0000-0000-000043000000}"/>
    <cellStyle name="_［修正版］【20090708】千里導入明細資料_２１年度分（７月工事分）_【20091224】千里導入明細資料_２２年度上期分_営業店DB_【20091225】千里導入明細資料_２２年度上期分_営業店DB 2" xfId="134" xr:uid="{00000000-0005-0000-0000-000044000000}"/>
    <cellStyle name="_［修正版］【20090708】千里導入明細資料_２１年度分（７月工事分）_【20091224】千里導入明細資料_２２年度上期分_営業店DB_【20091225】千里導入明細資料_２２年度上期分_営業店DB_【調整中】千里導入明細資料_２２年度上期分_fj_20100127" xfId="135" xr:uid="{00000000-0005-0000-0000-000045000000}"/>
    <cellStyle name="_［修正版］【20090708】千里導入明細資料_２１年度分（７月工事分）_【20091224】千里導入明細資料_２２年度上期分_営業店DB_【20091225】千里導入明細資料_２２年度上期分_営業店DB_【調整中】千里導入明細資料_２２年度上期分_fj_20100127 2" xfId="136" xr:uid="{00000000-0005-0000-0000-000046000000}"/>
    <cellStyle name="_［修正版］【20090708】千里導入明細資料_２１年度分（７月工事分）_【20091224】千里導入明細資料_２２年度上期分_営業店DB_【20091225】千里導入明細資料_２２年度上期分_営業店DB_【調整中】千里導入明細資料_２２年度上期分_fj_20100127_Ⅹ_課題と対応策_20121211" xfId="137" xr:uid="{00000000-0005-0000-0000-000047000000}"/>
    <cellStyle name="_［修正版］【20090708】千里導入明細資料_２１年度分（７月工事分）_【20091224】千里導入明細資料_２２年度上期分_営業店DB_【20091225】千里導入明細資料_２２年度上期分_営業店DB_【調整中】千里導入明細資料_２２年度上期分_fj_20100127_Ⅹ_課題と対応策_20121211 2" xfId="138" xr:uid="{00000000-0005-0000-0000-000048000000}"/>
    <cellStyle name="_［修正版］【20090708】千里導入明細資料_２１年度分（７月工事分）_【20091224】千里導入明細資料_２２年度上期分_営業店DB_【20091225】千里導入明細資料_２２年度上期分_営業店DB_Ⅹ_課題と対応策_20121211" xfId="139" xr:uid="{00000000-0005-0000-0000-000049000000}"/>
    <cellStyle name="_［修正版］【20090708】千里導入明細資料_２１年度分（７月工事分）_【20091224】千里導入明細資料_２２年度上期分_営業店DB_【20091225】千里導入明細資料_２２年度上期分_営業店DB_Ⅹ_課題と対応策_20121211 2" xfId="140" xr:uid="{00000000-0005-0000-0000-00004A000000}"/>
    <cellStyle name="_［修正版］【20090708】千里導入明細資料_２１年度分（７月工事分）_【20091224】千里導入明細資料_２２年度上期分_営業店DB_Ⅹ_課題と対応策_20121211" xfId="141" xr:uid="{00000000-0005-0000-0000-00004B000000}"/>
    <cellStyle name="_［修正版］【20090708】千里導入明細資料_２１年度分（７月工事分）_【20091224】千里導入明細資料_２２年度上期分_営業店DB_Ⅹ_課題と対応策_20121211 2" xfId="142" xr:uid="{00000000-0005-0000-0000-00004C000000}"/>
    <cellStyle name="_［修正版］【20090708】千里導入明細資料_２１年度分（７月工事分）_【20091225】千里導入明細資料_２２年度上期分" xfId="143" xr:uid="{00000000-0005-0000-0000-00004D000000}"/>
    <cellStyle name="_［修正版］【20090708】千里導入明細資料_２１年度分（７月工事分）_【20091225】千里導入明細資料_２２年度上期分 2" xfId="144" xr:uid="{00000000-0005-0000-0000-00004E000000}"/>
    <cellStyle name="_［修正版］【20090708】千里導入明細資料_２１年度分（７月工事分）_【20091225】千里導入明細資料_２２年度上期分_Ⅹ_課題と対応策_20121211" xfId="145" xr:uid="{00000000-0005-0000-0000-00004F000000}"/>
    <cellStyle name="_［修正版］【20090708】千里導入明細資料_２１年度分（７月工事分）_【20091225】千里導入明細資料_２２年度上期分_Ⅹ_課題と対応策_20121211 2" xfId="146" xr:uid="{00000000-0005-0000-0000-000050000000}"/>
    <cellStyle name="_［修正版］【20090708】千里導入明細資料_２１年度分（７月工事分）_【20091225】千里導入明細資料_２２年度上期分_営業店DB" xfId="147" xr:uid="{00000000-0005-0000-0000-000051000000}"/>
    <cellStyle name="_［修正版］【20090708】千里導入明細資料_２１年度分（７月工事分）_【20091225】千里導入明細資料_２２年度上期分_営業店DB 2" xfId="148" xr:uid="{00000000-0005-0000-0000-000052000000}"/>
    <cellStyle name="_［修正版］【20090708】千里導入明細資料_２１年度分（７月工事分）_【20091225】千里導入明細資料_２２年度上期分_営業店DB_Ⅹ_課題と対応策_20121211" xfId="149" xr:uid="{00000000-0005-0000-0000-000053000000}"/>
    <cellStyle name="_［修正版］【20090708】千里導入明細資料_２１年度分（７月工事分）_【20091225】千里導入明細資料_２２年度上期分_営業店DB_Ⅹ_課題と対応策_20121211 2" xfId="150" xr:uid="{00000000-0005-0000-0000-000054000000}"/>
    <cellStyle name="_［修正版］【20090708】千里導入明細資料_２１年度分（７月工事分）_【20091225】千里導入明細資料_２２年度上期分_連携DB" xfId="151" xr:uid="{00000000-0005-0000-0000-000055000000}"/>
    <cellStyle name="_［修正版］【20090708】千里導入明細資料_２１年度分（７月工事分）_【20091225】千里導入明細資料_２２年度上期分_連携DB 2" xfId="152" xr:uid="{00000000-0005-0000-0000-000056000000}"/>
    <cellStyle name="_［修正版］【20090708】千里導入明細資料_２１年度分（７月工事分）_【20091225】千里導入明細資料_２２年度上期分_連携DB_Ⅹ_課題と対応策_20121211" xfId="153" xr:uid="{00000000-0005-0000-0000-000057000000}"/>
    <cellStyle name="_［修正版］【20090708】千里導入明細資料_２１年度分（７月工事分）_【20091225】千里導入明細資料_２２年度上期分_連携DB_Ⅹ_課題と対応策_20121211 2" xfId="154" xr:uid="{00000000-0005-0000-0000-000058000000}"/>
    <cellStyle name="_［修正版］【20090708】千里導入明細資料_２１年度分（７月工事分）_【200912xx】千里導入明細資料_２２年度上期分" xfId="155" xr:uid="{00000000-0005-0000-0000-000059000000}"/>
    <cellStyle name="_［修正版］【20090708】千里導入明細資料_２１年度分（７月工事分）_【200912xx】千里導入明細資料_２２年度上期分 2" xfId="156" xr:uid="{00000000-0005-0000-0000-00005A000000}"/>
    <cellStyle name="_［修正版］【20090708】千里導入明細資料_２１年度分（７月工事分）_【200912xx】千里導入明細資料_２２年度上期分（為替分）" xfId="157" xr:uid="{00000000-0005-0000-0000-00005B000000}"/>
    <cellStyle name="_［修正版］【20090708】千里導入明細資料_２１年度分（７月工事分）_【200912xx】千里導入明細資料_２２年度上期分（為替分） 2" xfId="158" xr:uid="{00000000-0005-0000-0000-00005C000000}"/>
    <cellStyle name="_［修正版］【20090708】千里導入明細資料_２１年度分（７月工事分）_【200912xx】千里導入明細資料_２２年度上期分（為替分）_Ⅹ_課題と対応策_20121211" xfId="159" xr:uid="{00000000-0005-0000-0000-00005D000000}"/>
    <cellStyle name="_［修正版］【20090708】千里導入明細資料_２１年度分（７月工事分）_【200912xx】千里導入明細資料_２２年度上期分（為替分）_Ⅹ_課題と対応策_20121211 2" xfId="160" xr:uid="{00000000-0005-0000-0000-00005E000000}"/>
    <cellStyle name="_［修正版］【20090708】千里導入明細資料_２１年度分（７月工事分）_【200912xx】千里導入明細資料_２２年度上期分_【20091225】千里導入明細資料_２２年度上期分（営業店ＡＰ－ＤＢ）" xfId="161" xr:uid="{00000000-0005-0000-0000-00005F000000}"/>
    <cellStyle name="_［修正版］【20090708】千里導入明細資料_２１年度分（７月工事分）_【200912xx】千里導入明細資料_２２年度上期分_【20091225】千里導入明細資料_２２年度上期分（営業店ＡＰ－ＤＢ） 2" xfId="162" xr:uid="{00000000-0005-0000-0000-000060000000}"/>
    <cellStyle name="_［修正版］【20090708】千里導入明細資料_２１年度分（７月工事分）_【200912xx】千里導入明細資料_２２年度上期分_【20091225】千里導入明細資料_２２年度上期分（営業店ＡＰ－ＤＢ）_【調整中】千里導入明細資料_２２年度上期分_fj_20100127" xfId="163" xr:uid="{00000000-0005-0000-0000-000061000000}"/>
    <cellStyle name="_［修正版］【20090708】千里導入明細資料_２１年度分（７月工事分）_【200912xx】千里導入明細資料_２２年度上期分_【20091225】千里導入明細資料_２２年度上期分（営業店ＡＰ－ＤＢ）_【調整中】千里導入明細資料_２２年度上期分_fj_20100127 2" xfId="164" xr:uid="{00000000-0005-0000-0000-000062000000}"/>
    <cellStyle name="_［修正版］【20090708】千里導入明細資料_２１年度分（７月工事分）_【200912xx】千里導入明細資料_２２年度上期分_【20091225】千里導入明細資料_２２年度上期分（営業店ＡＰ－ＤＢ）_【調整中】千里導入明細資料_２２年度上期分_fj_20100127_Ⅹ_課題と対応策_20121211" xfId="165" xr:uid="{00000000-0005-0000-0000-000063000000}"/>
    <cellStyle name="_［修正版］【20090708】千里導入明細資料_２１年度分（７月工事分）_【200912xx】千里導入明細資料_２２年度上期分_【20091225】千里導入明細資料_２２年度上期分（営業店ＡＰ－ＤＢ）_【調整中】千里導入明細資料_２２年度上期分_fj_20100127_Ⅹ_課題と対応策_20121211 2" xfId="166" xr:uid="{00000000-0005-0000-0000-000064000000}"/>
    <cellStyle name="_［修正版］【20090708】千里導入明細資料_２１年度分（７月工事分）_【200912xx】千里導入明細資料_２２年度上期分_【20091225】千里導入明細資料_２２年度上期分（営業店ＡＰ－ＤＢ）_Ⅹ_課題と対応策_20121211" xfId="167" xr:uid="{00000000-0005-0000-0000-000065000000}"/>
    <cellStyle name="_［修正版］【20090708】千里導入明細資料_２１年度分（７月工事分）_【200912xx】千里導入明細資料_２２年度上期分_【20091225】千里導入明細資料_２２年度上期分（営業店ＡＰ－ＤＢ）_Ⅹ_課題と対応策_20121211 2" xfId="168" xr:uid="{00000000-0005-0000-0000-000066000000}"/>
    <cellStyle name="_［修正版］【20090708】千里導入明細資料_２１年度分（７月工事分）_【200912xx】千里導入明細資料_２２年度上期分_【20091225】千里導入明細資料_２２年度上期分_営業店DB" xfId="169" xr:uid="{00000000-0005-0000-0000-000067000000}"/>
    <cellStyle name="_［修正版］【20090708】千里導入明細資料_２１年度分（７月工事分）_【200912xx】千里導入明細資料_２２年度上期分_【20091225】千里導入明細資料_２２年度上期分_営業店DB 2" xfId="170" xr:uid="{00000000-0005-0000-0000-000068000000}"/>
    <cellStyle name="_［修正版］【20090708】千里導入明細資料_２１年度分（７月工事分）_【200912xx】千里導入明細資料_２２年度上期分_【20091225】千里導入明細資料_２２年度上期分_営業店DB_【調整中】千里導入明細資料_２２年度上期分_fj_20100127" xfId="171" xr:uid="{00000000-0005-0000-0000-000069000000}"/>
    <cellStyle name="_［修正版］【20090708】千里導入明細資料_２１年度分（７月工事分）_【200912xx】千里導入明細資料_２２年度上期分_【20091225】千里導入明細資料_２２年度上期分_営業店DB_【調整中】千里導入明細資料_２２年度上期分_fj_20100127 2" xfId="172" xr:uid="{00000000-0005-0000-0000-00006A000000}"/>
    <cellStyle name="_［修正版］【20090708】千里導入明細資料_２１年度分（７月工事分）_【200912xx】千里導入明細資料_２２年度上期分_【20091225】千里導入明細資料_２２年度上期分_営業店DB_【調整中】千里導入明細資料_２２年度上期分_fj_20100127_Ⅹ_課題と対応策_20121211" xfId="173" xr:uid="{00000000-0005-0000-0000-00006B000000}"/>
    <cellStyle name="_［修正版］【20090708】千里導入明細資料_２１年度分（７月工事分）_【200912xx】千里導入明細資料_２２年度上期分_【20091225】千里導入明細資料_２２年度上期分_営業店DB_【調整中】千里導入明細資料_２２年度上期分_fj_20100127_Ⅹ_課題と対応策_20121211 2" xfId="174" xr:uid="{00000000-0005-0000-0000-00006C000000}"/>
    <cellStyle name="_［修正版］【20090708】千里導入明細資料_２１年度分（７月工事分）_【200912xx】千里導入明細資料_２２年度上期分_【20091225】千里導入明細資料_２２年度上期分_営業店DB_Ⅹ_課題と対応策_20121211" xfId="175" xr:uid="{00000000-0005-0000-0000-00006D000000}"/>
    <cellStyle name="_［修正版］【20090708】千里導入明細資料_２１年度分（７月工事分）_【200912xx】千里導入明細資料_２２年度上期分_【20091225】千里導入明細資料_２２年度上期分_営業店DB_Ⅹ_課題と対応策_20121211 2" xfId="176" xr:uid="{00000000-0005-0000-0000-00006E000000}"/>
    <cellStyle name="_［修正版］【20090708】千里導入明細資料_２１年度分（７月工事分）_【200912xx】千里導入明細資料_２２年度上期分_【20091225】千里導入明細資料_２２年度上期分_連携DB" xfId="177" xr:uid="{00000000-0005-0000-0000-00006F000000}"/>
    <cellStyle name="_［修正版］【20090708】千里導入明細資料_２１年度分（７月工事分）_【200912xx】千里導入明細資料_２２年度上期分_【20091225】千里導入明細資料_２２年度上期分_連携DB 2" xfId="178" xr:uid="{00000000-0005-0000-0000-000070000000}"/>
    <cellStyle name="_［修正版］【20090708】千里導入明細資料_２１年度分（７月工事分）_【200912xx】千里導入明細資料_２２年度上期分_【20091225】千里導入明細資料_２２年度上期分_連携DB_【調整中】千里導入明細資料_２２年度上期分_fj_20100127" xfId="179" xr:uid="{00000000-0005-0000-0000-000071000000}"/>
    <cellStyle name="_［修正版］【20090708】千里導入明細資料_２１年度分（７月工事分）_【200912xx】千里導入明細資料_２２年度上期分_【20091225】千里導入明細資料_２２年度上期分_連携DB_【調整中】千里導入明細資料_２２年度上期分_fj_20100127 2" xfId="180" xr:uid="{00000000-0005-0000-0000-000072000000}"/>
    <cellStyle name="_［修正版］【20090708】千里導入明細資料_２１年度分（７月工事分）_【200912xx】千里導入明細資料_２２年度上期分_【20091225】千里導入明細資料_２２年度上期分_連携DB_【調整中】千里導入明細資料_２２年度上期分_fj_20100127_Ⅹ_課題と対応策_20121211" xfId="181" xr:uid="{00000000-0005-0000-0000-000073000000}"/>
    <cellStyle name="_［修正版］【20090708】千里導入明細資料_２１年度分（７月工事分）_【200912xx】千里導入明細資料_２２年度上期分_【20091225】千里導入明細資料_２２年度上期分_連携DB_【調整中】千里導入明細資料_２２年度上期分_fj_20100127_Ⅹ_課題と対応策_20121211 2" xfId="182" xr:uid="{00000000-0005-0000-0000-000074000000}"/>
    <cellStyle name="_［修正版］【20090708】千里導入明細資料_２１年度分（７月工事分）_【200912xx】千里導入明細資料_２２年度上期分_【20091225】千里導入明細資料_２２年度上期分_連携DB_Ⅹ_課題と対応策_20121211" xfId="183" xr:uid="{00000000-0005-0000-0000-000075000000}"/>
    <cellStyle name="_［修正版］【20090708】千里導入明細資料_２１年度分（７月工事分）_【200912xx】千里導入明細資料_２２年度上期分_【20091225】千里導入明細資料_２２年度上期分_連携DB_Ⅹ_課題と対応策_20121211 2" xfId="184" xr:uid="{00000000-0005-0000-0000-000076000000}"/>
    <cellStyle name="_［修正版］【20090708】千里導入明細資料_２１年度分（７月工事分）_【200912xx】千里導入明細資料_２２年度上期分_Ⅹ_課題と対応策_20121211" xfId="185" xr:uid="{00000000-0005-0000-0000-000077000000}"/>
    <cellStyle name="_［修正版］【20090708】千里導入明細資料_２１年度分（７月工事分）_【200912xx】千里導入明細資料_２２年度上期分_Ⅹ_課題と対応策_20121211 2" xfId="186" xr:uid="{00000000-0005-0000-0000-000078000000}"/>
    <cellStyle name="_［修正版］【20090708】千里導入明細資料_２１年度分（７月工事分）_【調整中】千里導入明細資料_２２年度上期分_fj_20100127" xfId="187" xr:uid="{00000000-0005-0000-0000-000079000000}"/>
    <cellStyle name="_［修正版］【20090708】千里導入明細資料_２１年度分（７月工事分）_【調整中】千里導入明細資料_２２年度上期分_fj_20100127 2" xfId="188" xr:uid="{00000000-0005-0000-0000-00007A000000}"/>
    <cellStyle name="_［修正版］【20090708】千里導入明細資料_２１年度分（７月工事分）_【調整中】千里導入明細資料_２２年度上期分_fj_20100127_Ⅹ_課題と対応策_20121211" xfId="189" xr:uid="{00000000-0005-0000-0000-00007B000000}"/>
    <cellStyle name="_［修正版］【20090708】千里導入明細資料_２１年度分（７月工事分）_【調整中】千里導入明細資料_２２年度上期分_fj_20100127_Ⅹ_課題と対応策_20121211 2" xfId="190" xr:uid="{00000000-0005-0000-0000-00007C000000}"/>
    <cellStyle name="_［修正版］【20090708】千里導入明細資料_２１年度分（７月工事分）_①【20091225】千里導入明細資料_２２年度上期1分)" xfId="191" xr:uid="{00000000-0005-0000-0000-00007D000000}"/>
    <cellStyle name="_［修正版］【20090708】千里導入明細資料_２１年度分（７月工事分）_①【20091225】千里導入明細資料_２２年度上期1分) 2" xfId="192" xr:uid="{00000000-0005-0000-0000-00007E000000}"/>
    <cellStyle name="_［修正版］【20090708】千里導入明細資料_２１年度分（７月工事分）_①【20091225】千里導入明細資料_２２年度上期1分)_Ⅹ_課題と対応策_20121211" xfId="193" xr:uid="{00000000-0005-0000-0000-00007F000000}"/>
    <cellStyle name="_［修正版］【20090708】千里導入明細資料_２１年度分（７月工事分）_①【20091225】千里導入明細資料_２２年度上期1分)_Ⅹ_課題と対応策_20121211 2" xfId="194" xr:uid="{00000000-0005-0000-0000-000080000000}"/>
    <cellStyle name="_［修正版］【20090708】千里導入明細資料_２１年度分（７月工事分）_Ⅹ_課題と対応策_20121211" xfId="195" xr:uid="{00000000-0005-0000-0000-000081000000}"/>
    <cellStyle name="_［修正版］【20090708】千里導入明細資料_２１年度分（７月工事分）_Ⅹ_課題と対応策_20121211 2" xfId="196" xr:uid="{00000000-0005-0000-0000-000082000000}"/>
    <cellStyle name="_［修正版］【20090708】千里導入明細資料_２１年度分（７月工事分）_千里導入明細資料_２２年度分（ネットワーク敷設）_fj" xfId="197" xr:uid="{00000000-0005-0000-0000-000083000000}"/>
    <cellStyle name="_［修正版］【20090708】千里導入明細資料_２１年度分（７月工事分）_千里導入明細資料_２２年度分（ネットワーク敷設）_fj 2" xfId="198" xr:uid="{00000000-0005-0000-0000-000084000000}"/>
    <cellStyle name="_［修正版］【20090708】千里導入明細資料_２１年度分（７月工事分）_千里導入明細資料_２２年度分（ネットワーク敷設）_fj_Ⅹ_課題と対応策_20121211" xfId="199" xr:uid="{00000000-0005-0000-0000-000085000000}"/>
    <cellStyle name="_［修正版］【20090708】千里導入明細資料_２１年度分（７月工事分）_千里導入明細資料_２２年度分（ネットワーク敷設）_fj_Ⅹ_課題と対応策_20121211 2" xfId="200" xr:uid="{00000000-0005-0000-0000-000086000000}"/>
    <cellStyle name="_［提出版］千里導入明細資料（資源配付・仮想化）20090323" xfId="201" xr:uid="{00000000-0005-0000-0000-000087000000}"/>
    <cellStyle name="_［提出版］千里導入明細資料（資源配付・仮想化）20090323 2" xfId="202" xr:uid="{00000000-0005-0000-0000-000088000000}"/>
    <cellStyle name="_［提出版］千里導入明細資料（資源配付・仮想化）20090323_(自動機監視GW) 【20090602】千里導入明細資料_２１年度fj分" xfId="203" xr:uid="{00000000-0005-0000-0000-000089000000}"/>
    <cellStyle name="_［提出版］千里導入明細資料（資源配付・仮想化）20090323_(自動機監視GW) 【20090602】千里導入明細資料_２１年度fj分 2" xfId="204" xr:uid="{00000000-0005-0000-0000-00008A000000}"/>
    <cellStyle name="_［提出版］千里導入明細資料（資源配付・仮想化）20090323_(自動機監視GW) 【20090602】千里導入明細資料_２１年度fj分_【20091218】千里導入明細資料_２１年度分（ネットワーク敷設）" xfId="205" xr:uid="{00000000-0005-0000-0000-00008B000000}"/>
    <cellStyle name="_［提出版］千里導入明細資料（資源配付・仮想化）20090323_(自動機監視GW) 【20090602】千里導入明細資料_２１年度fj分_【20091218】千里導入明細資料_２１年度分（ネットワーク敷設） 2" xfId="206" xr:uid="{00000000-0005-0000-0000-00008C000000}"/>
    <cellStyle name="_［提出版］千里導入明細資料（資源配付・仮想化）20090323_(自動機監視GW) 【20090602】千里導入明細資料_２１年度fj分_【20091218】千里導入明細資料_２１年度分（ネットワーク敷設）_Ⅹ_課題と対応策_20121211" xfId="207" xr:uid="{00000000-0005-0000-0000-00008D000000}"/>
    <cellStyle name="_［提出版］千里導入明細資料（資源配付・仮想化）20090323_(自動機監視GW) 【20090602】千里導入明細資料_２１年度fj分_【20091218】千里導入明細資料_２１年度分（ネットワーク敷設）_Ⅹ_課題と対応策_20121211 2" xfId="208" xr:uid="{00000000-0005-0000-0000-00008E000000}"/>
    <cellStyle name="_［提出版］千里導入明細資料（資源配付・仮想化）20090323_(自動機監視GW) 【20090602】千里導入明細資料_２１年度fj分_Ⅹ_課題と対応策_20121211" xfId="209" xr:uid="{00000000-0005-0000-0000-00008F000000}"/>
    <cellStyle name="_［提出版］千里導入明細資料（資源配付・仮想化）20090323_(自動機監視GW) 【20090602】千里導入明細資料_２１年度fj分_Ⅹ_課題と対応策_20121211 2" xfId="210" xr:uid="{00000000-0005-0000-0000-000090000000}"/>
    <cellStyle name="_［提出版］千里導入明細資料（資源配付・仮想化）20090323_(自動機監視GW) 【20090602】千里導入明細資料_２１年度fj分_千里導入明細資料_２２年度分（ネットワーク敷設）_fj" xfId="211" xr:uid="{00000000-0005-0000-0000-000091000000}"/>
    <cellStyle name="_［提出版］千里導入明細資料（資源配付・仮想化）20090323_(自動機監視GW) 【20090602】千里導入明細資料_２１年度fj分_千里導入明細資料_２２年度分（ネットワーク敷設）_fj 2" xfId="212" xr:uid="{00000000-0005-0000-0000-000092000000}"/>
    <cellStyle name="_［提出版］千里導入明細資料（資源配付・仮想化）20090323_(自動機監視GW) 【20090602】千里導入明細資料_２１年度fj分_千里導入明細資料_２２年度分（ネットワーク敷設）_fj_Ⅹ_課題と対応策_20121211" xfId="213" xr:uid="{00000000-0005-0000-0000-000093000000}"/>
    <cellStyle name="_［提出版］千里導入明細資料（資源配付・仮想化）20090323_(自動機監視GW) 【20090602】千里導入明細資料_２１年度fj分_千里導入明細資料_２２年度分（ネットワーク敷設）_fj_Ⅹ_課題と対応策_20121211 2" xfId="214" xr:uid="{00000000-0005-0000-0000-000094000000}"/>
    <cellStyle name="_［提出版］千里導入明細資料（資源配付・仮想化）20090323_【20090715】千里導入明細資料_２１年度分（９月工事分）_fj" xfId="215" xr:uid="{00000000-0005-0000-0000-000095000000}"/>
    <cellStyle name="_［提出版］千里導入明細資料（資源配付・仮想化）20090323_【20090715】千里導入明細資料_２１年度分（９月工事分）_fj 2" xfId="216" xr:uid="{00000000-0005-0000-0000-000096000000}"/>
    <cellStyle name="_［提出版］千里導入明細資料（資源配付・仮想化）20090323_【20090715】千里導入明細資料_２１年度分（９月工事分）_fj_【20090721】千里導入明細資料_２１年度分" xfId="217" xr:uid="{00000000-0005-0000-0000-000097000000}"/>
    <cellStyle name="_［提出版］千里導入明細資料（資源配付・仮想化）20090323_【20090715】千里導入明細資料_２１年度分（９月工事分）_fj_【20090721】千里導入明細資料_２１年度分 2" xfId="218" xr:uid="{00000000-0005-0000-0000-000098000000}"/>
    <cellStyle name="_［提出版］千里導入明細資料（資源配付・仮想化）20090323_【20090715】千里導入明細資料_２１年度分（９月工事分）_fj_【20090721】千里導入明細資料_２１年度分（９月工事分）_ETERNUS追加" xfId="219" xr:uid="{00000000-0005-0000-0000-000099000000}"/>
    <cellStyle name="_［提出版］千里導入明細資料（資源配付・仮想化）20090323_【20090715】千里導入明細資料_２１年度分（９月工事分）_fj_【20090721】千里導入明細資料_２１年度分（９月工事分）_ETERNUS追加 2" xfId="220" xr:uid="{00000000-0005-0000-0000-00009A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0731】千里導入明細資料_２１年度分（９月工事分）" xfId="221" xr:uid="{00000000-0005-0000-0000-00009B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0731】千里導入明細資料_２１年度分（９月工事分） 2" xfId="222" xr:uid="{00000000-0005-0000-0000-00009C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" xfId="223" xr:uid="{00000000-0005-0000-0000-00009D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 2" xfId="224" xr:uid="{00000000-0005-0000-0000-00009E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_Ⅹ_課題と対応策_20121211" xfId="225" xr:uid="{00000000-0005-0000-0000-00009F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_Ⅹ_課題と対応策_20121211 2" xfId="226" xr:uid="{00000000-0005-0000-0000-0000A0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0731】千里導入明細資料_２１年度分（９月工事分）_Ⅹ_課題と対応策_20121211" xfId="227" xr:uid="{00000000-0005-0000-0000-0000A1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0731】千里導入明細資料_２１年度分（９月工事分）_Ⅹ_課題と対応策_20121211 2" xfId="228" xr:uid="{00000000-0005-0000-0000-0000A2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0821】千里ラック搭載図（NW機器）" xfId="229" xr:uid="{00000000-0005-0000-0000-0000A3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0821】千里ラック搭載図（NW機器） 2" xfId="230" xr:uid="{00000000-0005-0000-0000-0000A4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0821】千里ラック搭載図（NW機器）_Ⅹ_課題と対応策_20121211" xfId="231" xr:uid="{00000000-0005-0000-0000-0000A5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0821】千里ラック搭載図（NW機器）_Ⅹ_課題と対応策_20121211 2" xfId="232" xr:uid="{00000000-0005-0000-0000-0000A6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18】千里導入明細資料_２１年度分（ネットワーク敷設）" xfId="233" xr:uid="{00000000-0005-0000-0000-0000A7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18】千里導入明細資料_２１年度分（ネットワーク敷設） 2" xfId="234" xr:uid="{00000000-0005-0000-0000-0000A8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18】千里導入明細資料_２１年度分（ネットワーク敷設）_Ⅹ_課題と対応策_20121211" xfId="235" xr:uid="{00000000-0005-0000-0000-0000A9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18】千里導入明細資料_２１年度分（ネットワーク敷設）_Ⅹ_課題と対応策_20121211 2" xfId="236" xr:uid="{00000000-0005-0000-0000-0000AA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" xfId="237" xr:uid="{00000000-0005-0000-0000-0000AB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 2" xfId="238" xr:uid="{00000000-0005-0000-0000-0000AC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" xfId="239" xr:uid="{00000000-0005-0000-0000-0000AD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 2" xfId="240" xr:uid="{00000000-0005-0000-0000-0000AE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" xfId="241" xr:uid="{00000000-0005-0000-0000-0000AF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 2" xfId="242" xr:uid="{00000000-0005-0000-0000-0000B0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_Ⅹ_課題と対応策_20121211" xfId="243" xr:uid="{00000000-0005-0000-0000-0000B1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244" xr:uid="{00000000-0005-0000-0000-0000B2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Ⅹ_課題と対応策_20121211" xfId="245" xr:uid="{00000000-0005-0000-0000-0000B3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Ⅹ_課題と対応策_20121211 2" xfId="246" xr:uid="{00000000-0005-0000-0000-0000B4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" xfId="247" xr:uid="{00000000-0005-0000-0000-0000B5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 2" xfId="248" xr:uid="{00000000-0005-0000-0000-0000B6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" xfId="249" xr:uid="{00000000-0005-0000-0000-0000B7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 2" xfId="250" xr:uid="{00000000-0005-0000-0000-0000B8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_Ⅹ_課題と対応策_20121211" xfId="251" xr:uid="{00000000-0005-0000-0000-0000B9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_Ⅹ_課題と対応策_20121211 2" xfId="252" xr:uid="{00000000-0005-0000-0000-0000BA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Ⅹ_課題と対応策_20121211" xfId="253" xr:uid="{00000000-0005-0000-0000-0000BB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Ⅹ_課題と対応策_20121211 2" xfId="254" xr:uid="{00000000-0005-0000-0000-0000BC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Ⅹ_課題と対応策_20121211" xfId="255" xr:uid="{00000000-0005-0000-0000-0000BD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Ⅹ_課題と対応策_20121211 2" xfId="256" xr:uid="{00000000-0005-0000-0000-0000BE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5】千里導入明細資料_２２年度上期分" xfId="257" xr:uid="{00000000-0005-0000-0000-0000BF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5】千里導入明細資料_２２年度上期分 2" xfId="258" xr:uid="{00000000-0005-0000-0000-0000C0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5】千里導入明細資料_２２年度上期分_Ⅹ_課題と対応策_20121211" xfId="259" xr:uid="{00000000-0005-0000-0000-0000C1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5】千里導入明細資料_２２年度上期分_Ⅹ_課題と対応策_20121211 2" xfId="260" xr:uid="{00000000-0005-0000-0000-0000C2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5】千里導入明細資料_２２年度上期分_営業店DB" xfId="261" xr:uid="{00000000-0005-0000-0000-0000C3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5】千里導入明細資料_２２年度上期分_営業店DB 2" xfId="262" xr:uid="{00000000-0005-0000-0000-0000C4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5】千里導入明細資料_２２年度上期分_営業店DB_Ⅹ_課題と対応策_20121211" xfId="263" xr:uid="{00000000-0005-0000-0000-0000C5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5】千里導入明細資料_２２年度上期分_営業店DB_Ⅹ_課題と対応策_20121211 2" xfId="264" xr:uid="{00000000-0005-0000-0000-0000C6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5】千里導入明細資料_２２年度上期分_連携DB" xfId="265" xr:uid="{00000000-0005-0000-0000-0000C7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5】千里導入明細資料_２２年度上期分_連携DB 2" xfId="266" xr:uid="{00000000-0005-0000-0000-0000C8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5】千里導入明細資料_２２年度上期分_連携DB_Ⅹ_課題と対応策_20121211" xfId="267" xr:uid="{00000000-0005-0000-0000-0000C9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5】千里導入明細資料_２２年度上期分_連携DB_Ⅹ_課題と対応策_20121211 2" xfId="268" xr:uid="{00000000-0005-0000-0000-0000CA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" xfId="269" xr:uid="{00000000-0005-0000-0000-0000CB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 2" xfId="270" xr:uid="{00000000-0005-0000-0000-0000CC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（為替分）" xfId="271" xr:uid="{00000000-0005-0000-0000-0000CD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（為替分） 2" xfId="272" xr:uid="{00000000-0005-0000-0000-0000CE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（為替分）_Ⅹ_課題と対応策_20121211" xfId="273" xr:uid="{00000000-0005-0000-0000-0000CF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（為替分）_Ⅹ_課題と対応策_20121211 2" xfId="274" xr:uid="{00000000-0005-0000-0000-0000D0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" xfId="275" xr:uid="{00000000-0005-0000-0000-0000D1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 2" xfId="276" xr:uid="{00000000-0005-0000-0000-0000D2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" xfId="277" xr:uid="{00000000-0005-0000-0000-0000D3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 2" xfId="278" xr:uid="{00000000-0005-0000-0000-0000D4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_Ⅹ_課題と対応策_20121211" xfId="279" xr:uid="{00000000-0005-0000-0000-0000D5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_Ⅹ_課題と対応策_20121211 2" xfId="280" xr:uid="{00000000-0005-0000-0000-0000D6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Ⅹ_課題と対応策_20121211" xfId="281" xr:uid="{00000000-0005-0000-0000-0000D7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Ⅹ_課題と対応策_20121211 2" xfId="282" xr:uid="{00000000-0005-0000-0000-0000D8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" xfId="283" xr:uid="{00000000-0005-0000-0000-0000D9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 2" xfId="284" xr:uid="{00000000-0005-0000-0000-0000DA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" xfId="285" xr:uid="{00000000-0005-0000-0000-0000DB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 2" xfId="286" xr:uid="{00000000-0005-0000-0000-0000DC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_Ⅹ_課題と対応策_20121211" xfId="287" xr:uid="{00000000-0005-0000-0000-0000DD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_Ⅹ_課題と対応策_20121211 2" xfId="288" xr:uid="{00000000-0005-0000-0000-0000DE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Ⅹ_課題と対応策_20121211" xfId="289" xr:uid="{00000000-0005-0000-0000-0000DF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Ⅹ_課題と対応策_20121211 2" xfId="290" xr:uid="{00000000-0005-0000-0000-0000E0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" xfId="291" xr:uid="{00000000-0005-0000-0000-0000E1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 2" xfId="292" xr:uid="{00000000-0005-0000-0000-0000E2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" xfId="293" xr:uid="{00000000-0005-0000-0000-0000E3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 2" xfId="294" xr:uid="{00000000-0005-0000-0000-0000E4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_Ⅹ_課題と対応策_20121211" xfId="295" xr:uid="{00000000-0005-0000-0000-0000E5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_Ⅹ_課題と対応策_20121211 2" xfId="296" xr:uid="{00000000-0005-0000-0000-0000E6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Ⅹ_課題と対応策_20121211" xfId="297" xr:uid="{00000000-0005-0000-0000-0000E7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Ⅹ_課題と対応策_20121211 2" xfId="298" xr:uid="{00000000-0005-0000-0000-0000E8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Ⅹ_課題と対応策_20121211" xfId="299" xr:uid="{00000000-0005-0000-0000-0000E9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Ⅹ_課題と対応策_20121211 2" xfId="300" xr:uid="{00000000-0005-0000-0000-0000EA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調整中】千里導入明細資料_２２年度上期分_fj_20100127" xfId="301" xr:uid="{00000000-0005-0000-0000-0000EB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調整中】千里導入明細資料_２２年度上期分_fj_20100127 2" xfId="302" xr:uid="{00000000-0005-0000-0000-0000EC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調整中】千里導入明細資料_２２年度上期分_fj_20100127_Ⅹ_課題と対応策_20121211" xfId="303" xr:uid="{00000000-0005-0000-0000-0000ED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調整中】千里導入明細資料_２２年度上期分_fj_20100127_Ⅹ_課題と対応策_20121211 2" xfId="304" xr:uid="{00000000-0005-0000-0000-0000EE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①【20091225】千里導入明細資料_２２年度上期1分)" xfId="305" xr:uid="{00000000-0005-0000-0000-0000EF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①【20091225】千里導入明細資料_２２年度上期1分) 2" xfId="306" xr:uid="{00000000-0005-0000-0000-0000F0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①【20091225】千里導入明細資料_２２年度上期1分)_Ⅹ_課題と対応策_20121211" xfId="307" xr:uid="{00000000-0005-0000-0000-0000F1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①【20091225】千里導入明細資料_２２年度上期1分)_Ⅹ_課題と対応策_20121211 2" xfId="308" xr:uid="{00000000-0005-0000-0000-0000F2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Ⅹ_課題と対応策_20121211" xfId="309" xr:uid="{00000000-0005-0000-0000-0000F3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Ⅹ_課題と対応策_20121211 2" xfId="310" xr:uid="{00000000-0005-0000-0000-0000F4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千里導入明細資料_２２年度分（ネットワーク敷設）_fj" xfId="311" xr:uid="{00000000-0005-0000-0000-0000F5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千里導入明細資料_２２年度分（ネットワーク敷設）_fj 2" xfId="312" xr:uid="{00000000-0005-0000-0000-0000F6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千里導入明細資料_２２年度分（ネットワーク敷設）_fj_Ⅹ_課題と対応策_20121211" xfId="313" xr:uid="{00000000-0005-0000-0000-0000F7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千里導入明細資料_２２年度分（ネットワーク敷設）_fj_Ⅹ_課題と対応策_20121211 2" xfId="314" xr:uid="{00000000-0005-0000-0000-0000F8000000}"/>
    <cellStyle name="_［提出版］千里導入明細資料（資源配付・仮想化）20090323_【20090715】千里導入明細資料_２１年度分（９月工事分）_fj_【20090721】千里導入明細資料_２１年度分_【20091218】千里導入明細資料_２１年度分（ネットワーク敷設）" xfId="315" xr:uid="{00000000-0005-0000-0000-0000F9000000}"/>
    <cellStyle name="_［提出版］千里導入明細資料（資源配付・仮想化）20090323_【20090715】千里導入明細資料_２１年度分（９月工事分）_fj_【20090721】千里導入明細資料_２１年度分_【20091218】千里導入明細資料_２１年度分（ネットワーク敷設） 2" xfId="316" xr:uid="{00000000-0005-0000-0000-0000FA000000}"/>
    <cellStyle name="_［提出版］千里導入明細資料（資源配付・仮想化）20090323_【20090715】千里導入明細資料_２１年度分（９月工事分）_fj_【20090721】千里導入明細資料_２１年度分_【20091218】千里導入明細資料_２１年度分（ネットワーク敷設）_Ⅹ_課題と対応策_20121211" xfId="317" xr:uid="{00000000-0005-0000-0000-0000FB000000}"/>
    <cellStyle name="_［提出版］千里導入明細資料（資源配付・仮想化）20090323_【20090715】千里導入明細資料_２１年度分（９月工事分）_fj_【20090721】千里導入明細資料_２１年度分_【20091218】千里導入明細資料_２１年度分（ネットワーク敷設）_Ⅹ_課題と対応策_20121211 2" xfId="318" xr:uid="{00000000-0005-0000-0000-0000FC000000}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" xfId="319" xr:uid="{00000000-0005-0000-0000-0000FD000000}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 2" xfId="320" xr:uid="{00000000-0005-0000-0000-0000FE000000}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" xfId="321" xr:uid="{00000000-0005-0000-0000-0000FF000000}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 2" xfId="322" xr:uid="{00000000-0005-0000-0000-000000010000}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" xfId="323" xr:uid="{00000000-0005-0000-0000-000001010000}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 2" xfId="324" xr:uid="{00000000-0005-0000-0000-000002010000}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_Ⅹ_課題と対応策_20121211" xfId="325" xr:uid="{00000000-0005-0000-0000-000003010000}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326" xr:uid="{00000000-0005-0000-0000-000004010000}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Ⅹ_課題と対応策_20121211" xfId="327" xr:uid="{00000000-0005-0000-0000-000005010000}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Ⅹ_課題と対応策_20121211 2" xfId="328" xr:uid="{00000000-0005-0000-0000-000006010000}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" xfId="329" xr:uid="{00000000-0005-0000-0000-000007010000}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 2" xfId="330" xr:uid="{00000000-0005-0000-0000-000008010000}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" xfId="331" xr:uid="{00000000-0005-0000-0000-000009010000}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 2" xfId="332" xr:uid="{00000000-0005-0000-0000-00000A010000}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_Ⅹ_課題と対応策_20121211" xfId="333" xr:uid="{00000000-0005-0000-0000-00000B010000}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_Ⅹ_課題と対応策_20121211 2" xfId="334" xr:uid="{00000000-0005-0000-0000-00000C010000}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Ⅹ_課題と対応策_20121211" xfId="335" xr:uid="{00000000-0005-0000-0000-00000D010000}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Ⅹ_課題と対応策_20121211 2" xfId="336" xr:uid="{00000000-0005-0000-0000-00000E010000}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Ⅹ_課題と対応策_20121211" xfId="337" xr:uid="{00000000-0005-0000-0000-00000F010000}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Ⅹ_課題と対応策_20121211 2" xfId="338" xr:uid="{00000000-0005-0000-0000-000010010000}"/>
    <cellStyle name="_［提出版］千里導入明細資料（資源配付・仮想化）20090323_【20090715】千里導入明細資料_２１年度分（９月工事分）_fj_【20090721】千里導入明細資料_２１年度分_【20091225】千里導入明細資料_２２年度上期分" xfId="339" xr:uid="{00000000-0005-0000-0000-000011010000}"/>
    <cellStyle name="_［提出版］千里導入明細資料（資源配付・仮想化）20090323_【20090715】千里導入明細資料_２１年度分（９月工事分）_fj_【20090721】千里導入明細資料_２１年度分_【20091225】千里導入明細資料_２２年度上期分 2" xfId="340" xr:uid="{00000000-0005-0000-0000-000012010000}"/>
    <cellStyle name="_［提出版］千里導入明細資料（資源配付・仮想化）20090323_【20090715】千里導入明細資料_２１年度分（９月工事分）_fj_【20090721】千里導入明細資料_２１年度分_【20091225】千里導入明細資料_２２年度上期分_Ⅹ_課題と対応策_20121211" xfId="341" xr:uid="{00000000-0005-0000-0000-000013010000}"/>
    <cellStyle name="_［提出版］千里導入明細資料（資源配付・仮想化）20090323_【20090715】千里導入明細資料_２１年度分（９月工事分）_fj_【20090721】千里導入明細資料_２１年度分_【20091225】千里導入明細資料_２２年度上期分_Ⅹ_課題と対応策_20121211 2" xfId="342" xr:uid="{00000000-0005-0000-0000-000014010000}"/>
    <cellStyle name="_［提出版］千里導入明細資料（資源配付・仮想化）20090323_【20090715】千里導入明細資料_２１年度分（９月工事分）_fj_【20090721】千里導入明細資料_２１年度分_【20091225】千里導入明細資料_２２年度上期分_営業店DB" xfId="343" xr:uid="{00000000-0005-0000-0000-000015010000}"/>
    <cellStyle name="_［提出版］千里導入明細資料（資源配付・仮想化）20090323_【20090715】千里導入明細資料_２１年度分（９月工事分）_fj_【20090721】千里導入明細資料_２１年度分_【20091225】千里導入明細資料_２２年度上期分_営業店DB 2" xfId="344" xr:uid="{00000000-0005-0000-0000-000016010000}"/>
    <cellStyle name="_［提出版］千里導入明細資料（資源配付・仮想化）20090323_【20090715】千里導入明細資料_２１年度分（９月工事分）_fj_【20090721】千里導入明細資料_２１年度分_【20091225】千里導入明細資料_２２年度上期分_営業店DB_Ⅹ_課題と対応策_20121211" xfId="345" xr:uid="{00000000-0005-0000-0000-000017010000}"/>
    <cellStyle name="_［提出版］千里導入明細資料（資源配付・仮想化）20090323_【20090715】千里導入明細資料_２１年度分（９月工事分）_fj_【20090721】千里導入明細資料_２１年度分_【20091225】千里導入明細資料_２２年度上期分_営業店DB_Ⅹ_課題と対応策_20121211 2" xfId="346" xr:uid="{00000000-0005-0000-0000-000018010000}"/>
    <cellStyle name="_［提出版］千里導入明細資料（資源配付・仮想化）20090323_【20090715】千里導入明細資料_２１年度分（９月工事分）_fj_【20090721】千里導入明細資料_２１年度分_【20091225】千里導入明細資料_２２年度上期分_連携DB" xfId="347" xr:uid="{00000000-0005-0000-0000-000019010000}"/>
    <cellStyle name="_［提出版］千里導入明細資料（資源配付・仮想化）20090323_【20090715】千里導入明細資料_２１年度分（９月工事分）_fj_【20090721】千里導入明細資料_２１年度分_【20091225】千里導入明細資料_２２年度上期分_連携DB 2" xfId="348" xr:uid="{00000000-0005-0000-0000-00001A010000}"/>
    <cellStyle name="_［提出版］千里導入明細資料（資源配付・仮想化）20090323_【20090715】千里導入明細資料_２１年度分（９月工事分）_fj_【20090721】千里導入明細資料_２１年度分_【20091225】千里導入明細資料_２２年度上期分_連携DB_Ⅹ_課題と対応策_20121211" xfId="349" xr:uid="{00000000-0005-0000-0000-00001B010000}"/>
    <cellStyle name="_［提出版］千里導入明細資料（資源配付・仮想化）20090323_【20090715】千里導入明細資料_２１年度分（９月工事分）_fj_【20090721】千里導入明細資料_２１年度分_【20091225】千里導入明細資料_２２年度上期分_連携DB_Ⅹ_課題と対応策_20121211 2" xfId="350" xr:uid="{00000000-0005-0000-0000-00001C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" xfId="351" xr:uid="{00000000-0005-0000-0000-00001D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 2" xfId="352" xr:uid="{00000000-0005-0000-0000-00001E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（為替分）" xfId="353" xr:uid="{00000000-0005-0000-0000-00001F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（為替分） 2" xfId="354" xr:uid="{00000000-0005-0000-0000-000020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（為替分）_Ⅹ_課題と対応策_20121211" xfId="355" xr:uid="{00000000-0005-0000-0000-000021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（為替分）_Ⅹ_課題と対応策_20121211 2" xfId="356" xr:uid="{00000000-0005-0000-0000-000022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" xfId="357" xr:uid="{00000000-0005-0000-0000-000023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 2" xfId="358" xr:uid="{00000000-0005-0000-0000-000024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" xfId="359" xr:uid="{00000000-0005-0000-0000-000025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 2" xfId="360" xr:uid="{00000000-0005-0000-0000-000026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_Ⅹ_課題と対応策_20121211" xfId="361" xr:uid="{00000000-0005-0000-0000-000027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_Ⅹ_課題と対応策_20121211 2" xfId="362" xr:uid="{00000000-0005-0000-0000-000028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Ⅹ_課題と対応策_20121211" xfId="363" xr:uid="{00000000-0005-0000-0000-000029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Ⅹ_課題と対応策_20121211 2" xfId="364" xr:uid="{00000000-0005-0000-0000-00002A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_営業店DB" xfId="365" xr:uid="{00000000-0005-0000-0000-00002B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_営業店DB 2" xfId="366" xr:uid="{00000000-0005-0000-0000-00002C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" xfId="367" xr:uid="{00000000-0005-0000-0000-00002D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 2" xfId="368" xr:uid="{00000000-0005-0000-0000-00002E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_Ⅹ_課題と対応策_20121211" xfId="369" xr:uid="{00000000-0005-0000-0000-00002F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_Ⅹ_課題と対応策_20121211 2" xfId="370" xr:uid="{00000000-0005-0000-0000-000030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_営業店DB_Ⅹ_課題と対応策_20121211" xfId="371" xr:uid="{00000000-0005-0000-0000-000031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_営業店DB_Ⅹ_課題と対応策_20121211 2" xfId="372" xr:uid="{00000000-0005-0000-0000-000032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_連携DB" xfId="373" xr:uid="{00000000-0005-0000-0000-000033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_連携DB 2" xfId="374" xr:uid="{00000000-0005-0000-0000-000034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" xfId="375" xr:uid="{00000000-0005-0000-0000-000035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 2" xfId="376" xr:uid="{00000000-0005-0000-0000-000036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_Ⅹ_課題と対応策_20121211" xfId="377" xr:uid="{00000000-0005-0000-0000-000037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_Ⅹ_課題と対応策_20121211 2" xfId="378" xr:uid="{00000000-0005-0000-0000-000038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_連携DB_Ⅹ_課題と対応策_20121211" xfId="379" xr:uid="{00000000-0005-0000-0000-000039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_連携DB_Ⅹ_課題と対応策_20121211 2" xfId="380" xr:uid="{00000000-0005-0000-0000-00003A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Ⅹ_課題と対応策_20121211" xfId="381" xr:uid="{00000000-0005-0000-0000-00003B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Ⅹ_課題と対応策_20121211 2" xfId="382" xr:uid="{00000000-0005-0000-0000-00003C010000}"/>
    <cellStyle name="_［提出版］千里導入明細資料（資源配付・仮想化）20090323_【20090715】千里導入明細資料_２１年度分（９月工事分）_fj_【20090721】千里導入明細資料_２１年度分_【調整中】千里導入明細資料_２２年度上期分_fj_20100127" xfId="383" xr:uid="{00000000-0005-0000-0000-00003D010000}"/>
    <cellStyle name="_［提出版］千里導入明細資料（資源配付・仮想化）20090323_【20090715】千里導入明細資料_２１年度分（９月工事分）_fj_【20090721】千里導入明細資料_２１年度分_【調整中】千里導入明細資料_２２年度上期分_fj_20100127 2" xfId="384" xr:uid="{00000000-0005-0000-0000-00003E010000}"/>
    <cellStyle name="_［提出版］千里導入明細資料（資源配付・仮想化）20090323_【20090715】千里導入明細資料_２１年度分（９月工事分）_fj_【20090721】千里導入明細資料_２１年度分_【調整中】千里導入明細資料_２２年度上期分_fj_20100127_Ⅹ_課題と対応策_20121211" xfId="385" xr:uid="{00000000-0005-0000-0000-00003F010000}"/>
    <cellStyle name="_［提出版］千里導入明細資料（資源配付・仮想化）20090323_【20090715】千里導入明細資料_２１年度分（９月工事分）_fj_【20090721】千里導入明細資料_２１年度分_【調整中】千里導入明細資料_２２年度上期分_fj_20100127_Ⅹ_課題と対応策_20121211 2" xfId="386" xr:uid="{00000000-0005-0000-0000-000040010000}"/>
    <cellStyle name="_［提出版］千里導入明細資料（資源配付・仮想化）20090323_【20090715】千里導入明細資料_２１年度分（９月工事分）_fj_【20090721】千里導入明細資料_２１年度分_①【20091225】千里導入明細資料_２２年度上期1分)" xfId="387" xr:uid="{00000000-0005-0000-0000-000041010000}"/>
    <cellStyle name="_［提出版］千里導入明細資料（資源配付・仮想化）20090323_【20090715】千里導入明細資料_２１年度分（９月工事分）_fj_【20090721】千里導入明細資料_２１年度分_①【20091225】千里導入明細資料_２２年度上期1分) 2" xfId="388" xr:uid="{00000000-0005-0000-0000-000042010000}"/>
    <cellStyle name="_［提出版］千里導入明細資料（資源配付・仮想化）20090323_【20090715】千里導入明細資料_２１年度分（９月工事分）_fj_【20090721】千里導入明細資料_２１年度分_①【20091225】千里導入明細資料_２２年度上期1分)_Ⅹ_課題と対応策_20121211" xfId="389" xr:uid="{00000000-0005-0000-0000-000043010000}"/>
    <cellStyle name="_［提出版］千里導入明細資料（資源配付・仮想化）20090323_【20090715】千里導入明細資料_２１年度分（９月工事分）_fj_【20090721】千里導入明細資料_２１年度分_①【20091225】千里導入明細資料_２２年度上期1分)_Ⅹ_課題と対応策_20121211 2" xfId="390" xr:uid="{00000000-0005-0000-0000-000044010000}"/>
    <cellStyle name="_［提出版］千里導入明細資料（資源配付・仮想化）20090323_【20090715】千里導入明細資料_２１年度分（９月工事分）_fj_【20090721】千里導入明細資料_２１年度分_Ⅹ_課題と対応策_20121211" xfId="391" xr:uid="{00000000-0005-0000-0000-000045010000}"/>
    <cellStyle name="_［提出版］千里導入明細資料（資源配付・仮想化）20090323_【20090715】千里導入明細資料_２１年度分（９月工事分）_fj_【20090721】千里導入明細資料_２１年度分_Ⅹ_課題と対応策_20121211 2" xfId="392" xr:uid="{00000000-0005-0000-0000-000046010000}"/>
    <cellStyle name="_［提出版］千里導入明細資料（資源配付・仮想化）20090323_【20090715】千里導入明細資料_２１年度分（９月工事分）_fj_【20090721】千里導入明細資料_２１年度分_千里導入明細資料_２２年度分（ネットワーク敷設）_fj" xfId="393" xr:uid="{00000000-0005-0000-0000-000047010000}"/>
    <cellStyle name="_［提出版］千里導入明細資料（資源配付・仮想化）20090323_【20090715】千里導入明細資料_２１年度分（９月工事分）_fj_【20090721】千里導入明細資料_２１年度分_千里導入明細資料_２２年度分（ネットワーク敷設）_fj 2" xfId="394" xr:uid="{00000000-0005-0000-0000-000048010000}"/>
    <cellStyle name="_［提出版］千里導入明細資料（資源配付・仮想化）20090323_【20090715】千里導入明細資料_２１年度分（９月工事分）_fj_【20090721】千里導入明細資料_２１年度分_千里導入明細資料_２２年度分（ネットワーク敷設）_fj_Ⅹ_課題と対応策_20121211" xfId="395" xr:uid="{00000000-0005-0000-0000-000049010000}"/>
    <cellStyle name="_［提出版］千里導入明細資料（資源配付・仮想化）20090323_【20090715】千里導入明細資料_２１年度分（９月工事分）_fj_【20090721】千里導入明細資料_２１年度分_千里導入明細資料_２２年度分（ネットワーク敷設）_fj_Ⅹ_課題と対応策_20121211 2" xfId="396" xr:uid="{00000000-0005-0000-0000-00004A010000}"/>
    <cellStyle name="_［提出版］千里導入明細資料（資源配付・仮想化）20090323_【20090715】千里導入明細資料_２１年度分（９月工事分）_fj_【20090821】千里ラック搭載図（NW機器）" xfId="397" xr:uid="{00000000-0005-0000-0000-00004B010000}"/>
    <cellStyle name="_［提出版］千里導入明細資料（資源配付・仮想化）20090323_【20090715】千里導入明細資料_２１年度分（９月工事分）_fj_【20090821】千里ラック搭載図（NW機器） 2" xfId="398" xr:uid="{00000000-0005-0000-0000-00004C010000}"/>
    <cellStyle name="_［提出版］千里導入明細資料（資源配付・仮想化）20090323_【20090715】千里導入明細資料_２１年度分（９月工事分）_fj_【20090821】千里ラック搭載図（NW機器）_Ⅹ_課題と対応策_20121211" xfId="399" xr:uid="{00000000-0005-0000-0000-00004D010000}"/>
    <cellStyle name="_［提出版］千里導入明細資料（資源配付・仮想化）20090323_【20090715】千里導入明細資料_２１年度分（９月工事分）_fj_【20090821】千里ラック搭載図（NW機器）_Ⅹ_課題と対応策_20121211 2" xfId="400" xr:uid="{00000000-0005-0000-0000-00004E010000}"/>
    <cellStyle name="_［提出版］千里導入明細資料（資源配付・仮想化）20090323_【20090715】千里導入明細資料_２１年度分（９月工事分）_fj_【20091207】千里導入明細資料_２１年度分（ネットワーク敷設）" xfId="401" xr:uid="{00000000-0005-0000-0000-00004F010000}"/>
    <cellStyle name="_［提出版］千里導入明細資料（資源配付・仮想化）20090323_【20090715】千里導入明細資料_２１年度分（９月工事分）_fj_【20091207】千里導入明細資料_２１年度分（ネットワーク敷設） 2" xfId="402" xr:uid="{00000000-0005-0000-0000-000050010000}"/>
    <cellStyle name="_［提出版］千里導入明細資料（資源配付・仮想化）20090323_【20090715】千里導入明細資料_２１年度分（９月工事分）_fj_【20091207】千里導入明細資料_２１年度分（ネットワーク敷設）_【20091218】千里導入明細資料_２１年度分（ネットワーク敷設）" xfId="403" xr:uid="{00000000-0005-0000-0000-000051010000}"/>
    <cellStyle name="_［提出版］千里導入明細資料（資源配付・仮想化）20090323_【20090715】千里導入明細資料_２１年度分（９月工事分）_fj_【20091207】千里導入明細資料_２１年度分（ネットワーク敷設）_【20091218】千里導入明細資料_２１年度分（ネットワーク敷設） 2" xfId="404" xr:uid="{00000000-0005-0000-0000-000052010000}"/>
    <cellStyle name="_［提出版］千里導入明細資料（資源配付・仮想化）20090323_【20090715】千里導入明細資料_２１年度分（９月工事分）_fj_【20091207】千里導入明細資料_２１年度分（ネットワーク敷設）_【20091218】千里導入明細資料_２１年度分（ネットワーク敷設）_Ⅹ_課題と対応策_20121211" xfId="405" xr:uid="{00000000-0005-0000-0000-000053010000}"/>
    <cellStyle name="_［提出版］千里導入明細資料（資源配付・仮想化）20090323_【20090715】千里導入明細資料_２１年度分（９月工事分）_fj_【20091207】千里導入明細資料_２１年度分（ネットワーク敷設）_【20091218】千里導入明細資料_２１年度分（ネットワーク敷設）_Ⅹ_課題と対応策_20121211 2" xfId="406" xr:uid="{00000000-0005-0000-0000-000054010000}"/>
    <cellStyle name="_［提出版］千里導入明細資料（資源配付・仮想化）20090323_【20090715】千里導入明細資料_２１年度分（９月工事分）_fj_【20091207】千里導入明細資料_２１年度分（ネットワーク敷設）_Ⅹ_課題と対応策_20121211" xfId="407" xr:uid="{00000000-0005-0000-0000-000055010000}"/>
    <cellStyle name="_［提出版］千里導入明細資料（資源配付・仮想化）20090323_【20090715】千里導入明細資料_２１年度分（９月工事分）_fj_【20091207】千里導入明細資料_２１年度分（ネットワーク敷設）_Ⅹ_課題と対応策_20121211 2" xfId="408" xr:uid="{00000000-0005-0000-0000-000056010000}"/>
    <cellStyle name="_［提出版］千里導入明細資料（資源配付・仮想化）20090323_【20090715】千里導入明細資料_２１年度分（９月工事分）_fj_【20091207】千里導入明細資料_２１年度分（ネットワーク敷設）_千里導入明細資料_２２年度分（ネットワーク敷設）_fj" xfId="409" xr:uid="{00000000-0005-0000-0000-000057010000}"/>
    <cellStyle name="_［提出版］千里導入明細資料（資源配付・仮想化）20090323_【20090715】千里導入明細資料_２１年度分（９月工事分）_fj_【20091207】千里導入明細資料_２１年度分（ネットワーク敷設）_千里導入明細資料_２２年度分（ネットワーク敷設）_fj 2" xfId="410" xr:uid="{00000000-0005-0000-0000-000058010000}"/>
    <cellStyle name="_［提出版］千里導入明細資料（資源配付・仮想化）20090323_【20090715】千里導入明細資料_２１年度分（９月工事分）_fj_【20091207】千里導入明細資料_２１年度分（ネットワーク敷設）_千里導入明細資料_２２年度分（ネットワーク敷設）_fj_Ⅹ_課題と対応策_20121211" xfId="411" xr:uid="{00000000-0005-0000-0000-000059010000}"/>
    <cellStyle name="_［提出版］千里導入明細資料（資源配付・仮想化）20090323_【20090715】千里導入明細資料_２１年度分（９月工事分）_fj_【20091207】千里導入明細資料_２１年度分（ネットワーク敷設）_千里導入明細資料_２２年度分（ネットワーク敷設）_fj_Ⅹ_課題と対応策_20121211 2" xfId="412" xr:uid="{00000000-0005-0000-0000-00005A010000}"/>
    <cellStyle name="_［提出版］千里導入明細資料（資源配付・仮想化）20090323_【20090715】千里導入明細資料_２１年度分（９月工事分）_fj_【20091225】千里導入明細資料_２２年度上期分（営業店ＡＰ－ＤＢ）" xfId="413" xr:uid="{00000000-0005-0000-0000-00005B010000}"/>
    <cellStyle name="_［提出版］千里導入明細資料（資源配付・仮想化）20090323_【20090715】千里導入明細資料_２１年度分（９月工事分）_fj_【20091225】千里導入明細資料_２２年度上期分（営業店ＡＰ－ＤＢ） 2" xfId="414" xr:uid="{00000000-0005-0000-0000-00005C010000}"/>
    <cellStyle name="_［提出版］千里導入明細資料（資源配付・仮想化）20090323_【20090715】千里導入明細資料_２１年度分（９月工事分）_fj_【20091225】千里導入明細資料_２２年度上期分（営業店ＡＰ－ＤＢ）_【調整中】千里導入明細資料_２２年度上期分_fj_20100127" xfId="415" xr:uid="{00000000-0005-0000-0000-00005D010000}"/>
    <cellStyle name="_［提出版］千里導入明細資料（資源配付・仮想化）20090323_【20090715】千里導入明細資料_２１年度分（９月工事分）_fj_【20091225】千里導入明細資料_２２年度上期分（営業店ＡＰ－ＤＢ）_【調整中】千里導入明細資料_２２年度上期分_fj_20100127 2" xfId="416" xr:uid="{00000000-0005-0000-0000-00005E010000}"/>
    <cellStyle name="_［提出版］千里導入明細資料（資源配付・仮想化）20090323_【20090715】千里導入明細資料_２１年度分（９月工事分）_fj_【20091225】千里導入明細資料_２２年度上期分（営業店ＡＰ－ＤＢ）_【調整中】千里導入明細資料_２２年度上期分_fj_20100127_Ⅹ_課題と対応策_20121211" xfId="417" xr:uid="{00000000-0005-0000-0000-00005F010000}"/>
    <cellStyle name="_［提出版］千里導入明細資料（資源配付・仮想化）20090323_【20090715】千里導入明細資料_２１年度分（９月工事分）_fj_【20091225】千里導入明細資料_２２年度上期分（営業店ＡＰ－ＤＢ）_【調整中】千里導入明細資料_２２年度上期分_fj_20100127_Ⅹ_課題と対応策_20121211 2" xfId="418" xr:uid="{00000000-0005-0000-0000-000060010000}"/>
    <cellStyle name="_［提出版］千里導入明細資料（資源配付・仮想化）20090323_【20090715】千里導入明細資料_２１年度分（９月工事分）_fj_【20091225】千里導入明細資料_２２年度上期分（営業店ＡＰ－ＤＢ）_Ⅹ_課題と対応策_20121211" xfId="419" xr:uid="{00000000-0005-0000-0000-000061010000}"/>
    <cellStyle name="_［提出版］千里導入明細資料（資源配付・仮想化）20090323_【20090715】千里導入明細資料_２１年度分（９月工事分）_fj_【20091225】千里導入明細資料_２２年度上期分（営業店ＡＰ－ＤＢ）_Ⅹ_課題と対応策_20121211 2" xfId="420" xr:uid="{00000000-0005-0000-0000-000062010000}"/>
    <cellStyle name="_［提出版］千里導入明細資料（資源配付・仮想化）20090323_【20090715】千里導入明細資料_２１年度分（９月工事分）_fj_【20091225】千里導入明細資料_２２年度上期分_営業店DB" xfId="421" xr:uid="{00000000-0005-0000-0000-000063010000}"/>
    <cellStyle name="_［提出版］千里導入明細資料（資源配付・仮想化）20090323_【20090715】千里導入明細資料_２１年度分（９月工事分）_fj_【20091225】千里導入明細資料_２２年度上期分_営業店DB 2" xfId="422" xr:uid="{00000000-0005-0000-0000-000064010000}"/>
    <cellStyle name="_［提出版］千里導入明細資料（資源配付・仮想化）20090323_【20090715】千里導入明細資料_２１年度分（９月工事分）_fj_【20091225】千里導入明細資料_２２年度上期分_営業店DB_【調整中】千里導入明細資料_２２年度上期分_fj_20100127" xfId="423" xr:uid="{00000000-0005-0000-0000-000065010000}"/>
    <cellStyle name="_［提出版］千里導入明細資料（資源配付・仮想化）20090323_【20090715】千里導入明細資料_２１年度分（９月工事分）_fj_【20091225】千里導入明細資料_２２年度上期分_営業店DB_【調整中】千里導入明細資料_２２年度上期分_fj_20100127 2" xfId="424" xr:uid="{00000000-0005-0000-0000-000066010000}"/>
    <cellStyle name="_［提出版］千里導入明細資料（資源配付・仮想化）20090323_【20090715】千里導入明細資料_２１年度分（９月工事分）_fj_【20091225】千里導入明細資料_２２年度上期分_営業店DB_【調整中】千里導入明細資料_２２年度上期分_fj_20100127_Ⅹ_課題と対応策_20121211" xfId="425" xr:uid="{00000000-0005-0000-0000-000067010000}"/>
    <cellStyle name="_［提出版］千里導入明細資料（資源配付・仮想化）20090323_【20090715】千里導入明細資料_２１年度分（９月工事分）_fj_【20091225】千里導入明細資料_２２年度上期分_営業店DB_【調整中】千里導入明細資料_２２年度上期分_fj_20100127_Ⅹ_課題と対応策_20121211 2" xfId="426" xr:uid="{00000000-0005-0000-0000-000068010000}"/>
    <cellStyle name="_［提出版］千里導入明細資料（資源配付・仮想化）20090323_【20090715】千里導入明細資料_２１年度分（９月工事分）_fj_【20091225】千里導入明細資料_２２年度上期分_営業店DB_Ⅹ_課題と対応策_20121211" xfId="427" xr:uid="{00000000-0005-0000-0000-000069010000}"/>
    <cellStyle name="_［提出版］千里導入明細資料（資源配付・仮想化）20090323_【20090715】千里導入明細資料_２１年度分（９月工事分）_fj_【20091225】千里導入明細資料_２２年度上期分_営業店DB_Ⅹ_課題と対応策_20121211 2" xfId="428" xr:uid="{00000000-0005-0000-0000-00006A010000}"/>
    <cellStyle name="_［提出版］千里導入明細資料（資源配付・仮想化）20090323_【20090715】千里導入明細資料_２１年度分（９月工事分）_fj_【20091225】千里導入明細資料_２２年度上期分_連携DB" xfId="429" xr:uid="{00000000-0005-0000-0000-00006B010000}"/>
    <cellStyle name="_［提出版］千里導入明細資料（資源配付・仮想化）20090323_【20090715】千里導入明細資料_２１年度分（９月工事分）_fj_【20091225】千里導入明細資料_２２年度上期分_連携DB 2" xfId="430" xr:uid="{00000000-0005-0000-0000-00006C010000}"/>
    <cellStyle name="_［提出版］千里導入明細資料（資源配付・仮想化）20090323_【20090715】千里導入明細資料_２１年度分（９月工事分）_fj_【20091225】千里導入明細資料_２２年度上期分_連携DB_【調整中】千里導入明細資料_２２年度上期分_fj_20100127" xfId="431" xr:uid="{00000000-0005-0000-0000-00006D010000}"/>
    <cellStyle name="_［提出版］千里導入明細資料（資源配付・仮想化）20090323_【20090715】千里導入明細資料_２１年度分（９月工事分）_fj_【20091225】千里導入明細資料_２２年度上期分_連携DB_【調整中】千里導入明細資料_２２年度上期分_fj_20100127 2" xfId="432" xr:uid="{00000000-0005-0000-0000-00006E010000}"/>
    <cellStyle name="_［提出版］千里導入明細資料（資源配付・仮想化）20090323_【20090715】千里導入明細資料_２１年度分（９月工事分）_fj_【20091225】千里導入明細資料_２２年度上期分_連携DB_【調整中】千里導入明細資料_２２年度上期分_fj_20100127_Ⅹ_課題と対応策_20121211" xfId="433" xr:uid="{00000000-0005-0000-0000-00006F010000}"/>
    <cellStyle name="_［提出版］千里導入明細資料（資源配付・仮想化）20090323_【20090715】千里導入明細資料_２１年度分（９月工事分）_fj_【20091225】千里導入明細資料_２２年度上期分_連携DB_【調整中】千里導入明細資料_２２年度上期分_fj_20100127_Ⅹ_課題と対応策_20121211 2" xfId="434" xr:uid="{00000000-0005-0000-0000-000070010000}"/>
    <cellStyle name="_［提出版］千里導入明細資料（資源配付・仮想化）20090323_【20090715】千里導入明細資料_２１年度分（９月工事分）_fj_【20091225】千里導入明細資料_２２年度上期分_連携DB_Ⅹ_課題と対応策_20121211" xfId="435" xr:uid="{00000000-0005-0000-0000-000071010000}"/>
    <cellStyle name="_［提出版］千里導入明細資料（資源配付・仮想化）20090323_【20090715】千里導入明細資料_２１年度分（９月工事分）_fj_【20091225】千里導入明細資料_２２年度上期分_連携DB_Ⅹ_課題と対応策_20121211 2" xfId="436" xr:uid="{00000000-0005-0000-0000-000072010000}"/>
    <cellStyle name="_［提出版］千里導入明細資料（資源配付・仮想化）20090323_【20090715】千里導入明細資料_２１年度分（９月工事分）_fj_【作成中】千里センター機器配置図（2010年対応分）_20091221" xfId="437" xr:uid="{00000000-0005-0000-0000-000073010000}"/>
    <cellStyle name="_［提出版］千里導入明細資料（資源配付・仮想化）20090323_【20090715】千里導入明細資料_２１年度分（９月工事分）_fj_【作成中】千里センター機器配置図（2010年対応分）_20091221 2" xfId="438" xr:uid="{00000000-0005-0000-0000-000074010000}"/>
    <cellStyle name="_［提出版］千里導入明細資料（資源配付・仮想化）20090323_【20090715】千里導入明細資料_２１年度分（９月工事分）_fj_【作成中】千里センター機器配置図（2010年対応分）_20091221_【調整中】千里導入明細資料_２２年度上期分_fj_20100127" xfId="439" xr:uid="{00000000-0005-0000-0000-000075010000}"/>
    <cellStyle name="_［提出版］千里導入明細資料（資源配付・仮想化）20090323_【20090715】千里導入明細資料_２１年度分（９月工事分）_fj_【作成中】千里センター機器配置図（2010年対応分）_20091221_【調整中】千里導入明細資料_２２年度上期分_fj_20100127 2" xfId="440" xr:uid="{00000000-0005-0000-0000-000076010000}"/>
    <cellStyle name="_［提出版］千里導入明細資料（資源配付・仮想化）20090323_【20090715】千里導入明細資料_２１年度分（９月工事分）_fj_【作成中】千里センター機器配置図（2010年対応分）_20091221_【調整中】千里導入明細資料_２２年度上期分_fj_20100127_Ⅹ_課題と対応策_20121211" xfId="441" xr:uid="{00000000-0005-0000-0000-000077010000}"/>
    <cellStyle name="_［提出版］千里導入明細資料（資源配付・仮想化）20090323_【20090715】千里導入明細資料_２１年度分（９月工事分）_fj_【作成中】千里センター機器配置図（2010年対応分）_20091221_【調整中】千里導入明細資料_２２年度上期分_fj_20100127_Ⅹ_課題と対応策_20121211 2" xfId="442" xr:uid="{00000000-0005-0000-0000-000078010000}"/>
    <cellStyle name="_［提出版］千里導入明細資料（資源配付・仮想化）20090323_【20090715】千里導入明細資料_２１年度分（９月工事分）_fj_【作成中】千里センター機器配置図（2010年対応分）_20091221_Ⅹ_課題と対応策_20121211" xfId="443" xr:uid="{00000000-0005-0000-0000-000079010000}"/>
    <cellStyle name="_［提出版］千里導入明細資料（資源配付・仮想化）20090323_【20090715】千里導入明細資料_２１年度分（９月工事分）_fj_【作成中】千里センター機器配置図（2010年対応分）_20091221_Ⅹ_課題と対応策_20121211 2" xfId="444" xr:uid="{00000000-0005-0000-0000-00007A010000}"/>
    <cellStyle name="_［提出版］千里導入明細資料（資源配付・仮想化）20090323_【20090715】千里導入明細資料_２１年度分（９月工事分）_fj_Ⅹ_課題と対応策_20121211" xfId="445" xr:uid="{00000000-0005-0000-0000-00007B010000}"/>
    <cellStyle name="_［提出版］千里導入明細資料（資源配付・仮想化）20090323_【20090715】千里導入明細資料_２１年度分（９月工事分）_fj_Ⅹ_課題と対応策_20121211 2" xfId="446" xr:uid="{00000000-0005-0000-0000-00007C010000}"/>
    <cellStyle name="_［提出版］千里導入明細資料（資源配付・仮想化）20090323_【20090715】千里導入明細資料_２１年度分（９月工事分）_fj_千里センター機器構築スケジュール（８月分）_20090731" xfId="447" xr:uid="{00000000-0005-0000-0000-00007D010000}"/>
    <cellStyle name="_［提出版］千里導入明細資料（資源配付・仮想化）20090323_【20090715】千里導入明細資料_２１年度分（９月工事分）_fj_千里センター機器構築スケジュール（８月分）_20090731 2" xfId="448" xr:uid="{00000000-0005-0000-0000-00007E010000}"/>
    <cellStyle name="_［提出版］千里導入明細資料（資源配付・仮想化）20090323_【20090715】千里導入明細資料_２１年度分（９月工事分）_fj_千里センター機器構築スケジュール（８月分）_20090731_【20090731】千里導入明細資料_２１年度分（９月工事分）" xfId="449" xr:uid="{00000000-0005-0000-0000-00007F010000}"/>
    <cellStyle name="_［提出版］千里導入明細資料（資源配付・仮想化）20090323_【20090715】千里導入明細資料_２１年度分（９月工事分）_fj_千里センター機器構築スケジュール（８月分）_20090731_【20090731】千里導入明細資料_２１年度分（９月工事分） 2" xfId="450" xr:uid="{00000000-0005-0000-0000-000080010000}"/>
    <cellStyle name="_［提出版］千里導入明細資料（資源配付・仮想化）20090323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" xfId="451" xr:uid="{00000000-0005-0000-0000-000081010000}"/>
    <cellStyle name="_［提出版］千里導入明細資料（資源配付・仮想化）20090323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 2" xfId="452" xr:uid="{00000000-0005-0000-0000-000082010000}"/>
    <cellStyle name="_［提出版］千里導入明細資料（資源配付・仮想化）20090323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_Ⅹ_課題と対応策_20121211" xfId="453" xr:uid="{00000000-0005-0000-0000-000083010000}"/>
    <cellStyle name="_［提出版］千里導入明細資料（資源配付・仮想化）20090323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_Ⅹ_課題と対応策_20121211 2" xfId="454" xr:uid="{00000000-0005-0000-0000-000084010000}"/>
    <cellStyle name="_［提出版］千里導入明細資料（資源配付・仮想化）20090323_【20090715】千里導入明細資料_２１年度分（９月工事分）_fj_千里センター機器構築スケジュール（８月分）_20090731_【20090731】千里導入明細資料_２１年度分（９月工事分）_Ⅹ_課題と対応策_20121211" xfId="455" xr:uid="{00000000-0005-0000-0000-000085010000}"/>
    <cellStyle name="_［提出版］千里導入明細資料（資源配付・仮想化）20090323_【20090715】千里導入明細資料_２１年度分（９月工事分）_fj_千里センター機器構築スケジュール（８月分）_20090731_【20090731】千里導入明細資料_２１年度分（９月工事分）_Ⅹ_課題と対応策_20121211 2" xfId="456" xr:uid="{00000000-0005-0000-0000-000086010000}"/>
    <cellStyle name="_［提出版］千里導入明細資料（資源配付・仮想化）20090323_【20090715】千里導入明細資料_２１年度分（９月工事分）_fj_千里センター機器構築スケジュール（８月分）_20090731_【20090821】千里ラック搭載図（NW機器）" xfId="457" xr:uid="{00000000-0005-0000-0000-000087010000}"/>
    <cellStyle name="_［提出版］千里導入明細資料（資源配付・仮想化）20090323_【20090715】千里導入明細資料_２１年度分（９月工事分）_fj_千里センター機器構築スケジュール（８月分）_20090731_【20090821】千里ラック搭載図（NW機器） 2" xfId="458" xr:uid="{00000000-0005-0000-0000-000088010000}"/>
    <cellStyle name="_［提出版］千里導入明細資料（資源配付・仮想化）20090323_【20090715】千里導入明細資料_２１年度分（９月工事分）_fj_千里センター機器構築スケジュール（８月分）_20090731_【20090821】千里ラック搭載図（NW機器）_Ⅹ_課題と対応策_20121211" xfId="459" xr:uid="{00000000-0005-0000-0000-000089010000}"/>
    <cellStyle name="_［提出版］千里導入明細資料（資源配付・仮想化）20090323_【20090715】千里導入明細資料_２１年度分（９月工事分）_fj_千里センター機器構築スケジュール（８月分）_20090731_【20090821】千里ラック搭載図（NW機器）_Ⅹ_課題と対応策_20121211 2" xfId="460" xr:uid="{00000000-0005-0000-0000-00008A010000}"/>
    <cellStyle name="_［提出版］千里導入明細資料（資源配付・仮想化）20090323_【20090715】千里導入明細資料_２１年度分（９月工事分）_fj_千里センター機器構築スケジュール（８月分）_20090731_【20091218】千里導入明細資料_２１年度分（ネットワーク敷設）" xfId="461" xr:uid="{00000000-0005-0000-0000-00008B010000}"/>
    <cellStyle name="_［提出版］千里導入明細資料（資源配付・仮想化）20090323_【20090715】千里導入明細資料_２１年度分（９月工事分）_fj_千里センター機器構築スケジュール（８月分）_20090731_【20091218】千里導入明細資料_２１年度分（ネットワーク敷設） 2" xfId="462" xr:uid="{00000000-0005-0000-0000-00008C010000}"/>
    <cellStyle name="_［提出版］千里導入明細資料（資源配付・仮想化）20090323_【20090715】千里導入明細資料_２１年度分（９月工事分）_fj_千里センター機器構築スケジュール（８月分）_20090731_【20091218】千里導入明細資料_２１年度分（ネットワーク敷設）_Ⅹ_課題と対応策_20121211" xfId="463" xr:uid="{00000000-0005-0000-0000-00008D010000}"/>
    <cellStyle name="_［提出版］千里導入明細資料（資源配付・仮想化）20090323_【20090715】千里導入明細資料_２１年度分（９月工事分）_fj_千里センター機器構築スケジュール（８月分）_20090731_【20091218】千里導入明細資料_２１年度分（ネットワーク敷設）_Ⅹ_課題と対応策_20121211 2" xfId="464" xr:uid="{00000000-0005-0000-0000-00008E010000}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" xfId="465" xr:uid="{00000000-0005-0000-0000-00008F010000}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 2" xfId="466" xr:uid="{00000000-0005-0000-0000-000090010000}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" xfId="467" xr:uid="{00000000-0005-0000-0000-000091010000}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 2" xfId="468" xr:uid="{00000000-0005-0000-0000-000092010000}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" xfId="469" xr:uid="{00000000-0005-0000-0000-000093010000}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 2" xfId="470" xr:uid="{00000000-0005-0000-0000-000094010000}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_Ⅹ_課題と対応策_20121211" xfId="471" xr:uid="{00000000-0005-0000-0000-000095010000}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472" xr:uid="{00000000-0005-0000-0000-000096010000}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Ⅹ_課題と対応策_20121211" xfId="473" xr:uid="{00000000-0005-0000-0000-000097010000}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Ⅹ_課題と対応策_20121211 2" xfId="474" xr:uid="{00000000-0005-0000-0000-000098010000}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" xfId="475" xr:uid="{00000000-0005-0000-0000-000099010000}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 2" xfId="476" xr:uid="{00000000-0005-0000-0000-00009A010000}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" xfId="477" xr:uid="{00000000-0005-0000-0000-00009B010000}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 2" xfId="478" xr:uid="{00000000-0005-0000-0000-00009C010000}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_Ⅹ_課題と対応策_20121211" xfId="479" xr:uid="{00000000-0005-0000-0000-00009D010000}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_Ⅹ_課題と対応策_20121211 2" xfId="480" xr:uid="{00000000-0005-0000-0000-00009E010000}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Ⅹ_課題と対応策_20121211" xfId="481" xr:uid="{00000000-0005-0000-0000-00009F010000}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Ⅹ_課題と対応策_20121211 2" xfId="482" xr:uid="{00000000-0005-0000-0000-0000A0010000}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Ⅹ_課題と対応策_20121211" xfId="483" xr:uid="{00000000-0005-0000-0000-0000A1010000}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Ⅹ_課題と対応策_20121211 2" xfId="484" xr:uid="{00000000-0005-0000-0000-0000A2010000}"/>
    <cellStyle name="_［提出版］千里導入明細資料（資源配付・仮想化）20090323_【20090715】千里導入明細資料_２１年度分（９月工事分）_fj_千里センター機器構築スケジュール（８月分）_20090731_【20091225】千里導入明細資料_２２年度上期分" xfId="485" xr:uid="{00000000-0005-0000-0000-0000A3010000}"/>
    <cellStyle name="_［提出版］千里導入明細資料（資源配付・仮想化）20090323_【20090715】千里導入明細資料_２１年度分（９月工事分）_fj_千里センター機器構築スケジュール（８月分）_20090731_【20091225】千里導入明細資料_２２年度上期分 2" xfId="486" xr:uid="{00000000-0005-0000-0000-0000A4010000}"/>
    <cellStyle name="_［提出版］千里導入明細資料（資源配付・仮想化）20090323_【20090715】千里導入明細資料_２１年度分（９月工事分）_fj_千里センター機器構築スケジュール（８月分）_20090731_【20091225】千里導入明細資料_２２年度上期分_Ⅹ_課題と対応策_20121211" xfId="487" xr:uid="{00000000-0005-0000-0000-0000A5010000}"/>
    <cellStyle name="_［提出版］千里導入明細資料（資源配付・仮想化）20090323_【20090715】千里導入明細資料_２１年度分（９月工事分）_fj_千里センター機器構築スケジュール（８月分）_20090731_【20091225】千里導入明細資料_２２年度上期分_Ⅹ_課題と対応策_20121211 2" xfId="488" xr:uid="{00000000-0005-0000-0000-0000A6010000}"/>
    <cellStyle name="_［提出版］千里導入明細資料（資源配付・仮想化）20090323_【20090715】千里導入明細資料_２１年度分（９月工事分）_fj_千里センター機器構築スケジュール（８月分）_20090731_【20091225】千里導入明細資料_２２年度上期分_営業店DB" xfId="489" xr:uid="{00000000-0005-0000-0000-0000A7010000}"/>
    <cellStyle name="_［提出版］千里導入明細資料（資源配付・仮想化）20090323_【20090715】千里導入明細資料_２１年度分（９月工事分）_fj_千里センター機器構築スケジュール（８月分）_20090731_【20091225】千里導入明細資料_２２年度上期分_営業店DB 2" xfId="490" xr:uid="{00000000-0005-0000-0000-0000A8010000}"/>
    <cellStyle name="_［提出版］千里導入明細資料（資源配付・仮想化）20090323_【20090715】千里導入明細資料_２１年度分（９月工事分）_fj_千里センター機器構築スケジュール（８月分）_20090731_【20091225】千里導入明細資料_２２年度上期分_営業店DB_Ⅹ_課題と対応策_20121211" xfId="491" xr:uid="{00000000-0005-0000-0000-0000A9010000}"/>
    <cellStyle name="_［提出版］千里導入明細資料（資源配付・仮想化）20090323_【20090715】千里導入明細資料_２１年度分（９月工事分）_fj_千里センター機器構築スケジュール（８月分）_20090731_【20091225】千里導入明細資料_２２年度上期分_営業店DB_Ⅹ_課題と対応策_20121211 2" xfId="492" xr:uid="{00000000-0005-0000-0000-0000AA010000}"/>
    <cellStyle name="_［提出版］千里導入明細資料（資源配付・仮想化）20090323_【20090715】千里導入明細資料_２１年度分（９月工事分）_fj_千里センター機器構築スケジュール（８月分）_20090731_【20091225】千里導入明細資料_２２年度上期分_連携DB" xfId="493" xr:uid="{00000000-0005-0000-0000-0000AB010000}"/>
    <cellStyle name="_［提出版］千里導入明細資料（資源配付・仮想化）20090323_【20090715】千里導入明細資料_２１年度分（９月工事分）_fj_千里センター機器構築スケジュール（８月分）_20090731_【20091225】千里導入明細資料_２２年度上期分_連携DB 2" xfId="494" xr:uid="{00000000-0005-0000-0000-0000AC010000}"/>
    <cellStyle name="_［提出版］千里導入明細資料（資源配付・仮想化）20090323_【20090715】千里導入明細資料_２１年度分（９月工事分）_fj_千里センター機器構築スケジュール（８月分）_20090731_【20091225】千里導入明細資料_２２年度上期分_連携DB_Ⅹ_課題と対応策_20121211" xfId="495" xr:uid="{00000000-0005-0000-0000-0000AD010000}"/>
    <cellStyle name="_［提出版］千里導入明細資料（資源配付・仮想化）20090323_【20090715】千里導入明細資料_２１年度分（９月工事分）_fj_千里センター機器構築スケジュール（８月分）_20090731_【20091225】千里導入明細資料_２２年度上期分_連携DB_Ⅹ_課題と対応策_20121211 2" xfId="496" xr:uid="{00000000-0005-0000-0000-0000AE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" xfId="497" xr:uid="{00000000-0005-0000-0000-0000AF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 2" xfId="498" xr:uid="{00000000-0005-0000-0000-0000B0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（為替分）" xfId="499" xr:uid="{00000000-0005-0000-0000-0000B1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（為替分） 2" xfId="500" xr:uid="{00000000-0005-0000-0000-0000B2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（為替分）_Ⅹ_課題と対応策_20121211" xfId="501" xr:uid="{00000000-0005-0000-0000-0000B3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（為替分）_Ⅹ_課題と対応策_20121211 2" xfId="502" xr:uid="{00000000-0005-0000-0000-0000B4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" xfId="503" xr:uid="{00000000-0005-0000-0000-0000B5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 2" xfId="504" xr:uid="{00000000-0005-0000-0000-0000B6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" xfId="505" xr:uid="{00000000-0005-0000-0000-0000B7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 2" xfId="506" xr:uid="{00000000-0005-0000-0000-0000B8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_Ⅹ_課題と対応策_20121211" xfId="507" xr:uid="{00000000-0005-0000-0000-0000B9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_Ⅹ_課題と対応策_20121211 2" xfId="508" xr:uid="{00000000-0005-0000-0000-0000BA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Ⅹ_課題と対応策_20121211" xfId="509" xr:uid="{00000000-0005-0000-0000-0000BB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Ⅹ_課題と対応策_20121211 2" xfId="510" xr:uid="{00000000-0005-0000-0000-0000BC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" xfId="511" xr:uid="{00000000-0005-0000-0000-0000BD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 2" xfId="512" xr:uid="{00000000-0005-0000-0000-0000BE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" xfId="513" xr:uid="{00000000-0005-0000-0000-0000BF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 2" xfId="514" xr:uid="{00000000-0005-0000-0000-0000C0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_Ⅹ_課題と対応策_20121211" xfId="515" xr:uid="{00000000-0005-0000-0000-0000C1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_Ⅹ_課題と対応策_20121211 2" xfId="516" xr:uid="{00000000-0005-0000-0000-0000C2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Ⅹ_課題と対応策_20121211" xfId="517" xr:uid="{00000000-0005-0000-0000-0000C3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Ⅹ_課題と対応策_20121211 2" xfId="518" xr:uid="{00000000-0005-0000-0000-0000C4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" xfId="519" xr:uid="{00000000-0005-0000-0000-0000C5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 2" xfId="520" xr:uid="{00000000-0005-0000-0000-0000C6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" xfId="521" xr:uid="{00000000-0005-0000-0000-0000C7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 2" xfId="522" xr:uid="{00000000-0005-0000-0000-0000C8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_Ⅹ_課題と対応策_20121211" xfId="523" xr:uid="{00000000-0005-0000-0000-0000C9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_Ⅹ_課題と対応策_20121211 2" xfId="524" xr:uid="{00000000-0005-0000-0000-0000CA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Ⅹ_課題と対応策_20121211" xfId="525" xr:uid="{00000000-0005-0000-0000-0000CB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Ⅹ_課題と対応策_20121211 2" xfId="526" xr:uid="{00000000-0005-0000-0000-0000CC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Ⅹ_課題と対応策_20121211" xfId="527" xr:uid="{00000000-0005-0000-0000-0000CD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Ⅹ_課題と対応策_20121211 2" xfId="528" xr:uid="{00000000-0005-0000-0000-0000CE010000}"/>
    <cellStyle name="_［提出版］千里導入明細資料（資源配付・仮想化）20090323_【20090715】千里導入明細資料_２１年度分（９月工事分）_fj_千里センター機器構築スケジュール（８月分）_20090731_【調整中】千里導入明細資料_２２年度上期分_fj_20100127" xfId="529" xr:uid="{00000000-0005-0000-0000-0000CF010000}"/>
    <cellStyle name="_［提出版］千里導入明細資料（資源配付・仮想化）20090323_【20090715】千里導入明細資料_２１年度分（９月工事分）_fj_千里センター機器構築スケジュール（８月分）_20090731_【調整中】千里導入明細資料_２２年度上期分_fj_20100127 2" xfId="530" xr:uid="{00000000-0005-0000-0000-0000D0010000}"/>
    <cellStyle name="_［提出版］千里導入明細資料（資源配付・仮想化）20090323_【20090715】千里導入明細資料_２１年度分（９月工事分）_fj_千里センター機器構築スケジュール（８月分）_20090731_【調整中】千里導入明細資料_２２年度上期分_fj_20100127_Ⅹ_課題と対応策_20121211" xfId="531" xr:uid="{00000000-0005-0000-0000-0000D1010000}"/>
    <cellStyle name="_［提出版］千里導入明細資料（資源配付・仮想化）20090323_【20090715】千里導入明細資料_２１年度分（９月工事分）_fj_千里センター機器構築スケジュール（８月分）_20090731_【調整中】千里導入明細資料_２２年度上期分_fj_20100127_Ⅹ_課題と対応策_20121211 2" xfId="532" xr:uid="{00000000-0005-0000-0000-0000D2010000}"/>
    <cellStyle name="_［提出版］千里導入明細資料（資源配付・仮想化）20090323_【20090715】千里導入明細資料_２１年度分（９月工事分）_fj_千里センター機器構築スケジュール（８月分）_20090731_①【20091225】千里導入明細資料_２２年度上期1分)" xfId="533" xr:uid="{00000000-0005-0000-0000-0000D3010000}"/>
    <cellStyle name="_［提出版］千里導入明細資料（資源配付・仮想化）20090323_【20090715】千里導入明細資料_２１年度分（９月工事分）_fj_千里センター機器構築スケジュール（８月分）_20090731_①【20091225】千里導入明細資料_２２年度上期1分) 2" xfId="534" xr:uid="{00000000-0005-0000-0000-0000D4010000}"/>
    <cellStyle name="_［提出版］千里導入明細資料（資源配付・仮想化）20090323_【20090715】千里導入明細資料_２１年度分（９月工事分）_fj_千里センター機器構築スケジュール（８月分）_20090731_①【20091225】千里導入明細資料_２２年度上期1分)_Ⅹ_課題と対応策_20121211" xfId="535" xr:uid="{00000000-0005-0000-0000-0000D5010000}"/>
    <cellStyle name="_［提出版］千里導入明細資料（資源配付・仮想化）20090323_【20090715】千里導入明細資料_２１年度分（９月工事分）_fj_千里センター機器構築スケジュール（８月分）_20090731_①【20091225】千里導入明細資料_２２年度上期1分)_Ⅹ_課題と対応策_20121211 2" xfId="536" xr:uid="{00000000-0005-0000-0000-0000D6010000}"/>
    <cellStyle name="_［提出版］千里導入明細資料（資源配付・仮想化）20090323_【20090715】千里導入明細資料_２１年度分（９月工事分）_fj_千里センター機器構築スケジュール（８月分）_20090731_Ⅹ_課題と対応策_20121211" xfId="537" xr:uid="{00000000-0005-0000-0000-0000D7010000}"/>
    <cellStyle name="_［提出版］千里導入明細資料（資源配付・仮想化）20090323_【20090715】千里導入明細資料_２１年度分（９月工事分）_fj_千里センター機器構築スケジュール（８月分）_20090731_Ⅹ_課題と対応策_20121211 2" xfId="538" xr:uid="{00000000-0005-0000-0000-0000D8010000}"/>
    <cellStyle name="_［提出版］千里導入明細資料（資源配付・仮想化）20090323_【20090715】千里導入明細資料_２１年度分（９月工事分）_fj_千里センター機器構築スケジュール（８月分）_20090731_千里導入明細資料_２２年度分（ネットワーク敷設）_fj" xfId="539" xr:uid="{00000000-0005-0000-0000-0000D9010000}"/>
    <cellStyle name="_［提出版］千里導入明細資料（資源配付・仮想化）20090323_【20090715】千里導入明細資料_２１年度分（９月工事分）_fj_千里センター機器構築スケジュール（８月分）_20090731_千里導入明細資料_２２年度分（ネットワーク敷設）_fj 2" xfId="540" xr:uid="{00000000-0005-0000-0000-0000DA010000}"/>
    <cellStyle name="_［提出版］千里導入明細資料（資源配付・仮想化）20090323_【20090715】千里導入明細資料_２１年度分（９月工事分）_fj_千里センター機器構築スケジュール（８月分）_20090731_千里導入明細資料_２２年度分（ネットワーク敷設）_fj_Ⅹ_課題と対応策_20121211" xfId="541" xr:uid="{00000000-0005-0000-0000-0000DB010000}"/>
    <cellStyle name="_［提出版］千里導入明細資料（資源配付・仮想化）20090323_【20090715】千里導入明細資料_２１年度分（９月工事分）_fj_千里センター機器構築スケジュール（８月分）_20090731_千里導入明細資料_２２年度分（ネットワーク敷設）_fj_Ⅹ_課題と対応策_20121211 2" xfId="542" xr:uid="{00000000-0005-0000-0000-0000DC010000}"/>
    <cellStyle name="_［提出版］千里導入明細資料（資源配付・仮想化）20090323_【20090724】千里導入明細資料_２１年度" xfId="543" xr:uid="{00000000-0005-0000-0000-0000DD010000}"/>
    <cellStyle name="_［提出版］千里導入明細資料（資源配付・仮想化）20090323_【20090724】千里導入明細資料_２１年度 2" xfId="544" xr:uid="{00000000-0005-0000-0000-0000DE010000}"/>
    <cellStyle name="_［提出版］千里導入明細資料（資源配付・仮想化）20090323_【20090724】千里導入明細資料_２１年度_【20091207】千里導入明細資料_２１年度分（ネットワーク敷設）" xfId="545" xr:uid="{00000000-0005-0000-0000-0000DF010000}"/>
    <cellStyle name="_［提出版］千里導入明細資料（資源配付・仮想化）20090323_【20090724】千里導入明細資料_２１年度_【20091207】千里導入明細資料_２１年度分（ネットワーク敷設） 2" xfId="546" xr:uid="{00000000-0005-0000-0000-0000E0010000}"/>
    <cellStyle name="_［提出版］千里導入明細資料（資源配付・仮想化）20090323_【20090724】千里導入明細資料_２１年度_【20091207】千里導入明細資料_２１年度分（ネットワーク敷設）_【20091218】千里導入明細資料_２１年度分（ネットワーク敷設）" xfId="547" xr:uid="{00000000-0005-0000-0000-0000E1010000}"/>
    <cellStyle name="_［提出版］千里導入明細資料（資源配付・仮想化）20090323_【20090724】千里導入明細資料_２１年度_【20091207】千里導入明細資料_２１年度分（ネットワーク敷設）_【20091218】千里導入明細資料_２１年度分（ネットワーク敷設） 2" xfId="548" xr:uid="{00000000-0005-0000-0000-0000E2010000}"/>
    <cellStyle name="_［提出版］千里導入明細資料（資源配付・仮想化）20090323_【20090724】千里導入明細資料_２１年度_【20091207】千里導入明細資料_２１年度分（ネットワーク敷設）_【20091218】千里導入明細資料_２１年度分（ネットワーク敷設）_Ⅹ_課題と対応策_20121211" xfId="549" xr:uid="{00000000-0005-0000-0000-0000E3010000}"/>
    <cellStyle name="_［提出版］千里導入明細資料（資源配付・仮想化）20090323_【20090724】千里導入明細資料_２１年度_【20091207】千里導入明細資料_２１年度分（ネットワーク敷設）_【20091218】千里導入明細資料_２１年度分（ネットワーク敷設）_Ⅹ_課題と対応策_20121211 2" xfId="550" xr:uid="{00000000-0005-0000-0000-0000E4010000}"/>
    <cellStyle name="_［提出版］千里導入明細資料（資源配付・仮想化）20090323_【20090724】千里導入明細資料_２１年度_【20091207】千里導入明細資料_２１年度分（ネットワーク敷設）_Ⅹ_課題と対応策_20121211" xfId="551" xr:uid="{00000000-0005-0000-0000-0000E5010000}"/>
    <cellStyle name="_［提出版］千里導入明細資料（資源配付・仮想化）20090323_【20090724】千里導入明細資料_２１年度_【20091207】千里導入明細資料_２１年度分（ネットワーク敷設）_Ⅹ_課題と対応策_20121211 2" xfId="552" xr:uid="{00000000-0005-0000-0000-0000E6010000}"/>
    <cellStyle name="_［提出版］千里導入明細資料（資源配付・仮想化）20090323_【20090724】千里導入明細資料_２１年度_【20091207】千里導入明細資料_２１年度分（ネットワーク敷設）_千里導入明細資料_２２年度分（ネットワーク敷設）_fj" xfId="553" xr:uid="{00000000-0005-0000-0000-0000E7010000}"/>
    <cellStyle name="_［提出版］千里導入明細資料（資源配付・仮想化）20090323_【20090724】千里導入明細資料_２１年度_【20091207】千里導入明細資料_２１年度分（ネットワーク敷設）_千里導入明細資料_２２年度分（ネットワーク敷設）_fj 2" xfId="554" xr:uid="{00000000-0005-0000-0000-0000E8010000}"/>
    <cellStyle name="_［提出版］千里導入明細資料（資源配付・仮想化）20090323_【20090724】千里導入明細資料_２１年度_【20091207】千里導入明細資料_２１年度分（ネットワーク敷設）_千里導入明細資料_２２年度分（ネットワーク敷設）_fj_Ⅹ_課題と対応策_20121211" xfId="555" xr:uid="{00000000-0005-0000-0000-0000E9010000}"/>
    <cellStyle name="_［提出版］千里導入明細資料（資源配付・仮想化）20090323_【20090724】千里導入明細資料_２１年度_【20091207】千里導入明細資料_２１年度分（ネットワーク敷設）_千里導入明細資料_２２年度分（ネットワーク敷設）_fj_Ⅹ_課題と対応策_20121211 2" xfId="556" xr:uid="{00000000-0005-0000-0000-0000EA010000}"/>
    <cellStyle name="_［提出版］千里導入明細資料（資源配付・仮想化）20090323_【20090724】千里導入明細資料_２１年度_【20091225】千里導入明細資料_２２年度上期分（営業店ＡＰ－ＤＢ）" xfId="557" xr:uid="{00000000-0005-0000-0000-0000EB010000}"/>
    <cellStyle name="_［提出版］千里導入明細資料（資源配付・仮想化）20090323_【20090724】千里導入明細資料_２１年度_【20091225】千里導入明細資料_２２年度上期分（営業店ＡＰ－ＤＢ） 2" xfId="558" xr:uid="{00000000-0005-0000-0000-0000EC010000}"/>
    <cellStyle name="_［提出版］千里導入明細資料（資源配付・仮想化）20090323_【20090724】千里導入明細資料_２１年度_【20091225】千里導入明細資料_２２年度上期分（営業店ＡＰ－ＤＢ）_【調整中】千里導入明細資料_２２年度上期分_fj_20100127" xfId="559" xr:uid="{00000000-0005-0000-0000-0000ED010000}"/>
    <cellStyle name="_［提出版］千里導入明細資料（資源配付・仮想化）20090323_【20090724】千里導入明細資料_２１年度_【20091225】千里導入明細資料_２２年度上期分（営業店ＡＰ－ＤＢ）_【調整中】千里導入明細資料_２２年度上期分_fj_20100127 2" xfId="560" xr:uid="{00000000-0005-0000-0000-0000EE010000}"/>
    <cellStyle name="_［提出版］千里導入明細資料（資源配付・仮想化）20090323_【20090724】千里導入明細資料_２１年度_【20091225】千里導入明細資料_２２年度上期分（営業店ＡＰ－ＤＢ）_【調整中】千里導入明細資料_２２年度上期分_fj_20100127_Ⅹ_課題と対応策_20121211" xfId="561" xr:uid="{00000000-0005-0000-0000-0000EF010000}"/>
    <cellStyle name="_［提出版］千里導入明細資料（資源配付・仮想化）20090323_【20090724】千里導入明細資料_２１年度_【20091225】千里導入明細資料_２２年度上期分（営業店ＡＰ－ＤＢ）_【調整中】千里導入明細資料_２２年度上期分_fj_20100127_Ⅹ_課題と対応策_20121211 2" xfId="562" xr:uid="{00000000-0005-0000-0000-0000F0010000}"/>
    <cellStyle name="_［提出版］千里導入明細資料（資源配付・仮想化）20090323_【20090724】千里導入明細資料_２１年度_【20091225】千里導入明細資料_２２年度上期分（営業店ＡＰ－ＤＢ）_Ⅹ_課題と対応策_20121211" xfId="563" xr:uid="{00000000-0005-0000-0000-0000F1010000}"/>
    <cellStyle name="_［提出版］千里導入明細資料（資源配付・仮想化）20090323_【20090724】千里導入明細資料_２１年度_【20091225】千里導入明細資料_２２年度上期分（営業店ＡＰ－ＤＢ）_Ⅹ_課題と対応策_20121211 2" xfId="564" xr:uid="{00000000-0005-0000-0000-0000F2010000}"/>
    <cellStyle name="_［提出版］千里導入明細資料（資源配付・仮想化）20090323_【20090724】千里導入明細資料_２１年度_【20091225】千里導入明細資料_２２年度上期分_営業店DB" xfId="565" xr:uid="{00000000-0005-0000-0000-0000F3010000}"/>
    <cellStyle name="_［提出版］千里導入明細資料（資源配付・仮想化）20090323_【20090724】千里導入明細資料_２１年度_【20091225】千里導入明細資料_２２年度上期分_営業店DB 2" xfId="566" xr:uid="{00000000-0005-0000-0000-0000F4010000}"/>
    <cellStyle name="_［提出版］千里導入明細資料（資源配付・仮想化）20090323_【20090724】千里導入明細資料_２１年度_【20091225】千里導入明細資料_２２年度上期分_営業店DB_【調整中】千里導入明細資料_２２年度上期分_fj_20100127" xfId="567" xr:uid="{00000000-0005-0000-0000-0000F5010000}"/>
    <cellStyle name="_［提出版］千里導入明細資料（資源配付・仮想化）20090323_【20090724】千里導入明細資料_２１年度_【20091225】千里導入明細資料_２２年度上期分_営業店DB_【調整中】千里導入明細資料_２２年度上期分_fj_20100127 2" xfId="568" xr:uid="{00000000-0005-0000-0000-0000F6010000}"/>
    <cellStyle name="_［提出版］千里導入明細資料（資源配付・仮想化）20090323_【20090724】千里導入明細資料_２１年度_【20091225】千里導入明細資料_２２年度上期分_営業店DB_【調整中】千里導入明細資料_２２年度上期分_fj_20100127_Ⅹ_課題と対応策_20121211" xfId="569" xr:uid="{00000000-0005-0000-0000-0000F7010000}"/>
    <cellStyle name="_［提出版］千里導入明細資料（資源配付・仮想化）20090323_【20090724】千里導入明細資料_２１年度_【20091225】千里導入明細資料_２２年度上期分_営業店DB_【調整中】千里導入明細資料_２２年度上期分_fj_20100127_Ⅹ_課題と対応策_20121211 2" xfId="570" xr:uid="{00000000-0005-0000-0000-0000F8010000}"/>
    <cellStyle name="_［提出版］千里導入明細資料（資源配付・仮想化）20090323_【20090724】千里導入明細資料_２１年度_【20091225】千里導入明細資料_２２年度上期分_営業店DB_Ⅹ_課題と対応策_20121211" xfId="571" xr:uid="{00000000-0005-0000-0000-0000F9010000}"/>
    <cellStyle name="_［提出版］千里導入明細資料（資源配付・仮想化）20090323_【20090724】千里導入明細資料_２１年度_【20091225】千里導入明細資料_２２年度上期分_営業店DB_Ⅹ_課題と対応策_20121211 2" xfId="572" xr:uid="{00000000-0005-0000-0000-0000FA010000}"/>
    <cellStyle name="_［提出版］千里導入明細資料（資源配付・仮想化）20090323_【20090724】千里導入明細資料_２１年度_【20091225】千里導入明細資料_２２年度上期分_連携DB" xfId="573" xr:uid="{00000000-0005-0000-0000-0000FB010000}"/>
    <cellStyle name="_［提出版］千里導入明細資料（資源配付・仮想化）20090323_【20090724】千里導入明細資料_２１年度_【20091225】千里導入明細資料_２２年度上期分_連携DB 2" xfId="574" xr:uid="{00000000-0005-0000-0000-0000FC010000}"/>
    <cellStyle name="_［提出版］千里導入明細資料（資源配付・仮想化）20090323_【20090724】千里導入明細資料_２１年度_【20091225】千里導入明細資料_２２年度上期分_連携DB_【調整中】千里導入明細資料_２２年度上期分_fj_20100127" xfId="575" xr:uid="{00000000-0005-0000-0000-0000FD010000}"/>
    <cellStyle name="_［提出版］千里導入明細資料（資源配付・仮想化）20090323_【20090724】千里導入明細資料_２１年度_【20091225】千里導入明細資料_２２年度上期分_連携DB_【調整中】千里導入明細資料_２２年度上期分_fj_20100127 2" xfId="576" xr:uid="{00000000-0005-0000-0000-0000FE010000}"/>
    <cellStyle name="_［提出版］千里導入明細資料（資源配付・仮想化）20090323_【20090724】千里導入明細資料_２１年度_【20091225】千里導入明細資料_２２年度上期分_連携DB_【調整中】千里導入明細資料_２２年度上期分_fj_20100127_Ⅹ_課題と対応策_20121211" xfId="577" xr:uid="{00000000-0005-0000-0000-0000FF010000}"/>
    <cellStyle name="_［提出版］千里導入明細資料（資源配付・仮想化）20090323_【20090724】千里導入明細資料_２１年度_【20091225】千里導入明細資料_２２年度上期分_連携DB_【調整中】千里導入明細資料_２２年度上期分_fj_20100127_Ⅹ_課題と対応策_20121211 2" xfId="578" xr:uid="{00000000-0005-0000-0000-000000020000}"/>
    <cellStyle name="_［提出版］千里導入明細資料（資源配付・仮想化）20090323_【20090724】千里導入明細資料_２１年度_【20091225】千里導入明細資料_２２年度上期分_連携DB_Ⅹ_課題と対応策_20121211" xfId="579" xr:uid="{00000000-0005-0000-0000-000001020000}"/>
    <cellStyle name="_［提出版］千里導入明細資料（資源配付・仮想化）20090323_【20090724】千里導入明細資料_２１年度_【20091225】千里導入明細資料_２２年度上期分_連携DB_Ⅹ_課題と対応策_20121211 2" xfId="580" xr:uid="{00000000-0005-0000-0000-000002020000}"/>
    <cellStyle name="_［提出版］千里導入明細資料（資源配付・仮想化）20090323_【20090724】千里導入明細資料_２１年度_【作成中】千里センター機器配置図（2010年対応分）_20091221" xfId="581" xr:uid="{00000000-0005-0000-0000-000003020000}"/>
    <cellStyle name="_［提出版］千里導入明細資料（資源配付・仮想化）20090323_【20090724】千里導入明細資料_２１年度_【作成中】千里センター機器配置図（2010年対応分）_20091221 2" xfId="582" xr:uid="{00000000-0005-0000-0000-000004020000}"/>
    <cellStyle name="_［提出版］千里導入明細資料（資源配付・仮想化）20090323_【20090724】千里導入明細資料_２１年度_【作成中】千里センター機器配置図（2010年対応分）_20091221_【調整中】千里導入明細資料_２２年度上期分_fj_20100127" xfId="583" xr:uid="{00000000-0005-0000-0000-000005020000}"/>
    <cellStyle name="_［提出版］千里導入明細資料（資源配付・仮想化）20090323_【20090724】千里導入明細資料_２１年度_【作成中】千里センター機器配置図（2010年対応分）_20091221_【調整中】千里導入明細資料_２２年度上期分_fj_20100127 2" xfId="584" xr:uid="{00000000-0005-0000-0000-000006020000}"/>
    <cellStyle name="_［提出版］千里導入明細資料（資源配付・仮想化）20090323_【20090724】千里導入明細資料_２１年度_【作成中】千里センター機器配置図（2010年対応分）_20091221_【調整中】千里導入明細資料_２２年度上期分_fj_20100127_Ⅹ_課題と対応策_20121211" xfId="585" xr:uid="{00000000-0005-0000-0000-000007020000}"/>
    <cellStyle name="_［提出版］千里導入明細資料（資源配付・仮想化）20090323_【20090724】千里導入明細資料_２１年度_【作成中】千里センター機器配置図（2010年対応分）_20091221_【調整中】千里導入明細資料_２２年度上期分_fj_20100127_Ⅹ_課題と対応策_20121211 2" xfId="586" xr:uid="{00000000-0005-0000-0000-000008020000}"/>
    <cellStyle name="_［提出版］千里導入明細資料（資源配付・仮想化）20090323_【20090724】千里導入明細資料_２１年度_【作成中】千里センター機器配置図（2010年対応分）_20091221_Ⅹ_課題と対応策_20121211" xfId="587" xr:uid="{00000000-0005-0000-0000-000009020000}"/>
    <cellStyle name="_［提出版］千里導入明細資料（資源配付・仮想化）20090323_【20090724】千里導入明細資料_２１年度_【作成中】千里センター機器配置図（2010年対応分）_20091221_Ⅹ_課題と対応策_20121211 2" xfId="588" xr:uid="{00000000-0005-0000-0000-00000A020000}"/>
    <cellStyle name="_［提出版］千里導入明細資料（資源配付・仮想化）20090323_【20090724】千里導入明細資料_２１年度_Ⅹ_課題と対応策_20121211" xfId="589" xr:uid="{00000000-0005-0000-0000-00000B020000}"/>
    <cellStyle name="_［提出版］千里導入明細資料（資源配付・仮想化）20090323_【20090724】千里導入明細資料_２１年度_Ⅹ_課題と対応策_20121211 2" xfId="590" xr:uid="{00000000-0005-0000-0000-00000C020000}"/>
    <cellStyle name="_［提出版］千里導入明細資料（資源配付・仮想化）20090323_【20090724】千里導入明細資料_２１年度分（９月工事分）" xfId="591" xr:uid="{00000000-0005-0000-0000-00000D020000}"/>
    <cellStyle name="_［提出版］千里導入明細資料（資源配付・仮想化）20090323_【20090724】千里導入明細資料_２１年度分（９月工事分） 2" xfId="592" xr:uid="{00000000-0005-0000-0000-00000E020000}"/>
    <cellStyle name="_［提出版］千里導入明細資料（資源配付・仮想化）20090323_【20090724】千里導入明細資料_２１年度分（９月工事分）_【20091207】千里導入明細資料_２１年度分（ネットワーク敷設）" xfId="593" xr:uid="{00000000-0005-0000-0000-00000F020000}"/>
    <cellStyle name="_［提出版］千里導入明細資料（資源配付・仮想化）20090323_【20090724】千里導入明細資料_２１年度分（９月工事分）_【20091207】千里導入明細資料_２１年度分（ネットワーク敷設） 2" xfId="594" xr:uid="{00000000-0005-0000-0000-000010020000}"/>
    <cellStyle name="_［提出版］千里導入明細資料（資源配付・仮想化）20090323_【20090724】千里導入明細資料_２１年度分（９月工事分）_【20091207】千里導入明細資料_２１年度分（ネットワーク敷設）_【20091218】千里導入明細資料_２１年度分（ネットワーク敷設）" xfId="595" xr:uid="{00000000-0005-0000-0000-000011020000}"/>
    <cellStyle name="_［提出版］千里導入明細資料（資源配付・仮想化）20090323_【20090724】千里導入明細資料_２１年度分（９月工事分）_【20091207】千里導入明細資料_２１年度分（ネットワーク敷設）_【20091218】千里導入明細資料_２１年度分（ネットワーク敷設） 2" xfId="596" xr:uid="{00000000-0005-0000-0000-000012020000}"/>
    <cellStyle name="_［提出版］千里導入明細資料（資源配付・仮想化）20090323_【20090724】千里導入明細資料_２１年度分（９月工事分）_【20091207】千里導入明細資料_２１年度分（ネットワーク敷設）_【20091218】千里導入明細資料_２１年度分（ネットワーク敷設）_Ⅹ_課題と対応策_20121211" xfId="597" xr:uid="{00000000-0005-0000-0000-000013020000}"/>
    <cellStyle name="_［提出版］千里導入明細資料（資源配付・仮想化）20090323_【20090724】千里導入明細資料_２１年度分（９月工事分）_【20091207】千里導入明細資料_２１年度分（ネットワーク敷設）_【20091218】千里導入明細資料_２１年度分（ネットワーク敷設）_Ⅹ_課題と対応策_20121211 2" xfId="598" xr:uid="{00000000-0005-0000-0000-000014020000}"/>
    <cellStyle name="_［提出版］千里導入明細資料（資源配付・仮想化）20090323_【20090724】千里導入明細資料_２１年度分（９月工事分）_【20091207】千里導入明細資料_２１年度分（ネットワーク敷設）_Ⅹ_課題と対応策_20121211" xfId="599" xr:uid="{00000000-0005-0000-0000-000015020000}"/>
    <cellStyle name="_［提出版］千里導入明細資料（資源配付・仮想化）20090323_【20090724】千里導入明細資料_２１年度分（９月工事分）_【20091207】千里導入明細資料_２１年度分（ネットワーク敷設）_Ⅹ_課題と対応策_20121211 2" xfId="600" xr:uid="{00000000-0005-0000-0000-000016020000}"/>
    <cellStyle name="_［提出版］千里導入明細資料（資源配付・仮想化）20090323_【20090724】千里導入明細資料_２１年度分（９月工事分）_【20091207】千里導入明細資料_２１年度分（ネットワーク敷設）_千里導入明細資料_２２年度分（ネットワーク敷設）_fj" xfId="601" xr:uid="{00000000-0005-0000-0000-000017020000}"/>
    <cellStyle name="_［提出版］千里導入明細資料（資源配付・仮想化）20090323_【20090724】千里導入明細資料_２１年度分（９月工事分）_【20091207】千里導入明細資料_２１年度分（ネットワーク敷設）_千里導入明細資料_２２年度分（ネットワーク敷設）_fj 2" xfId="602" xr:uid="{00000000-0005-0000-0000-000018020000}"/>
    <cellStyle name="_［提出版］千里導入明細資料（資源配付・仮想化）20090323_【20090724】千里導入明細資料_２１年度分（９月工事分）_【20091207】千里導入明細資料_２１年度分（ネットワーク敷設）_千里導入明細資料_２２年度分（ネットワーク敷設）_fj_Ⅹ_課題と対応策_20121211" xfId="603" xr:uid="{00000000-0005-0000-0000-000019020000}"/>
    <cellStyle name="_［提出版］千里導入明細資料（資源配付・仮想化）20090323_【20090724】千里導入明細資料_２１年度分（９月工事分）_【20091207】千里導入明細資料_２１年度分（ネットワーク敷設）_千里導入明細資料_２２年度分（ネットワーク敷設）_fj_Ⅹ_課題と対応策_20121211 2" xfId="604" xr:uid="{00000000-0005-0000-0000-00001A020000}"/>
    <cellStyle name="_［提出版］千里導入明細資料（資源配付・仮想化）20090323_【20090724】千里導入明細資料_２１年度分（９月工事分）_【20091225】千里導入明細資料_２２年度上期分（営業店ＡＰ－ＤＢ）" xfId="605" xr:uid="{00000000-0005-0000-0000-00001B020000}"/>
    <cellStyle name="_［提出版］千里導入明細資料（資源配付・仮想化）20090323_【20090724】千里導入明細資料_２１年度分（９月工事分）_【20091225】千里導入明細資料_２２年度上期分（営業店ＡＰ－ＤＢ） 2" xfId="606" xr:uid="{00000000-0005-0000-0000-00001C020000}"/>
    <cellStyle name="_［提出版］千里導入明細資料（資源配付・仮想化）20090323_【20090724】千里導入明細資料_２１年度分（９月工事分）_【20091225】千里導入明細資料_２２年度上期分（営業店ＡＰ－ＤＢ）_【調整中】千里導入明細資料_２２年度上期分_fj_20100127" xfId="607" xr:uid="{00000000-0005-0000-0000-00001D020000}"/>
    <cellStyle name="_［提出版］千里導入明細資料（資源配付・仮想化）20090323_【20090724】千里導入明細資料_２１年度分（９月工事分）_【20091225】千里導入明細資料_２２年度上期分（営業店ＡＰ－ＤＢ）_【調整中】千里導入明細資料_２２年度上期分_fj_20100127 2" xfId="608" xr:uid="{00000000-0005-0000-0000-00001E020000}"/>
    <cellStyle name="_［提出版］千里導入明細資料（資源配付・仮想化）20090323_【20090724】千里導入明細資料_２１年度分（９月工事分）_【20091225】千里導入明細資料_２２年度上期分（営業店ＡＰ－ＤＢ）_【調整中】千里導入明細資料_２２年度上期分_fj_20100127_Ⅹ_課題と対応策_20121211" xfId="609" xr:uid="{00000000-0005-0000-0000-00001F020000}"/>
    <cellStyle name="_［提出版］千里導入明細資料（資源配付・仮想化）20090323_【20090724】千里導入明細資料_２１年度分（９月工事分）_【20091225】千里導入明細資料_２２年度上期分（営業店ＡＰ－ＤＢ）_【調整中】千里導入明細資料_２２年度上期分_fj_20100127_Ⅹ_課題と対応策_20121211 2" xfId="610" xr:uid="{00000000-0005-0000-0000-000020020000}"/>
    <cellStyle name="_［提出版］千里導入明細資料（資源配付・仮想化）20090323_【20090724】千里導入明細資料_２１年度分（９月工事分）_【20091225】千里導入明細資料_２２年度上期分（営業店ＡＰ－ＤＢ）_Ⅹ_課題と対応策_20121211" xfId="611" xr:uid="{00000000-0005-0000-0000-000021020000}"/>
    <cellStyle name="_［提出版］千里導入明細資料（資源配付・仮想化）20090323_【20090724】千里導入明細資料_２１年度分（９月工事分）_【20091225】千里導入明細資料_２２年度上期分（営業店ＡＰ－ＤＢ）_Ⅹ_課題と対応策_20121211 2" xfId="612" xr:uid="{00000000-0005-0000-0000-000022020000}"/>
    <cellStyle name="_［提出版］千里導入明細資料（資源配付・仮想化）20090323_【20090724】千里導入明細資料_２１年度分（９月工事分）_【20091225】千里導入明細資料_２２年度上期分_営業店DB" xfId="613" xr:uid="{00000000-0005-0000-0000-000023020000}"/>
    <cellStyle name="_［提出版］千里導入明細資料（資源配付・仮想化）20090323_【20090724】千里導入明細資料_２１年度分（９月工事分）_【20091225】千里導入明細資料_２２年度上期分_営業店DB 2" xfId="614" xr:uid="{00000000-0005-0000-0000-000024020000}"/>
    <cellStyle name="_［提出版］千里導入明細資料（資源配付・仮想化）20090323_【20090724】千里導入明細資料_２１年度分（９月工事分）_【20091225】千里導入明細資料_２２年度上期分_営業店DB_【調整中】千里導入明細資料_２２年度上期分_fj_20100127" xfId="615" xr:uid="{00000000-0005-0000-0000-000025020000}"/>
    <cellStyle name="_［提出版］千里導入明細資料（資源配付・仮想化）20090323_【20090724】千里導入明細資料_２１年度分（９月工事分）_【20091225】千里導入明細資料_２２年度上期分_営業店DB_【調整中】千里導入明細資料_２２年度上期分_fj_20100127 2" xfId="616" xr:uid="{00000000-0005-0000-0000-000026020000}"/>
    <cellStyle name="_［提出版］千里導入明細資料（資源配付・仮想化）20090323_【20090724】千里導入明細資料_２１年度分（９月工事分）_【20091225】千里導入明細資料_２２年度上期分_営業店DB_【調整中】千里導入明細資料_２２年度上期分_fj_20100127_Ⅹ_課題と対応策_20121211" xfId="617" xr:uid="{00000000-0005-0000-0000-000027020000}"/>
    <cellStyle name="_［提出版］千里導入明細資料（資源配付・仮想化）20090323_【20090724】千里導入明細資料_２１年度分（９月工事分）_【20091225】千里導入明細資料_２２年度上期分_営業店DB_【調整中】千里導入明細資料_２２年度上期分_fj_20100127_Ⅹ_課題と対応策_20121211 2" xfId="618" xr:uid="{00000000-0005-0000-0000-000028020000}"/>
    <cellStyle name="_［提出版］千里導入明細資料（資源配付・仮想化）20090323_【20090724】千里導入明細資料_２１年度分（９月工事分）_【20091225】千里導入明細資料_２２年度上期分_営業店DB_Ⅹ_課題と対応策_20121211" xfId="619" xr:uid="{00000000-0005-0000-0000-000029020000}"/>
    <cellStyle name="_［提出版］千里導入明細資料（資源配付・仮想化）20090323_【20090724】千里導入明細資料_２１年度分（９月工事分）_【20091225】千里導入明細資料_２２年度上期分_営業店DB_Ⅹ_課題と対応策_20121211 2" xfId="620" xr:uid="{00000000-0005-0000-0000-00002A020000}"/>
    <cellStyle name="_［提出版］千里導入明細資料（資源配付・仮想化）20090323_【20090724】千里導入明細資料_２１年度分（９月工事分）_【20091225】千里導入明細資料_２２年度上期分_連携DB" xfId="621" xr:uid="{00000000-0005-0000-0000-00002B020000}"/>
    <cellStyle name="_［提出版］千里導入明細資料（資源配付・仮想化）20090323_【20090724】千里導入明細資料_２１年度分（９月工事分）_【20091225】千里導入明細資料_２２年度上期分_連携DB 2" xfId="622" xr:uid="{00000000-0005-0000-0000-00002C020000}"/>
    <cellStyle name="_［提出版］千里導入明細資料（資源配付・仮想化）20090323_【20090724】千里導入明細資料_２１年度分（９月工事分）_【20091225】千里導入明細資料_２２年度上期分_連携DB_【調整中】千里導入明細資料_２２年度上期分_fj_20100127" xfId="623" xr:uid="{00000000-0005-0000-0000-00002D020000}"/>
    <cellStyle name="_［提出版］千里導入明細資料（資源配付・仮想化）20090323_【20090724】千里導入明細資料_２１年度分（９月工事分）_【20091225】千里導入明細資料_２２年度上期分_連携DB_【調整中】千里導入明細資料_２２年度上期分_fj_20100127 2" xfId="624" xr:uid="{00000000-0005-0000-0000-00002E020000}"/>
    <cellStyle name="_［提出版］千里導入明細資料（資源配付・仮想化）20090323_【20090724】千里導入明細資料_２１年度分（９月工事分）_【20091225】千里導入明細資料_２２年度上期分_連携DB_【調整中】千里導入明細資料_２２年度上期分_fj_20100127_Ⅹ_課題と対応策_20121211" xfId="625" xr:uid="{00000000-0005-0000-0000-00002F020000}"/>
    <cellStyle name="_［提出版］千里導入明細資料（資源配付・仮想化）20090323_【20090724】千里導入明細資料_２１年度分（９月工事分）_【20091225】千里導入明細資料_２２年度上期分_連携DB_【調整中】千里導入明細資料_２２年度上期分_fj_20100127_Ⅹ_課題と対応策_20121211 2" xfId="626" xr:uid="{00000000-0005-0000-0000-000030020000}"/>
    <cellStyle name="_［提出版］千里導入明細資料（資源配付・仮想化）20090323_【20090724】千里導入明細資料_２１年度分（９月工事分）_【20091225】千里導入明細資料_２２年度上期分_連携DB_Ⅹ_課題と対応策_20121211" xfId="627" xr:uid="{00000000-0005-0000-0000-000031020000}"/>
    <cellStyle name="_［提出版］千里導入明細資料（資源配付・仮想化）20090323_【20090724】千里導入明細資料_２１年度分（９月工事分）_【20091225】千里導入明細資料_２２年度上期分_連携DB_Ⅹ_課題と対応策_20121211 2" xfId="628" xr:uid="{00000000-0005-0000-0000-000032020000}"/>
    <cellStyle name="_［提出版］千里導入明細資料（資源配付・仮想化）20090323_【20090724】千里導入明細資料_２１年度分（９月工事分）_【作成中】千里センター機器配置図（2010年対応分）_20091221" xfId="629" xr:uid="{00000000-0005-0000-0000-000033020000}"/>
    <cellStyle name="_［提出版］千里導入明細資料（資源配付・仮想化）20090323_【20090724】千里導入明細資料_２１年度分（９月工事分）_【作成中】千里センター機器配置図（2010年対応分）_20091221 2" xfId="630" xr:uid="{00000000-0005-0000-0000-000034020000}"/>
    <cellStyle name="_［提出版］千里導入明細資料（資源配付・仮想化）20090323_【20090724】千里導入明細資料_２１年度分（９月工事分）_【作成中】千里センター機器配置図（2010年対応分）_20091221_【調整中】千里導入明細資料_２２年度上期分_fj_20100127" xfId="631" xr:uid="{00000000-0005-0000-0000-000035020000}"/>
    <cellStyle name="_［提出版］千里導入明細資料（資源配付・仮想化）20090323_【20090724】千里導入明細資料_２１年度分（９月工事分）_【作成中】千里センター機器配置図（2010年対応分）_20091221_【調整中】千里導入明細資料_２２年度上期分_fj_20100127 2" xfId="632" xr:uid="{00000000-0005-0000-0000-000036020000}"/>
    <cellStyle name="_［提出版］千里導入明細資料（資源配付・仮想化）20090323_【20090724】千里導入明細資料_２１年度分（９月工事分）_【作成中】千里センター機器配置図（2010年対応分）_20091221_【調整中】千里導入明細資料_２２年度上期分_fj_20100127_Ⅹ_課題と対応策_20121211" xfId="633" xr:uid="{00000000-0005-0000-0000-000037020000}"/>
    <cellStyle name="_［提出版］千里導入明細資料（資源配付・仮想化）20090323_【20090724】千里導入明細資料_２１年度分（９月工事分）_【作成中】千里センター機器配置図（2010年対応分）_20091221_【調整中】千里導入明細資料_２２年度上期分_fj_20100127_Ⅹ_課題と対応策_20121211 2" xfId="634" xr:uid="{00000000-0005-0000-0000-000038020000}"/>
    <cellStyle name="_［提出版］千里導入明細資料（資源配付・仮想化）20090323_【20090724】千里導入明細資料_２１年度分（９月工事分）_【作成中】千里センター機器配置図（2010年対応分）_20091221_Ⅹ_課題と対応策_20121211" xfId="635" xr:uid="{00000000-0005-0000-0000-000039020000}"/>
    <cellStyle name="_［提出版］千里導入明細資料（資源配付・仮想化）20090323_【20090724】千里導入明細資料_２１年度分（９月工事分）_【作成中】千里センター機器配置図（2010年対応分）_20091221_Ⅹ_課題と対応策_20121211 2" xfId="636" xr:uid="{00000000-0005-0000-0000-00003A020000}"/>
    <cellStyle name="_［提出版］千里導入明細資料（資源配付・仮想化）20090323_【20090724】千里導入明細資料_２１年度分（９月工事分）_Ⅹ_課題と対応策_20121211" xfId="637" xr:uid="{00000000-0005-0000-0000-00003B020000}"/>
    <cellStyle name="_［提出版］千里導入明細資料（資源配付・仮想化）20090323_【20090724】千里導入明細資料_２１年度分（９月工事分）_Ⅹ_課題と対応策_20121211 2" xfId="638" xr:uid="{00000000-0005-0000-0000-00003C020000}"/>
    <cellStyle name="_［提出版］千里導入明細資料（資源配付・仮想化）20090323_【20090731】千里導入明細資料_２１年度分（９月工事分）" xfId="639" xr:uid="{00000000-0005-0000-0000-00003D020000}"/>
    <cellStyle name="_［提出版］千里導入明細資料（資源配付・仮想化）20090323_【20090731】千里導入明細資料_２１年度分（９月工事分） 2" xfId="640" xr:uid="{00000000-0005-0000-0000-00003E020000}"/>
    <cellStyle name="_［提出版］千里導入明細資料（資源配付・仮想化）20090323_【20090731】千里導入明細資料_２１年度分（９月工事分）_【20090821】千里ラック搭載図（NW機器）" xfId="641" xr:uid="{00000000-0005-0000-0000-00003F020000}"/>
    <cellStyle name="_［提出版］千里導入明細資料（資源配付・仮想化）20090323_【20090731】千里導入明細資料_２１年度分（９月工事分）_【20090821】千里ラック搭載図（NW機器） 2" xfId="642" xr:uid="{00000000-0005-0000-0000-000040020000}"/>
    <cellStyle name="_［提出版］千里導入明細資料（資源配付・仮想化）20090323_【20090731】千里導入明細資料_２１年度分（９月工事分）_【20090821】千里ラック搭載図（NW機器）_Ⅹ_課題と対応策_20121211" xfId="643" xr:uid="{00000000-0005-0000-0000-000041020000}"/>
    <cellStyle name="_［提出版］千里導入明細資料（資源配付・仮想化）20090323_【20090731】千里導入明細資料_２１年度分（９月工事分）_【20090821】千里ラック搭載図（NW機器）_Ⅹ_課題と対応策_20121211 2" xfId="644" xr:uid="{00000000-0005-0000-0000-000042020000}"/>
    <cellStyle name="_［提出版］千里導入明細資料（資源配付・仮想化）20090323_【20090731】千里導入明細資料_２１年度分（９月工事分）_Ⅹ_課題と対応策_20121211" xfId="645" xr:uid="{00000000-0005-0000-0000-000043020000}"/>
    <cellStyle name="_［提出版］千里導入明細資料（資源配付・仮想化）20090323_【20090731】千里導入明細資料_２１年度分（９月工事分）_Ⅹ_課題と対応策_20121211 2" xfId="646" xr:uid="{00000000-0005-0000-0000-000044020000}"/>
    <cellStyle name="_［提出版］千里導入明細資料（資源配付・仮想化）20090323_【20090807】千里導入明細資料" xfId="647" xr:uid="{00000000-0005-0000-0000-000045020000}"/>
    <cellStyle name="_［提出版］千里導入明細資料（資源配付・仮想化）20090323_【20090807】千里導入明細資料 2" xfId="648" xr:uid="{00000000-0005-0000-0000-000046020000}"/>
    <cellStyle name="_［提出版］千里導入明細資料（資源配付・仮想化）20090323_【20090807】千里導入明細資料_【20091207】千里導入明細資料_２１年度分（ネットワーク敷設）" xfId="649" xr:uid="{00000000-0005-0000-0000-000047020000}"/>
    <cellStyle name="_［提出版］千里導入明細資料（資源配付・仮想化）20090323_【20090807】千里導入明細資料_【20091207】千里導入明細資料_２１年度分（ネットワーク敷設） 2" xfId="650" xr:uid="{00000000-0005-0000-0000-000048020000}"/>
    <cellStyle name="_［提出版］千里導入明細資料（資源配付・仮想化）20090323_【20090807】千里導入明細資料_【20091207】千里導入明細資料_２１年度分（ネットワーク敷設）_【20091218】千里導入明細資料_２１年度分（ネットワーク敷設）" xfId="651" xr:uid="{00000000-0005-0000-0000-000049020000}"/>
    <cellStyle name="_［提出版］千里導入明細資料（資源配付・仮想化）20090323_【20090807】千里導入明細資料_【20091207】千里導入明細資料_２１年度分（ネットワーク敷設）_【20091218】千里導入明細資料_２１年度分（ネットワーク敷設） 2" xfId="652" xr:uid="{00000000-0005-0000-0000-00004A020000}"/>
    <cellStyle name="_［提出版］千里導入明細資料（資源配付・仮想化）20090323_【20090807】千里導入明細資料_【20091207】千里導入明細資料_２１年度分（ネットワーク敷設）_【20091218】千里導入明細資料_２１年度分（ネットワーク敷設）_Ⅹ_課題と対応策_20121211" xfId="653" xr:uid="{00000000-0005-0000-0000-00004B020000}"/>
    <cellStyle name="_［提出版］千里導入明細資料（資源配付・仮想化）20090323_【20090807】千里導入明細資料_【20091207】千里導入明細資料_２１年度分（ネットワーク敷設）_【20091218】千里導入明細資料_２１年度分（ネットワーク敷設）_Ⅹ_課題と対応策_20121211 2" xfId="654" xr:uid="{00000000-0005-0000-0000-00004C020000}"/>
    <cellStyle name="_［提出版］千里導入明細資料（資源配付・仮想化）20090323_【20090807】千里導入明細資料_【20091207】千里導入明細資料_２１年度分（ネットワーク敷設）_Ⅹ_課題と対応策_20121211" xfId="655" xr:uid="{00000000-0005-0000-0000-00004D020000}"/>
    <cellStyle name="_［提出版］千里導入明細資料（資源配付・仮想化）20090323_【20090807】千里導入明細資料_【20091207】千里導入明細資料_２１年度分（ネットワーク敷設）_Ⅹ_課題と対応策_20121211 2" xfId="656" xr:uid="{00000000-0005-0000-0000-00004E020000}"/>
    <cellStyle name="_［提出版］千里導入明細資料（資源配付・仮想化）20090323_【20090807】千里導入明細資料_【20091207】千里導入明細資料_２１年度分（ネットワーク敷設）_千里導入明細資料_２２年度分（ネットワーク敷設）_fj" xfId="657" xr:uid="{00000000-0005-0000-0000-00004F020000}"/>
    <cellStyle name="_［提出版］千里導入明細資料（資源配付・仮想化）20090323_【20090807】千里導入明細資料_【20091207】千里導入明細資料_２１年度分（ネットワーク敷設）_千里導入明細資料_２２年度分（ネットワーク敷設）_fj 2" xfId="658" xr:uid="{00000000-0005-0000-0000-000050020000}"/>
    <cellStyle name="_［提出版］千里導入明細資料（資源配付・仮想化）20090323_【20090807】千里導入明細資料_【20091207】千里導入明細資料_２１年度分（ネットワーク敷設）_千里導入明細資料_２２年度分（ネットワーク敷設）_fj_Ⅹ_課題と対応策_20121211" xfId="659" xr:uid="{00000000-0005-0000-0000-000051020000}"/>
    <cellStyle name="_［提出版］千里導入明細資料（資源配付・仮想化）20090323_【20090807】千里導入明細資料_【20091207】千里導入明細資料_２１年度分（ネットワーク敷設）_千里導入明細資料_２２年度分（ネットワーク敷設）_fj_Ⅹ_課題と対応策_20121211 2" xfId="660" xr:uid="{00000000-0005-0000-0000-000052020000}"/>
    <cellStyle name="_［提出版］千里導入明細資料（資源配付・仮想化）20090323_【20090807】千里導入明細資料_【20091225】千里導入明細資料_２２年度上期分（営業店ＡＰ－ＤＢ）" xfId="661" xr:uid="{00000000-0005-0000-0000-000053020000}"/>
    <cellStyle name="_［提出版］千里導入明細資料（資源配付・仮想化）20090323_【20090807】千里導入明細資料_【20091225】千里導入明細資料_２２年度上期分（営業店ＡＰ－ＤＢ） 2" xfId="662" xr:uid="{00000000-0005-0000-0000-000054020000}"/>
    <cellStyle name="_［提出版］千里導入明細資料（資源配付・仮想化）20090323_【20090807】千里導入明細資料_【20091225】千里導入明細資料_２２年度上期分（営業店ＡＰ－ＤＢ）_【調整中】千里導入明細資料_２２年度上期分_fj_20100127" xfId="663" xr:uid="{00000000-0005-0000-0000-000055020000}"/>
    <cellStyle name="_［提出版］千里導入明細資料（資源配付・仮想化）20090323_【20090807】千里導入明細資料_【20091225】千里導入明細資料_２２年度上期分（営業店ＡＰ－ＤＢ）_【調整中】千里導入明細資料_２２年度上期分_fj_20100127 2" xfId="664" xr:uid="{00000000-0005-0000-0000-000056020000}"/>
    <cellStyle name="_［提出版］千里導入明細資料（資源配付・仮想化）20090323_【20090807】千里導入明細資料_【20091225】千里導入明細資料_２２年度上期分（営業店ＡＰ－ＤＢ）_【調整中】千里導入明細資料_２２年度上期分_fj_20100127_Ⅹ_課題と対応策_20121211" xfId="665" xr:uid="{00000000-0005-0000-0000-000057020000}"/>
    <cellStyle name="_［提出版］千里導入明細資料（資源配付・仮想化）20090323_【20090807】千里導入明細資料_【20091225】千里導入明細資料_２２年度上期分（営業店ＡＰ－ＤＢ）_【調整中】千里導入明細資料_２２年度上期分_fj_20100127_Ⅹ_課題と対応策_20121211 2" xfId="666" xr:uid="{00000000-0005-0000-0000-000058020000}"/>
    <cellStyle name="_［提出版］千里導入明細資料（資源配付・仮想化）20090323_【20090807】千里導入明細資料_【20091225】千里導入明細資料_２２年度上期分（営業店ＡＰ－ＤＢ）_Ⅹ_課題と対応策_20121211" xfId="667" xr:uid="{00000000-0005-0000-0000-000059020000}"/>
    <cellStyle name="_［提出版］千里導入明細資料（資源配付・仮想化）20090323_【20090807】千里導入明細資料_【20091225】千里導入明細資料_２２年度上期分（営業店ＡＰ－ＤＢ）_Ⅹ_課題と対応策_20121211 2" xfId="668" xr:uid="{00000000-0005-0000-0000-00005A020000}"/>
    <cellStyle name="_［提出版］千里導入明細資料（資源配付・仮想化）20090323_【20090807】千里導入明細資料_【20091225】千里導入明細資料_２２年度上期分_営業店DB" xfId="669" xr:uid="{00000000-0005-0000-0000-00005B020000}"/>
    <cellStyle name="_［提出版］千里導入明細資料（資源配付・仮想化）20090323_【20090807】千里導入明細資料_【20091225】千里導入明細資料_２２年度上期分_営業店DB 2" xfId="670" xr:uid="{00000000-0005-0000-0000-00005C020000}"/>
    <cellStyle name="_［提出版］千里導入明細資料（資源配付・仮想化）20090323_【20090807】千里導入明細資料_【20091225】千里導入明細資料_２２年度上期分_営業店DB_【調整中】千里導入明細資料_２２年度上期分_fj_20100127" xfId="671" xr:uid="{00000000-0005-0000-0000-00005D020000}"/>
    <cellStyle name="_［提出版］千里導入明細資料（資源配付・仮想化）20090323_【20090807】千里導入明細資料_【20091225】千里導入明細資料_２２年度上期分_営業店DB_【調整中】千里導入明細資料_２２年度上期分_fj_20100127 2" xfId="672" xr:uid="{00000000-0005-0000-0000-00005E020000}"/>
    <cellStyle name="_［提出版］千里導入明細資料（資源配付・仮想化）20090323_【20090807】千里導入明細資料_【20091225】千里導入明細資料_２２年度上期分_営業店DB_【調整中】千里導入明細資料_２２年度上期分_fj_20100127_Ⅹ_課題と対応策_20121211" xfId="673" xr:uid="{00000000-0005-0000-0000-00005F020000}"/>
    <cellStyle name="_［提出版］千里導入明細資料（資源配付・仮想化）20090323_【20090807】千里導入明細資料_【20091225】千里導入明細資料_２２年度上期分_営業店DB_【調整中】千里導入明細資料_２２年度上期分_fj_20100127_Ⅹ_課題と対応策_20121211 2" xfId="674" xr:uid="{00000000-0005-0000-0000-000060020000}"/>
    <cellStyle name="_［提出版］千里導入明細資料（資源配付・仮想化）20090323_【20090807】千里導入明細資料_【20091225】千里導入明細資料_２２年度上期分_営業店DB_Ⅹ_課題と対応策_20121211" xfId="675" xr:uid="{00000000-0005-0000-0000-000061020000}"/>
    <cellStyle name="_［提出版］千里導入明細資料（資源配付・仮想化）20090323_【20090807】千里導入明細資料_【20091225】千里導入明細資料_２２年度上期分_営業店DB_Ⅹ_課題と対応策_20121211 2" xfId="676" xr:uid="{00000000-0005-0000-0000-000062020000}"/>
    <cellStyle name="_［提出版］千里導入明細資料（資源配付・仮想化）20090323_【20090807】千里導入明細資料_【20091225】千里導入明細資料_２２年度上期分_連携DB" xfId="677" xr:uid="{00000000-0005-0000-0000-000063020000}"/>
    <cellStyle name="_［提出版］千里導入明細資料（資源配付・仮想化）20090323_【20090807】千里導入明細資料_【20091225】千里導入明細資料_２２年度上期分_連携DB 2" xfId="678" xr:uid="{00000000-0005-0000-0000-000064020000}"/>
    <cellStyle name="_［提出版］千里導入明細資料（資源配付・仮想化）20090323_【20090807】千里導入明細資料_【20091225】千里導入明細資料_２２年度上期分_連携DB_【調整中】千里導入明細資料_２２年度上期分_fj_20100127" xfId="679" xr:uid="{00000000-0005-0000-0000-000065020000}"/>
    <cellStyle name="_［提出版］千里導入明細資料（資源配付・仮想化）20090323_【20090807】千里導入明細資料_【20091225】千里導入明細資料_２２年度上期分_連携DB_【調整中】千里導入明細資料_２２年度上期分_fj_20100127 2" xfId="680" xr:uid="{00000000-0005-0000-0000-000066020000}"/>
    <cellStyle name="_［提出版］千里導入明細資料（資源配付・仮想化）20090323_【20090807】千里導入明細資料_【20091225】千里導入明細資料_２２年度上期分_連携DB_【調整中】千里導入明細資料_２２年度上期分_fj_20100127_Ⅹ_課題と対応策_20121211" xfId="681" xr:uid="{00000000-0005-0000-0000-000067020000}"/>
    <cellStyle name="_［提出版］千里導入明細資料（資源配付・仮想化）20090323_【20090807】千里導入明細資料_【20091225】千里導入明細資料_２２年度上期分_連携DB_【調整中】千里導入明細資料_２２年度上期分_fj_20100127_Ⅹ_課題と対応策_20121211 2" xfId="682" xr:uid="{00000000-0005-0000-0000-000068020000}"/>
    <cellStyle name="_［提出版］千里導入明細資料（資源配付・仮想化）20090323_【20090807】千里導入明細資料_【20091225】千里導入明細資料_２２年度上期分_連携DB_Ⅹ_課題と対応策_20121211" xfId="683" xr:uid="{00000000-0005-0000-0000-000069020000}"/>
    <cellStyle name="_［提出版］千里導入明細資料（資源配付・仮想化）20090323_【20090807】千里導入明細資料_【20091225】千里導入明細資料_２２年度上期分_連携DB_Ⅹ_課題と対応策_20121211 2" xfId="684" xr:uid="{00000000-0005-0000-0000-00006A020000}"/>
    <cellStyle name="_［提出版］千里導入明細資料（資源配付・仮想化）20090323_【20090807】千里導入明細資料_【作成中】千里センター機器配置図（2010年対応分）_20091221" xfId="685" xr:uid="{00000000-0005-0000-0000-00006B020000}"/>
    <cellStyle name="_［提出版］千里導入明細資料（資源配付・仮想化）20090323_【20090807】千里導入明細資料_【作成中】千里センター機器配置図（2010年対応分）_20091221 2" xfId="686" xr:uid="{00000000-0005-0000-0000-00006C020000}"/>
    <cellStyle name="_［提出版］千里導入明細資料（資源配付・仮想化）20090323_【20090807】千里導入明細資料_【作成中】千里センター機器配置図（2010年対応分）_20091221_【調整中】千里導入明細資料_２２年度上期分_fj_20100127" xfId="687" xr:uid="{00000000-0005-0000-0000-00006D020000}"/>
    <cellStyle name="_［提出版］千里導入明細資料（資源配付・仮想化）20090323_【20090807】千里導入明細資料_【作成中】千里センター機器配置図（2010年対応分）_20091221_【調整中】千里導入明細資料_２２年度上期分_fj_20100127 2" xfId="688" xr:uid="{00000000-0005-0000-0000-00006E020000}"/>
    <cellStyle name="_［提出版］千里導入明細資料（資源配付・仮想化）20090323_【20090807】千里導入明細資料_【作成中】千里センター機器配置図（2010年対応分）_20091221_【調整中】千里導入明細資料_２２年度上期分_fj_20100127_Ⅹ_課題と対応策_20121211" xfId="689" xr:uid="{00000000-0005-0000-0000-00006F020000}"/>
    <cellStyle name="_［提出版］千里導入明細資料（資源配付・仮想化）20090323_【20090807】千里導入明細資料_【作成中】千里センター機器配置図（2010年対応分）_20091221_【調整中】千里導入明細資料_２２年度上期分_fj_20100127_Ⅹ_課題と対応策_20121211 2" xfId="690" xr:uid="{00000000-0005-0000-0000-000070020000}"/>
    <cellStyle name="_［提出版］千里導入明細資料（資源配付・仮想化）20090323_【20090807】千里導入明細資料_【作成中】千里センター機器配置図（2010年対応分）_20091221_Ⅹ_課題と対応策_20121211" xfId="691" xr:uid="{00000000-0005-0000-0000-000071020000}"/>
    <cellStyle name="_［提出版］千里導入明細資料（資源配付・仮想化）20090323_【20090807】千里導入明細資料_【作成中】千里センター機器配置図（2010年対応分）_20091221_Ⅹ_課題と対応策_20121211 2" xfId="692" xr:uid="{00000000-0005-0000-0000-000072020000}"/>
    <cellStyle name="_［提出版］千里導入明細資料（資源配付・仮想化）20090323_【20090807】千里導入明細資料_Ⅹ_課題と対応策_20121211" xfId="693" xr:uid="{00000000-0005-0000-0000-000073020000}"/>
    <cellStyle name="_［提出版］千里導入明細資料（資源配付・仮想化）20090323_【20090807】千里導入明細資料_Ⅹ_課題と対応策_20121211 2" xfId="694" xr:uid="{00000000-0005-0000-0000-000074020000}"/>
    <cellStyle name="_［提出版］千里導入明細資料（資源配付・仮想化）20090323_【20090814】千里導入明細資料_SDB追加" xfId="695" xr:uid="{00000000-0005-0000-0000-000075020000}"/>
    <cellStyle name="_［提出版］千里導入明細資料（資源配付・仮想化）20090323_【20090814】千里導入明細資料_SDB追加 2" xfId="696" xr:uid="{00000000-0005-0000-0000-000076020000}"/>
    <cellStyle name="_［提出版］千里導入明細資料（資源配付・仮想化）20090323_【20090814】千里導入明細資料_SDB追加_【20091207】千里導入明細資料_２１年度分（ネットワーク敷設）" xfId="697" xr:uid="{00000000-0005-0000-0000-000077020000}"/>
    <cellStyle name="_［提出版］千里導入明細資料（資源配付・仮想化）20090323_【20090814】千里導入明細資料_SDB追加_【20091207】千里導入明細資料_２１年度分（ネットワーク敷設） 2" xfId="698" xr:uid="{00000000-0005-0000-0000-000078020000}"/>
    <cellStyle name="_［提出版］千里導入明細資料（資源配付・仮想化）20090323_【20090814】千里導入明細資料_SDB追加_【20091207】千里導入明細資料_２１年度分（ネットワーク敷設）_【20091218】千里導入明細資料_２１年度分（ネットワーク敷設）" xfId="699" xr:uid="{00000000-0005-0000-0000-000079020000}"/>
    <cellStyle name="_［提出版］千里導入明細資料（資源配付・仮想化）20090323_【20090814】千里導入明細資料_SDB追加_【20091207】千里導入明細資料_２１年度分（ネットワーク敷設）_【20091218】千里導入明細資料_２１年度分（ネットワーク敷設） 2" xfId="700" xr:uid="{00000000-0005-0000-0000-00007A020000}"/>
    <cellStyle name="_［提出版］千里導入明細資料（資源配付・仮想化）20090323_【20090814】千里導入明細資料_SDB追加_【20091207】千里導入明細資料_２１年度分（ネットワーク敷設）_【20091218】千里導入明細資料_２１年度分（ネットワーク敷設）_Ⅹ_課題と対応策_20121211" xfId="701" xr:uid="{00000000-0005-0000-0000-00007B020000}"/>
    <cellStyle name="_［提出版］千里導入明細資料（資源配付・仮想化）20090323_【20090814】千里導入明細資料_SDB追加_【20091207】千里導入明細資料_２１年度分（ネットワーク敷設）_【20091218】千里導入明細資料_２１年度分（ネットワーク敷設）_Ⅹ_課題と対応策_20121211 2" xfId="702" xr:uid="{00000000-0005-0000-0000-00007C020000}"/>
    <cellStyle name="_［提出版］千里導入明細資料（資源配付・仮想化）20090323_【20090814】千里導入明細資料_SDB追加_【20091207】千里導入明細資料_２１年度分（ネットワーク敷設）_Ⅹ_課題と対応策_20121211" xfId="703" xr:uid="{00000000-0005-0000-0000-00007D020000}"/>
    <cellStyle name="_［提出版］千里導入明細資料（資源配付・仮想化）20090323_【20090814】千里導入明細資料_SDB追加_【20091207】千里導入明細資料_２１年度分（ネットワーク敷設）_Ⅹ_課題と対応策_20121211 2" xfId="704" xr:uid="{00000000-0005-0000-0000-00007E020000}"/>
    <cellStyle name="_［提出版］千里導入明細資料（資源配付・仮想化）20090323_【20090814】千里導入明細資料_SDB追加_【20091207】千里導入明細資料_２１年度分（ネットワーク敷設）_千里導入明細資料_２２年度分（ネットワーク敷設）_fj" xfId="705" xr:uid="{00000000-0005-0000-0000-00007F020000}"/>
    <cellStyle name="_［提出版］千里導入明細資料（資源配付・仮想化）20090323_【20090814】千里導入明細資料_SDB追加_【20091207】千里導入明細資料_２１年度分（ネットワーク敷設）_千里導入明細資料_２２年度分（ネットワーク敷設）_fj 2" xfId="706" xr:uid="{00000000-0005-0000-0000-000080020000}"/>
    <cellStyle name="_［提出版］千里導入明細資料（資源配付・仮想化）20090323_【20090814】千里導入明細資料_SDB追加_【20091207】千里導入明細資料_２１年度分（ネットワーク敷設）_千里導入明細資料_２２年度分（ネットワーク敷設）_fj_Ⅹ_課題と対応策_20121211" xfId="707" xr:uid="{00000000-0005-0000-0000-000081020000}"/>
    <cellStyle name="_［提出版］千里導入明細資料（資源配付・仮想化）20090323_【20090814】千里導入明細資料_SDB追加_【20091207】千里導入明細資料_２１年度分（ネットワーク敷設）_千里導入明細資料_２２年度分（ネットワーク敷設）_fj_Ⅹ_課題と対応策_20121211 2" xfId="708" xr:uid="{00000000-0005-0000-0000-000082020000}"/>
    <cellStyle name="_［提出版］千里導入明細資料（資源配付・仮想化）20090323_【20090814】千里導入明細資料_SDB追加_【20091225】千里導入明細資料_２２年度上期分（営業店ＡＰ－ＤＢ）" xfId="709" xr:uid="{00000000-0005-0000-0000-000083020000}"/>
    <cellStyle name="_［提出版］千里導入明細資料（資源配付・仮想化）20090323_【20090814】千里導入明細資料_SDB追加_【20091225】千里導入明細資料_２２年度上期分（営業店ＡＰ－ＤＢ） 2" xfId="710" xr:uid="{00000000-0005-0000-0000-000084020000}"/>
    <cellStyle name="_［提出版］千里導入明細資料（資源配付・仮想化）20090323_【20090814】千里導入明細資料_SDB追加_【20091225】千里導入明細資料_２２年度上期分（営業店ＡＰ－ＤＢ）_【調整中】千里導入明細資料_２２年度上期分_fj_20100127" xfId="711" xr:uid="{00000000-0005-0000-0000-000085020000}"/>
    <cellStyle name="_［提出版］千里導入明細資料（資源配付・仮想化）20090323_【20090814】千里導入明細資料_SDB追加_【20091225】千里導入明細資料_２２年度上期分（営業店ＡＰ－ＤＢ）_【調整中】千里導入明細資料_２２年度上期分_fj_20100127 2" xfId="712" xr:uid="{00000000-0005-0000-0000-000086020000}"/>
    <cellStyle name="_［提出版］千里導入明細資料（資源配付・仮想化）20090323_【20090814】千里導入明細資料_SDB追加_【20091225】千里導入明細資料_２２年度上期分（営業店ＡＰ－ＤＢ）_【調整中】千里導入明細資料_２２年度上期分_fj_20100127_Ⅹ_課題と対応策_20121211" xfId="713" xr:uid="{00000000-0005-0000-0000-000087020000}"/>
    <cellStyle name="_［提出版］千里導入明細資料（資源配付・仮想化）20090323_【20090814】千里導入明細資料_SDB追加_【20091225】千里導入明細資料_２２年度上期分（営業店ＡＰ－ＤＢ）_【調整中】千里導入明細資料_２２年度上期分_fj_20100127_Ⅹ_課題と対応策_20121211 2" xfId="714" xr:uid="{00000000-0005-0000-0000-000088020000}"/>
    <cellStyle name="_［提出版］千里導入明細資料（資源配付・仮想化）20090323_【20090814】千里導入明細資料_SDB追加_【20091225】千里導入明細資料_２２年度上期分（営業店ＡＰ－ＤＢ）_Ⅹ_課題と対応策_20121211" xfId="715" xr:uid="{00000000-0005-0000-0000-000089020000}"/>
    <cellStyle name="_［提出版］千里導入明細資料（資源配付・仮想化）20090323_【20090814】千里導入明細資料_SDB追加_【20091225】千里導入明細資料_２２年度上期分（営業店ＡＰ－ＤＢ）_Ⅹ_課題と対応策_20121211 2" xfId="716" xr:uid="{00000000-0005-0000-0000-00008A020000}"/>
    <cellStyle name="_［提出版］千里導入明細資料（資源配付・仮想化）20090323_【20090814】千里導入明細資料_SDB追加_【20091225】千里導入明細資料_２２年度上期分_営業店DB" xfId="717" xr:uid="{00000000-0005-0000-0000-00008B020000}"/>
    <cellStyle name="_［提出版］千里導入明細資料（資源配付・仮想化）20090323_【20090814】千里導入明細資料_SDB追加_【20091225】千里導入明細資料_２２年度上期分_営業店DB 2" xfId="718" xr:uid="{00000000-0005-0000-0000-00008C020000}"/>
    <cellStyle name="_［提出版］千里導入明細資料（資源配付・仮想化）20090323_【20090814】千里導入明細資料_SDB追加_【20091225】千里導入明細資料_２２年度上期分_営業店DB_【調整中】千里導入明細資料_２２年度上期分_fj_20100127" xfId="719" xr:uid="{00000000-0005-0000-0000-00008D020000}"/>
    <cellStyle name="_［提出版］千里導入明細資料（資源配付・仮想化）20090323_【20090814】千里導入明細資料_SDB追加_【20091225】千里導入明細資料_２２年度上期分_営業店DB_【調整中】千里導入明細資料_２２年度上期分_fj_20100127 2" xfId="720" xr:uid="{00000000-0005-0000-0000-00008E020000}"/>
    <cellStyle name="_［提出版］千里導入明細資料（資源配付・仮想化）20090323_【20090814】千里導入明細資料_SDB追加_【20091225】千里導入明細資料_２２年度上期分_営業店DB_【調整中】千里導入明細資料_２２年度上期分_fj_20100127_Ⅹ_課題と対応策_20121211" xfId="721" xr:uid="{00000000-0005-0000-0000-00008F020000}"/>
    <cellStyle name="_［提出版］千里導入明細資料（資源配付・仮想化）20090323_【20090814】千里導入明細資料_SDB追加_【20091225】千里導入明細資料_２２年度上期分_営業店DB_【調整中】千里導入明細資料_２２年度上期分_fj_20100127_Ⅹ_課題と対応策_20121211 2" xfId="722" xr:uid="{00000000-0005-0000-0000-000090020000}"/>
    <cellStyle name="_［提出版］千里導入明細資料（資源配付・仮想化）20090323_【20090814】千里導入明細資料_SDB追加_【20091225】千里導入明細資料_２２年度上期分_営業店DB_Ⅹ_課題と対応策_20121211" xfId="723" xr:uid="{00000000-0005-0000-0000-000091020000}"/>
    <cellStyle name="_［提出版］千里導入明細資料（資源配付・仮想化）20090323_【20090814】千里導入明細資料_SDB追加_【20091225】千里導入明細資料_２２年度上期分_営業店DB_Ⅹ_課題と対応策_20121211 2" xfId="724" xr:uid="{00000000-0005-0000-0000-000092020000}"/>
    <cellStyle name="_［提出版］千里導入明細資料（資源配付・仮想化）20090323_【20090814】千里導入明細資料_SDB追加_【20091225】千里導入明細資料_２２年度上期分_連携DB" xfId="725" xr:uid="{00000000-0005-0000-0000-000093020000}"/>
    <cellStyle name="_［提出版］千里導入明細資料（資源配付・仮想化）20090323_【20090814】千里導入明細資料_SDB追加_【20091225】千里導入明細資料_２２年度上期分_連携DB 2" xfId="726" xr:uid="{00000000-0005-0000-0000-000094020000}"/>
    <cellStyle name="_［提出版］千里導入明細資料（資源配付・仮想化）20090323_【20090814】千里導入明細資料_SDB追加_【20091225】千里導入明細資料_２２年度上期分_連携DB_【調整中】千里導入明細資料_２２年度上期分_fj_20100127" xfId="727" xr:uid="{00000000-0005-0000-0000-000095020000}"/>
    <cellStyle name="_［提出版］千里導入明細資料（資源配付・仮想化）20090323_【20090814】千里導入明細資料_SDB追加_【20091225】千里導入明細資料_２２年度上期分_連携DB_【調整中】千里導入明細資料_２２年度上期分_fj_20100127 2" xfId="728" xr:uid="{00000000-0005-0000-0000-000096020000}"/>
    <cellStyle name="_［提出版］千里導入明細資料（資源配付・仮想化）20090323_【20090814】千里導入明細資料_SDB追加_【20091225】千里導入明細資料_２２年度上期分_連携DB_【調整中】千里導入明細資料_２２年度上期分_fj_20100127_Ⅹ_課題と対応策_20121211" xfId="729" xr:uid="{00000000-0005-0000-0000-000097020000}"/>
    <cellStyle name="_［提出版］千里導入明細資料（資源配付・仮想化）20090323_【20090814】千里導入明細資料_SDB追加_【20091225】千里導入明細資料_２２年度上期分_連携DB_【調整中】千里導入明細資料_２２年度上期分_fj_20100127_Ⅹ_課題と対応策_20121211 2" xfId="730" xr:uid="{00000000-0005-0000-0000-000098020000}"/>
    <cellStyle name="_［提出版］千里導入明細資料（資源配付・仮想化）20090323_【20090814】千里導入明細資料_SDB追加_【20091225】千里導入明細資料_２２年度上期分_連携DB_Ⅹ_課題と対応策_20121211" xfId="731" xr:uid="{00000000-0005-0000-0000-000099020000}"/>
    <cellStyle name="_［提出版］千里導入明細資料（資源配付・仮想化）20090323_【20090814】千里導入明細資料_SDB追加_【20091225】千里導入明細資料_２２年度上期分_連携DB_Ⅹ_課題と対応策_20121211 2" xfId="732" xr:uid="{00000000-0005-0000-0000-00009A020000}"/>
    <cellStyle name="_［提出版］千里導入明細資料（資源配付・仮想化）20090323_【20090814】千里導入明細資料_SDB追加_【作成中】千里センター機器配置図（2010年対応分）_20091221" xfId="733" xr:uid="{00000000-0005-0000-0000-00009B020000}"/>
    <cellStyle name="_［提出版］千里導入明細資料（資源配付・仮想化）20090323_【20090814】千里導入明細資料_SDB追加_【作成中】千里センター機器配置図（2010年対応分）_20091221 2" xfId="734" xr:uid="{00000000-0005-0000-0000-00009C020000}"/>
    <cellStyle name="_［提出版］千里導入明細資料（資源配付・仮想化）20090323_【20090814】千里導入明細資料_SDB追加_【作成中】千里センター機器配置図（2010年対応分）_20091221_【調整中】千里導入明細資料_２２年度上期分_fj_20100127" xfId="735" xr:uid="{00000000-0005-0000-0000-00009D020000}"/>
    <cellStyle name="_［提出版］千里導入明細資料（資源配付・仮想化）20090323_【20090814】千里導入明細資料_SDB追加_【作成中】千里センター機器配置図（2010年対応分）_20091221_【調整中】千里導入明細資料_２２年度上期分_fj_20100127 2" xfId="736" xr:uid="{00000000-0005-0000-0000-00009E020000}"/>
    <cellStyle name="_［提出版］千里導入明細資料（資源配付・仮想化）20090323_【20090814】千里導入明細資料_SDB追加_【作成中】千里センター機器配置図（2010年対応分）_20091221_【調整中】千里導入明細資料_２２年度上期分_fj_20100127_Ⅹ_課題と対応策_20121211" xfId="737" xr:uid="{00000000-0005-0000-0000-00009F020000}"/>
    <cellStyle name="_［提出版］千里導入明細資料（資源配付・仮想化）20090323_【20090814】千里導入明細資料_SDB追加_【作成中】千里センター機器配置図（2010年対応分）_20091221_【調整中】千里導入明細資料_２２年度上期分_fj_20100127_Ⅹ_課題と対応策_20121211 2" xfId="738" xr:uid="{00000000-0005-0000-0000-0000A0020000}"/>
    <cellStyle name="_［提出版］千里導入明細資料（資源配付・仮想化）20090323_【20090814】千里導入明細資料_SDB追加_【作成中】千里センター機器配置図（2010年対応分）_20091221_Ⅹ_課題と対応策_20121211" xfId="739" xr:uid="{00000000-0005-0000-0000-0000A1020000}"/>
    <cellStyle name="_［提出版］千里導入明細資料（資源配付・仮想化）20090323_【20090814】千里導入明細資料_SDB追加_【作成中】千里センター機器配置図（2010年対応分）_20091221_Ⅹ_課題と対応策_20121211 2" xfId="740" xr:uid="{00000000-0005-0000-0000-0000A2020000}"/>
    <cellStyle name="_［提出版］千里導入明細資料（資源配付・仮想化）20090323_【20090814】千里導入明細資料_SDB追加_Ⅹ_課題と対応策_20121211" xfId="741" xr:uid="{00000000-0005-0000-0000-0000A3020000}"/>
    <cellStyle name="_［提出版］千里導入明細資料（資源配付・仮想化）20090323_【20090814】千里導入明細資料_SDB追加_Ⅹ_課題と対応策_20121211 2" xfId="742" xr:uid="{00000000-0005-0000-0000-0000A4020000}"/>
    <cellStyle name="_［提出版］千里導入明細資料（資源配付・仮想化）20090323_【20090821】千里ラック搭載図（NW機器）" xfId="743" xr:uid="{00000000-0005-0000-0000-0000A5020000}"/>
    <cellStyle name="_［提出版］千里導入明細資料（資源配付・仮想化）20090323_【20090821】千里ラック搭載図（NW機器） 2" xfId="744" xr:uid="{00000000-0005-0000-0000-0000A6020000}"/>
    <cellStyle name="_［提出版］千里導入明細資料（資源配付・仮想化）20090323_【20090821】千里ラック搭載図（NW機器）_Ⅹ_課題と対応策_20121211" xfId="745" xr:uid="{00000000-0005-0000-0000-0000A7020000}"/>
    <cellStyle name="_［提出版］千里導入明細資料（資源配付・仮想化）20090323_【20090821】千里ラック搭載図（NW機器）_Ⅹ_課題と対応策_20121211 2" xfId="746" xr:uid="{00000000-0005-0000-0000-0000A8020000}"/>
    <cellStyle name="_［提出版］千里導入明細資料（資源配付・仮想化）20090323_【20091218】千里導入明細資料_２１年度分（ネットワーク敷設）" xfId="747" xr:uid="{00000000-0005-0000-0000-0000A9020000}"/>
    <cellStyle name="_［提出版］千里導入明細資料（資源配付・仮想化）20090323_【20091218】千里導入明細資料_２１年度分（ネットワーク敷設） 2" xfId="748" xr:uid="{00000000-0005-0000-0000-0000AA020000}"/>
    <cellStyle name="_［提出版］千里導入明細資料（資源配付・仮想化）20090323_【20091218】千里導入明細資料_２１年度分（ネットワーク敷設）_Ⅹ_課題と対応策_20121211" xfId="749" xr:uid="{00000000-0005-0000-0000-0000AB020000}"/>
    <cellStyle name="_［提出版］千里導入明細資料（資源配付・仮想化）20090323_【20091218】千里導入明細資料_２１年度分（ネットワーク敷設）_Ⅹ_課題と対応策_20121211 2" xfId="750" xr:uid="{00000000-0005-0000-0000-0000AC020000}"/>
    <cellStyle name="_［提出版］千里導入明細資料（資源配付・仮想化）20090323_【20091224】千里導入明細資料_２２年度上期分_営業店DB" xfId="751" xr:uid="{00000000-0005-0000-0000-0000AD020000}"/>
    <cellStyle name="_［提出版］千里導入明細資料（資源配付・仮想化）20090323_【20091224】千里導入明細資料_２２年度上期分_営業店DB 2" xfId="752" xr:uid="{00000000-0005-0000-0000-0000AE020000}"/>
    <cellStyle name="_［提出版］千里導入明細資料（資源配付・仮想化）20090323_【20091224】千里導入明細資料_２２年度上期分_営業店DB_【20091225】千里導入明細資料_２２年度上期分（営業店ＡＰ－ＤＢ）" xfId="753" xr:uid="{00000000-0005-0000-0000-0000AF020000}"/>
    <cellStyle name="_［提出版］千里導入明細資料（資源配付・仮想化）20090323_【20091224】千里導入明細資料_２２年度上期分_営業店DB_【20091225】千里導入明細資料_２２年度上期分（営業店ＡＰ－ＤＢ） 2" xfId="754" xr:uid="{00000000-0005-0000-0000-0000B0020000}"/>
    <cellStyle name="_［提出版］千里導入明細資料（資源配付・仮想化）20090323_【20091224】千里導入明細資料_２２年度上期分_営業店DB_【20091225】千里導入明細資料_２２年度上期分（営業店ＡＰ－ＤＢ）_【調整中】千里導入明細資料_２２年度上期分_fj_20100127" xfId="755" xr:uid="{00000000-0005-0000-0000-0000B1020000}"/>
    <cellStyle name="_［提出版］千里導入明細資料（資源配付・仮想化）20090323_【20091224】千里導入明細資料_２２年度上期分_営業店DB_【20091225】千里導入明細資料_２２年度上期分（営業店ＡＰ－ＤＢ）_【調整中】千里導入明細資料_２２年度上期分_fj_20100127 2" xfId="756" xr:uid="{00000000-0005-0000-0000-0000B2020000}"/>
    <cellStyle name="_［提出版］千里導入明細資料（資源配付・仮想化）20090323_【20091224】千里導入明細資料_２２年度上期分_営業店DB_【20091225】千里導入明細資料_２２年度上期分（営業店ＡＰ－ＤＢ）_【調整中】千里導入明細資料_２２年度上期分_fj_20100127_Ⅹ_課題と対応策_20121211" xfId="757" xr:uid="{00000000-0005-0000-0000-0000B3020000}"/>
    <cellStyle name="_［提出版］千里導入明細資料（資源配付・仮想化）20090323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758" xr:uid="{00000000-0005-0000-0000-0000B4020000}"/>
    <cellStyle name="_［提出版］千里導入明細資料（資源配付・仮想化）20090323_【20091224】千里導入明細資料_２２年度上期分_営業店DB_【20091225】千里導入明細資料_２２年度上期分（営業店ＡＰ－ＤＢ）_Ⅹ_課題と対応策_20121211" xfId="759" xr:uid="{00000000-0005-0000-0000-0000B5020000}"/>
    <cellStyle name="_［提出版］千里導入明細資料（資源配付・仮想化）20090323_【20091224】千里導入明細資料_２２年度上期分_営業店DB_【20091225】千里導入明細資料_２２年度上期分（営業店ＡＰ－ＤＢ）_Ⅹ_課題と対応策_20121211 2" xfId="760" xr:uid="{00000000-0005-0000-0000-0000B6020000}"/>
    <cellStyle name="_［提出版］千里導入明細資料（資源配付・仮想化）20090323_【20091224】千里導入明細資料_２２年度上期分_営業店DB_【20091225】千里導入明細資料_２２年度上期分_営業店DB" xfId="761" xr:uid="{00000000-0005-0000-0000-0000B7020000}"/>
    <cellStyle name="_［提出版］千里導入明細資料（資源配付・仮想化）20090323_【20091224】千里導入明細資料_２２年度上期分_営業店DB_【20091225】千里導入明細資料_２２年度上期分_営業店DB 2" xfId="762" xr:uid="{00000000-0005-0000-0000-0000B8020000}"/>
    <cellStyle name="_［提出版］千里導入明細資料（資源配付・仮想化）20090323_【20091224】千里導入明細資料_２２年度上期分_営業店DB_【20091225】千里導入明細資料_２２年度上期分_営業店DB_【調整中】千里導入明細資料_２２年度上期分_fj_20100127" xfId="763" xr:uid="{00000000-0005-0000-0000-0000B9020000}"/>
    <cellStyle name="_［提出版］千里導入明細資料（資源配付・仮想化）20090323_【20091224】千里導入明細資料_２２年度上期分_営業店DB_【20091225】千里導入明細資料_２２年度上期分_営業店DB_【調整中】千里導入明細資料_２２年度上期分_fj_20100127 2" xfId="764" xr:uid="{00000000-0005-0000-0000-0000BA020000}"/>
    <cellStyle name="_［提出版］千里導入明細資料（資源配付・仮想化）20090323_【20091224】千里導入明細資料_２２年度上期分_営業店DB_【20091225】千里導入明細資料_２２年度上期分_営業店DB_【調整中】千里導入明細資料_２２年度上期分_fj_20100127_Ⅹ_課題と対応策_20121211" xfId="765" xr:uid="{00000000-0005-0000-0000-0000BB020000}"/>
    <cellStyle name="_［提出版］千里導入明細資料（資源配付・仮想化）20090323_【20091224】千里導入明細資料_２２年度上期分_営業店DB_【20091225】千里導入明細資料_２２年度上期分_営業店DB_【調整中】千里導入明細資料_２２年度上期分_fj_20100127_Ⅹ_課題と対応策_20121211 2" xfId="766" xr:uid="{00000000-0005-0000-0000-0000BC020000}"/>
    <cellStyle name="_［提出版］千里導入明細資料（資源配付・仮想化）20090323_【20091224】千里導入明細資料_２２年度上期分_営業店DB_【20091225】千里導入明細資料_２２年度上期分_営業店DB_Ⅹ_課題と対応策_20121211" xfId="767" xr:uid="{00000000-0005-0000-0000-0000BD020000}"/>
    <cellStyle name="_［提出版］千里導入明細資料（資源配付・仮想化）20090323_【20091224】千里導入明細資料_２２年度上期分_営業店DB_【20091225】千里導入明細資料_２２年度上期分_営業店DB_Ⅹ_課題と対応策_20121211 2" xfId="768" xr:uid="{00000000-0005-0000-0000-0000BE020000}"/>
    <cellStyle name="_［提出版］千里導入明細資料（資源配付・仮想化）20090323_【20091224】千里導入明細資料_２２年度上期分_営業店DB_Ⅹ_課題と対応策_20121211" xfId="769" xr:uid="{00000000-0005-0000-0000-0000BF020000}"/>
    <cellStyle name="_［提出版］千里導入明細資料（資源配付・仮想化）20090323_【20091224】千里導入明細資料_２２年度上期分_営業店DB_Ⅹ_課題と対応策_20121211 2" xfId="770" xr:uid="{00000000-0005-0000-0000-0000C0020000}"/>
    <cellStyle name="_［提出版］千里導入明細資料（資源配付・仮想化）20090323_【20091225】千里導入明細資料_２２年度上期分" xfId="771" xr:uid="{00000000-0005-0000-0000-0000C1020000}"/>
    <cellStyle name="_［提出版］千里導入明細資料（資源配付・仮想化）20090323_【20091225】千里導入明細資料_２２年度上期分 2" xfId="772" xr:uid="{00000000-0005-0000-0000-0000C2020000}"/>
    <cellStyle name="_［提出版］千里導入明細資料（資源配付・仮想化）20090323_【20091225】千里導入明細資料_２２年度上期分_Ⅹ_課題と対応策_20121211" xfId="773" xr:uid="{00000000-0005-0000-0000-0000C3020000}"/>
    <cellStyle name="_［提出版］千里導入明細資料（資源配付・仮想化）20090323_【20091225】千里導入明細資料_２２年度上期分_Ⅹ_課題と対応策_20121211 2" xfId="774" xr:uid="{00000000-0005-0000-0000-0000C4020000}"/>
    <cellStyle name="_［提出版］千里導入明細資料（資源配付・仮想化）20090323_【20091225】千里導入明細資料_２２年度上期分_営業店DB" xfId="775" xr:uid="{00000000-0005-0000-0000-0000C5020000}"/>
    <cellStyle name="_［提出版］千里導入明細資料（資源配付・仮想化）20090323_【20091225】千里導入明細資料_２２年度上期分_営業店DB 2" xfId="776" xr:uid="{00000000-0005-0000-0000-0000C6020000}"/>
    <cellStyle name="_［提出版］千里導入明細資料（資源配付・仮想化）20090323_【20091225】千里導入明細資料_２２年度上期分_営業店DB_Ⅹ_課題と対応策_20121211" xfId="777" xr:uid="{00000000-0005-0000-0000-0000C7020000}"/>
    <cellStyle name="_［提出版］千里導入明細資料（資源配付・仮想化）20090323_【20091225】千里導入明細資料_２２年度上期分_営業店DB_Ⅹ_課題と対応策_20121211 2" xfId="778" xr:uid="{00000000-0005-0000-0000-0000C8020000}"/>
    <cellStyle name="_［提出版］千里導入明細資料（資源配付・仮想化）20090323_【20091225】千里導入明細資料_２２年度上期分_連携DB" xfId="779" xr:uid="{00000000-0005-0000-0000-0000C9020000}"/>
    <cellStyle name="_［提出版］千里導入明細資料（資源配付・仮想化）20090323_【20091225】千里導入明細資料_２２年度上期分_連携DB 2" xfId="780" xr:uid="{00000000-0005-0000-0000-0000CA020000}"/>
    <cellStyle name="_［提出版］千里導入明細資料（資源配付・仮想化）20090323_【20091225】千里導入明細資料_２２年度上期分_連携DB_Ⅹ_課題と対応策_20121211" xfId="781" xr:uid="{00000000-0005-0000-0000-0000CB020000}"/>
    <cellStyle name="_［提出版］千里導入明細資料（資源配付・仮想化）20090323_【20091225】千里導入明細資料_２２年度上期分_連携DB_Ⅹ_課題と対応策_20121211 2" xfId="782" xr:uid="{00000000-0005-0000-0000-0000CC020000}"/>
    <cellStyle name="_［提出版］千里導入明細資料（資源配付・仮想化）20090323_【200912xx】千里導入明細資料_２２年度上期分" xfId="783" xr:uid="{00000000-0005-0000-0000-0000CD020000}"/>
    <cellStyle name="_［提出版］千里導入明細資料（資源配付・仮想化）20090323_【200912xx】千里導入明細資料_２２年度上期分 2" xfId="784" xr:uid="{00000000-0005-0000-0000-0000CE020000}"/>
    <cellStyle name="_［提出版］千里導入明細資料（資源配付・仮想化）20090323_【200912xx】千里導入明細資料_２２年度上期分（為替分）" xfId="785" xr:uid="{00000000-0005-0000-0000-0000CF020000}"/>
    <cellStyle name="_［提出版］千里導入明細資料（資源配付・仮想化）20090323_【200912xx】千里導入明細資料_２２年度上期分（為替分） 2" xfId="786" xr:uid="{00000000-0005-0000-0000-0000D0020000}"/>
    <cellStyle name="_［提出版］千里導入明細資料（資源配付・仮想化）20090323_【200912xx】千里導入明細資料_２２年度上期分（為替分）_Ⅹ_課題と対応策_20121211" xfId="787" xr:uid="{00000000-0005-0000-0000-0000D1020000}"/>
    <cellStyle name="_［提出版］千里導入明細資料（資源配付・仮想化）20090323_【200912xx】千里導入明細資料_２２年度上期分（為替分）_Ⅹ_課題と対応策_20121211 2" xfId="788" xr:uid="{00000000-0005-0000-0000-0000D2020000}"/>
    <cellStyle name="_［提出版］千里導入明細資料（資源配付・仮想化）20090323_【200912xx】千里導入明細資料_２２年度上期分_【20091225】千里導入明細資料_２２年度上期分（営業店ＡＰ－ＤＢ）" xfId="789" xr:uid="{00000000-0005-0000-0000-0000D3020000}"/>
    <cellStyle name="_［提出版］千里導入明細資料（資源配付・仮想化）20090323_【200912xx】千里導入明細資料_２２年度上期分_【20091225】千里導入明細資料_２２年度上期分（営業店ＡＰ－ＤＢ） 2" xfId="790" xr:uid="{00000000-0005-0000-0000-0000D4020000}"/>
    <cellStyle name="_［提出版］千里導入明細資料（資源配付・仮想化）20090323_【200912xx】千里導入明細資料_２２年度上期分_【20091225】千里導入明細資料_２２年度上期分（営業店ＡＰ－ＤＢ）_【調整中】千里導入明細資料_２２年度上期分_fj_20100127" xfId="791" xr:uid="{00000000-0005-0000-0000-0000D5020000}"/>
    <cellStyle name="_［提出版］千里導入明細資料（資源配付・仮想化）20090323_【200912xx】千里導入明細資料_２２年度上期分_【20091225】千里導入明細資料_２２年度上期分（営業店ＡＰ－ＤＢ）_【調整中】千里導入明細資料_２２年度上期分_fj_20100127 2" xfId="792" xr:uid="{00000000-0005-0000-0000-0000D6020000}"/>
    <cellStyle name="_［提出版］千里導入明細資料（資源配付・仮想化）20090323_【200912xx】千里導入明細資料_２２年度上期分_【20091225】千里導入明細資料_２２年度上期分（営業店ＡＰ－ＤＢ）_【調整中】千里導入明細資料_２２年度上期分_fj_20100127_Ⅹ_課題と対応策_20121211" xfId="793" xr:uid="{00000000-0005-0000-0000-0000D7020000}"/>
    <cellStyle name="_［提出版］千里導入明細資料（資源配付・仮想化）20090323_【200912xx】千里導入明細資料_２２年度上期分_【20091225】千里導入明細資料_２２年度上期分（営業店ＡＰ－ＤＢ）_【調整中】千里導入明細資料_２２年度上期分_fj_20100127_Ⅹ_課題と対応策_20121211 2" xfId="794" xr:uid="{00000000-0005-0000-0000-0000D8020000}"/>
    <cellStyle name="_［提出版］千里導入明細資料（資源配付・仮想化）20090323_【200912xx】千里導入明細資料_２２年度上期分_【20091225】千里導入明細資料_２２年度上期分（営業店ＡＰ－ＤＢ）_Ⅹ_課題と対応策_20121211" xfId="795" xr:uid="{00000000-0005-0000-0000-0000D9020000}"/>
    <cellStyle name="_［提出版］千里導入明細資料（資源配付・仮想化）20090323_【200912xx】千里導入明細資料_２２年度上期分_【20091225】千里導入明細資料_２２年度上期分（営業店ＡＰ－ＤＢ）_Ⅹ_課題と対応策_20121211 2" xfId="796" xr:uid="{00000000-0005-0000-0000-0000DA020000}"/>
    <cellStyle name="_［提出版］千里導入明細資料（資源配付・仮想化）20090323_【200912xx】千里導入明細資料_２２年度上期分_【20091225】千里導入明細資料_２２年度上期分_営業店DB" xfId="797" xr:uid="{00000000-0005-0000-0000-0000DB020000}"/>
    <cellStyle name="_［提出版］千里導入明細資料（資源配付・仮想化）20090323_【200912xx】千里導入明細資料_２２年度上期分_【20091225】千里導入明細資料_２２年度上期分_営業店DB 2" xfId="798" xr:uid="{00000000-0005-0000-0000-0000DC020000}"/>
    <cellStyle name="_［提出版］千里導入明細資料（資源配付・仮想化）20090323_【200912xx】千里導入明細資料_２２年度上期分_【20091225】千里導入明細資料_２２年度上期分_営業店DB_【調整中】千里導入明細資料_２２年度上期分_fj_20100127" xfId="799" xr:uid="{00000000-0005-0000-0000-0000DD020000}"/>
    <cellStyle name="_［提出版］千里導入明細資料（資源配付・仮想化）20090323_【200912xx】千里導入明細資料_２２年度上期分_【20091225】千里導入明細資料_２２年度上期分_営業店DB_【調整中】千里導入明細資料_２２年度上期分_fj_20100127 2" xfId="800" xr:uid="{00000000-0005-0000-0000-0000DE020000}"/>
    <cellStyle name="_［提出版］千里導入明細資料（資源配付・仮想化）20090323_【200912xx】千里導入明細資料_２２年度上期分_【20091225】千里導入明細資料_２２年度上期分_営業店DB_【調整中】千里導入明細資料_２２年度上期分_fj_20100127_Ⅹ_課題と対応策_20121211" xfId="801" xr:uid="{00000000-0005-0000-0000-0000DF020000}"/>
    <cellStyle name="_［提出版］千里導入明細資料（資源配付・仮想化）20090323_【200912xx】千里導入明細資料_２２年度上期分_【20091225】千里導入明細資料_２２年度上期分_営業店DB_【調整中】千里導入明細資料_２２年度上期分_fj_20100127_Ⅹ_課題と対応策_20121211 2" xfId="802" xr:uid="{00000000-0005-0000-0000-0000E0020000}"/>
    <cellStyle name="_［提出版］千里導入明細資料（資源配付・仮想化）20090323_【200912xx】千里導入明細資料_２２年度上期分_【20091225】千里導入明細資料_２２年度上期分_営業店DB_Ⅹ_課題と対応策_20121211" xfId="803" xr:uid="{00000000-0005-0000-0000-0000E1020000}"/>
    <cellStyle name="_［提出版］千里導入明細資料（資源配付・仮想化）20090323_【200912xx】千里導入明細資料_２２年度上期分_【20091225】千里導入明細資料_２２年度上期分_営業店DB_Ⅹ_課題と対応策_20121211 2" xfId="804" xr:uid="{00000000-0005-0000-0000-0000E2020000}"/>
    <cellStyle name="_［提出版］千里導入明細資料（資源配付・仮想化）20090323_【200912xx】千里導入明細資料_２２年度上期分_【20091225】千里導入明細資料_２２年度上期分_連携DB" xfId="805" xr:uid="{00000000-0005-0000-0000-0000E3020000}"/>
    <cellStyle name="_［提出版］千里導入明細資料（資源配付・仮想化）20090323_【200912xx】千里導入明細資料_２２年度上期分_【20091225】千里導入明細資料_２２年度上期分_連携DB 2" xfId="806" xr:uid="{00000000-0005-0000-0000-0000E4020000}"/>
    <cellStyle name="_［提出版］千里導入明細資料（資源配付・仮想化）20090323_【200912xx】千里導入明細資料_２２年度上期分_【20091225】千里導入明細資料_２２年度上期分_連携DB_【調整中】千里導入明細資料_２２年度上期分_fj_20100127" xfId="807" xr:uid="{00000000-0005-0000-0000-0000E5020000}"/>
    <cellStyle name="_［提出版］千里導入明細資料（資源配付・仮想化）20090323_【200912xx】千里導入明細資料_２２年度上期分_【20091225】千里導入明細資料_２２年度上期分_連携DB_【調整中】千里導入明細資料_２２年度上期分_fj_20100127 2" xfId="808" xr:uid="{00000000-0005-0000-0000-0000E6020000}"/>
    <cellStyle name="_［提出版］千里導入明細資料（資源配付・仮想化）20090323_【200912xx】千里導入明細資料_２２年度上期分_【20091225】千里導入明細資料_２２年度上期分_連携DB_【調整中】千里導入明細資料_２２年度上期分_fj_20100127_Ⅹ_課題と対応策_20121211" xfId="809" xr:uid="{00000000-0005-0000-0000-0000E7020000}"/>
    <cellStyle name="_［提出版］千里導入明細資料（資源配付・仮想化）20090323_【200912xx】千里導入明細資料_２２年度上期分_【20091225】千里導入明細資料_２２年度上期分_連携DB_【調整中】千里導入明細資料_２２年度上期分_fj_20100127_Ⅹ_課題と対応策_20121211 2" xfId="810" xr:uid="{00000000-0005-0000-0000-0000E8020000}"/>
    <cellStyle name="_［提出版］千里導入明細資料（資源配付・仮想化）20090323_【200912xx】千里導入明細資料_２２年度上期分_【20091225】千里導入明細資料_２２年度上期分_連携DB_Ⅹ_課題と対応策_20121211" xfId="811" xr:uid="{00000000-0005-0000-0000-0000E9020000}"/>
    <cellStyle name="_［提出版］千里導入明細資料（資源配付・仮想化）20090323_【200912xx】千里導入明細資料_２２年度上期分_【20091225】千里導入明細資料_２２年度上期分_連携DB_Ⅹ_課題と対応策_20121211 2" xfId="812" xr:uid="{00000000-0005-0000-0000-0000EA020000}"/>
    <cellStyle name="_［提出版］千里導入明細資料（資源配付・仮想化）20090323_【200912xx】千里導入明細資料_２２年度上期分_Ⅹ_課題と対応策_20121211" xfId="813" xr:uid="{00000000-0005-0000-0000-0000EB020000}"/>
    <cellStyle name="_［提出版］千里導入明細資料（資源配付・仮想化）20090323_【200912xx】千里導入明細資料_２２年度上期分_Ⅹ_課題と対応策_20121211 2" xfId="814" xr:uid="{00000000-0005-0000-0000-0000EC020000}"/>
    <cellStyle name="_［提出版］千里導入明細資料（資源配付・仮想化）20090323_【調整中】千里導入明細資料_２２年度上期分_fj_20100127" xfId="815" xr:uid="{00000000-0005-0000-0000-0000ED020000}"/>
    <cellStyle name="_［提出版］千里導入明細資料（資源配付・仮想化）20090323_【調整中】千里導入明細資料_２２年度上期分_fj_20100127 2" xfId="816" xr:uid="{00000000-0005-0000-0000-0000EE020000}"/>
    <cellStyle name="_［提出版］千里導入明細資料（資源配付・仮想化）20090323_【調整中】千里導入明細資料_２２年度上期分_fj_20100127_Ⅹ_課題と対応策_20121211" xfId="817" xr:uid="{00000000-0005-0000-0000-0000EF020000}"/>
    <cellStyle name="_［提出版］千里導入明細資料（資源配付・仮想化）20090323_【調整中】千里導入明細資料_２２年度上期分_fj_20100127_Ⅹ_課題と対応策_20121211 2" xfId="818" xr:uid="{00000000-0005-0000-0000-0000F0020000}"/>
    <cellStyle name="_［提出版］千里導入明細資料（資源配付・仮想化）20090323_①【20091225】千里導入明細資料_２２年度上期1分)" xfId="819" xr:uid="{00000000-0005-0000-0000-0000F1020000}"/>
    <cellStyle name="_［提出版］千里導入明細資料（資源配付・仮想化）20090323_①【20091225】千里導入明細資料_２２年度上期1分) 2" xfId="820" xr:uid="{00000000-0005-0000-0000-0000F2020000}"/>
    <cellStyle name="_［提出版］千里導入明細資料（資源配付・仮想化）20090323_①【20091225】千里導入明細資料_２２年度上期1分)_Ⅹ_課題と対応策_20121211" xfId="821" xr:uid="{00000000-0005-0000-0000-0000F3020000}"/>
    <cellStyle name="_［提出版］千里導入明細資料（資源配付・仮想化）20090323_①【20091225】千里導入明細資料_２２年度上期1分)_Ⅹ_課題と対応策_20121211 2" xfId="822" xr:uid="{00000000-0005-0000-0000-0000F4020000}"/>
    <cellStyle name="_［提出版］千里導入明細資料（資源配付・仮想化）20090323_Ⅹ_課題と対応策_20121211" xfId="823" xr:uid="{00000000-0005-0000-0000-0000F5020000}"/>
    <cellStyle name="_［提出版］千里導入明細資料（資源配付・仮想化）20090323_Ⅹ_課題と対応策_20121211 2" xfId="824" xr:uid="{00000000-0005-0000-0000-0000F6020000}"/>
    <cellStyle name="_［提出版］千里導入明細資料（資源配付・仮想化）20090323_ラック構成図（千里_営業店・新事務）_20090805" xfId="825" xr:uid="{00000000-0005-0000-0000-0000F7020000}"/>
    <cellStyle name="_［提出版］千里導入明細資料（資源配付・仮想化）20090323_ラック構成図（千里_営業店・新事務）_20090805 2" xfId="826" xr:uid="{00000000-0005-0000-0000-0000F8020000}"/>
    <cellStyle name="_［提出版］千里導入明細資料（資源配付・仮想化）20090323_ラック構成図（千里_営業店・新事務）_20090805_【20091207】千里導入明細資料_２１年度分（ネットワーク敷設）" xfId="827" xr:uid="{00000000-0005-0000-0000-0000F9020000}"/>
    <cellStyle name="_［提出版］千里導入明細資料（資源配付・仮想化）20090323_ラック構成図（千里_営業店・新事務）_20090805_【20091207】千里導入明細資料_２１年度分（ネットワーク敷設） 2" xfId="828" xr:uid="{00000000-0005-0000-0000-0000FA020000}"/>
    <cellStyle name="_［提出版］千里導入明細資料（資源配付・仮想化）20090323_ラック構成図（千里_営業店・新事務）_20090805_【20091207】千里導入明細資料_２１年度分（ネットワーク敷設）_【20091218】千里導入明細資料_２１年度分（ネットワーク敷設）" xfId="829" xr:uid="{00000000-0005-0000-0000-0000FB020000}"/>
    <cellStyle name="_［提出版］千里導入明細資料（資源配付・仮想化）20090323_ラック構成図（千里_営業店・新事務）_20090805_【20091207】千里導入明細資料_２１年度分（ネットワーク敷設）_【20091218】千里導入明細資料_２１年度分（ネットワーク敷設） 2" xfId="830" xr:uid="{00000000-0005-0000-0000-0000FC020000}"/>
    <cellStyle name="_［提出版］千里導入明細資料（資源配付・仮想化）20090323_ラック構成図（千里_営業店・新事務）_20090805_【20091207】千里導入明細資料_２１年度分（ネットワーク敷設）_【20091218】千里導入明細資料_２１年度分（ネットワーク敷設）_Ⅹ_課題と対応策_20121211" xfId="831" xr:uid="{00000000-0005-0000-0000-0000FD020000}"/>
    <cellStyle name="_［提出版］千里導入明細資料（資源配付・仮想化）20090323_ラック構成図（千里_営業店・新事務）_20090805_【20091207】千里導入明細資料_２１年度分（ネットワーク敷設）_【20091218】千里導入明細資料_２１年度分（ネットワーク敷設）_Ⅹ_課題と対応策_20121211 2" xfId="832" xr:uid="{00000000-0005-0000-0000-0000FE020000}"/>
    <cellStyle name="_［提出版］千里導入明細資料（資源配付・仮想化）20090323_ラック構成図（千里_営業店・新事務）_20090805_【20091207】千里導入明細資料_２１年度分（ネットワーク敷設）_Ⅹ_課題と対応策_20121211" xfId="833" xr:uid="{00000000-0005-0000-0000-0000FF020000}"/>
    <cellStyle name="_［提出版］千里導入明細資料（資源配付・仮想化）20090323_ラック構成図（千里_営業店・新事務）_20090805_【20091207】千里導入明細資料_２１年度分（ネットワーク敷設）_Ⅹ_課題と対応策_20121211 2" xfId="834" xr:uid="{00000000-0005-0000-0000-000000030000}"/>
    <cellStyle name="_［提出版］千里導入明細資料（資源配付・仮想化）20090323_ラック構成図（千里_営業店・新事務）_20090805_【20091207】千里導入明細資料_２１年度分（ネットワーク敷設）_千里導入明細資料_２２年度分（ネットワーク敷設）_fj" xfId="835" xr:uid="{00000000-0005-0000-0000-000001030000}"/>
    <cellStyle name="_［提出版］千里導入明細資料（資源配付・仮想化）20090323_ラック構成図（千里_営業店・新事務）_20090805_【20091207】千里導入明細資料_２１年度分（ネットワーク敷設）_千里導入明細資料_２２年度分（ネットワーク敷設）_fj 2" xfId="836" xr:uid="{00000000-0005-0000-0000-000002030000}"/>
    <cellStyle name="_［提出版］千里導入明細資料（資源配付・仮想化）20090323_ラック構成図（千里_営業店・新事務）_20090805_【20091207】千里導入明細資料_２１年度分（ネットワーク敷設）_千里導入明細資料_２２年度分（ネットワーク敷設）_fj_Ⅹ_課題と対応策_20121211" xfId="837" xr:uid="{00000000-0005-0000-0000-000003030000}"/>
    <cellStyle name="_［提出版］千里導入明細資料（資源配付・仮想化）20090323_ラック構成図（千里_営業店・新事務）_20090805_【20091207】千里導入明細資料_２１年度分（ネットワーク敷設）_千里導入明細資料_２２年度分（ネットワーク敷設）_fj_Ⅹ_課題と対応策_20121211 2" xfId="838" xr:uid="{00000000-0005-0000-0000-000004030000}"/>
    <cellStyle name="_［提出版］千里導入明細資料（資源配付・仮想化）20090323_ラック構成図（千里_営業店・新事務）_20090805_【20091225】千里導入明細資料_２２年度上期分（営業店ＡＰ－ＤＢ）" xfId="839" xr:uid="{00000000-0005-0000-0000-000005030000}"/>
    <cellStyle name="_［提出版］千里導入明細資料（資源配付・仮想化）20090323_ラック構成図（千里_営業店・新事務）_20090805_【20091225】千里導入明細資料_２２年度上期分（営業店ＡＰ－ＤＢ） 2" xfId="840" xr:uid="{00000000-0005-0000-0000-000006030000}"/>
    <cellStyle name="_［提出版］千里導入明細資料（資源配付・仮想化）20090323_ラック構成図（千里_営業店・新事務）_20090805_【20091225】千里導入明細資料_２２年度上期分（営業店ＡＰ－ＤＢ）_【調整中】千里導入明細資料_２２年度上期分_fj_20100127" xfId="841" xr:uid="{00000000-0005-0000-0000-000007030000}"/>
    <cellStyle name="_［提出版］千里導入明細資料（資源配付・仮想化）20090323_ラック構成図（千里_営業店・新事務）_20090805_【20091225】千里導入明細資料_２２年度上期分（営業店ＡＰ－ＤＢ）_【調整中】千里導入明細資料_２２年度上期分_fj_20100127 2" xfId="842" xr:uid="{00000000-0005-0000-0000-000008030000}"/>
    <cellStyle name="_［提出版］千里導入明細資料（資源配付・仮想化）20090323_ラック構成図（千里_営業店・新事務）_20090805_【20091225】千里導入明細資料_２２年度上期分（営業店ＡＰ－ＤＢ）_【調整中】千里導入明細資料_２２年度上期分_fj_20100127_Ⅹ_課題と対応策_20121211" xfId="843" xr:uid="{00000000-0005-0000-0000-000009030000}"/>
    <cellStyle name="_［提出版］千里導入明細資料（資源配付・仮想化）20090323_ラック構成図（千里_営業店・新事務）_20090805_【20091225】千里導入明細資料_２２年度上期分（営業店ＡＰ－ＤＢ）_【調整中】千里導入明細資料_２２年度上期分_fj_20100127_Ⅹ_課題と対応策_20121211 2" xfId="844" xr:uid="{00000000-0005-0000-0000-00000A030000}"/>
    <cellStyle name="_［提出版］千里導入明細資料（資源配付・仮想化）20090323_ラック構成図（千里_営業店・新事務）_20090805_【20091225】千里導入明細資料_２２年度上期分（営業店ＡＰ－ＤＢ）_Ⅹ_課題と対応策_20121211" xfId="845" xr:uid="{00000000-0005-0000-0000-00000B030000}"/>
    <cellStyle name="_［提出版］千里導入明細資料（資源配付・仮想化）20090323_ラック構成図（千里_営業店・新事務）_20090805_【20091225】千里導入明細資料_２２年度上期分（営業店ＡＰ－ＤＢ）_Ⅹ_課題と対応策_20121211 2" xfId="846" xr:uid="{00000000-0005-0000-0000-00000C030000}"/>
    <cellStyle name="_［提出版］千里導入明細資料（資源配付・仮想化）20090323_ラック構成図（千里_営業店・新事務）_20090805_【20091225】千里導入明細資料_２２年度上期分_営業店DB" xfId="847" xr:uid="{00000000-0005-0000-0000-00000D030000}"/>
    <cellStyle name="_［提出版］千里導入明細資料（資源配付・仮想化）20090323_ラック構成図（千里_営業店・新事務）_20090805_【20091225】千里導入明細資料_２２年度上期分_営業店DB 2" xfId="848" xr:uid="{00000000-0005-0000-0000-00000E030000}"/>
    <cellStyle name="_［提出版］千里導入明細資料（資源配付・仮想化）20090323_ラック構成図（千里_営業店・新事務）_20090805_【20091225】千里導入明細資料_２２年度上期分_営業店DB_【調整中】千里導入明細資料_２２年度上期分_fj_20100127" xfId="849" xr:uid="{00000000-0005-0000-0000-00000F030000}"/>
    <cellStyle name="_［提出版］千里導入明細資料（資源配付・仮想化）20090323_ラック構成図（千里_営業店・新事務）_20090805_【20091225】千里導入明細資料_２２年度上期分_営業店DB_【調整中】千里導入明細資料_２２年度上期分_fj_20100127 2" xfId="850" xr:uid="{00000000-0005-0000-0000-000010030000}"/>
    <cellStyle name="_［提出版］千里導入明細資料（資源配付・仮想化）20090323_ラック構成図（千里_営業店・新事務）_20090805_【20091225】千里導入明細資料_２２年度上期分_営業店DB_【調整中】千里導入明細資料_２２年度上期分_fj_20100127_Ⅹ_課題と対応策_20121211" xfId="851" xr:uid="{00000000-0005-0000-0000-000011030000}"/>
    <cellStyle name="_［提出版］千里導入明細資料（資源配付・仮想化）20090323_ラック構成図（千里_営業店・新事務）_20090805_【20091225】千里導入明細資料_２２年度上期分_営業店DB_【調整中】千里導入明細資料_２２年度上期分_fj_20100127_Ⅹ_課題と対応策_20121211 2" xfId="852" xr:uid="{00000000-0005-0000-0000-000012030000}"/>
    <cellStyle name="_［提出版］千里導入明細資料（資源配付・仮想化）20090323_ラック構成図（千里_営業店・新事務）_20090805_【20091225】千里導入明細資料_２２年度上期分_営業店DB_Ⅹ_課題と対応策_20121211" xfId="853" xr:uid="{00000000-0005-0000-0000-000013030000}"/>
    <cellStyle name="_［提出版］千里導入明細資料（資源配付・仮想化）20090323_ラック構成図（千里_営業店・新事務）_20090805_【20091225】千里導入明細資料_２２年度上期分_営業店DB_Ⅹ_課題と対応策_20121211 2" xfId="854" xr:uid="{00000000-0005-0000-0000-000014030000}"/>
    <cellStyle name="_［提出版］千里導入明細資料（資源配付・仮想化）20090323_ラック構成図（千里_営業店・新事務）_20090805_【20091225】千里導入明細資料_２２年度上期分_連携DB" xfId="855" xr:uid="{00000000-0005-0000-0000-000015030000}"/>
    <cellStyle name="_［提出版］千里導入明細資料（資源配付・仮想化）20090323_ラック構成図（千里_営業店・新事務）_20090805_【20091225】千里導入明細資料_２２年度上期分_連携DB 2" xfId="856" xr:uid="{00000000-0005-0000-0000-000016030000}"/>
    <cellStyle name="_［提出版］千里導入明細資料（資源配付・仮想化）20090323_ラック構成図（千里_営業店・新事務）_20090805_【20091225】千里導入明細資料_２２年度上期分_連携DB_【調整中】千里導入明細資料_２２年度上期分_fj_20100127" xfId="857" xr:uid="{00000000-0005-0000-0000-000017030000}"/>
    <cellStyle name="_［提出版］千里導入明細資料（資源配付・仮想化）20090323_ラック構成図（千里_営業店・新事務）_20090805_【20091225】千里導入明細資料_２２年度上期分_連携DB_【調整中】千里導入明細資料_２２年度上期分_fj_20100127 2" xfId="858" xr:uid="{00000000-0005-0000-0000-000018030000}"/>
    <cellStyle name="_［提出版］千里導入明細資料（資源配付・仮想化）20090323_ラック構成図（千里_営業店・新事務）_20090805_【20091225】千里導入明細資料_２２年度上期分_連携DB_【調整中】千里導入明細資料_２２年度上期分_fj_20100127_Ⅹ_課題と対応策_20121211" xfId="859" xr:uid="{00000000-0005-0000-0000-000019030000}"/>
    <cellStyle name="_［提出版］千里導入明細資料（資源配付・仮想化）20090323_ラック構成図（千里_営業店・新事務）_20090805_【20091225】千里導入明細資料_２２年度上期分_連携DB_【調整中】千里導入明細資料_２２年度上期分_fj_20100127_Ⅹ_課題と対応策_20121211 2" xfId="860" xr:uid="{00000000-0005-0000-0000-00001A030000}"/>
    <cellStyle name="_［提出版］千里導入明細資料（資源配付・仮想化）20090323_ラック構成図（千里_営業店・新事務）_20090805_【20091225】千里導入明細資料_２２年度上期分_連携DB_Ⅹ_課題と対応策_20121211" xfId="861" xr:uid="{00000000-0005-0000-0000-00001B030000}"/>
    <cellStyle name="_［提出版］千里導入明細資料（資源配付・仮想化）20090323_ラック構成図（千里_営業店・新事務）_20090805_【20091225】千里導入明細資料_２２年度上期分_連携DB_Ⅹ_課題と対応策_20121211 2" xfId="862" xr:uid="{00000000-0005-0000-0000-00001C030000}"/>
    <cellStyle name="_［提出版］千里導入明細資料（資源配付・仮想化）20090323_ラック構成図（千里_営業店・新事務）_20090805_【作成中】千里センター機器配置図（2010年対応分）_20091221" xfId="863" xr:uid="{00000000-0005-0000-0000-00001D030000}"/>
    <cellStyle name="_［提出版］千里導入明細資料（資源配付・仮想化）20090323_ラック構成図（千里_営業店・新事務）_20090805_【作成中】千里センター機器配置図（2010年対応分）_20091221 2" xfId="864" xr:uid="{00000000-0005-0000-0000-00001E030000}"/>
    <cellStyle name="_［提出版］千里導入明細資料（資源配付・仮想化）20090323_ラック構成図（千里_営業店・新事務）_20090805_【作成中】千里センター機器配置図（2010年対応分）_20091221_【調整中】千里導入明細資料_２２年度上期分_fj_20100127" xfId="865" xr:uid="{00000000-0005-0000-0000-00001F030000}"/>
    <cellStyle name="_［提出版］千里導入明細資料（資源配付・仮想化）20090323_ラック構成図（千里_営業店・新事務）_20090805_【作成中】千里センター機器配置図（2010年対応分）_20091221_【調整中】千里導入明細資料_２２年度上期分_fj_20100127 2" xfId="866" xr:uid="{00000000-0005-0000-0000-000020030000}"/>
    <cellStyle name="_［提出版］千里導入明細資料（資源配付・仮想化）20090323_ラック構成図（千里_営業店・新事務）_20090805_【作成中】千里センター機器配置図（2010年対応分）_20091221_【調整中】千里導入明細資料_２２年度上期分_fj_20100127_Ⅹ_課題と対応策_20121211" xfId="867" xr:uid="{00000000-0005-0000-0000-000021030000}"/>
    <cellStyle name="_［提出版］千里導入明細資料（資源配付・仮想化）20090323_ラック構成図（千里_営業店・新事務）_20090805_【作成中】千里センター機器配置図（2010年対応分）_20091221_【調整中】千里導入明細資料_２２年度上期分_fj_20100127_Ⅹ_課題と対応策_20121211 2" xfId="868" xr:uid="{00000000-0005-0000-0000-000022030000}"/>
    <cellStyle name="_［提出版］千里導入明細資料（資源配付・仮想化）20090323_ラック構成図（千里_営業店・新事務）_20090805_【作成中】千里センター機器配置図（2010年対応分）_20091221_Ⅹ_課題と対応策_20121211" xfId="869" xr:uid="{00000000-0005-0000-0000-000023030000}"/>
    <cellStyle name="_［提出版］千里導入明細資料（資源配付・仮想化）20090323_ラック構成図（千里_営業店・新事務）_20090805_【作成中】千里センター機器配置図（2010年対応分）_20091221_Ⅹ_課題と対応策_20121211 2" xfId="870" xr:uid="{00000000-0005-0000-0000-000024030000}"/>
    <cellStyle name="_［提出版］千里導入明細資料（資源配付・仮想化）20090323_ラック構成図（千里_営業店・新事務）_20090805_Ⅹ_課題と対応策_20121211" xfId="871" xr:uid="{00000000-0005-0000-0000-000025030000}"/>
    <cellStyle name="_［提出版］千里導入明細資料（資源配付・仮想化）20090323_ラック構成図（千里_営業店・新事務）_20090805_Ⅹ_課題と対応策_20121211 2" xfId="872" xr:uid="{00000000-0005-0000-0000-000026030000}"/>
    <cellStyle name="_［提出版］千里導入明細資料（資源配付・仮想化）20090323_ラック構成図_Catalyst直付け（新事務処理）" xfId="873" xr:uid="{00000000-0005-0000-0000-000027030000}"/>
    <cellStyle name="_［提出版］千里導入明細資料（資源配付・仮想化）20090323_ラック構成図_Catalyst直付け（新事務処理） 2" xfId="874" xr:uid="{00000000-0005-0000-0000-000028030000}"/>
    <cellStyle name="_［提出版］千里導入明細資料（資源配付・仮想化）20090323_ラック構成図_Catalyst直付け（新事務処理）_【20091207】千里導入明細資料_２１年度分（ネットワーク敷設）" xfId="875" xr:uid="{00000000-0005-0000-0000-000029030000}"/>
    <cellStyle name="_［提出版］千里導入明細資料（資源配付・仮想化）20090323_ラック構成図_Catalyst直付け（新事務処理）_【20091207】千里導入明細資料_２１年度分（ネットワーク敷設） 2" xfId="876" xr:uid="{00000000-0005-0000-0000-00002A030000}"/>
    <cellStyle name="_［提出版］千里導入明細資料（資源配付・仮想化）20090323_ラック構成図_Catalyst直付け（新事務処理）_【20091207】千里導入明細資料_２１年度分（ネットワーク敷設）_【20091218】千里導入明細資料_２１年度分（ネットワーク敷設）" xfId="877" xr:uid="{00000000-0005-0000-0000-00002B030000}"/>
    <cellStyle name="_［提出版］千里導入明細資料（資源配付・仮想化）20090323_ラック構成図_Catalyst直付け（新事務処理）_【20091207】千里導入明細資料_２１年度分（ネットワーク敷設）_【20091218】千里導入明細資料_２１年度分（ネットワーク敷設） 2" xfId="878" xr:uid="{00000000-0005-0000-0000-00002C030000}"/>
    <cellStyle name="_［提出版］千里導入明細資料（資源配付・仮想化）20090323_ラック構成図_Catalyst直付け（新事務処理）_【20091207】千里導入明細資料_２１年度分（ネットワーク敷設）_【20091218】千里導入明細資料_２１年度分（ネットワーク敷設）_Ⅹ_課題と対応策_20121211" xfId="879" xr:uid="{00000000-0005-0000-0000-00002D030000}"/>
    <cellStyle name="_［提出版］千里導入明細資料（資源配付・仮想化）20090323_ラック構成図_Catalyst直付け（新事務処理）_【20091207】千里導入明細資料_２１年度分（ネットワーク敷設）_【20091218】千里導入明細資料_２１年度分（ネットワーク敷設）_Ⅹ_課題と対応策_20121211 2" xfId="880" xr:uid="{00000000-0005-0000-0000-00002E030000}"/>
    <cellStyle name="_［提出版］千里導入明細資料（資源配付・仮想化）20090323_ラック構成図_Catalyst直付け（新事務処理）_【20091207】千里導入明細資料_２１年度分（ネットワーク敷設）_Ⅹ_課題と対応策_20121211" xfId="881" xr:uid="{00000000-0005-0000-0000-00002F030000}"/>
    <cellStyle name="_［提出版］千里導入明細資料（資源配付・仮想化）20090323_ラック構成図_Catalyst直付け（新事務処理）_【20091207】千里導入明細資料_２１年度分（ネットワーク敷設）_Ⅹ_課題と対応策_20121211 2" xfId="882" xr:uid="{00000000-0005-0000-0000-000030030000}"/>
    <cellStyle name="_［提出版］千里導入明細資料（資源配付・仮想化）20090323_ラック構成図_Catalyst直付け（新事務処理）_【20091207】千里導入明細資料_２１年度分（ネットワーク敷設）_千里導入明細資料_２２年度分（ネットワーク敷設）_fj" xfId="883" xr:uid="{00000000-0005-0000-0000-000031030000}"/>
    <cellStyle name="_［提出版］千里導入明細資料（資源配付・仮想化）20090323_ラック構成図_Catalyst直付け（新事務処理）_【20091207】千里導入明細資料_２１年度分（ネットワーク敷設）_千里導入明細資料_２２年度分（ネットワーク敷設）_fj 2" xfId="884" xr:uid="{00000000-0005-0000-0000-000032030000}"/>
    <cellStyle name="_［提出版］千里導入明細資料（資源配付・仮想化）20090323_ラック構成図_Catalyst直付け（新事務処理）_【20091207】千里導入明細資料_２１年度分（ネットワーク敷設）_千里導入明細資料_２２年度分（ネットワーク敷設）_fj_Ⅹ_課題と対応策_20121211" xfId="885" xr:uid="{00000000-0005-0000-0000-000033030000}"/>
    <cellStyle name="_［提出版］千里導入明細資料（資源配付・仮想化）20090323_ラック構成図_Catalyst直付け（新事務処理）_【20091207】千里導入明細資料_２１年度分（ネットワーク敷設）_千里導入明細資料_２２年度分（ネットワーク敷設）_fj_Ⅹ_課題と対応策_20121211 2" xfId="886" xr:uid="{00000000-0005-0000-0000-000034030000}"/>
    <cellStyle name="_［提出版］千里導入明細資料（資源配付・仮想化）20090323_ラック構成図_Catalyst直付け（新事務処理）_【20091225】千里導入明細資料_２２年度上期分（営業店ＡＰ－ＤＢ）" xfId="887" xr:uid="{00000000-0005-0000-0000-000035030000}"/>
    <cellStyle name="_［提出版］千里導入明細資料（資源配付・仮想化）20090323_ラック構成図_Catalyst直付け（新事務処理）_【20091225】千里導入明細資料_２２年度上期分（営業店ＡＰ－ＤＢ） 2" xfId="888" xr:uid="{00000000-0005-0000-0000-000036030000}"/>
    <cellStyle name="_［提出版］千里導入明細資料（資源配付・仮想化）20090323_ラック構成図_Catalyst直付け（新事務処理）_【20091225】千里導入明細資料_２２年度上期分（営業店ＡＰ－ＤＢ）_【調整中】千里導入明細資料_２２年度上期分_fj_20100127" xfId="889" xr:uid="{00000000-0005-0000-0000-000037030000}"/>
    <cellStyle name="_［提出版］千里導入明細資料（資源配付・仮想化）20090323_ラック構成図_Catalyst直付け（新事務処理）_【20091225】千里導入明細資料_２２年度上期分（営業店ＡＰ－ＤＢ）_【調整中】千里導入明細資料_２２年度上期分_fj_20100127 2" xfId="890" xr:uid="{00000000-0005-0000-0000-000038030000}"/>
    <cellStyle name="_［提出版］千里導入明細資料（資源配付・仮想化）20090323_ラック構成図_Catalyst直付け（新事務処理）_【20091225】千里導入明細資料_２２年度上期分（営業店ＡＰ－ＤＢ）_【調整中】千里導入明細資料_２２年度上期分_fj_20100127_Ⅹ_課題と対応策_20121211" xfId="891" xr:uid="{00000000-0005-0000-0000-000039030000}"/>
    <cellStyle name="_［提出版］千里導入明細資料（資源配付・仮想化）20090323_ラック構成図_Catalyst直付け（新事務処理）_【20091225】千里導入明細資料_２２年度上期分（営業店ＡＰ－ＤＢ）_【調整中】千里導入明細資料_２２年度上期分_fj_20100127_Ⅹ_課題と対応策_20121211 2" xfId="892" xr:uid="{00000000-0005-0000-0000-00003A030000}"/>
    <cellStyle name="_［提出版］千里導入明細資料（資源配付・仮想化）20090323_ラック構成図_Catalyst直付け（新事務処理）_【20091225】千里導入明細資料_２２年度上期分（営業店ＡＰ－ＤＢ）_Ⅹ_課題と対応策_20121211" xfId="893" xr:uid="{00000000-0005-0000-0000-00003B030000}"/>
    <cellStyle name="_［提出版］千里導入明細資料（資源配付・仮想化）20090323_ラック構成図_Catalyst直付け（新事務処理）_【20091225】千里導入明細資料_２２年度上期分（営業店ＡＰ－ＤＢ）_Ⅹ_課題と対応策_20121211 2" xfId="894" xr:uid="{00000000-0005-0000-0000-00003C030000}"/>
    <cellStyle name="_［提出版］千里導入明細資料（資源配付・仮想化）20090323_ラック構成図_Catalyst直付け（新事務処理）_【20091225】千里導入明細資料_２２年度上期分_営業店DB" xfId="895" xr:uid="{00000000-0005-0000-0000-00003D030000}"/>
    <cellStyle name="_［提出版］千里導入明細資料（資源配付・仮想化）20090323_ラック構成図_Catalyst直付け（新事務処理）_【20091225】千里導入明細資料_２２年度上期分_営業店DB 2" xfId="896" xr:uid="{00000000-0005-0000-0000-00003E030000}"/>
    <cellStyle name="_［提出版］千里導入明細資料（資源配付・仮想化）20090323_ラック構成図_Catalyst直付け（新事務処理）_【20091225】千里導入明細資料_２２年度上期分_営業店DB_【調整中】千里導入明細資料_２２年度上期分_fj_20100127" xfId="897" xr:uid="{00000000-0005-0000-0000-00003F030000}"/>
    <cellStyle name="_［提出版］千里導入明細資料（資源配付・仮想化）20090323_ラック構成図_Catalyst直付け（新事務処理）_【20091225】千里導入明細資料_２２年度上期分_営業店DB_【調整中】千里導入明細資料_２２年度上期分_fj_20100127 2" xfId="898" xr:uid="{00000000-0005-0000-0000-000040030000}"/>
    <cellStyle name="_［提出版］千里導入明細資料（資源配付・仮想化）20090323_ラック構成図_Catalyst直付け（新事務処理）_【20091225】千里導入明細資料_２２年度上期分_営業店DB_【調整中】千里導入明細資料_２２年度上期分_fj_20100127_Ⅹ_課題と対応策_20121211" xfId="899" xr:uid="{00000000-0005-0000-0000-000041030000}"/>
    <cellStyle name="_［提出版］千里導入明細資料（資源配付・仮想化）20090323_ラック構成図_Catalyst直付け（新事務処理）_【20091225】千里導入明細資料_２２年度上期分_営業店DB_【調整中】千里導入明細資料_２２年度上期分_fj_20100127_Ⅹ_課題と対応策_20121211 2" xfId="900" xr:uid="{00000000-0005-0000-0000-000042030000}"/>
    <cellStyle name="_［提出版］千里導入明細資料（資源配付・仮想化）20090323_ラック構成図_Catalyst直付け（新事務処理）_【20091225】千里導入明細資料_２２年度上期分_営業店DB_Ⅹ_課題と対応策_20121211" xfId="901" xr:uid="{00000000-0005-0000-0000-000043030000}"/>
    <cellStyle name="_［提出版］千里導入明細資料（資源配付・仮想化）20090323_ラック構成図_Catalyst直付け（新事務処理）_【20091225】千里導入明細資料_２２年度上期分_営業店DB_Ⅹ_課題と対応策_20121211 2" xfId="902" xr:uid="{00000000-0005-0000-0000-000044030000}"/>
    <cellStyle name="_［提出版］千里導入明細資料（資源配付・仮想化）20090323_ラック構成図_Catalyst直付け（新事務処理）_【20091225】千里導入明細資料_２２年度上期分_連携DB" xfId="903" xr:uid="{00000000-0005-0000-0000-000045030000}"/>
    <cellStyle name="_［提出版］千里導入明細資料（資源配付・仮想化）20090323_ラック構成図_Catalyst直付け（新事務処理）_【20091225】千里導入明細資料_２２年度上期分_連携DB 2" xfId="904" xr:uid="{00000000-0005-0000-0000-000046030000}"/>
    <cellStyle name="_［提出版］千里導入明細資料（資源配付・仮想化）20090323_ラック構成図_Catalyst直付け（新事務処理）_【20091225】千里導入明細資料_２２年度上期分_連携DB_【調整中】千里導入明細資料_２２年度上期分_fj_20100127" xfId="905" xr:uid="{00000000-0005-0000-0000-000047030000}"/>
    <cellStyle name="_［提出版］千里導入明細資料（資源配付・仮想化）20090323_ラック構成図_Catalyst直付け（新事務処理）_【20091225】千里導入明細資料_２２年度上期分_連携DB_【調整中】千里導入明細資料_２２年度上期分_fj_20100127 2" xfId="906" xr:uid="{00000000-0005-0000-0000-000048030000}"/>
    <cellStyle name="_［提出版］千里導入明細資料（資源配付・仮想化）20090323_ラック構成図_Catalyst直付け（新事務処理）_【20091225】千里導入明細資料_２２年度上期分_連携DB_【調整中】千里導入明細資料_２２年度上期分_fj_20100127_Ⅹ_課題と対応策_20121211" xfId="907" xr:uid="{00000000-0005-0000-0000-000049030000}"/>
    <cellStyle name="_［提出版］千里導入明細資料（資源配付・仮想化）20090323_ラック構成図_Catalyst直付け（新事務処理）_【20091225】千里導入明細資料_２２年度上期分_連携DB_【調整中】千里導入明細資料_２２年度上期分_fj_20100127_Ⅹ_課題と対応策_20121211 2" xfId="908" xr:uid="{00000000-0005-0000-0000-00004A030000}"/>
    <cellStyle name="_［提出版］千里導入明細資料（資源配付・仮想化）20090323_ラック構成図_Catalyst直付け（新事務処理）_【20091225】千里導入明細資料_２２年度上期分_連携DB_Ⅹ_課題と対応策_20121211" xfId="909" xr:uid="{00000000-0005-0000-0000-00004B030000}"/>
    <cellStyle name="_［提出版］千里導入明細資料（資源配付・仮想化）20090323_ラック構成図_Catalyst直付け（新事務処理）_【20091225】千里導入明細資料_２２年度上期分_連携DB_Ⅹ_課題と対応策_20121211 2" xfId="910" xr:uid="{00000000-0005-0000-0000-00004C030000}"/>
    <cellStyle name="_［提出版］千里導入明細資料（資源配付・仮想化）20090323_ラック構成図_Catalyst直付け（新事務処理）_【作成中】千里センター機器配置図（2010年対応分）_20091221" xfId="911" xr:uid="{00000000-0005-0000-0000-00004D030000}"/>
    <cellStyle name="_［提出版］千里導入明細資料（資源配付・仮想化）20090323_ラック構成図_Catalyst直付け（新事務処理）_【作成中】千里センター機器配置図（2010年対応分）_20091221 2" xfId="912" xr:uid="{00000000-0005-0000-0000-00004E030000}"/>
    <cellStyle name="_［提出版］千里導入明細資料（資源配付・仮想化）20090323_ラック構成図_Catalyst直付け（新事務処理）_【作成中】千里センター機器配置図（2010年対応分）_20091221_【調整中】千里導入明細資料_２２年度上期分_fj_20100127" xfId="913" xr:uid="{00000000-0005-0000-0000-00004F030000}"/>
    <cellStyle name="_［提出版］千里導入明細資料（資源配付・仮想化）20090323_ラック構成図_Catalyst直付け（新事務処理）_【作成中】千里センター機器配置図（2010年対応分）_20091221_【調整中】千里導入明細資料_２２年度上期分_fj_20100127 2" xfId="914" xr:uid="{00000000-0005-0000-0000-000050030000}"/>
    <cellStyle name="_［提出版］千里導入明細資料（資源配付・仮想化）20090323_ラック構成図_Catalyst直付け（新事務処理）_【作成中】千里センター機器配置図（2010年対応分）_20091221_【調整中】千里導入明細資料_２２年度上期分_fj_20100127_Ⅹ_課題と対応策_20121211" xfId="915" xr:uid="{00000000-0005-0000-0000-000051030000}"/>
    <cellStyle name="_［提出版］千里導入明細資料（資源配付・仮想化）20090323_ラック構成図_Catalyst直付け（新事務処理）_【作成中】千里センター機器配置図（2010年対応分）_20091221_【調整中】千里導入明細資料_２２年度上期分_fj_20100127_Ⅹ_課題と対応策_20121211 2" xfId="916" xr:uid="{00000000-0005-0000-0000-000052030000}"/>
    <cellStyle name="_［提出版］千里導入明細資料（資源配付・仮想化）20090323_ラック構成図_Catalyst直付け（新事務処理）_【作成中】千里センター機器配置図（2010年対応分）_20091221_Ⅹ_課題と対応策_20121211" xfId="917" xr:uid="{00000000-0005-0000-0000-000053030000}"/>
    <cellStyle name="_［提出版］千里導入明細資料（資源配付・仮想化）20090323_ラック構成図_Catalyst直付け（新事務処理）_【作成中】千里センター機器配置図（2010年対応分）_20091221_Ⅹ_課題と対応策_20121211 2" xfId="918" xr:uid="{00000000-0005-0000-0000-000054030000}"/>
    <cellStyle name="_［提出版］千里導入明細資料（資源配付・仮想化）20090323_ラック構成図_Catalyst直付け（新事務処理）_Ⅹ_課題と対応策_20121211" xfId="919" xr:uid="{00000000-0005-0000-0000-000055030000}"/>
    <cellStyle name="_［提出版］千里導入明細資料（資源配付・仮想化）20090323_ラック構成図_Catalyst直付け（新事務処理）_Ⅹ_課題と対応策_20121211 2" xfId="920" xr:uid="{00000000-0005-0000-0000-000056030000}"/>
    <cellStyle name="_［提出版］千里導入明細資料（資源配付・仮想化）20090323_ラック構成図_RX100Si-R削除(新事務処理)" xfId="921" xr:uid="{00000000-0005-0000-0000-000057030000}"/>
    <cellStyle name="_［提出版］千里導入明細資料（資源配付・仮想化）20090323_ラック構成図_RX100Si-R削除(新事務処理) 2" xfId="922" xr:uid="{00000000-0005-0000-0000-000058030000}"/>
    <cellStyle name="_［提出版］千里導入明細資料（資源配付・仮想化）20090323_ラック構成図_RX100Si-R削除(新事務処理)_【20091207】千里導入明細資料_２１年度分（ネットワーク敷設）" xfId="923" xr:uid="{00000000-0005-0000-0000-000059030000}"/>
    <cellStyle name="_［提出版］千里導入明細資料（資源配付・仮想化）20090323_ラック構成図_RX100Si-R削除(新事務処理)_【20091207】千里導入明細資料_２１年度分（ネットワーク敷設） 2" xfId="924" xr:uid="{00000000-0005-0000-0000-00005A030000}"/>
    <cellStyle name="_［提出版］千里導入明細資料（資源配付・仮想化）20090323_ラック構成図_RX100Si-R削除(新事務処理)_【20091207】千里導入明細資料_２１年度分（ネットワーク敷設）_【20091218】千里導入明細資料_２１年度分（ネットワーク敷設）" xfId="925" xr:uid="{00000000-0005-0000-0000-00005B030000}"/>
    <cellStyle name="_［提出版］千里導入明細資料（資源配付・仮想化）20090323_ラック構成図_RX100Si-R削除(新事務処理)_【20091207】千里導入明細資料_２１年度分（ネットワーク敷設）_【20091218】千里導入明細資料_２１年度分（ネットワーク敷設） 2" xfId="926" xr:uid="{00000000-0005-0000-0000-00005C030000}"/>
    <cellStyle name="_［提出版］千里導入明細資料（資源配付・仮想化）20090323_ラック構成図_RX100Si-R削除(新事務処理)_【20091207】千里導入明細資料_２１年度分（ネットワーク敷設）_【20091218】千里導入明細資料_２１年度分（ネットワーク敷設）_Ⅹ_課題と対応策_20121211" xfId="927" xr:uid="{00000000-0005-0000-0000-00005D030000}"/>
    <cellStyle name="_［提出版］千里導入明細資料（資源配付・仮想化）20090323_ラック構成図_RX100Si-R削除(新事務処理)_【20091207】千里導入明細資料_２１年度分（ネットワーク敷設）_【20091218】千里導入明細資料_２１年度分（ネットワーク敷設）_Ⅹ_課題と対応策_20121211 2" xfId="928" xr:uid="{00000000-0005-0000-0000-00005E030000}"/>
    <cellStyle name="_［提出版］千里導入明細資料（資源配付・仮想化）20090323_ラック構成図_RX100Si-R削除(新事務処理)_【20091207】千里導入明細資料_２１年度分（ネットワーク敷設）_Ⅹ_課題と対応策_20121211" xfId="929" xr:uid="{00000000-0005-0000-0000-00005F030000}"/>
    <cellStyle name="_［提出版］千里導入明細資料（資源配付・仮想化）20090323_ラック構成図_RX100Si-R削除(新事務処理)_【20091207】千里導入明細資料_２１年度分（ネットワーク敷設）_Ⅹ_課題と対応策_20121211 2" xfId="930" xr:uid="{00000000-0005-0000-0000-000060030000}"/>
    <cellStyle name="_［提出版］千里導入明細資料（資源配付・仮想化）20090323_ラック構成図_RX100Si-R削除(新事務処理)_【20091207】千里導入明細資料_２１年度分（ネットワーク敷設）_千里導入明細資料_２２年度分（ネットワーク敷設）_fj" xfId="931" xr:uid="{00000000-0005-0000-0000-000061030000}"/>
    <cellStyle name="_［提出版］千里導入明細資料（資源配付・仮想化）20090323_ラック構成図_RX100Si-R削除(新事務処理)_【20091207】千里導入明細資料_２１年度分（ネットワーク敷設）_千里導入明細資料_２２年度分（ネットワーク敷設）_fj 2" xfId="932" xr:uid="{00000000-0005-0000-0000-000062030000}"/>
    <cellStyle name="_［提出版］千里導入明細資料（資源配付・仮想化）20090323_ラック構成図_RX100Si-R削除(新事務処理)_【20091207】千里導入明細資料_２１年度分（ネットワーク敷設）_千里導入明細資料_２２年度分（ネットワーク敷設）_fj_Ⅹ_課題と対応策_20121211" xfId="933" xr:uid="{00000000-0005-0000-0000-000063030000}"/>
    <cellStyle name="_［提出版］千里導入明細資料（資源配付・仮想化）20090323_ラック構成図_RX100Si-R削除(新事務処理)_【20091207】千里導入明細資料_２１年度分（ネットワーク敷設）_千里導入明細資料_２２年度分（ネットワーク敷設）_fj_Ⅹ_課題と対応策_20121211 2" xfId="934" xr:uid="{00000000-0005-0000-0000-000064030000}"/>
    <cellStyle name="_［提出版］千里導入明細資料（資源配付・仮想化）20090323_ラック構成図_RX100Si-R削除(新事務処理)_【20091225】千里導入明細資料_２２年度上期分（営業店ＡＰ－ＤＢ）" xfId="935" xr:uid="{00000000-0005-0000-0000-000065030000}"/>
    <cellStyle name="_［提出版］千里導入明細資料（資源配付・仮想化）20090323_ラック構成図_RX100Si-R削除(新事務処理)_【20091225】千里導入明細資料_２２年度上期分（営業店ＡＰ－ＤＢ） 2" xfId="936" xr:uid="{00000000-0005-0000-0000-000066030000}"/>
    <cellStyle name="_［提出版］千里導入明細資料（資源配付・仮想化）20090323_ラック構成図_RX100Si-R削除(新事務処理)_【20091225】千里導入明細資料_２２年度上期分（営業店ＡＰ－ＤＢ）_【調整中】千里導入明細資料_２２年度上期分_fj_20100127" xfId="937" xr:uid="{00000000-0005-0000-0000-000067030000}"/>
    <cellStyle name="_［提出版］千里導入明細資料（資源配付・仮想化）20090323_ラック構成図_RX100Si-R削除(新事務処理)_【20091225】千里導入明細資料_２２年度上期分（営業店ＡＰ－ＤＢ）_【調整中】千里導入明細資料_２２年度上期分_fj_20100127 2" xfId="938" xr:uid="{00000000-0005-0000-0000-000068030000}"/>
    <cellStyle name="_［提出版］千里導入明細資料（資源配付・仮想化）20090323_ラック構成図_RX100Si-R削除(新事務処理)_【20091225】千里導入明細資料_２２年度上期分（営業店ＡＰ－ＤＢ）_【調整中】千里導入明細資料_２２年度上期分_fj_20100127_Ⅹ_課題と対応策_20121211" xfId="939" xr:uid="{00000000-0005-0000-0000-000069030000}"/>
    <cellStyle name="_［提出版］千里導入明細資料（資源配付・仮想化）20090323_ラック構成図_RX100Si-R削除(新事務処理)_【20091225】千里導入明細資料_２２年度上期分（営業店ＡＰ－ＤＢ）_【調整中】千里導入明細資料_２２年度上期分_fj_20100127_Ⅹ_課題と対応策_20121211 2" xfId="940" xr:uid="{00000000-0005-0000-0000-00006A030000}"/>
    <cellStyle name="_［提出版］千里導入明細資料（資源配付・仮想化）20090323_ラック構成図_RX100Si-R削除(新事務処理)_【20091225】千里導入明細資料_２２年度上期分（営業店ＡＰ－ＤＢ）_Ⅹ_課題と対応策_20121211" xfId="941" xr:uid="{00000000-0005-0000-0000-00006B030000}"/>
    <cellStyle name="_［提出版］千里導入明細資料（資源配付・仮想化）20090323_ラック構成図_RX100Si-R削除(新事務処理)_【20091225】千里導入明細資料_２２年度上期分（営業店ＡＰ－ＤＢ）_Ⅹ_課題と対応策_20121211 2" xfId="942" xr:uid="{00000000-0005-0000-0000-00006C030000}"/>
    <cellStyle name="_［提出版］千里導入明細資料（資源配付・仮想化）20090323_ラック構成図_RX100Si-R削除(新事務処理)_【20091225】千里導入明細資料_２２年度上期分_営業店DB" xfId="943" xr:uid="{00000000-0005-0000-0000-00006D030000}"/>
    <cellStyle name="_［提出版］千里導入明細資料（資源配付・仮想化）20090323_ラック構成図_RX100Si-R削除(新事務処理)_【20091225】千里導入明細資料_２２年度上期分_営業店DB 2" xfId="944" xr:uid="{00000000-0005-0000-0000-00006E030000}"/>
    <cellStyle name="_［提出版］千里導入明細資料（資源配付・仮想化）20090323_ラック構成図_RX100Si-R削除(新事務処理)_【20091225】千里導入明細資料_２２年度上期分_営業店DB_【調整中】千里導入明細資料_２２年度上期分_fj_20100127" xfId="945" xr:uid="{00000000-0005-0000-0000-00006F030000}"/>
    <cellStyle name="_［提出版］千里導入明細資料（資源配付・仮想化）20090323_ラック構成図_RX100Si-R削除(新事務処理)_【20091225】千里導入明細資料_２２年度上期分_営業店DB_【調整中】千里導入明細資料_２２年度上期分_fj_20100127 2" xfId="946" xr:uid="{00000000-0005-0000-0000-000070030000}"/>
    <cellStyle name="_［提出版］千里導入明細資料（資源配付・仮想化）20090323_ラック構成図_RX100Si-R削除(新事務処理)_【20091225】千里導入明細資料_２２年度上期分_営業店DB_【調整中】千里導入明細資料_２２年度上期分_fj_20100127_Ⅹ_課題と対応策_20121211" xfId="947" xr:uid="{00000000-0005-0000-0000-000071030000}"/>
    <cellStyle name="_［提出版］千里導入明細資料（資源配付・仮想化）20090323_ラック構成図_RX100Si-R削除(新事務処理)_【20091225】千里導入明細資料_２２年度上期分_営業店DB_【調整中】千里導入明細資料_２２年度上期分_fj_20100127_Ⅹ_課題と対応策_20121211 2" xfId="948" xr:uid="{00000000-0005-0000-0000-000072030000}"/>
    <cellStyle name="_［提出版］千里導入明細資料（資源配付・仮想化）20090323_ラック構成図_RX100Si-R削除(新事務処理)_【20091225】千里導入明細資料_２２年度上期分_営業店DB_Ⅹ_課題と対応策_20121211" xfId="949" xr:uid="{00000000-0005-0000-0000-000073030000}"/>
    <cellStyle name="_［提出版］千里導入明細資料（資源配付・仮想化）20090323_ラック構成図_RX100Si-R削除(新事務処理)_【20091225】千里導入明細資料_２２年度上期分_営業店DB_Ⅹ_課題と対応策_20121211 2" xfId="950" xr:uid="{00000000-0005-0000-0000-000074030000}"/>
    <cellStyle name="_［提出版］千里導入明細資料（資源配付・仮想化）20090323_ラック構成図_RX100Si-R削除(新事務処理)_【20091225】千里導入明細資料_２２年度上期分_連携DB" xfId="951" xr:uid="{00000000-0005-0000-0000-000075030000}"/>
    <cellStyle name="_［提出版］千里導入明細資料（資源配付・仮想化）20090323_ラック構成図_RX100Si-R削除(新事務処理)_【20091225】千里導入明細資料_２２年度上期分_連携DB 2" xfId="952" xr:uid="{00000000-0005-0000-0000-000076030000}"/>
    <cellStyle name="_［提出版］千里導入明細資料（資源配付・仮想化）20090323_ラック構成図_RX100Si-R削除(新事務処理)_【20091225】千里導入明細資料_２２年度上期分_連携DB_【調整中】千里導入明細資料_２２年度上期分_fj_20100127" xfId="953" xr:uid="{00000000-0005-0000-0000-000077030000}"/>
    <cellStyle name="_［提出版］千里導入明細資料（資源配付・仮想化）20090323_ラック構成図_RX100Si-R削除(新事務処理)_【20091225】千里導入明細資料_２２年度上期分_連携DB_【調整中】千里導入明細資料_２２年度上期分_fj_20100127 2" xfId="954" xr:uid="{00000000-0005-0000-0000-000078030000}"/>
    <cellStyle name="_［提出版］千里導入明細資料（資源配付・仮想化）20090323_ラック構成図_RX100Si-R削除(新事務処理)_【20091225】千里導入明細資料_２２年度上期分_連携DB_【調整中】千里導入明細資料_２２年度上期分_fj_20100127_Ⅹ_課題と対応策_20121211" xfId="955" xr:uid="{00000000-0005-0000-0000-000079030000}"/>
    <cellStyle name="_［提出版］千里導入明細資料（資源配付・仮想化）20090323_ラック構成図_RX100Si-R削除(新事務処理)_【20091225】千里導入明細資料_２２年度上期分_連携DB_【調整中】千里導入明細資料_２２年度上期分_fj_20100127_Ⅹ_課題と対応策_20121211 2" xfId="956" xr:uid="{00000000-0005-0000-0000-00007A030000}"/>
    <cellStyle name="_［提出版］千里導入明細資料（資源配付・仮想化）20090323_ラック構成図_RX100Si-R削除(新事務処理)_【20091225】千里導入明細資料_２２年度上期分_連携DB_Ⅹ_課題と対応策_20121211" xfId="957" xr:uid="{00000000-0005-0000-0000-00007B030000}"/>
    <cellStyle name="_［提出版］千里導入明細資料（資源配付・仮想化）20090323_ラック構成図_RX100Si-R削除(新事務処理)_【20091225】千里導入明細資料_２２年度上期分_連携DB_Ⅹ_課題と対応策_20121211 2" xfId="958" xr:uid="{00000000-0005-0000-0000-00007C030000}"/>
    <cellStyle name="_［提出版］千里導入明細資料（資源配付・仮想化）20090323_ラック構成図_RX100Si-R削除(新事務処理)_【作成中】千里センター機器配置図（2010年対応分）_20091221" xfId="959" xr:uid="{00000000-0005-0000-0000-00007D030000}"/>
    <cellStyle name="_［提出版］千里導入明細資料（資源配付・仮想化）20090323_ラック構成図_RX100Si-R削除(新事務処理)_【作成中】千里センター機器配置図（2010年対応分）_20091221 2" xfId="960" xr:uid="{00000000-0005-0000-0000-00007E030000}"/>
    <cellStyle name="_［提出版］千里導入明細資料（資源配付・仮想化）20090323_ラック構成図_RX100Si-R削除(新事務処理)_【作成中】千里センター機器配置図（2010年対応分）_20091221_【調整中】千里導入明細資料_２２年度上期分_fj_20100127" xfId="961" xr:uid="{00000000-0005-0000-0000-00007F030000}"/>
    <cellStyle name="_［提出版］千里導入明細資料（資源配付・仮想化）20090323_ラック構成図_RX100Si-R削除(新事務処理)_【作成中】千里センター機器配置図（2010年対応分）_20091221_【調整中】千里導入明細資料_２２年度上期分_fj_20100127 2" xfId="962" xr:uid="{00000000-0005-0000-0000-000080030000}"/>
    <cellStyle name="_［提出版］千里導入明細資料（資源配付・仮想化）20090323_ラック構成図_RX100Si-R削除(新事務処理)_【作成中】千里センター機器配置図（2010年対応分）_20091221_【調整中】千里導入明細資料_２２年度上期分_fj_20100127_Ⅹ_課題と対応策_20121211" xfId="963" xr:uid="{00000000-0005-0000-0000-000081030000}"/>
    <cellStyle name="_［提出版］千里導入明細資料（資源配付・仮想化）20090323_ラック構成図_RX100Si-R削除(新事務処理)_【作成中】千里センター機器配置図（2010年対応分）_20091221_【調整中】千里導入明細資料_２２年度上期分_fj_20100127_Ⅹ_課題と対応策_20121211 2" xfId="964" xr:uid="{00000000-0005-0000-0000-000082030000}"/>
    <cellStyle name="_［提出版］千里導入明細資料（資源配付・仮想化）20090323_ラック構成図_RX100Si-R削除(新事務処理)_【作成中】千里センター機器配置図（2010年対応分）_20091221_Ⅹ_課題と対応策_20121211" xfId="965" xr:uid="{00000000-0005-0000-0000-000083030000}"/>
    <cellStyle name="_［提出版］千里導入明細資料（資源配付・仮想化）20090323_ラック構成図_RX100Si-R削除(新事務処理)_【作成中】千里センター機器配置図（2010年対応分）_20091221_Ⅹ_課題と対応策_20121211 2" xfId="966" xr:uid="{00000000-0005-0000-0000-000084030000}"/>
    <cellStyle name="_［提出版］千里導入明細資料（資源配付・仮想化）20090323_ラック構成図_RX100Si-R削除(新事務処理)_Ⅹ_課題と対応策_20121211" xfId="967" xr:uid="{00000000-0005-0000-0000-000085030000}"/>
    <cellStyle name="_［提出版］千里導入明細資料（資源配付・仮想化）20090323_ラック構成図_RX100Si-R削除(新事務処理)_Ⅹ_課題と対応策_20121211 2" xfId="968" xr:uid="{00000000-0005-0000-0000-000086030000}"/>
    <cellStyle name="_［提出版］千里導入明細資料（資源配付・仮想化）20090323_千里導入明細資料_２２年度分（ネットワーク敷設）_fj" xfId="969" xr:uid="{00000000-0005-0000-0000-000087030000}"/>
    <cellStyle name="_［提出版］千里導入明細資料（資源配付・仮想化）20090323_千里導入明細資料_２２年度分（ネットワーク敷設）_fj 2" xfId="970" xr:uid="{00000000-0005-0000-0000-000088030000}"/>
    <cellStyle name="_［提出版］千里導入明細資料（資源配付・仮想化）20090323_千里導入明細資料_２２年度分（ネットワーク敷設）_fj_Ⅹ_課題と対応策_20121211" xfId="971" xr:uid="{00000000-0005-0000-0000-000089030000}"/>
    <cellStyle name="_［提出版］千里導入明細資料（資源配付・仮想化）20090323_千里導入明細資料_２２年度分（ネットワーク敷設）_fj_Ⅹ_課題と対応策_20121211 2" xfId="972" xr:uid="{00000000-0005-0000-0000-00008A030000}"/>
    <cellStyle name="_【20090323_参考資料】千里導入明細資料" xfId="973" xr:uid="{00000000-0005-0000-0000-00008B030000}"/>
    <cellStyle name="_【20090323_参考資料】千里導入明細資料 2" xfId="974" xr:uid="{00000000-0005-0000-0000-00008C030000}"/>
    <cellStyle name="_【20090323_参考資料】千里導入明細資料_(自動機監視GW) 【20090602】千里導入明細資料_２１年度fj分" xfId="975" xr:uid="{00000000-0005-0000-0000-00008D030000}"/>
    <cellStyle name="_【20090323_参考資料】千里導入明細資料_(自動機監視GW) 【20090602】千里導入明細資料_２１年度fj分 2" xfId="976" xr:uid="{00000000-0005-0000-0000-00008E030000}"/>
    <cellStyle name="_【20090323_参考資料】千里導入明細資料_(自動機監視GW) 【20090602】千里導入明細資料_２１年度fj分_【20091218】千里導入明細資料_２１年度分（ネットワーク敷設）" xfId="977" xr:uid="{00000000-0005-0000-0000-00008F030000}"/>
    <cellStyle name="_【20090323_参考資料】千里導入明細資料_(自動機監視GW) 【20090602】千里導入明細資料_２１年度fj分_【20091218】千里導入明細資料_２１年度分（ネットワーク敷設） 2" xfId="978" xr:uid="{00000000-0005-0000-0000-000090030000}"/>
    <cellStyle name="_【20090323_参考資料】千里導入明細資料_(自動機監視GW) 【20090602】千里導入明細資料_２１年度fj分_【20091218】千里導入明細資料_２１年度分（ネットワーク敷設）_Ⅹ_課題と対応策_20121211" xfId="979" xr:uid="{00000000-0005-0000-0000-000091030000}"/>
    <cellStyle name="_【20090323_参考資料】千里導入明細資料_(自動機監視GW) 【20090602】千里導入明細資料_２１年度fj分_【20091218】千里導入明細資料_２１年度分（ネットワーク敷設）_Ⅹ_課題と対応策_20121211 2" xfId="980" xr:uid="{00000000-0005-0000-0000-000092030000}"/>
    <cellStyle name="_【20090323_参考資料】千里導入明細資料_(自動機監視GW) 【20090602】千里導入明細資料_２１年度fj分_Ⅹ_課題と対応策_20121211" xfId="981" xr:uid="{00000000-0005-0000-0000-000093030000}"/>
    <cellStyle name="_【20090323_参考資料】千里導入明細資料_(自動機監視GW) 【20090602】千里導入明細資料_２１年度fj分_Ⅹ_課題と対応策_20121211 2" xfId="982" xr:uid="{00000000-0005-0000-0000-000094030000}"/>
    <cellStyle name="_【20090323_参考資料】千里導入明細資料_(自動機監視GW) 【20090602】千里導入明細資料_２１年度fj分_千里導入明細資料_２２年度分（ネットワーク敷設）_fj" xfId="983" xr:uid="{00000000-0005-0000-0000-000095030000}"/>
    <cellStyle name="_【20090323_参考資料】千里導入明細資料_(自動機監視GW) 【20090602】千里導入明細資料_２１年度fj分_千里導入明細資料_２２年度分（ネットワーク敷設）_fj 2" xfId="984" xr:uid="{00000000-0005-0000-0000-000096030000}"/>
    <cellStyle name="_【20090323_参考資料】千里導入明細資料_(自動機監視GW) 【20090602】千里導入明細資料_２１年度fj分_千里導入明細資料_２２年度分（ネットワーク敷設）_fj_Ⅹ_課題と対応策_20121211" xfId="985" xr:uid="{00000000-0005-0000-0000-000097030000}"/>
    <cellStyle name="_【20090323_参考資料】千里導入明細資料_(自動機監視GW) 【20090602】千里導入明細資料_２１年度fj分_千里導入明細資料_２２年度分（ネットワーク敷設）_fj_Ⅹ_課題と対応策_20121211 2" xfId="986" xr:uid="{00000000-0005-0000-0000-000098030000}"/>
    <cellStyle name="_【20090323_参考資料】千里導入明細資料_【20090715】千里導入明細資料_２１年度分（９月工事分）_fj" xfId="987" xr:uid="{00000000-0005-0000-0000-000099030000}"/>
    <cellStyle name="_【20090323_参考資料】千里導入明細資料_【20090715】千里導入明細資料_２１年度分（９月工事分）_fj 2" xfId="988" xr:uid="{00000000-0005-0000-0000-00009A030000}"/>
    <cellStyle name="_【20090323_参考資料】千里導入明細資料_【20090715】千里導入明細資料_２１年度分（９月工事分）_fj_【20090721】千里導入明細資料_２１年度分" xfId="989" xr:uid="{00000000-0005-0000-0000-00009B030000}"/>
    <cellStyle name="_【20090323_参考資料】千里導入明細資料_【20090715】千里導入明細資料_２１年度分（９月工事分）_fj_【20090721】千里導入明細資料_２１年度分 2" xfId="990" xr:uid="{00000000-0005-0000-0000-00009C030000}"/>
    <cellStyle name="_【20090323_参考資料】千里導入明細資料_【20090715】千里導入明細資料_２１年度分（９月工事分）_fj_【20090721】千里導入明細資料_２１年度分（９月工事分）_ETERNUS追加" xfId="991" xr:uid="{00000000-0005-0000-0000-00009D030000}"/>
    <cellStyle name="_【20090323_参考資料】千里導入明細資料_【20090715】千里導入明細資料_２１年度分（９月工事分）_fj_【20090721】千里導入明細資料_２１年度分（９月工事分）_ETERNUS追加 2" xfId="992" xr:uid="{00000000-0005-0000-0000-00009E030000}"/>
    <cellStyle name="_【20090323_参考資料】千里導入明細資料_【20090715】千里導入明細資料_２１年度分（９月工事分）_fj_【20090721】千里導入明細資料_２１年度分（９月工事分）_ETERNUS追加_【20090731】千里導入明細資料_２１年度分（９月工事分）" xfId="993" xr:uid="{00000000-0005-0000-0000-00009F030000}"/>
    <cellStyle name="_【20090323_参考資料】千里導入明細資料_【20090715】千里導入明細資料_２１年度分（９月工事分）_fj_【20090721】千里導入明細資料_２１年度分（９月工事分）_ETERNUS追加_【20090731】千里導入明細資料_２１年度分（９月工事分） 2" xfId="994" xr:uid="{00000000-0005-0000-0000-0000A0030000}"/>
    <cellStyle name="_【20090323_参考資料】千里導入明細資料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" xfId="995" xr:uid="{00000000-0005-0000-0000-0000A1030000}"/>
    <cellStyle name="_【20090323_参考資料】千里導入明細資料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 2" xfId="996" xr:uid="{00000000-0005-0000-0000-0000A2030000}"/>
    <cellStyle name="_【20090323_参考資料】千里導入明細資料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_Ⅹ_課題と対応策_20121211" xfId="997" xr:uid="{00000000-0005-0000-0000-0000A3030000}"/>
    <cellStyle name="_【20090323_参考資料】千里導入明細資料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_Ⅹ_課題と対応策_20121211 2" xfId="998" xr:uid="{00000000-0005-0000-0000-0000A4030000}"/>
    <cellStyle name="_【20090323_参考資料】千里導入明細資料_【20090715】千里導入明細資料_２１年度分（９月工事分）_fj_【20090721】千里導入明細資料_２１年度分（９月工事分）_ETERNUS追加_【20090731】千里導入明細資料_２１年度分（９月工事分）_Ⅹ_課題と対応策_20121211" xfId="999" xr:uid="{00000000-0005-0000-0000-0000A5030000}"/>
    <cellStyle name="_【20090323_参考資料】千里導入明細資料_【20090715】千里導入明細資料_２１年度分（９月工事分）_fj_【20090721】千里導入明細資料_２１年度分（９月工事分）_ETERNUS追加_【20090731】千里導入明細資料_２１年度分（９月工事分）_Ⅹ_課題と対応策_20121211 2" xfId="1000" xr:uid="{00000000-0005-0000-0000-0000A6030000}"/>
    <cellStyle name="_【20090323_参考資料】千里導入明細資料_【20090715】千里導入明細資料_２１年度分（９月工事分）_fj_【20090721】千里導入明細資料_２１年度分（９月工事分）_ETERNUS追加_【20090821】千里ラック搭載図（NW機器）" xfId="1001" xr:uid="{00000000-0005-0000-0000-0000A7030000}"/>
    <cellStyle name="_【20090323_参考資料】千里導入明細資料_【20090715】千里導入明細資料_２１年度分（９月工事分）_fj_【20090721】千里導入明細資料_２１年度分（９月工事分）_ETERNUS追加_【20090821】千里ラック搭載図（NW機器） 2" xfId="1002" xr:uid="{00000000-0005-0000-0000-0000A8030000}"/>
    <cellStyle name="_【20090323_参考資料】千里導入明細資料_【20090715】千里導入明細資料_２１年度分（９月工事分）_fj_【20090721】千里導入明細資料_２１年度分（９月工事分）_ETERNUS追加_【20090821】千里ラック搭載図（NW機器）_Ⅹ_課題と対応策_20121211" xfId="1003" xr:uid="{00000000-0005-0000-0000-0000A9030000}"/>
    <cellStyle name="_【20090323_参考資料】千里導入明細資料_【20090715】千里導入明細資料_２１年度分（９月工事分）_fj_【20090721】千里導入明細資料_２１年度分（９月工事分）_ETERNUS追加_【20090821】千里ラック搭載図（NW機器）_Ⅹ_課題と対応策_20121211 2" xfId="1004" xr:uid="{00000000-0005-0000-0000-0000AA030000}"/>
    <cellStyle name="_【20090323_参考資料】千里導入明細資料_【20090715】千里導入明細資料_２１年度分（９月工事分）_fj_【20090721】千里導入明細資料_２１年度分（９月工事分）_ETERNUS追加_【20091218】千里導入明細資料_２１年度分（ネットワーク敷設）" xfId="1005" xr:uid="{00000000-0005-0000-0000-0000AB030000}"/>
    <cellStyle name="_【20090323_参考資料】千里導入明細資料_【20090715】千里導入明細資料_２１年度分（９月工事分）_fj_【20090721】千里導入明細資料_２１年度分（９月工事分）_ETERNUS追加_【20091218】千里導入明細資料_２１年度分（ネットワーク敷設） 2" xfId="1006" xr:uid="{00000000-0005-0000-0000-0000AC030000}"/>
    <cellStyle name="_【20090323_参考資料】千里導入明細資料_【20090715】千里導入明細資料_２１年度分（９月工事分）_fj_【20090721】千里導入明細資料_２１年度分（９月工事分）_ETERNUS追加_【20091218】千里導入明細資料_２１年度分（ネットワーク敷設）_Ⅹ_課題と対応策_20121211" xfId="1007" xr:uid="{00000000-0005-0000-0000-0000AD030000}"/>
    <cellStyle name="_【20090323_参考資料】千里導入明細資料_【20090715】千里導入明細資料_２１年度分（９月工事分）_fj_【20090721】千里導入明細資料_２１年度分（９月工事分）_ETERNUS追加_【20091218】千里導入明細資料_２１年度分（ネットワーク敷設）_Ⅹ_課題と対応策_20121211 2" xfId="1008" xr:uid="{00000000-0005-0000-0000-0000AE030000}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" xfId="1009" xr:uid="{00000000-0005-0000-0000-0000AF030000}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 2" xfId="1010" xr:uid="{00000000-0005-0000-0000-0000B0030000}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" xfId="1011" xr:uid="{00000000-0005-0000-0000-0000B1030000}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 2" xfId="1012" xr:uid="{00000000-0005-0000-0000-0000B2030000}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" xfId="1013" xr:uid="{00000000-0005-0000-0000-0000B3030000}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 2" xfId="1014" xr:uid="{00000000-0005-0000-0000-0000B4030000}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_Ⅹ_課題と対応策_20121211" xfId="1015" xr:uid="{00000000-0005-0000-0000-0000B5030000}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1016" xr:uid="{00000000-0005-0000-0000-0000B6030000}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Ⅹ_課題と対応策_20121211" xfId="1017" xr:uid="{00000000-0005-0000-0000-0000B7030000}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Ⅹ_課題と対応策_20121211 2" xfId="1018" xr:uid="{00000000-0005-0000-0000-0000B8030000}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" xfId="1019" xr:uid="{00000000-0005-0000-0000-0000B9030000}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 2" xfId="1020" xr:uid="{00000000-0005-0000-0000-0000BA030000}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" xfId="1021" xr:uid="{00000000-0005-0000-0000-0000BB030000}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 2" xfId="1022" xr:uid="{00000000-0005-0000-0000-0000BC030000}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_Ⅹ_課題と対応策_20121211" xfId="1023" xr:uid="{00000000-0005-0000-0000-0000BD030000}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_Ⅹ_課題と対応策_20121211 2" xfId="1024" xr:uid="{00000000-0005-0000-0000-0000BE030000}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Ⅹ_課題と対応策_20121211" xfId="1025" xr:uid="{00000000-0005-0000-0000-0000BF030000}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Ⅹ_課題と対応策_20121211 2" xfId="1026" xr:uid="{00000000-0005-0000-0000-0000C0030000}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Ⅹ_課題と対応策_20121211" xfId="1027" xr:uid="{00000000-0005-0000-0000-0000C1030000}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Ⅹ_課題と対応策_20121211 2" xfId="1028" xr:uid="{00000000-0005-0000-0000-0000C2030000}"/>
    <cellStyle name="_【20090323_参考資料】千里導入明細資料_【20090715】千里導入明細資料_２１年度分（９月工事分）_fj_【20090721】千里導入明細資料_２１年度分（９月工事分）_ETERNUS追加_【20091225】千里導入明細資料_２２年度上期分" xfId="1029" xr:uid="{00000000-0005-0000-0000-0000C3030000}"/>
    <cellStyle name="_【20090323_参考資料】千里導入明細資料_【20090715】千里導入明細資料_２１年度分（９月工事分）_fj_【20090721】千里導入明細資料_２１年度分（９月工事分）_ETERNUS追加_【20091225】千里導入明細資料_２２年度上期分 2" xfId="1030" xr:uid="{00000000-0005-0000-0000-0000C4030000}"/>
    <cellStyle name="_【20090323_参考資料】千里導入明細資料_【20090715】千里導入明細資料_２１年度分（９月工事分）_fj_【20090721】千里導入明細資料_２１年度分（９月工事分）_ETERNUS追加_【20091225】千里導入明細資料_２２年度上期分_Ⅹ_課題と対応策_20121211" xfId="1031" xr:uid="{00000000-0005-0000-0000-0000C5030000}"/>
    <cellStyle name="_【20090323_参考資料】千里導入明細資料_【20090715】千里導入明細資料_２１年度分（９月工事分）_fj_【20090721】千里導入明細資料_２１年度分（９月工事分）_ETERNUS追加_【20091225】千里導入明細資料_２２年度上期分_Ⅹ_課題と対応策_20121211 2" xfId="1032" xr:uid="{00000000-0005-0000-0000-0000C6030000}"/>
    <cellStyle name="_【20090323_参考資料】千里導入明細資料_【20090715】千里導入明細資料_２１年度分（９月工事分）_fj_【20090721】千里導入明細資料_２１年度分（９月工事分）_ETERNUS追加_【20091225】千里導入明細資料_２２年度上期分_営業店DB" xfId="1033" xr:uid="{00000000-0005-0000-0000-0000C7030000}"/>
    <cellStyle name="_【20090323_参考資料】千里導入明細資料_【20090715】千里導入明細資料_２１年度分（９月工事分）_fj_【20090721】千里導入明細資料_２１年度分（９月工事分）_ETERNUS追加_【20091225】千里導入明細資料_２２年度上期分_営業店DB 2" xfId="1034" xr:uid="{00000000-0005-0000-0000-0000C8030000}"/>
    <cellStyle name="_【20090323_参考資料】千里導入明細資料_【20090715】千里導入明細資料_２１年度分（９月工事分）_fj_【20090721】千里導入明細資料_２１年度分（９月工事分）_ETERNUS追加_【20091225】千里導入明細資料_２２年度上期分_営業店DB_Ⅹ_課題と対応策_20121211" xfId="1035" xr:uid="{00000000-0005-0000-0000-0000C9030000}"/>
    <cellStyle name="_【20090323_参考資料】千里導入明細資料_【20090715】千里導入明細資料_２１年度分（９月工事分）_fj_【20090721】千里導入明細資料_２１年度分（９月工事分）_ETERNUS追加_【20091225】千里導入明細資料_２２年度上期分_営業店DB_Ⅹ_課題と対応策_20121211 2" xfId="1036" xr:uid="{00000000-0005-0000-0000-0000CA030000}"/>
    <cellStyle name="_【20090323_参考資料】千里導入明細資料_【20090715】千里導入明細資料_２１年度分（９月工事分）_fj_【20090721】千里導入明細資料_２１年度分（９月工事分）_ETERNUS追加_【20091225】千里導入明細資料_２２年度上期分_連携DB" xfId="1037" xr:uid="{00000000-0005-0000-0000-0000CB030000}"/>
    <cellStyle name="_【20090323_参考資料】千里導入明細資料_【20090715】千里導入明細資料_２１年度分（９月工事分）_fj_【20090721】千里導入明細資料_２１年度分（９月工事分）_ETERNUS追加_【20091225】千里導入明細資料_２２年度上期分_連携DB 2" xfId="1038" xr:uid="{00000000-0005-0000-0000-0000CC030000}"/>
    <cellStyle name="_【20090323_参考資料】千里導入明細資料_【20090715】千里導入明細資料_２１年度分（９月工事分）_fj_【20090721】千里導入明細資料_２１年度分（９月工事分）_ETERNUS追加_【20091225】千里導入明細資料_２２年度上期分_連携DB_Ⅹ_課題と対応策_20121211" xfId="1039" xr:uid="{00000000-0005-0000-0000-0000CD030000}"/>
    <cellStyle name="_【20090323_参考資料】千里導入明細資料_【20090715】千里導入明細資料_２１年度分（９月工事分）_fj_【20090721】千里導入明細資料_２１年度分（９月工事分）_ETERNUS追加_【20091225】千里導入明細資料_２２年度上期分_連携DB_Ⅹ_課題と対応策_20121211 2" xfId="1040" xr:uid="{00000000-0005-0000-0000-0000CE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" xfId="1041" xr:uid="{00000000-0005-0000-0000-0000CF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 2" xfId="1042" xr:uid="{00000000-0005-0000-0000-0000D0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（為替分）" xfId="1043" xr:uid="{00000000-0005-0000-0000-0000D1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（為替分） 2" xfId="1044" xr:uid="{00000000-0005-0000-0000-0000D2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（為替分）_Ⅹ_課題と対応策_20121211" xfId="1045" xr:uid="{00000000-0005-0000-0000-0000D3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（為替分）_Ⅹ_課題と対応策_20121211 2" xfId="1046" xr:uid="{00000000-0005-0000-0000-0000D4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" xfId="1047" xr:uid="{00000000-0005-0000-0000-0000D5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 2" xfId="1048" xr:uid="{00000000-0005-0000-0000-0000D6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" xfId="1049" xr:uid="{00000000-0005-0000-0000-0000D7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 2" xfId="1050" xr:uid="{00000000-0005-0000-0000-0000D8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_Ⅹ_課題と対応策_20121211" xfId="1051" xr:uid="{00000000-0005-0000-0000-0000D9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_Ⅹ_課題と対応策_20121211 2" xfId="1052" xr:uid="{00000000-0005-0000-0000-0000DA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Ⅹ_課題と対応策_20121211" xfId="1053" xr:uid="{00000000-0005-0000-0000-0000DB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Ⅹ_課題と対応策_20121211 2" xfId="1054" xr:uid="{00000000-0005-0000-0000-0000DC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" xfId="1055" xr:uid="{00000000-0005-0000-0000-0000DD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 2" xfId="1056" xr:uid="{00000000-0005-0000-0000-0000DE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" xfId="1057" xr:uid="{00000000-0005-0000-0000-0000DF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 2" xfId="1058" xr:uid="{00000000-0005-0000-0000-0000E0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_Ⅹ_課題と対応策_20121211" xfId="1059" xr:uid="{00000000-0005-0000-0000-0000E1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_Ⅹ_課題と対応策_20121211 2" xfId="1060" xr:uid="{00000000-0005-0000-0000-0000E2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Ⅹ_課題と対応策_20121211" xfId="1061" xr:uid="{00000000-0005-0000-0000-0000E3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Ⅹ_課題と対応策_20121211 2" xfId="1062" xr:uid="{00000000-0005-0000-0000-0000E4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" xfId="1063" xr:uid="{00000000-0005-0000-0000-0000E5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 2" xfId="1064" xr:uid="{00000000-0005-0000-0000-0000E6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" xfId="1065" xr:uid="{00000000-0005-0000-0000-0000E7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 2" xfId="1066" xr:uid="{00000000-0005-0000-0000-0000E8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_Ⅹ_課題と対応策_20121211" xfId="1067" xr:uid="{00000000-0005-0000-0000-0000E9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_Ⅹ_課題と対応策_20121211 2" xfId="1068" xr:uid="{00000000-0005-0000-0000-0000EA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Ⅹ_課題と対応策_20121211" xfId="1069" xr:uid="{00000000-0005-0000-0000-0000EB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Ⅹ_課題と対応策_20121211 2" xfId="1070" xr:uid="{00000000-0005-0000-0000-0000EC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Ⅹ_課題と対応策_20121211" xfId="1071" xr:uid="{00000000-0005-0000-0000-0000ED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Ⅹ_課題と対応策_20121211 2" xfId="1072" xr:uid="{00000000-0005-0000-0000-0000EE030000}"/>
    <cellStyle name="_【20090323_参考資料】千里導入明細資料_【20090715】千里導入明細資料_２１年度分（９月工事分）_fj_【20090721】千里導入明細資料_２１年度分（９月工事分）_ETERNUS追加_【調整中】千里導入明細資料_２２年度上期分_fj_20100127" xfId="1073" xr:uid="{00000000-0005-0000-0000-0000EF030000}"/>
    <cellStyle name="_【20090323_参考資料】千里導入明細資料_【20090715】千里導入明細資料_２１年度分（９月工事分）_fj_【20090721】千里導入明細資料_２１年度分（９月工事分）_ETERNUS追加_【調整中】千里導入明細資料_２２年度上期分_fj_20100127 2" xfId="1074" xr:uid="{00000000-0005-0000-0000-0000F0030000}"/>
    <cellStyle name="_【20090323_参考資料】千里導入明細資料_【20090715】千里導入明細資料_２１年度分（９月工事分）_fj_【20090721】千里導入明細資料_２１年度分（９月工事分）_ETERNUS追加_【調整中】千里導入明細資料_２２年度上期分_fj_20100127_Ⅹ_課題と対応策_20121211" xfId="1075" xr:uid="{00000000-0005-0000-0000-0000F1030000}"/>
    <cellStyle name="_【20090323_参考資料】千里導入明細資料_【20090715】千里導入明細資料_２１年度分（９月工事分）_fj_【20090721】千里導入明細資料_２１年度分（９月工事分）_ETERNUS追加_【調整中】千里導入明細資料_２２年度上期分_fj_20100127_Ⅹ_課題と対応策_20121211 2" xfId="1076" xr:uid="{00000000-0005-0000-0000-0000F2030000}"/>
    <cellStyle name="_【20090323_参考資料】千里導入明細資料_【20090715】千里導入明細資料_２１年度分（９月工事分）_fj_【20090721】千里導入明細資料_２１年度分（９月工事分）_ETERNUS追加_①【20091225】千里導入明細資料_２２年度上期1分)" xfId="1077" xr:uid="{00000000-0005-0000-0000-0000F3030000}"/>
    <cellStyle name="_【20090323_参考資料】千里導入明細資料_【20090715】千里導入明細資料_２１年度分（９月工事分）_fj_【20090721】千里導入明細資料_２１年度分（９月工事分）_ETERNUS追加_①【20091225】千里導入明細資料_２２年度上期1分) 2" xfId="1078" xr:uid="{00000000-0005-0000-0000-0000F4030000}"/>
    <cellStyle name="_【20090323_参考資料】千里導入明細資料_【20090715】千里導入明細資料_２１年度分（９月工事分）_fj_【20090721】千里導入明細資料_２１年度分（９月工事分）_ETERNUS追加_①【20091225】千里導入明細資料_２２年度上期1分)_Ⅹ_課題と対応策_20121211" xfId="1079" xr:uid="{00000000-0005-0000-0000-0000F5030000}"/>
    <cellStyle name="_【20090323_参考資料】千里導入明細資料_【20090715】千里導入明細資料_２１年度分（９月工事分）_fj_【20090721】千里導入明細資料_２１年度分（９月工事分）_ETERNUS追加_①【20091225】千里導入明細資料_２２年度上期1分)_Ⅹ_課題と対応策_20121211 2" xfId="1080" xr:uid="{00000000-0005-0000-0000-0000F6030000}"/>
    <cellStyle name="_【20090323_参考資料】千里導入明細資料_【20090715】千里導入明細資料_２１年度分（９月工事分）_fj_【20090721】千里導入明細資料_２１年度分（９月工事分）_ETERNUS追加_Ⅹ_課題と対応策_20121211" xfId="1081" xr:uid="{00000000-0005-0000-0000-0000F7030000}"/>
    <cellStyle name="_【20090323_参考資料】千里導入明細資料_【20090715】千里導入明細資料_２１年度分（９月工事分）_fj_【20090721】千里導入明細資料_２１年度分（９月工事分）_ETERNUS追加_Ⅹ_課題と対応策_20121211 2" xfId="1082" xr:uid="{00000000-0005-0000-0000-0000F8030000}"/>
    <cellStyle name="_【20090323_参考資料】千里導入明細資料_【20090715】千里導入明細資料_２１年度分（９月工事分）_fj_【20090721】千里導入明細資料_２１年度分（９月工事分）_ETERNUS追加_千里導入明細資料_２２年度分（ネットワーク敷設）_fj" xfId="1083" xr:uid="{00000000-0005-0000-0000-0000F9030000}"/>
    <cellStyle name="_【20090323_参考資料】千里導入明細資料_【20090715】千里導入明細資料_２１年度分（９月工事分）_fj_【20090721】千里導入明細資料_２１年度分（９月工事分）_ETERNUS追加_千里導入明細資料_２２年度分（ネットワーク敷設）_fj 2" xfId="1084" xr:uid="{00000000-0005-0000-0000-0000FA030000}"/>
    <cellStyle name="_【20090323_参考資料】千里導入明細資料_【20090715】千里導入明細資料_２１年度分（９月工事分）_fj_【20090721】千里導入明細資料_２１年度分（９月工事分）_ETERNUS追加_千里導入明細資料_２２年度分（ネットワーク敷設）_fj_Ⅹ_課題と対応策_20121211" xfId="1085" xr:uid="{00000000-0005-0000-0000-0000FB030000}"/>
    <cellStyle name="_【20090323_参考資料】千里導入明細資料_【20090715】千里導入明細資料_２１年度分（９月工事分）_fj_【20090721】千里導入明細資料_２１年度分（９月工事分）_ETERNUS追加_千里導入明細資料_２２年度分（ネットワーク敷設）_fj_Ⅹ_課題と対応策_20121211 2" xfId="1086" xr:uid="{00000000-0005-0000-0000-0000FC030000}"/>
    <cellStyle name="_【20090323_参考資料】千里導入明細資料_【20090715】千里導入明細資料_２１年度分（９月工事分）_fj_【20090721】千里導入明細資料_２１年度分_【20091218】千里導入明細資料_２１年度分（ネットワーク敷設）" xfId="1087" xr:uid="{00000000-0005-0000-0000-0000FD030000}"/>
    <cellStyle name="_【20090323_参考資料】千里導入明細資料_【20090715】千里導入明細資料_２１年度分（９月工事分）_fj_【20090721】千里導入明細資料_２１年度分_【20091218】千里導入明細資料_２１年度分（ネットワーク敷設） 2" xfId="1088" xr:uid="{00000000-0005-0000-0000-0000FE030000}"/>
    <cellStyle name="_【20090323_参考資料】千里導入明細資料_【20090715】千里導入明細資料_２１年度分（９月工事分）_fj_【20090721】千里導入明細資料_２１年度分_【20091218】千里導入明細資料_２１年度分（ネットワーク敷設）_Ⅹ_課題と対応策_20121211" xfId="1089" xr:uid="{00000000-0005-0000-0000-0000FF030000}"/>
    <cellStyle name="_【20090323_参考資料】千里導入明細資料_【20090715】千里導入明細資料_２１年度分（９月工事分）_fj_【20090721】千里導入明細資料_２１年度分_【20091218】千里導入明細資料_２１年度分（ネットワーク敷設）_Ⅹ_課題と対応策_20121211 2" xfId="1090" xr:uid="{00000000-0005-0000-0000-000000040000}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" xfId="1091" xr:uid="{00000000-0005-0000-0000-000001040000}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 2" xfId="1092" xr:uid="{00000000-0005-0000-0000-000002040000}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" xfId="1093" xr:uid="{00000000-0005-0000-0000-000003040000}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 2" xfId="1094" xr:uid="{00000000-0005-0000-0000-000004040000}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" xfId="1095" xr:uid="{00000000-0005-0000-0000-000005040000}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 2" xfId="1096" xr:uid="{00000000-0005-0000-0000-000006040000}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_Ⅹ_課題と対応策_20121211" xfId="1097" xr:uid="{00000000-0005-0000-0000-000007040000}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1098" xr:uid="{00000000-0005-0000-0000-000008040000}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Ⅹ_課題と対応策_20121211" xfId="1099" xr:uid="{00000000-0005-0000-0000-000009040000}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Ⅹ_課題と対応策_20121211 2" xfId="1100" xr:uid="{00000000-0005-0000-0000-00000A040000}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" xfId="1101" xr:uid="{00000000-0005-0000-0000-00000B040000}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 2" xfId="1102" xr:uid="{00000000-0005-0000-0000-00000C040000}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" xfId="1103" xr:uid="{00000000-0005-0000-0000-00000D040000}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 2" xfId="1104" xr:uid="{00000000-0005-0000-0000-00000E040000}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_Ⅹ_課題と対応策_20121211" xfId="1105" xr:uid="{00000000-0005-0000-0000-00000F040000}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_Ⅹ_課題と対応策_20121211 2" xfId="1106" xr:uid="{00000000-0005-0000-0000-000010040000}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Ⅹ_課題と対応策_20121211" xfId="1107" xr:uid="{00000000-0005-0000-0000-000011040000}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Ⅹ_課題と対応策_20121211 2" xfId="1108" xr:uid="{00000000-0005-0000-0000-000012040000}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Ⅹ_課題と対応策_20121211" xfId="1109" xr:uid="{00000000-0005-0000-0000-000013040000}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Ⅹ_課題と対応策_20121211 2" xfId="1110" xr:uid="{00000000-0005-0000-0000-000014040000}"/>
    <cellStyle name="_【20090323_参考資料】千里導入明細資料_【20090715】千里導入明細資料_２１年度分（９月工事分）_fj_【20090721】千里導入明細資料_２１年度分_【20091225】千里導入明細資料_２２年度上期分" xfId="1111" xr:uid="{00000000-0005-0000-0000-000015040000}"/>
    <cellStyle name="_【20090323_参考資料】千里導入明細資料_【20090715】千里導入明細資料_２１年度分（９月工事分）_fj_【20090721】千里導入明細資料_２１年度分_【20091225】千里導入明細資料_２２年度上期分 2" xfId="1112" xr:uid="{00000000-0005-0000-0000-000016040000}"/>
    <cellStyle name="_【20090323_参考資料】千里導入明細資料_【20090715】千里導入明細資料_２１年度分（９月工事分）_fj_【20090721】千里導入明細資料_２１年度分_【20091225】千里導入明細資料_２２年度上期分_Ⅹ_課題と対応策_20121211" xfId="1113" xr:uid="{00000000-0005-0000-0000-000017040000}"/>
    <cellStyle name="_【20090323_参考資料】千里導入明細資料_【20090715】千里導入明細資料_２１年度分（９月工事分）_fj_【20090721】千里導入明細資料_２１年度分_【20091225】千里導入明細資料_２２年度上期分_Ⅹ_課題と対応策_20121211 2" xfId="1114" xr:uid="{00000000-0005-0000-0000-000018040000}"/>
    <cellStyle name="_【20090323_参考資料】千里導入明細資料_【20090715】千里導入明細資料_２１年度分（９月工事分）_fj_【20090721】千里導入明細資料_２１年度分_【20091225】千里導入明細資料_２２年度上期分_営業店DB" xfId="1115" xr:uid="{00000000-0005-0000-0000-000019040000}"/>
    <cellStyle name="_【20090323_参考資料】千里導入明細資料_【20090715】千里導入明細資料_２１年度分（９月工事分）_fj_【20090721】千里導入明細資料_２１年度分_【20091225】千里導入明細資料_２２年度上期分_営業店DB 2" xfId="1116" xr:uid="{00000000-0005-0000-0000-00001A040000}"/>
    <cellStyle name="_【20090323_参考資料】千里導入明細資料_【20090715】千里導入明細資料_２１年度分（９月工事分）_fj_【20090721】千里導入明細資料_２１年度分_【20091225】千里導入明細資料_２２年度上期分_営業店DB_Ⅹ_課題と対応策_20121211" xfId="1117" xr:uid="{00000000-0005-0000-0000-00001B040000}"/>
    <cellStyle name="_【20090323_参考資料】千里導入明細資料_【20090715】千里導入明細資料_２１年度分（９月工事分）_fj_【20090721】千里導入明細資料_２１年度分_【20091225】千里導入明細資料_２２年度上期分_営業店DB_Ⅹ_課題と対応策_20121211 2" xfId="1118" xr:uid="{00000000-0005-0000-0000-00001C040000}"/>
    <cellStyle name="_【20090323_参考資料】千里導入明細資料_【20090715】千里導入明細資料_２１年度分（９月工事分）_fj_【20090721】千里導入明細資料_２１年度分_【20091225】千里導入明細資料_２２年度上期分_連携DB" xfId="1119" xr:uid="{00000000-0005-0000-0000-00001D040000}"/>
    <cellStyle name="_【20090323_参考資料】千里導入明細資料_【20090715】千里導入明細資料_２１年度分（９月工事分）_fj_【20090721】千里導入明細資料_２１年度分_【20091225】千里導入明細資料_２２年度上期分_連携DB 2" xfId="1120" xr:uid="{00000000-0005-0000-0000-00001E040000}"/>
    <cellStyle name="_【20090323_参考資料】千里導入明細資料_【20090715】千里導入明細資料_２１年度分（９月工事分）_fj_【20090721】千里導入明細資料_２１年度分_【20091225】千里導入明細資料_２２年度上期分_連携DB_Ⅹ_課題と対応策_20121211" xfId="1121" xr:uid="{00000000-0005-0000-0000-00001F040000}"/>
    <cellStyle name="_【20090323_参考資料】千里導入明細資料_【20090715】千里導入明細資料_２１年度分（９月工事分）_fj_【20090721】千里導入明細資料_２１年度分_【20091225】千里導入明細資料_２２年度上期分_連携DB_Ⅹ_課題と対応策_20121211 2" xfId="1122" xr:uid="{00000000-0005-0000-0000-000020040000}"/>
    <cellStyle name="_【20090323_参考資料】千里導入明細資料_【20090715】千里導入明細資料_２１年度分（９月工事分）_fj_【20090721】千里導入明細資料_２１年度分_【200912xx】千里導入明細資料_２２年度上期分" xfId="1123" xr:uid="{00000000-0005-0000-0000-000021040000}"/>
    <cellStyle name="_【20090323_参考資料】千里導入明細資料_【20090715】千里導入明細資料_２１年度分（９月工事分）_fj_【20090721】千里導入明細資料_２１年度分_【200912xx】千里導入明細資料_２２年度上期分 2" xfId="1124" xr:uid="{00000000-0005-0000-0000-000022040000}"/>
    <cellStyle name="_【20090323_参考資料】千里導入明細資料_【20090715】千里導入明細資料_２１年度分（９月工事分）_fj_【20090721】千里導入明細資料_２１年度分_【200912xx】千里導入明細資料_２２年度上期分（為替分）" xfId="1125" xr:uid="{00000000-0005-0000-0000-000023040000}"/>
    <cellStyle name="_【20090323_参考資料】千里導入明細資料_【20090715】千里導入明細資料_２１年度分（９月工事分）_fj_【20090721】千里導入明細資料_２１年度分_【200912xx】千里導入明細資料_２２年度上期分（為替分） 2" xfId="1126" xr:uid="{00000000-0005-0000-0000-000024040000}"/>
    <cellStyle name="_【20090323_参考資料】千里導入明細資料_【20090715】千里導入明細資料_２１年度分（９月工事分）_fj_【20090721】千里導入明細資料_２１年度分_【200912xx】千里導入明細資料_２２年度上期分（為替分）_Ⅹ_課題と対応策_20121211" xfId="1127" xr:uid="{00000000-0005-0000-0000-000025040000}"/>
    <cellStyle name="_【20090323_参考資料】千里導入明細資料_【20090715】千里導入明細資料_２１年度分（９月工事分）_fj_【20090721】千里導入明細資料_２１年度分_【200912xx】千里導入明細資料_２２年度上期分（為替分）_Ⅹ_課題と対応策_20121211 2" xfId="1128" xr:uid="{00000000-0005-0000-0000-000026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" xfId="1129" xr:uid="{00000000-0005-0000-0000-000027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 2" xfId="1130" xr:uid="{00000000-0005-0000-0000-000028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" xfId="1131" xr:uid="{00000000-0005-0000-0000-000029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 2" xfId="1132" xr:uid="{00000000-0005-0000-0000-00002A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_Ⅹ_課題と対応策_20121211" xfId="1133" xr:uid="{00000000-0005-0000-0000-00002B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_Ⅹ_課題と対応策_20121211 2" xfId="1134" xr:uid="{00000000-0005-0000-0000-00002C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Ⅹ_課題と対応策_20121211" xfId="1135" xr:uid="{00000000-0005-0000-0000-00002D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Ⅹ_課題と対応策_20121211 2" xfId="1136" xr:uid="{00000000-0005-0000-0000-00002E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_営業店DB" xfId="1137" xr:uid="{00000000-0005-0000-0000-00002F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_営業店DB 2" xfId="1138" xr:uid="{00000000-0005-0000-0000-000030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" xfId="1139" xr:uid="{00000000-0005-0000-0000-000031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 2" xfId="1140" xr:uid="{00000000-0005-0000-0000-000032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_Ⅹ_課題と対応策_20121211" xfId="1141" xr:uid="{00000000-0005-0000-0000-000033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_Ⅹ_課題と対応策_20121211 2" xfId="1142" xr:uid="{00000000-0005-0000-0000-000034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_営業店DB_Ⅹ_課題と対応策_20121211" xfId="1143" xr:uid="{00000000-0005-0000-0000-000035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_営業店DB_Ⅹ_課題と対応策_20121211 2" xfId="1144" xr:uid="{00000000-0005-0000-0000-000036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_連携DB" xfId="1145" xr:uid="{00000000-0005-0000-0000-000037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_連携DB 2" xfId="1146" xr:uid="{00000000-0005-0000-0000-000038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" xfId="1147" xr:uid="{00000000-0005-0000-0000-000039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 2" xfId="1148" xr:uid="{00000000-0005-0000-0000-00003A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_Ⅹ_課題と対応策_20121211" xfId="1149" xr:uid="{00000000-0005-0000-0000-00003B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_Ⅹ_課題と対応策_20121211 2" xfId="1150" xr:uid="{00000000-0005-0000-0000-00003C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_連携DB_Ⅹ_課題と対応策_20121211" xfId="1151" xr:uid="{00000000-0005-0000-0000-00003D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_連携DB_Ⅹ_課題と対応策_20121211 2" xfId="1152" xr:uid="{00000000-0005-0000-0000-00003E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Ⅹ_課題と対応策_20121211" xfId="1153" xr:uid="{00000000-0005-0000-0000-00003F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Ⅹ_課題と対応策_20121211 2" xfId="1154" xr:uid="{00000000-0005-0000-0000-000040040000}"/>
    <cellStyle name="_【20090323_参考資料】千里導入明細資料_【20090715】千里導入明細資料_２１年度分（９月工事分）_fj_【20090721】千里導入明細資料_２１年度分_【調整中】千里導入明細資料_２２年度上期分_fj_20100127" xfId="1155" xr:uid="{00000000-0005-0000-0000-000041040000}"/>
    <cellStyle name="_【20090323_参考資料】千里導入明細資料_【20090715】千里導入明細資料_２１年度分（９月工事分）_fj_【20090721】千里導入明細資料_２１年度分_【調整中】千里導入明細資料_２２年度上期分_fj_20100127 2" xfId="1156" xr:uid="{00000000-0005-0000-0000-000042040000}"/>
    <cellStyle name="_【20090323_参考資料】千里導入明細資料_【20090715】千里導入明細資料_２１年度分（９月工事分）_fj_【20090721】千里導入明細資料_２１年度分_【調整中】千里導入明細資料_２２年度上期分_fj_20100127_Ⅹ_課題と対応策_20121211" xfId="1157" xr:uid="{00000000-0005-0000-0000-000043040000}"/>
    <cellStyle name="_【20090323_参考資料】千里導入明細資料_【20090715】千里導入明細資料_２１年度分（９月工事分）_fj_【20090721】千里導入明細資料_２１年度分_【調整中】千里導入明細資料_２２年度上期分_fj_20100127_Ⅹ_課題と対応策_20121211 2" xfId="1158" xr:uid="{00000000-0005-0000-0000-000044040000}"/>
    <cellStyle name="_【20090323_参考資料】千里導入明細資料_【20090715】千里導入明細資料_２１年度分（９月工事分）_fj_【20090721】千里導入明細資料_２１年度分_①【20091225】千里導入明細資料_２２年度上期1分)" xfId="1159" xr:uid="{00000000-0005-0000-0000-000045040000}"/>
    <cellStyle name="_【20090323_参考資料】千里導入明細資料_【20090715】千里導入明細資料_２１年度分（９月工事分）_fj_【20090721】千里導入明細資料_２１年度分_①【20091225】千里導入明細資料_２２年度上期1分) 2" xfId="1160" xr:uid="{00000000-0005-0000-0000-000046040000}"/>
    <cellStyle name="_【20090323_参考資料】千里導入明細資料_【20090715】千里導入明細資料_２１年度分（９月工事分）_fj_【20090721】千里導入明細資料_２１年度分_①【20091225】千里導入明細資料_２２年度上期1分)_Ⅹ_課題と対応策_20121211" xfId="1161" xr:uid="{00000000-0005-0000-0000-000047040000}"/>
    <cellStyle name="_【20090323_参考資料】千里導入明細資料_【20090715】千里導入明細資料_２１年度分（９月工事分）_fj_【20090721】千里導入明細資料_２１年度分_①【20091225】千里導入明細資料_２２年度上期1分)_Ⅹ_課題と対応策_20121211 2" xfId="1162" xr:uid="{00000000-0005-0000-0000-000048040000}"/>
    <cellStyle name="_【20090323_参考資料】千里導入明細資料_【20090715】千里導入明細資料_２１年度分（９月工事分）_fj_【20090721】千里導入明細資料_２１年度分_Ⅹ_課題と対応策_20121211" xfId="1163" xr:uid="{00000000-0005-0000-0000-000049040000}"/>
    <cellStyle name="_【20090323_参考資料】千里導入明細資料_【20090715】千里導入明細資料_２１年度分（９月工事分）_fj_【20090721】千里導入明細資料_２１年度分_Ⅹ_課題と対応策_20121211 2" xfId="1164" xr:uid="{00000000-0005-0000-0000-00004A040000}"/>
    <cellStyle name="_【20090323_参考資料】千里導入明細資料_【20090715】千里導入明細資料_２１年度分（９月工事分）_fj_【20090721】千里導入明細資料_２１年度分_千里導入明細資料_２２年度分（ネットワーク敷設）_fj" xfId="1165" xr:uid="{00000000-0005-0000-0000-00004B040000}"/>
    <cellStyle name="_【20090323_参考資料】千里導入明細資料_【20090715】千里導入明細資料_２１年度分（９月工事分）_fj_【20090721】千里導入明細資料_２１年度分_千里導入明細資料_２２年度分（ネットワーク敷設）_fj 2" xfId="1166" xr:uid="{00000000-0005-0000-0000-00004C040000}"/>
    <cellStyle name="_【20090323_参考資料】千里導入明細資料_【20090715】千里導入明細資料_２１年度分（９月工事分）_fj_【20090721】千里導入明細資料_２１年度分_千里導入明細資料_２２年度分（ネットワーク敷設）_fj_Ⅹ_課題と対応策_20121211" xfId="1167" xr:uid="{00000000-0005-0000-0000-00004D040000}"/>
    <cellStyle name="_【20090323_参考資料】千里導入明細資料_【20090715】千里導入明細資料_２１年度分（９月工事分）_fj_【20090721】千里導入明細資料_２１年度分_千里導入明細資料_２２年度分（ネットワーク敷設）_fj_Ⅹ_課題と対応策_20121211 2" xfId="1168" xr:uid="{00000000-0005-0000-0000-00004E040000}"/>
    <cellStyle name="_【20090323_参考資料】千里導入明細資料_【20090715】千里導入明細資料_２１年度分（９月工事分）_fj_【20090821】千里ラック搭載図（NW機器）" xfId="1169" xr:uid="{00000000-0005-0000-0000-00004F040000}"/>
    <cellStyle name="_【20090323_参考資料】千里導入明細資料_【20090715】千里導入明細資料_２１年度分（９月工事分）_fj_【20090821】千里ラック搭載図（NW機器） 2" xfId="1170" xr:uid="{00000000-0005-0000-0000-000050040000}"/>
    <cellStyle name="_【20090323_参考資料】千里導入明細資料_【20090715】千里導入明細資料_２１年度分（９月工事分）_fj_【20090821】千里ラック搭載図（NW機器）_Ⅹ_課題と対応策_20121211" xfId="1171" xr:uid="{00000000-0005-0000-0000-000051040000}"/>
    <cellStyle name="_【20090323_参考資料】千里導入明細資料_【20090715】千里導入明細資料_２１年度分（９月工事分）_fj_【20090821】千里ラック搭載図（NW機器）_Ⅹ_課題と対応策_20121211 2" xfId="1172" xr:uid="{00000000-0005-0000-0000-000052040000}"/>
    <cellStyle name="_【20090323_参考資料】千里導入明細資料_【20090715】千里導入明細資料_２１年度分（９月工事分）_fj_【20091207】千里導入明細資料_２１年度分（ネットワーク敷設）" xfId="1173" xr:uid="{00000000-0005-0000-0000-000053040000}"/>
    <cellStyle name="_【20090323_参考資料】千里導入明細資料_【20090715】千里導入明細資料_２１年度分（９月工事分）_fj_【20091207】千里導入明細資料_２１年度分（ネットワーク敷設） 2" xfId="1174" xr:uid="{00000000-0005-0000-0000-000054040000}"/>
    <cellStyle name="_【20090323_参考資料】千里導入明細資料_【20090715】千里導入明細資料_２１年度分（９月工事分）_fj_【20091207】千里導入明細資料_２１年度分（ネットワーク敷設）_【20091218】千里導入明細資料_２１年度分（ネットワーク敷設）" xfId="1175" xr:uid="{00000000-0005-0000-0000-000055040000}"/>
    <cellStyle name="_【20090323_参考資料】千里導入明細資料_【20090715】千里導入明細資料_２１年度分（９月工事分）_fj_【20091207】千里導入明細資料_２１年度分（ネットワーク敷設）_【20091218】千里導入明細資料_２１年度分（ネットワーク敷設） 2" xfId="1176" xr:uid="{00000000-0005-0000-0000-000056040000}"/>
    <cellStyle name="_【20090323_参考資料】千里導入明細資料_【20090715】千里導入明細資料_２１年度分（９月工事分）_fj_【20091207】千里導入明細資料_２１年度分（ネットワーク敷設）_【20091218】千里導入明細資料_２１年度分（ネットワーク敷設）_Ⅹ_課題と対応策_20121211" xfId="1177" xr:uid="{00000000-0005-0000-0000-000057040000}"/>
    <cellStyle name="_【20090323_参考資料】千里導入明細資料_【20090715】千里導入明細資料_２１年度分（９月工事分）_fj_【20091207】千里導入明細資料_２１年度分（ネットワーク敷設）_【20091218】千里導入明細資料_２１年度分（ネットワーク敷設）_Ⅹ_課題と対応策_20121211 2" xfId="1178" xr:uid="{00000000-0005-0000-0000-000058040000}"/>
    <cellStyle name="_【20090323_参考資料】千里導入明細資料_【20090715】千里導入明細資料_２１年度分（９月工事分）_fj_【20091207】千里導入明細資料_２１年度分（ネットワーク敷設）_Ⅹ_課題と対応策_20121211" xfId="1179" xr:uid="{00000000-0005-0000-0000-000059040000}"/>
    <cellStyle name="_【20090323_参考資料】千里導入明細資料_【20090715】千里導入明細資料_２１年度分（９月工事分）_fj_【20091207】千里導入明細資料_２１年度分（ネットワーク敷設）_Ⅹ_課題と対応策_20121211 2" xfId="1180" xr:uid="{00000000-0005-0000-0000-00005A040000}"/>
    <cellStyle name="_【20090323_参考資料】千里導入明細資料_【20090715】千里導入明細資料_２１年度分（９月工事分）_fj_【20091207】千里導入明細資料_２１年度分（ネットワーク敷設）_千里導入明細資料_２２年度分（ネットワーク敷設）_fj" xfId="1181" xr:uid="{00000000-0005-0000-0000-00005B040000}"/>
    <cellStyle name="_【20090323_参考資料】千里導入明細資料_【20090715】千里導入明細資料_２１年度分（９月工事分）_fj_【20091207】千里導入明細資料_２１年度分（ネットワーク敷設）_千里導入明細資料_２２年度分（ネットワーク敷設）_fj 2" xfId="1182" xr:uid="{00000000-0005-0000-0000-00005C040000}"/>
    <cellStyle name="_【20090323_参考資料】千里導入明細資料_【20090715】千里導入明細資料_２１年度分（９月工事分）_fj_【20091207】千里導入明細資料_２１年度分（ネットワーク敷設）_千里導入明細資料_２２年度分（ネットワーク敷設）_fj_Ⅹ_課題と対応策_20121211" xfId="1183" xr:uid="{00000000-0005-0000-0000-00005D040000}"/>
    <cellStyle name="_【20090323_参考資料】千里導入明細資料_【20090715】千里導入明細資料_２１年度分（９月工事分）_fj_【20091207】千里導入明細資料_２１年度分（ネットワーク敷設）_千里導入明細資料_２２年度分（ネットワーク敷設）_fj_Ⅹ_課題と対応策_20121211 2" xfId="1184" xr:uid="{00000000-0005-0000-0000-00005E040000}"/>
    <cellStyle name="_【20090323_参考資料】千里導入明細資料_【20090715】千里導入明細資料_２１年度分（９月工事分）_fj_【20091225】千里導入明細資料_２２年度上期分（営業店ＡＰ－ＤＢ）" xfId="1185" xr:uid="{00000000-0005-0000-0000-00005F040000}"/>
    <cellStyle name="_【20090323_参考資料】千里導入明細資料_【20090715】千里導入明細資料_２１年度分（９月工事分）_fj_【20091225】千里導入明細資料_２２年度上期分（営業店ＡＰ－ＤＢ） 2" xfId="1186" xr:uid="{00000000-0005-0000-0000-000060040000}"/>
    <cellStyle name="_【20090323_参考資料】千里導入明細資料_【20090715】千里導入明細資料_２１年度分（９月工事分）_fj_【20091225】千里導入明細資料_２２年度上期分（営業店ＡＰ－ＤＢ）_【調整中】千里導入明細資料_２２年度上期分_fj_20100127" xfId="1187" xr:uid="{00000000-0005-0000-0000-000061040000}"/>
    <cellStyle name="_【20090323_参考資料】千里導入明細資料_【20090715】千里導入明細資料_２１年度分（９月工事分）_fj_【20091225】千里導入明細資料_２２年度上期分（営業店ＡＰ－ＤＢ）_【調整中】千里導入明細資料_２２年度上期分_fj_20100127 2" xfId="1188" xr:uid="{00000000-0005-0000-0000-000062040000}"/>
    <cellStyle name="_【20090323_参考資料】千里導入明細資料_【20090715】千里導入明細資料_２１年度分（９月工事分）_fj_【20091225】千里導入明細資料_２２年度上期分（営業店ＡＰ－ＤＢ）_【調整中】千里導入明細資料_２２年度上期分_fj_20100127_Ⅹ_課題と対応策_20121211" xfId="1189" xr:uid="{00000000-0005-0000-0000-000063040000}"/>
    <cellStyle name="_【20090323_参考資料】千里導入明細資料_【20090715】千里導入明細資料_２１年度分（９月工事分）_fj_【20091225】千里導入明細資料_２２年度上期分（営業店ＡＰ－ＤＢ）_【調整中】千里導入明細資料_２２年度上期分_fj_20100127_Ⅹ_課題と対応策_20121211 2" xfId="1190" xr:uid="{00000000-0005-0000-0000-000064040000}"/>
    <cellStyle name="_【20090323_参考資料】千里導入明細資料_【20090715】千里導入明細資料_２１年度分（９月工事分）_fj_【20091225】千里導入明細資料_２２年度上期分（営業店ＡＰ－ＤＢ）_Ⅹ_課題と対応策_20121211" xfId="1191" xr:uid="{00000000-0005-0000-0000-000065040000}"/>
    <cellStyle name="_【20090323_参考資料】千里導入明細資料_【20090715】千里導入明細資料_２１年度分（９月工事分）_fj_【20091225】千里導入明細資料_２２年度上期分（営業店ＡＰ－ＤＢ）_Ⅹ_課題と対応策_20121211 2" xfId="1192" xr:uid="{00000000-0005-0000-0000-000066040000}"/>
    <cellStyle name="_【20090323_参考資料】千里導入明細資料_【20090715】千里導入明細資料_２１年度分（９月工事分）_fj_【20091225】千里導入明細資料_２２年度上期分_営業店DB" xfId="1193" xr:uid="{00000000-0005-0000-0000-000067040000}"/>
    <cellStyle name="_【20090323_参考資料】千里導入明細資料_【20090715】千里導入明細資料_２１年度分（９月工事分）_fj_【20091225】千里導入明細資料_２２年度上期分_営業店DB 2" xfId="1194" xr:uid="{00000000-0005-0000-0000-000068040000}"/>
    <cellStyle name="_【20090323_参考資料】千里導入明細資料_【20090715】千里導入明細資料_２１年度分（９月工事分）_fj_【20091225】千里導入明細資料_２２年度上期分_営業店DB_【調整中】千里導入明細資料_２２年度上期分_fj_20100127" xfId="1195" xr:uid="{00000000-0005-0000-0000-000069040000}"/>
    <cellStyle name="_【20090323_参考資料】千里導入明細資料_【20090715】千里導入明細資料_２１年度分（９月工事分）_fj_【20091225】千里導入明細資料_２２年度上期分_営業店DB_【調整中】千里導入明細資料_２２年度上期分_fj_20100127 2" xfId="1196" xr:uid="{00000000-0005-0000-0000-00006A040000}"/>
    <cellStyle name="_【20090323_参考資料】千里導入明細資料_【20090715】千里導入明細資料_２１年度分（９月工事分）_fj_【20091225】千里導入明細資料_２２年度上期分_営業店DB_【調整中】千里導入明細資料_２２年度上期分_fj_20100127_Ⅹ_課題と対応策_20121211" xfId="1197" xr:uid="{00000000-0005-0000-0000-00006B040000}"/>
    <cellStyle name="_【20090323_参考資料】千里導入明細資料_【20090715】千里導入明細資料_２１年度分（９月工事分）_fj_【20091225】千里導入明細資料_２２年度上期分_営業店DB_【調整中】千里導入明細資料_２２年度上期分_fj_20100127_Ⅹ_課題と対応策_20121211 2" xfId="1198" xr:uid="{00000000-0005-0000-0000-00006C040000}"/>
    <cellStyle name="_【20090323_参考資料】千里導入明細資料_【20090715】千里導入明細資料_２１年度分（９月工事分）_fj_【20091225】千里導入明細資料_２２年度上期分_営業店DB_Ⅹ_課題と対応策_20121211" xfId="1199" xr:uid="{00000000-0005-0000-0000-00006D040000}"/>
    <cellStyle name="_【20090323_参考資料】千里導入明細資料_【20090715】千里導入明細資料_２１年度分（９月工事分）_fj_【20091225】千里導入明細資料_２２年度上期分_営業店DB_Ⅹ_課題と対応策_20121211 2" xfId="1200" xr:uid="{00000000-0005-0000-0000-00006E040000}"/>
    <cellStyle name="_【20090323_参考資料】千里導入明細資料_【20090715】千里導入明細資料_２１年度分（９月工事分）_fj_【20091225】千里導入明細資料_２２年度上期分_連携DB" xfId="1201" xr:uid="{00000000-0005-0000-0000-00006F040000}"/>
    <cellStyle name="_【20090323_参考資料】千里導入明細資料_【20090715】千里導入明細資料_２１年度分（９月工事分）_fj_【20091225】千里導入明細資料_２２年度上期分_連携DB 2" xfId="1202" xr:uid="{00000000-0005-0000-0000-000070040000}"/>
    <cellStyle name="_【20090323_参考資料】千里導入明細資料_【20090715】千里導入明細資料_２１年度分（９月工事分）_fj_【20091225】千里導入明細資料_２２年度上期分_連携DB_【調整中】千里導入明細資料_２２年度上期分_fj_20100127" xfId="1203" xr:uid="{00000000-0005-0000-0000-000071040000}"/>
    <cellStyle name="_【20090323_参考資料】千里導入明細資料_【20090715】千里導入明細資料_２１年度分（９月工事分）_fj_【20091225】千里導入明細資料_２２年度上期分_連携DB_【調整中】千里導入明細資料_２２年度上期分_fj_20100127 2" xfId="1204" xr:uid="{00000000-0005-0000-0000-000072040000}"/>
    <cellStyle name="_【20090323_参考資料】千里導入明細資料_【20090715】千里導入明細資料_２１年度分（９月工事分）_fj_【20091225】千里導入明細資料_２２年度上期分_連携DB_【調整中】千里導入明細資料_２２年度上期分_fj_20100127_Ⅹ_課題と対応策_20121211" xfId="1205" xr:uid="{00000000-0005-0000-0000-000073040000}"/>
    <cellStyle name="_【20090323_参考資料】千里導入明細資料_【20090715】千里導入明細資料_２１年度分（９月工事分）_fj_【20091225】千里導入明細資料_２２年度上期分_連携DB_【調整中】千里導入明細資料_２２年度上期分_fj_20100127_Ⅹ_課題と対応策_20121211 2" xfId="1206" xr:uid="{00000000-0005-0000-0000-000074040000}"/>
    <cellStyle name="_【20090323_参考資料】千里導入明細資料_【20090715】千里導入明細資料_２１年度分（９月工事分）_fj_【20091225】千里導入明細資料_２２年度上期分_連携DB_Ⅹ_課題と対応策_20121211" xfId="1207" xr:uid="{00000000-0005-0000-0000-000075040000}"/>
    <cellStyle name="_【20090323_参考資料】千里導入明細資料_【20090715】千里導入明細資料_２１年度分（９月工事分）_fj_【20091225】千里導入明細資料_２２年度上期分_連携DB_Ⅹ_課題と対応策_20121211 2" xfId="1208" xr:uid="{00000000-0005-0000-0000-000076040000}"/>
    <cellStyle name="_【20090323_参考資料】千里導入明細資料_【20090715】千里導入明細資料_２１年度分（９月工事分）_fj_【作成中】千里センター機器配置図（2010年対応分）_20091221" xfId="1209" xr:uid="{00000000-0005-0000-0000-000077040000}"/>
    <cellStyle name="_【20090323_参考資料】千里導入明細資料_【20090715】千里導入明細資料_２１年度分（９月工事分）_fj_【作成中】千里センター機器配置図（2010年対応分）_20091221 2" xfId="1210" xr:uid="{00000000-0005-0000-0000-000078040000}"/>
    <cellStyle name="_【20090323_参考資料】千里導入明細資料_【20090715】千里導入明細資料_２１年度分（９月工事分）_fj_【作成中】千里センター機器配置図（2010年対応分）_20091221_【調整中】千里導入明細資料_２２年度上期分_fj_20100127" xfId="1211" xr:uid="{00000000-0005-0000-0000-000079040000}"/>
    <cellStyle name="_【20090323_参考資料】千里導入明細資料_【20090715】千里導入明細資料_２１年度分（９月工事分）_fj_【作成中】千里センター機器配置図（2010年対応分）_20091221_【調整中】千里導入明細資料_２２年度上期分_fj_20100127 2" xfId="1212" xr:uid="{00000000-0005-0000-0000-00007A040000}"/>
    <cellStyle name="_【20090323_参考資料】千里導入明細資料_【20090715】千里導入明細資料_２１年度分（９月工事分）_fj_【作成中】千里センター機器配置図（2010年対応分）_20091221_【調整中】千里導入明細資料_２２年度上期分_fj_20100127_Ⅹ_課題と対応策_20121211" xfId="1213" xr:uid="{00000000-0005-0000-0000-00007B040000}"/>
    <cellStyle name="_【20090323_参考資料】千里導入明細資料_【20090715】千里導入明細資料_２１年度分（９月工事分）_fj_【作成中】千里センター機器配置図（2010年対応分）_20091221_【調整中】千里導入明細資料_２２年度上期分_fj_20100127_Ⅹ_課題と対応策_20121211 2" xfId="1214" xr:uid="{00000000-0005-0000-0000-00007C040000}"/>
    <cellStyle name="_【20090323_参考資料】千里導入明細資料_【20090715】千里導入明細資料_２１年度分（９月工事分）_fj_【作成中】千里センター機器配置図（2010年対応分）_20091221_Ⅹ_課題と対応策_20121211" xfId="1215" xr:uid="{00000000-0005-0000-0000-00007D040000}"/>
    <cellStyle name="_【20090323_参考資料】千里導入明細資料_【20090715】千里導入明細資料_２１年度分（９月工事分）_fj_【作成中】千里センター機器配置図（2010年対応分）_20091221_Ⅹ_課題と対応策_20121211 2" xfId="1216" xr:uid="{00000000-0005-0000-0000-00007E040000}"/>
    <cellStyle name="_【20090323_参考資料】千里導入明細資料_【20090715】千里導入明細資料_２１年度分（９月工事分）_fj_Ⅹ_課題と対応策_20121211" xfId="1217" xr:uid="{00000000-0005-0000-0000-00007F040000}"/>
    <cellStyle name="_【20090323_参考資料】千里導入明細資料_【20090715】千里導入明細資料_２１年度分（９月工事分）_fj_Ⅹ_課題と対応策_20121211 2" xfId="1218" xr:uid="{00000000-0005-0000-0000-000080040000}"/>
    <cellStyle name="_【20090323_参考資料】千里導入明細資料_【20090715】千里導入明細資料_２１年度分（９月工事分）_fj_千里センター機器構築スケジュール（８月分）_20090731" xfId="1219" xr:uid="{00000000-0005-0000-0000-000081040000}"/>
    <cellStyle name="_【20090323_参考資料】千里導入明細資料_【20090715】千里導入明細資料_２１年度分（９月工事分）_fj_千里センター機器構築スケジュール（８月分）_20090731 2" xfId="1220" xr:uid="{00000000-0005-0000-0000-000082040000}"/>
    <cellStyle name="_【20090323_参考資料】千里導入明細資料_【20090715】千里導入明細資料_２１年度分（９月工事分）_fj_千里センター機器構築スケジュール（８月分）_20090731_【20090731】千里導入明細資料_２１年度分（９月工事分）" xfId="1221" xr:uid="{00000000-0005-0000-0000-000083040000}"/>
    <cellStyle name="_【20090323_参考資料】千里導入明細資料_【20090715】千里導入明細資料_２１年度分（９月工事分）_fj_千里センター機器構築スケジュール（８月分）_20090731_【20090731】千里導入明細資料_２１年度分（９月工事分） 2" xfId="1222" xr:uid="{00000000-0005-0000-0000-000084040000}"/>
    <cellStyle name="_【20090323_参考資料】千里導入明細資料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" xfId="1223" xr:uid="{00000000-0005-0000-0000-000085040000}"/>
    <cellStyle name="_【20090323_参考資料】千里導入明細資料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 2" xfId="1224" xr:uid="{00000000-0005-0000-0000-000086040000}"/>
    <cellStyle name="_【20090323_参考資料】千里導入明細資料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_Ⅹ_課題と対応策_20121211" xfId="1225" xr:uid="{00000000-0005-0000-0000-000087040000}"/>
    <cellStyle name="_【20090323_参考資料】千里導入明細資料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_Ⅹ_課題と対応策_20121211 2" xfId="1226" xr:uid="{00000000-0005-0000-0000-000088040000}"/>
    <cellStyle name="_【20090323_参考資料】千里導入明細資料_【20090715】千里導入明細資料_２１年度分（９月工事分）_fj_千里センター機器構築スケジュール（８月分）_20090731_【20090731】千里導入明細資料_２１年度分（９月工事分）_Ⅹ_課題と対応策_20121211" xfId="1227" xr:uid="{00000000-0005-0000-0000-000089040000}"/>
    <cellStyle name="_【20090323_参考資料】千里導入明細資料_【20090715】千里導入明細資料_２１年度分（９月工事分）_fj_千里センター機器構築スケジュール（８月分）_20090731_【20090731】千里導入明細資料_２１年度分（９月工事分）_Ⅹ_課題と対応策_20121211 2" xfId="1228" xr:uid="{00000000-0005-0000-0000-00008A040000}"/>
    <cellStyle name="_【20090323_参考資料】千里導入明細資料_【20090715】千里導入明細資料_２１年度分（９月工事分）_fj_千里センター機器構築スケジュール（８月分）_20090731_【20090821】千里ラック搭載図（NW機器）" xfId="1229" xr:uid="{00000000-0005-0000-0000-00008B040000}"/>
    <cellStyle name="_【20090323_参考資料】千里導入明細資料_【20090715】千里導入明細資料_２１年度分（９月工事分）_fj_千里センター機器構築スケジュール（８月分）_20090731_【20090821】千里ラック搭載図（NW機器） 2" xfId="1230" xr:uid="{00000000-0005-0000-0000-00008C040000}"/>
    <cellStyle name="_【20090323_参考資料】千里導入明細資料_【20090715】千里導入明細資料_２１年度分（９月工事分）_fj_千里センター機器構築スケジュール（８月分）_20090731_【20090821】千里ラック搭載図（NW機器）_Ⅹ_課題と対応策_20121211" xfId="1231" xr:uid="{00000000-0005-0000-0000-00008D040000}"/>
    <cellStyle name="_【20090323_参考資料】千里導入明細資料_【20090715】千里導入明細資料_２１年度分（９月工事分）_fj_千里センター機器構築スケジュール（８月分）_20090731_【20090821】千里ラック搭載図（NW機器）_Ⅹ_課題と対応策_20121211 2" xfId="1232" xr:uid="{00000000-0005-0000-0000-00008E040000}"/>
    <cellStyle name="_【20090323_参考資料】千里導入明細資料_【20090715】千里導入明細資料_２１年度分（９月工事分）_fj_千里センター機器構築スケジュール（８月分）_20090731_【20091218】千里導入明細資料_２１年度分（ネットワーク敷設）" xfId="1233" xr:uid="{00000000-0005-0000-0000-00008F040000}"/>
    <cellStyle name="_【20090323_参考資料】千里導入明細資料_【20090715】千里導入明細資料_２１年度分（９月工事分）_fj_千里センター機器構築スケジュール（８月分）_20090731_【20091218】千里導入明細資料_２１年度分（ネットワーク敷設） 2" xfId="1234" xr:uid="{00000000-0005-0000-0000-000090040000}"/>
    <cellStyle name="_【20090323_参考資料】千里導入明細資料_【20090715】千里導入明細資料_２１年度分（９月工事分）_fj_千里センター機器構築スケジュール（８月分）_20090731_【20091218】千里導入明細資料_２１年度分（ネットワーク敷設）_Ⅹ_課題と対応策_20121211" xfId="1235" xr:uid="{00000000-0005-0000-0000-000091040000}"/>
    <cellStyle name="_【20090323_参考資料】千里導入明細資料_【20090715】千里導入明細資料_２１年度分（９月工事分）_fj_千里センター機器構築スケジュール（８月分）_20090731_【20091218】千里導入明細資料_２１年度分（ネットワーク敷設）_Ⅹ_課題と対応策_20121211 2" xfId="1236" xr:uid="{00000000-0005-0000-0000-000092040000}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" xfId="1237" xr:uid="{00000000-0005-0000-0000-000093040000}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 2" xfId="1238" xr:uid="{00000000-0005-0000-0000-000094040000}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" xfId="1239" xr:uid="{00000000-0005-0000-0000-000095040000}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 2" xfId="1240" xr:uid="{00000000-0005-0000-0000-000096040000}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" xfId="1241" xr:uid="{00000000-0005-0000-0000-000097040000}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 2" xfId="1242" xr:uid="{00000000-0005-0000-0000-000098040000}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_Ⅹ_課題と対応策_20121211" xfId="1243" xr:uid="{00000000-0005-0000-0000-000099040000}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1244" xr:uid="{00000000-0005-0000-0000-00009A040000}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Ⅹ_課題と対応策_20121211" xfId="1245" xr:uid="{00000000-0005-0000-0000-00009B040000}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Ⅹ_課題と対応策_20121211 2" xfId="1246" xr:uid="{00000000-0005-0000-0000-00009C040000}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" xfId="1247" xr:uid="{00000000-0005-0000-0000-00009D040000}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 2" xfId="1248" xr:uid="{00000000-0005-0000-0000-00009E040000}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" xfId="1249" xr:uid="{00000000-0005-0000-0000-00009F040000}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 2" xfId="1250" xr:uid="{00000000-0005-0000-0000-0000A0040000}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_Ⅹ_課題と対応策_20121211" xfId="1251" xr:uid="{00000000-0005-0000-0000-0000A1040000}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_Ⅹ_課題と対応策_20121211 2" xfId="1252" xr:uid="{00000000-0005-0000-0000-0000A2040000}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Ⅹ_課題と対応策_20121211" xfId="1253" xr:uid="{00000000-0005-0000-0000-0000A3040000}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Ⅹ_課題と対応策_20121211 2" xfId="1254" xr:uid="{00000000-0005-0000-0000-0000A4040000}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Ⅹ_課題と対応策_20121211" xfId="1255" xr:uid="{00000000-0005-0000-0000-0000A5040000}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Ⅹ_課題と対応策_20121211 2" xfId="1256" xr:uid="{00000000-0005-0000-0000-0000A6040000}"/>
    <cellStyle name="_【20090323_参考資料】千里導入明細資料_【20090715】千里導入明細資料_２１年度分（９月工事分）_fj_千里センター機器構築スケジュール（８月分）_20090731_【20091225】千里導入明細資料_２２年度上期分" xfId="1257" xr:uid="{00000000-0005-0000-0000-0000A7040000}"/>
    <cellStyle name="_【20090323_参考資料】千里導入明細資料_【20090715】千里導入明細資料_２１年度分（９月工事分）_fj_千里センター機器構築スケジュール（８月分）_20090731_【20091225】千里導入明細資料_２２年度上期分 2" xfId="1258" xr:uid="{00000000-0005-0000-0000-0000A8040000}"/>
    <cellStyle name="_【20090323_参考資料】千里導入明細資料_【20090715】千里導入明細資料_２１年度分（９月工事分）_fj_千里センター機器構築スケジュール（８月分）_20090731_【20091225】千里導入明細資料_２２年度上期分_Ⅹ_課題と対応策_20121211" xfId="1259" xr:uid="{00000000-0005-0000-0000-0000A9040000}"/>
    <cellStyle name="_【20090323_参考資料】千里導入明細資料_【20090715】千里導入明細資料_２１年度分（９月工事分）_fj_千里センター機器構築スケジュール（８月分）_20090731_【20091225】千里導入明細資料_２２年度上期分_Ⅹ_課題と対応策_20121211 2" xfId="1260" xr:uid="{00000000-0005-0000-0000-0000AA040000}"/>
    <cellStyle name="_【20090323_参考資料】千里導入明細資料_【20090715】千里導入明細資料_２１年度分（９月工事分）_fj_千里センター機器構築スケジュール（８月分）_20090731_【20091225】千里導入明細資料_２２年度上期分_営業店DB" xfId="1261" xr:uid="{00000000-0005-0000-0000-0000AB040000}"/>
    <cellStyle name="_【20090323_参考資料】千里導入明細資料_【20090715】千里導入明細資料_２１年度分（９月工事分）_fj_千里センター機器構築スケジュール（８月分）_20090731_【20091225】千里導入明細資料_２２年度上期分_営業店DB 2" xfId="1262" xr:uid="{00000000-0005-0000-0000-0000AC040000}"/>
    <cellStyle name="_【20090323_参考資料】千里導入明細資料_【20090715】千里導入明細資料_２１年度分（９月工事分）_fj_千里センター機器構築スケジュール（８月分）_20090731_【20091225】千里導入明細資料_２２年度上期分_営業店DB_Ⅹ_課題と対応策_20121211" xfId="1263" xr:uid="{00000000-0005-0000-0000-0000AD040000}"/>
    <cellStyle name="_【20090323_参考資料】千里導入明細資料_【20090715】千里導入明細資料_２１年度分（９月工事分）_fj_千里センター機器構築スケジュール（８月分）_20090731_【20091225】千里導入明細資料_２２年度上期分_営業店DB_Ⅹ_課題と対応策_20121211 2" xfId="1264" xr:uid="{00000000-0005-0000-0000-0000AE040000}"/>
    <cellStyle name="_【20090323_参考資料】千里導入明細資料_【20090715】千里導入明細資料_２１年度分（９月工事分）_fj_千里センター機器構築スケジュール（８月分）_20090731_【20091225】千里導入明細資料_２２年度上期分_連携DB" xfId="1265" xr:uid="{00000000-0005-0000-0000-0000AF040000}"/>
    <cellStyle name="_【20090323_参考資料】千里導入明細資料_【20090715】千里導入明細資料_２１年度分（９月工事分）_fj_千里センター機器構築スケジュール（８月分）_20090731_【20091225】千里導入明細資料_２２年度上期分_連携DB 2" xfId="1266" xr:uid="{00000000-0005-0000-0000-0000B0040000}"/>
    <cellStyle name="_【20090323_参考資料】千里導入明細資料_【20090715】千里導入明細資料_２１年度分（９月工事分）_fj_千里センター機器構築スケジュール（８月分）_20090731_【20091225】千里導入明細資料_２２年度上期分_連携DB_Ⅹ_課題と対応策_20121211" xfId="1267" xr:uid="{00000000-0005-0000-0000-0000B1040000}"/>
    <cellStyle name="_【20090323_参考資料】千里導入明細資料_【20090715】千里導入明細資料_２１年度分（９月工事分）_fj_千里センター機器構築スケジュール（８月分）_20090731_【20091225】千里導入明細資料_２２年度上期分_連携DB_Ⅹ_課題と対応策_20121211 2" xfId="1268" xr:uid="{00000000-0005-0000-0000-0000B2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" xfId="1269" xr:uid="{00000000-0005-0000-0000-0000B3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 2" xfId="1270" xr:uid="{00000000-0005-0000-0000-0000B4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（為替分）" xfId="1271" xr:uid="{00000000-0005-0000-0000-0000B5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（為替分） 2" xfId="1272" xr:uid="{00000000-0005-0000-0000-0000B6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（為替分）_Ⅹ_課題と対応策_20121211" xfId="1273" xr:uid="{00000000-0005-0000-0000-0000B7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（為替分）_Ⅹ_課題と対応策_20121211 2" xfId="1274" xr:uid="{00000000-0005-0000-0000-0000B8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" xfId="1275" xr:uid="{00000000-0005-0000-0000-0000B9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 2" xfId="1276" xr:uid="{00000000-0005-0000-0000-0000BA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" xfId="1277" xr:uid="{00000000-0005-0000-0000-0000BB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 2" xfId="1278" xr:uid="{00000000-0005-0000-0000-0000BC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_Ⅹ_課題と対応策_20121211" xfId="1279" xr:uid="{00000000-0005-0000-0000-0000BD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_Ⅹ_課題と対応策_20121211 2" xfId="1280" xr:uid="{00000000-0005-0000-0000-0000BE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Ⅹ_課題と対応策_20121211" xfId="1281" xr:uid="{00000000-0005-0000-0000-0000BF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Ⅹ_課題と対応策_20121211 2" xfId="1282" xr:uid="{00000000-0005-0000-0000-0000C0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" xfId="1283" xr:uid="{00000000-0005-0000-0000-0000C1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 2" xfId="1284" xr:uid="{00000000-0005-0000-0000-0000C2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" xfId="1285" xr:uid="{00000000-0005-0000-0000-0000C3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 2" xfId="1286" xr:uid="{00000000-0005-0000-0000-0000C4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_Ⅹ_課題と対応策_20121211" xfId="1287" xr:uid="{00000000-0005-0000-0000-0000C5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_Ⅹ_課題と対応策_20121211 2" xfId="1288" xr:uid="{00000000-0005-0000-0000-0000C6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Ⅹ_課題と対応策_20121211" xfId="1289" xr:uid="{00000000-0005-0000-0000-0000C7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Ⅹ_課題と対応策_20121211 2" xfId="1290" xr:uid="{00000000-0005-0000-0000-0000C8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" xfId="1291" xr:uid="{00000000-0005-0000-0000-0000C9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 2" xfId="1292" xr:uid="{00000000-0005-0000-0000-0000CA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" xfId="1293" xr:uid="{00000000-0005-0000-0000-0000CB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 2" xfId="1294" xr:uid="{00000000-0005-0000-0000-0000CC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_Ⅹ_課題と対応策_20121211" xfId="1295" xr:uid="{00000000-0005-0000-0000-0000CD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_Ⅹ_課題と対応策_20121211 2" xfId="1296" xr:uid="{00000000-0005-0000-0000-0000CE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Ⅹ_課題と対応策_20121211" xfId="1297" xr:uid="{00000000-0005-0000-0000-0000CF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Ⅹ_課題と対応策_20121211 2" xfId="1298" xr:uid="{00000000-0005-0000-0000-0000D0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Ⅹ_課題と対応策_20121211" xfId="1299" xr:uid="{00000000-0005-0000-0000-0000D1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Ⅹ_課題と対応策_20121211 2" xfId="1300" xr:uid="{00000000-0005-0000-0000-0000D2040000}"/>
    <cellStyle name="_【20090323_参考資料】千里導入明細資料_【20090715】千里導入明細資料_２１年度分（９月工事分）_fj_千里センター機器構築スケジュール（８月分）_20090731_【調整中】千里導入明細資料_２２年度上期分_fj_20100127" xfId="1301" xr:uid="{00000000-0005-0000-0000-0000D3040000}"/>
    <cellStyle name="_【20090323_参考資料】千里導入明細資料_【20090715】千里導入明細資料_２１年度分（９月工事分）_fj_千里センター機器構築スケジュール（８月分）_20090731_【調整中】千里導入明細資料_２２年度上期分_fj_20100127 2" xfId="1302" xr:uid="{00000000-0005-0000-0000-0000D4040000}"/>
    <cellStyle name="_【20090323_参考資料】千里導入明細資料_【20090715】千里導入明細資料_２１年度分（９月工事分）_fj_千里センター機器構築スケジュール（８月分）_20090731_【調整中】千里導入明細資料_２２年度上期分_fj_20100127_Ⅹ_課題と対応策_20121211" xfId="1303" xr:uid="{00000000-0005-0000-0000-0000D5040000}"/>
    <cellStyle name="_【20090323_参考資料】千里導入明細資料_【20090715】千里導入明細資料_２１年度分（９月工事分）_fj_千里センター機器構築スケジュール（８月分）_20090731_【調整中】千里導入明細資料_２２年度上期分_fj_20100127_Ⅹ_課題と対応策_20121211 2" xfId="1304" xr:uid="{00000000-0005-0000-0000-0000D6040000}"/>
    <cellStyle name="_【20090323_参考資料】千里導入明細資料_【20090715】千里導入明細資料_２１年度分（９月工事分）_fj_千里センター機器構築スケジュール（８月分）_20090731_①【20091225】千里導入明細資料_２２年度上期1分)" xfId="1305" xr:uid="{00000000-0005-0000-0000-0000D7040000}"/>
    <cellStyle name="_【20090323_参考資料】千里導入明細資料_【20090715】千里導入明細資料_２１年度分（９月工事分）_fj_千里センター機器構築スケジュール（８月分）_20090731_①【20091225】千里導入明細資料_２２年度上期1分) 2" xfId="1306" xr:uid="{00000000-0005-0000-0000-0000D8040000}"/>
    <cellStyle name="_【20090323_参考資料】千里導入明細資料_【20090715】千里導入明細資料_２１年度分（９月工事分）_fj_千里センター機器構築スケジュール（８月分）_20090731_①【20091225】千里導入明細資料_２２年度上期1分)_Ⅹ_課題と対応策_20121211" xfId="1307" xr:uid="{00000000-0005-0000-0000-0000D9040000}"/>
    <cellStyle name="_【20090323_参考資料】千里導入明細資料_【20090715】千里導入明細資料_２１年度分（９月工事分）_fj_千里センター機器構築スケジュール（８月分）_20090731_①【20091225】千里導入明細資料_２２年度上期1分)_Ⅹ_課題と対応策_20121211 2" xfId="1308" xr:uid="{00000000-0005-0000-0000-0000DA040000}"/>
    <cellStyle name="_【20090323_参考資料】千里導入明細資料_【20090715】千里導入明細資料_２１年度分（９月工事分）_fj_千里センター機器構築スケジュール（８月分）_20090731_Ⅹ_課題と対応策_20121211" xfId="1309" xr:uid="{00000000-0005-0000-0000-0000DB040000}"/>
    <cellStyle name="_【20090323_参考資料】千里導入明細資料_【20090715】千里導入明細資料_２１年度分（９月工事分）_fj_千里センター機器構築スケジュール（８月分）_20090731_Ⅹ_課題と対応策_20121211 2" xfId="1310" xr:uid="{00000000-0005-0000-0000-0000DC040000}"/>
    <cellStyle name="_【20090323_参考資料】千里導入明細資料_【20090715】千里導入明細資料_２１年度分（９月工事分）_fj_千里センター機器構築スケジュール（８月分）_20090731_千里導入明細資料_２２年度分（ネットワーク敷設）_fj" xfId="1311" xr:uid="{00000000-0005-0000-0000-0000DD040000}"/>
    <cellStyle name="_【20090323_参考資料】千里導入明細資料_【20090715】千里導入明細資料_２１年度分（９月工事分）_fj_千里センター機器構築スケジュール（８月分）_20090731_千里導入明細資料_２２年度分（ネットワーク敷設）_fj 2" xfId="1312" xr:uid="{00000000-0005-0000-0000-0000DE040000}"/>
    <cellStyle name="_【20090323_参考資料】千里導入明細資料_【20090715】千里導入明細資料_２１年度分（９月工事分）_fj_千里センター機器構築スケジュール（８月分）_20090731_千里導入明細資料_２２年度分（ネットワーク敷設）_fj_Ⅹ_課題と対応策_20121211" xfId="1313" xr:uid="{00000000-0005-0000-0000-0000DF040000}"/>
    <cellStyle name="_【20090323_参考資料】千里導入明細資料_【20090715】千里導入明細資料_２１年度分（９月工事分）_fj_千里センター機器構築スケジュール（８月分）_20090731_千里導入明細資料_２２年度分（ネットワーク敷設）_fj_Ⅹ_課題と対応策_20121211 2" xfId="1314" xr:uid="{00000000-0005-0000-0000-0000E0040000}"/>
    <cellStyle name="_【20090323_参考資料】千里導入明細資料_【20090724】千里導入明細資料_２１年度" xfId="1315" xr:uid="{00000000-0005-0000-0000-0000E1040000}"/>
    <cellStyle name="_【20090323_参考資料】千里導入明細資料_【20090724】千里導入明細資料_２１年度 2" xfId="1316" xr:uid="{00000000-0005-0000-0000-0000E2040000}"/>
    <cellStyle name="_【20090323_参考資料】千里導入明細資料_【20090724】千里導入明細資料_２１年度_【20091207】千里導入明細資料_２１年度分（ネットワーク敷設）" xfId="1317" xr:uid="{00000000-0005-0000-0000-0000E3040000}"/>
    <cellStyle name="_【20090323_参考資料】千里導入明細資料_【20090724】千里導入明細資料_２１年度_【20091207】千里導入明細資料_２１年度分（ネットワーク敷設） 2" xfId="1318" xr:uid="{00000000-0005-0000-0000-0000E4040000}"/>
    <cellStyle name="_【20090323_参考資料】千里導入明細資料_【20090724】千里導入明細資料_２１年度_【20091207】千里導入明細資料_２１年度分（ネットワーク敷設）_【20091218】千里導入明細資料_２１年度分（ネットワーク敷設）" xfId="1319" xr:uid="{00000000-0005-0000-0000-0000E5040000}"/>
    <cellStyle name="_【20090323_参考資料】千里導入明細資料_【20090724】千里導入明細資料_２１年度_【20091207】千里導入明細資料_２１年度分（ネットワーク敷設）_【20091218】千里導入明細資料_２１年度分（ネットワーク敷設） 2" xfId="1320" xr:uid="{00000000-0005-0000-0000-0000E6040000}"/>
    <cellStyle name="_【20090323_参考資料】千里導入明細資料_【20090724】千里導入明細資料_２１年度_【20091207】千里導入明細資料_２１年度分（ネットワーク敷設）_【20091218】千里導入明細資料_２１年度分（ネットワーク敷設）_Ⅹ_課題と対応策_20121211" xfId="1321" xr:uid="{00000000-0005-0000-0000-0000E7040000}"/>
    <cellStyle name="_【20090323_参考資料】千里導入明細資料_【20090724】千里導入明細資料_２１年度_【20091207】千里導入明細資料_２１年度分（ネットワーク敷設）_【20091218】千里導入明細資料_２１年度分（ネットワーク敷設）_Ⅹ_課題と対応策_20121211 2" xfId="1322" xr:uid="{00000000-0005-0000-0000-0000E8040000}"/>
    <cellStyle name="_【20090323_参考資料】千里導入明細資料_【20090724】千里導入明細資料_２１年度_【20091207】千里導入明細資料_２１年度分（ネットワーク敷設）_Ⅹ_課題と対応策_20121211" xfId="1323" xr:uid="{00000000-0005-0000-0000-0000E9040000}"/>
    <cellStyle name="_【20090323_参考資料】千里導入明細資料_【20090724】千里導入明細資料_２１年度_【20091207】千里導入明細資料_２１年度分（ネットワーク敷設）_Ⅹ_課題と対応策_20121211 2" xfId="1324" xr:uid="{00000000-0005-0000-0000-0000EA040000}"/>
    <cellStyle name="_【20090323_参考資料】千里導入明細資料_【20090724】千里導入明細資料_２１年度_【20091207】千里導入明細資料_２１年度分（ネットワーク敷設）_千里導入明細資料_２２年度分（ネットワーク敷設）_fj" xfId="1325" xr:uid="{00000000-0005-0000-0000-0000EB040000}"/>
    <cellStyle name="_【20090323_参考資料】千里導入明細資料_【20090724】千里導入明細資料_２１年度_【20091207】千里導入明細資料_２１年度分（ネットワーク敷設）_千里導入明細資料_２２年度分（ネットワーク敷設）_fj 2" xfId="1326" xr:uid="{00000000-0005-0000-0000-0000EC040000}"/>
    <cellStyle name="_【20090323_参考資料】千里導入明細資料_【20090724】千里導入明細資料_２１年度_【20091207】千里導入明細資料_２１年度分（ネットワーク敷設）_千里導入明細資料_２２年度分（ネットワーク敷設）_fj_Ⅹ_課題と対応策_20121211" xfId="1327" xr:uid="{00000000-0005-0000-0000-0000ED040000}"/>
    <cellStyle name="_【20090323_参考資料】千里導入明細資料_【20090724】千里導入明細資料_２１年度_【20091207】千里導入明細資料_２１年度分（ネットワーク敷設）_千里導入明細資料_２２年度分（ネットワーク敷設）_fj_Ⅹ_課題と対応策_20121211 2" xfId="1328" xr:uid="{00000000-0005-0000-0000-0000EE040000}"/>
    <cellStyle name="_【20090323_参考資料】千里導入明細資料_【20090724】千里導入明細資料_２１年度_【20091225】千里導入明細資料_２２年度上期分（営業店ＡＰ－ＤＢ）" xfId="1329" xr:uid="{00000000-0005-0000-0000-0000EF040000}"/>
    <cellStyle name="_【20090323_参考資料】千里導入明細資料_【20090724】千里導入明細資料_２１年度_【20091225】千里導入明細資料_２２年度上期分（営業店ＡＰ－ＤＢ） 2" xfId="1330" xr:uid="{00000000-0005-0000-0000-0000F0040000}"/>
    <cellStyle name="_【20090323_参考資料】千里導入明細資料_【20090724】千里導入明細資料_２１年度_【20091225】千里導入明細資料_２２年度上期分（営業店ＡＰ－ＤＢ）_【調整中】千里導入明細資料_２２年度上期分_fj_20100127" xfId="1331" xr:uid="{00000000-0005-0000-0000-0000F1040000}"/>
    <cellStyle name="_【20090323_参考資料】千里導入明細資料_【20090724】千里導入明細資料_２１年度_【20091225】千里導入明細資料_２２年度上期分（営業店ＡＰ－ＤＢ）_【調整中】千里導入明細資料_２２年度上期分_fj_20100127 2" xfId="1332" xr:uid="{00000000-0005-0000-0000-0000F2040000}"/>
    <cellStyle name="_【20090323_参考資料】千里導入明細資料_【20090724】千里導入明細資料_２１年度_【20091225】千里導入明細資料_２２年度上期分（営業店ＡＰ－ＤＢ）_【調整中】千里導入明細資料_２２年度上期分_fj_20100127_Ⅹ_課題と対応策_20121211" xfId="1333" xr:uid="{00000000-0005-0000-0000-0000F3040000}"/>
    <cellStyle name="_【20090323_参考資料】千里導入明細資料_【20090724】千里導入明細資料_２１年度_【20091225】千里導入明細資料_２２年度上期分（営業店ＡＰ－ＤＢ）_【調整中】千里導入明細資料_２２年度上期分_fj_20100127_Ⅹ_課題と対応策_20121211 2" xfId="1334" xr:uid="{00000000-0005-0000-0000-0000F4040000}"/>
    <cellStyle name="_【20090323_参考資料】千里導入明細資料_【20090724】千里導入明細資料_２１年度_【20091225】千里導入明細資料_２２年度上期分（営業店ＡＰ－ＤＢ）_Ⅹ_課題と対応策_20121211" xfId="1335" xr:uid="{00000000-0005-0000-0000-0000F5040000}"/>
    <cellStyle name="_【20090323_参考資料】千里導入明細資料_【20090724】千里導入明細資料_２１年度_【20091225】千里導入明細資料_２２年度上期分（営業店ＡＰ－ＤＢ）_Ⅹ_課題と対応策_20121211 2" xfId="1336" xr:uid="{00000000-0005-0000-0000-0000F6040000}"/>
    <cellStyle name="_【20090323_参考資料】千里導入明細資料_【20090724】千里導入明細資料_２１年度_【20091225】千里導入明細資料_２２年度上期分_営業店DB" xfId="1337" xr:uid="{00000000-0005-0000-0000-0000F7040000}"/>
    <cellStyle name="_【20090323_参考資料】千里導入明細資料_【20090724】千里導入明細資料_２１年度_【20091225】千里導入明細資料_２２年度上期分_営業店DB 2" xfId="1338" xr:uid="{00000000-0005-0000-0000-0000F8040000}"/>
    <cellStyle name="_【20090323_参考資料】千里導入明細資料_【20090724】千里導入明細資料_２１年度_【20091225】千里導入明細資料_２２年度上期分_営業店DB_【調整中】千里導入明細資料_２２年度上期分_fj_20100127" xfId="1339" xr:uid="{00000000-0005-0000-0000-0000F9040000}"/>
    <cellStyle name="_【20090323_参考資料】千里導入明細資料_【20090724】千里導入明細資料_２１年度_【20091225】千里導入明細資料_２２年度上期分_営業店DB_【調整中】千里導入明細資料_２２年度上期分_fj_20100127 2" xfId="1340" xr:uid="{00000000-0005-0000-0000-0000FA040000}"/>
    <cellStyle name="_【20090323_参考資料】千里導入明細資料_【20090724】千里導入明細資料_２１年度_【20091225】千里導入明細資料_２２年度上期分_営業店DB_【調整中】千里導入明細資料_２２年度上期分_fj_20100127_Ⅹ_課題と対応策_20121211" xfId="1341" xr:uid="{00000000-0005-0000-0000-0000FB040000}"/>
    <cellStyle name="_【20090323_参考資料】千里導入明細資料_【20090724】千里導入明細資料_２１年度_【20091225】千里導入明細資料_２２年度上期分_営業店DB_【調整中】千里導入明細資料_２２年度上期分_fj_20100127_Ⅹ_課題と対応策_20121211 2" xfId="1342" xr:uid="{00000000-0005-0000-0000-0000FC040000}"/>
    <cellStyle name="_【20090323_参考資料】千里導入明細資料_【20090724】千里導入明細資料_２１年度_【20091225】千里導入明細資料_２２年度上期分_営業店DB_Ⅹ_課題と対応策_20121211" xfId="1343" xr:uid="{00000000-0005-0000-0000-0000FD040000}"/>
    <cellStyle name="_【20090323_参考資料】千里導入明細資料_【20090724】千里導入明細資料_２１年度_【20091225】千里導入明細資料_２２年度上期分_営業店DB_Ⅹ_課題と対応策_20121211 2" xfId="1344" xr:uid="{00000000-0005-0000-0000-0000FE040000}"/>
    <cellStyle name="_【20090323_参考資料】千里導入明細資料_【20090724】千里導入明細資料_２１年度_【20091225】千里導入明細資料_２２年度上期分_連携DB" xfId="1345" xr:uid="{00000000-0005-0000-0000-0000FF040000}"/>
    <cellStyle name="_【20090323_参考資料】千里導入明細資料_【20090724】千里導入明細資料_２１年度_【20091225】千里導入明細資料_２２年度上期分_連携DB 2" xfId="1346" xr:uid="{00000000-0005-0000-0000-000000050000}"/>
    <cellStyle name="_【20090323_参考資料】千里導入明細資料_【20090724】千里導入明細資料_２１年度_【20091225】千里導入明細資料_２２年度上期分_連携DB_【調整中】千里導入明細資料_２２年度上期分_fj_20100127" xfId="1347" xr:uid="{00000000-0005-0000-0000-000001050000}"/>
    <cellStyle name="_【20090323_参考資料】千里導入明細資料_【20090724】千里導入明細資料_２１年度_【20091225】千里導入明細資料_２２年度上期分_連携DB_【調整中】千里導入明細資料_２２年度上期分_fj_20100127 2" xfId="1348" xr:uid="{00000000-0005-0000-0000-000002050000}"/>
    <cellStyle name="_【20090323_参考資料】千里導入明細資料_【20090724】千里導入明細資料_２１年度_【20091225】千里導入明細資料_２２年度上期分_連携DB_【調整中】千里導入明細資料_２２年度上期分_fj_20100127_Ⅹ_課題と対応策_20121211" xfId="1349" xr:uid="{00000000-0005-0000-0000-000003050000}"/>
    <cellStyle name="_【20090323_参考資料】千里導入明細資料_【20090724】千里導入明細資料_２１年度_【20091225】千里導入明細資料_２２年度上期分_連携DB_【調整中】千里導入明細資料_２２年度上期分_fj_20100127_Ⅹ_課題と対応策_20121211 2" xfId="1350" xr:uid="{00000000-0005-0000-0000-000004050000}"/>
    <cellStyle name="_【20090323_参考資料】千里導入明細資料_【20090724】千里導入明細資料_２１年度_【20091225】千里導入明細資料_２２年度上期分_連携DB_Ⅹ_課題と対応策_20121211" xfId="1351" xr:uid="{00000000-0005-0000-0000-000005050000}"/>
    <cellStyle name="_【20090323_参考資料】千里導入明細資料_【20090724】千里導入明細資料_２１年度_【20091225】千里導入明細資料_２２年度上期分_連携DB_Ⅹ_課題と対応策_20121211 2" xfId="1352" xr:uid="{00000000-0005-0000-0000-000006050000}"/>
    <cellStyle name="_【20090323_参考資料】千里導入明細資料_【20090724】千里導入明細資料_２１年度_【作成中】千里センター機器配置図（2010年対応分）_20091221" xfId="1353" xr:uid="{00000000-0005-0000-0000-000007050000}"/>
    <cellStyle name="_【20090323_参考資料】千里導入明細資料_【20090724】千里導入明細資料_２１年度_【作成中】千里センター機器配置図（2010年対応分）_20091221 2" xfId="1354" xr:uid="{00000000-0005-0000-0000-000008050000}"/>
    <cellStyle name="_【20090323_参考資料】千里導入明細資料_【20090724】千里導入明細資料_２１年度_【作成中】千里センター機器配置図（2010年対応分）_20091221_【調整中】千里導入明細資料_２２年度上期分_fj_20100127" xfId="1355" xr:uid="{00000000-0005-0000-0000-000009050000}"/>
    <cellStyle name="_【20090323_参考資料】千里導入明細資料_【20090724】千里導入明細資料_２１年度_【作成中】千里センター機器配置図（2010年対応分）_20091221_【調整中】千里導入明細資料_２２年度上期分_fj_20100127 2" xfId="1356" xr:uid="{00000000-0005-0000-0000-00000A050000}"/>
    <cellStyle name="_【20090323_参考資料】千里導入明細資料_【20090724】千里導入明細資料_２１年度_【作成中】千里センター機器配置図（2010年対応分）_20091221_【調整中】千里導入明細資料_２２年度上期分_fj_20100127_Ⅹ_課題と対応策_20121211" xfId="1357" xr:uid="{00000000-0005-0000-0000-00000B050000}"/>
    <cellStyle name="_【20090323_参考資料】千里導入明細資料_【20090724】千里導入明細資料_２１年度_【作成中】千里センター機器配置図（2010年対応分）_20091221_【調整中】千里導入明細資料_２２年度上期分_fj_20100127_Ⅹ_課題と対応策_20121211 2" xfId="1358" xr:uid="{00000000-0005-0000-0000-00000C050000}"/>
    <cellStyle name="_【20090323_参考資料】千里導入明細資料_【20090724】千里導入明細資料_２１年度_【作成中】千里センター機器配置図（2010年対応分）_20091221_Ⅹ_課題と対応策_20121211" xfId="1359" xr:uid="{00000000-0005-0000-0000-00000D050000}"/>
    <cellStyle name="_【20090323_参考資料】千里導入明細資料_【20090724】千里導入明細資料_２１年度_【作成中】千里センター機器配置図（2010年対応分）_20091221_Ⅹ_課題と対応策_20121211 2" xfId="1360" xr:uid="{00000000-0005-0000-0000-00000E050000}"/>
    <cellStyle name="_【20090323_参考資料】千里導入明細資料_【20090724】千里導入明細資料_２１年度_Ⅹ_課題と対応策_20121211" xfId="1361" xr:uid="{00000000-0005-0000-0000-00000F050000}"/>
    <cellStyle name="_【20090323_参考資料】千里導入明細資料_【20090724】千里導入明細資料_２１年度_Ⅹ_課題と対応策_20121211 2" xfId="1362" xr:uid="{00000000-0005-0000-0000-000010050000}"/>
    <cellStyle name="_【20090323_参考資料】千里導入明細資料_【20090724】千里導入明細資料_２１年度分（９月工事分）" xfId="1363" xr:uid="{00000000-0005-0000-0000-000011050000}"/>
    <cellStyle name="_【20090323_参考資料】千里導入明細資料_【20090724】千里導入明細資料_２１年度分（９月工事分） 2" xfId="1364" xr:uid="{00000000-0005-0000-0000-000012050000}"/>
    <cellStyle name="_【20090323_参考資料】千里導入明細資料_【20090724】千里導入明細資料_２１年度分（９月工事分）_【20091207】千里導入明細資料_２１年度分（ネットワーク敷設）" xfId="1365" xr:uid="{00000000-0005-0000-0000-000013050000}"/>
    <cellStyle name="_【20090323_参考資料】千里導入明細資料_【20090724】千里導入明細資料_２１年度分（９月工事分）_【20091207】千里導入明細資料_２１年度分（ネットワーク敷設） 2" xfId="1366" xr:uid="{00000000-0005-0000-0000-000014050000}"/>
    <cellStyle name="_【20090323_参考資料】千里導入明細資料_【20090724】千里導入明細資料_２１年度分（９月工事分）_【20091207】千里導入明細資料_２１年度分（ネットワーク敷設）_【20091218】千里導入明細資料_２１年度分（ネットワーク敷設）" xfId="1367" xr:uid="{00000000-0005-0000-0000-000015050000}"/>
    <cellStyle name="_【20090323_参考資料】千里導入明細資料_【20090724】千里導入明細資料_２１年度分（９月工事分）_【20091207】千里導入明細資料_２１年度分（ネットワーク敷設）_【20091218】千里導入明細資料_２１年度分（ネットワーク敷設） 2" xfId="1368" xr:uid="{00000000-0005-0000-0000-000016050000}"/>
    <cellStyle name="_【20090323_参考資料】千里導入明細資料_【20090724】千里導入明細資料_２１年度分（９月工事分）_【20091207】千里導入明細資料_２１年度分（ネットワーク敷設）_【20091218】千里導入明細資料_２１年度分（ネットワーク敷設）_Ⅹ_課題と対応策_20121211" xfId="1369" xr:uid="{00000000-0005-0000-0000-000017050000}"/>
    <cellStyle name="_【20090323_参考資料】千里導入明細資料_【20090724】千里導入明細資料_２１年度分（９月工事分）_【20091207】千里導入明細資料_２１年度分（ネットワーク敷設）_【20091218】千里導入明細資料_２１年度分（ネットワーク敷設）_Ⅹ_課題と対応策_20121211 2" xfId="1370" xr:uid="{00000000-0005-0000-0000-000018050000}"/>
    <cellStyle name="_【20090323_参考資料】千里導入明細資料_【20090724】千里導入明細資料_２１年度分（９月工事分）_【20091207】千里導入明細資料_２１年度分（ネットワーク敷設）_Ⅹ_課題と対応策_20121211" xfId="1371" xr:uid="{00000000-0005-0000-0000-000019050000}"/>
    <cellStyle name="_【20090323_参考資料】千里導入明細資料_【20090724】千里導入明細資料_２１年度分（９月工事分）_【20091207】千里導入明細資料_２１年度分（ネットワーク敷設）_Ⅹ_課題と対応策_20121211 2" xfId="1372" xr:uid="{00000000-0005-0000-0000-00001A050000}"/>
    <cellStyle name="_【20090323_参考資料】千里導入明細資料_【20090724】千里導入明細資料_２１年度分（９月工事分）_【20091207】千里導入明細資料_２１年度分（ネットワーク敷設）_千里導入明細資料_２２年度分（ネットワーク敷設）_fj" xfId="1373" xr:uid="{00000000-0005-0000-0000-00001B050000}"/>
    <cellStyle name="_【20090323_参考資料】千里導入明細資料_【20090724】千里導入明細資料_２１年度分（９月工事分）_【20091207】千里導入明細資料_２１年度分（ネットワーク敷設）_千里導入明細資料_２２年度分（ネットワーク敷設）_fj 2" xfId="1374" xr:uid="{00000000-0005-0000-0000-00001C050000}"/>
    <cellStyle name="_【20090323_参考資料】千里導入明細資料_【20090724】千里導入明細資料_２１年度分（９月工事分）_【20091207】千里導入明細資料_２１年度分（ネットワーク敷設）_千里導入明細資料_２２年度分（ネットワーク敷設）_fj_Ⅹ_課題と対応策_20121211" xfId="1375" xr:uid="{00000000-0005-0000-0000-00001D050000}"/>
    <cellStyle name="_【20090323_参考資料】千里導入明細資料_【20090724】千里導入明細資料_２１年度分（９月工事分）_【20091207】千里導入明細資料_２１年度分（ネットワーク敷設）_千里導入明細資料_２２年度分（ネットワーク敷設）_fj_Ⅹ_課題と対応策_20121211 2" xfId="1376" xr:uid="{00000000-0005-0000-0000-00001E050000}"/>
    <cellStyle name="_【20090323_参考資料】千里導入明細資料_【20090724】千里導入明細資料_２１年度分（９月工事分）_【20091225】千里導入明細資料_２２年度上期分（営業店ＡＰ－ＤＢ）" xfId="1377" xr:uid="{00000000-0005-0000-0000-00001F050000}"/>
    <cellStyle name="_【20090323_参考資料】千里導入明細資料_【20090724】千里導入明細資料_２１年度分（９月工事分）_【20091225】千里導入明細資料_２２年度上期分（営業店ＡＰ－ＤＢ） 2" xfId="1378" xr:uid="{00000000-0005-0000-0000-000020050000}"/>
    <cellStyle name="_【20090323_参考資料】千里導入明細資料_【20090724】千里導入明細資料_２１年度分（９月工事分）_【20091225】千里導入明細資料_２２年度上期分（営業店ＡＰ－ＤＢ）_【調整中】千里導入明細資料_２２年度上期分_fj_20100127" xfId="1379" xr:uid="{00000000-0005-0000-0000-000021050000}"/>
    <cellStyle name="_【20090323_参考資料】千里導入明細資料_【20090724】千里導入明細資料_２１年度分（９月工事分）_【20091225】千里導入明細資料_２２年度上期分（営業店ＡＰ－ＤＢ）_【調整中】千里導入明細資料_２２年度上期分_fj_20100127 2" xfId="1380" xr:uid="{00000000-0005-0000-0000-000022050000}"/>
    <cellStyle name="_【20090323_参考資料】千里導入明細資料_【20090724】千里導入明細資料_２１年度分（９月工事分）_【20091225】千里導入明細資料_２２年度上期分（営業店ＡＰ－ＤＢ）_【調整中】千里導入明細資料_２２年度上期分_fj_20100127_Ⅹ_課題と対応策_20121211" xfId="1381" xr:uid="{00000000-0005-0000-0000-000023050000}"/>
    <cellStyle name="_【20090323_参考資料】千里導入明細資料_【20090724】千里導入明細資料_２１年度分（９月工事分）_【20091225】千里導入明細資料_２２年度上期分（営業店ＡＰ－ＤＢ）_【調整中】千里導入明細資料_２２年度上期分_fj_20100127_Ⅹ_課題と対応策_20121211 2" xfId="1382" xr:uid="{00000000-0005-0000-0000-000024050000}"/>
    <cellStyle name="_【20090323_参考資料】千里導入明細資料_【20090724】千里導入明細資料_２１年度分（９月工事分）_【20091225】千里導入明細資料_２２年度上期分（営業店ＡＰ－ＤＢ）_Ⅹ_課題と対応策_20121211" xfId="1383" xr:uid="{00000000-0005-0000-0000-000025050000}"/>
    <cellStyle name="_【20090323_参考資料】千里導入明細資料_【20090724】千里導入明細資料_２１年度分（９月工事分）_【20091225】千里導入明細資料_２２年度上期分（営業店ＡＰ－ＤＢ）_Ⅹ_課題と対応策_20121211 2" xfId="1384" xr:uid="{00000000-0005-0000-0000-000026050000}"/>
    <cellStyle name="_【20090323_参考資料】千里導入明細資料_【20090724】千里導入明細資料_２１年度分（９月工事分）_【20091225】千里導入明細資料_２２年度上期分_営業店DB" xfId="1385" xr:uid="{00000000-0005-0000-0000-000027050000}"/>
    <cellStyle name="_【20090323_参考資料】千里導入明細資料_【20090724】千里導入明細資料_２１年度分（９月工事分）_【20091225】千里導入明細資料_２２年度上期分_営業店DB 2" xfId="1386" xr:uid="{00000000-0005-0000-0000-000028050000}"/>
    <cellStyle name="_【20090323_参考資料】千里導入明細資料_【20090724】千里導入明細資料_２１年度分（９月工事分）_【20091225】千里導入明細資料_２２年度上期分_営業店DB_【調整中】千里導入明細資料_２２年度上期分_fj_20100127" xfId="1387" xr:uid="{00000000-0005-0000-0000-000029050000}"/>
    <cellStyle name="_【20090323_参考資料】千里導入明細資料_【20090724】千里導入明細資料_２１年度分（９月工事分）_【20091225】千里導入明細資料_２２年度上期分_営業店DB_【調整中】千里導入明細資料_２２年度上期分_fj_20100127 2" xfId="1388" xr:uid="{00000000-0005-0000-0000-00002A050000}"/>
    <cellStyle name="_【20090323_参考資料】千里導入明細資料_【20090724】千里導入明細資料_２１年度分（９月工事分）_【20091225】千里導入明細資料_２２年度上期分_営業店DB_【調整中】千里導入明細資料_２２年度上期分_fj_20100127_Ⅹ_課題と対応策_20121211" xfId="1389" xr:uid="{00000000-0005-0000-0000-00002B050000}"/>
    <cellStyle name="_【20090323_参考資料】千里導入明細資料_【20090724】千里導入明細資料_２１年度分（９月工事分）_【20091225】千里導入明細資料_２２年度上期分_営業店DB_【調整中】千里導入明細資料_２２年度上期分_fj_20100127_Ⅹ_課題と対応策_20121211 2" xfId="1390" xr:uid="{00000000-0005-0000-0000-00002C050000}"/>
    <cellStyle name="_【20090323_参考資料】千里導入明細資料_【20090724】千里導入明細資料_２１年度分（９月工事分）_【20091225】千里導入明細資料_２２年度上期分_営業店DB_Ⅹ_課題と対応策_20121211" xfId="1391" xr:uid="{00000000-0005-0000-0000-00002D050000}"/>
    <cellStyle name="_【20090323_参考資料】千里導入明細資料_【20090724】千里導入明細資料_２１年度分（９月工事分）_【20091225】千里導入明細資料_２２年度上期分_営業店DB_Ⅹ_課題と対応策_20121211 2" xfId="1392" xr:uid="{00000000-0005-0000-0000-00002E050000}"/>
    <cellStyle name="_【20090323_参考資料】千里導入明細資料_【20090724】千里導入明細資料_２１年度分（９月工事分）_【20091225】千里導入明細資料_２２年度上期分_連携DB" xfId="1393" xr:uid="{00000000-0005-0000-0000-00002F050000}"/>
    <cellStyle name="_【20090323_参考資料】千里導入明細資料_【20090724】千里導入明細資料_２１年度分（９月工事分）_【20091225】千里導入明細資料_２２年度上期分_連携DB 2" xfId="1394" xr:uid="{00000000-0005-0000-0000-000030050000}"/>
    <cellStyle name="_【20090323_参考資料】千里導入明細資料_【20090724】千里導入明細資料_２１年度分（９月工事分）_【20091225】千里導入明細資料_２２年度上期分_連携DB_【調整中】千里導入明細資料_２２年度上期分_fj_20100127" xfId="1395" xr:uid="{00000000-0005-0000-0000-000031050000}"/>
    <cellStyle name="_【20090323_参考資料】千里導入明細資料_【20090724】千里導入明細資料_２１年度分（９月工事分）_【20091225】千里導入明細資料_２２年度上期分_連携DB_【調整中】千里導入明細資料_２２年度上期分_fj_20100127 2" xfId="1396" xr:uid="{00000000-0005-0000-0000-000032050000}"/>
    <cellStyle name="_【20090323_参考資料】千里導入明細資料_【20090724】千里導入明細資料_２１年度分（９月工事分）_【20091225】千里導入明細資料_２２年度上期分_連携DB_【調整中】千里導入明細資料_２２年度上期分_fj_20100127_Ⅹ_課題と対応策_20121211" xfId="1397" xr:uid="{00000000-0005-0000-0000-000033050000}"/>
    <cellStyle name="_【20090323_参考資料】千里導入明細資料_【20090724】千里導入明細資料_２１年度分（９月工事分）_【20091225】千里導入明細資料_２２年度上期分_連携DB_【調整中】千里導入明細資料_２２年度上期分_fj_20100127_Ⅹ_課題と対応策_20121211 2" xfId="1398" xr:uid="{00000000-0005-0000-0000-000034050000}"/>
    <cellStyle name="_【20090323_参考資料】千里導入明細資料_【20090724】千里導入明細資料_２１年度分（９月工事分）_【20091225】千里導入明細資料_２２年度上期分_連携DB_Ⅹ_課題と対応策_20121211" xfId="1399" xr:uid="{00000000-0005-0000-0000-000035050000}"/>
    <cellStyle name="_【20090323_参考資料】千里導入明細資料_【20090724】千里導入明細資料_２１年度分（９月工事分）_【20091225】千里導入明細資料_２２年度上期分_連携DB_Ⅹ_課題と対応策_20121211 2" xfId="1400" xr:uid="{00000000-0005-0000-0000-000036050000}"/>
    <cellStyle name="_【20090323_参考資料】千里導入明細資料_【20090724】千里導入明細資料_２１年度分（９月工事分）_【作成中】千里センター機器配置図（2010年対応分）_20091221" xfId="1401" xr:uid="{00000000-0005-0000-0000-000037050000}"/>
    <cellStyle name="_【20090323_参考資料】千里導入明細資料_【20090724】千里導入明細資料_２１年度分（９月工事分）_【作成中】千里センター機器配置図（2010年対応分）_20091221 2" xfId="1402" xr:uid="{00000000-0005-0000-0000-000038050000}"/>
    <cellStyle name="_【20090323_参考資料】千里導入明細資料_【20090724】千里導入明細資料_２１年度分（９月工事分）_【作成中】千里センター機器配置図（2010年対応分）_20091221_【調整中】千里導入明細資料_２２年度上期分_fj_20100127" xfId="1403" xr:uid="{00000000-0005-0000-0000-000039050000}"/>
    <cellStyle name="_【20090323_参考資料】千里導入明細資料_【20090724】千里導入明細資料_２１年度分（９月工事分）_【作成中】千里センター機器配置図（2010年対応分）_20091221_【調整中】千里導入明細資料_２２年度上期分_fj_20100127 2" xfId="1404" xr:uid="{00000000-0005-0000-0000-00003A050000}"/>
    <cellStyle name="_【20090323_参考資料】千里導入明細資料_【20090724】千里導入明細資料_２１年度分（９月工事分）_【作成中】千里センター機器配置図（2010年対応分）_20091221_【調整中】千里導入明細資料_２２年度上期分_fj_20100127_Ⅹ_課題と対応策_20121211" xfId="1405" xr:uid="{00000000-0005-0000-0000-00003B050000}"/>
    <cellStyle name="_【20090323_参考資料】千里導入明細資料_【20090724】千里導入明細資料_２１年度分（９月工事分）_【作成中】千里センター機器配置図（2010年対応分）_20091221_【調整中】千里導入明細資料_２２年度上期分_fj_20100127_Ⅹ_課題と対応策_20121211 2" xfId="1406" xr:uid="{00000000-0005-0000-0000-00003C050000}"/>
    <cellStyle name="_【20090323_参考資料】千里導入明細資料_【20090724】千里導入明細資料_２１年度分（９月工事分）_【作成中】千里センター機器配置図（2010年対応分）_20091221_Ⅹ_課題と対応策_20121211" xfId="1407" xr:uid="{00000000-0005-0000-0000-00003D050000}"/>
    <cellStyle name="_【20090323_参考資料】千里導入明細資料_【20090724】千里導入明細資料_２１年度分（９月工事分）_【作成中】千里センター機器配置図（2010年対応分）_20091221_Ⅹ_課題と対応策_20121211 2" xfId="1408" xr:uid="{00000000-0005-0000-0000-00003E050000}"/>
    <cellStyle name="_【20090323_参考資料】千里導入明細資料_【20090724】千里導入明細資料_２１年度分（９月工事分）_Ⅹ_課題と対応策_20121211" xfId="1409" xr:uid="{00000000-0005-0000-0000-00003F050000}"/>
    <cellStyle name="_【20090323_参考資料】千里導入明細資料_【20090724】千里導入明細資料_２１年度分（９月工事分）_Ⅹ_課題と対応策_20121211 2" xfId="1410" xr:uid="{00000000-0005-0000-0000-000040050000}"/>
    <cellStyle name="_【20090323_参考資料】千里導入明細資料_【20090731】千里導入明細資料_２１年度分（９月工事分）" xfId="1411" xr:uid="{00000000-0005-0000-0000-000041050000}"/>
    <cellStyle name="_【20090323_参考資料】千里導入明細資料_【20090731】千里導入明細資料_２１年度分（９月工事分） 2" xfId="1412" xr:uid="{00000000-0005-0000-0000-000042050000}"/>
    <cellStyle name="_【20090323_参考資料】千里導入明細資料_【20090731】千里導入明細資料_２１年度分（９月工事分）_【20090821】千里ラック搭載図（NW機器）" xfId="1413" xr:uid="{00000000-0005-0000-0000-000043050000}"/>
    <cellStyle name="_【20090323_参考資料】千里導入明細資料_【20090731】千里導入明細資料_２１年度分（９月工事分）_【20090821】千里ラック搭載図（NW機器） 2" xfId="1414" xr:uid="{00000000-0005-0000-0000-000044050000}"/>
    <cellStyle name="_【20090323_参考資料】千里導入明細資料_【20090731】千里導入明細資料_２１年度分（９月工事分）_【20090821】千里ラック搭載図（NW機器）_Ⅹ_課題と対応策_20121211" xfId="1415" xr:uid="{00000000-0005-0000-0000-000045050000}"/>
    <cellStyle name="_【20090323_参考資料】千里導入明細資料_【20090731】千里導入明細資料_２１年度分（９月工事分）_【20090821】千里ラック搭載図（NW機器）_Ⅹ_課題と対応策_20121211 2" xfId="1416" xr:uid="{00000000-0005-0000-0000-000046050000}"/>
    <cellStyle name="_【20090323_参考資料】千里導入明細資料_【20090731】千里導入明細資料_２１年度分（９月工事分）_Ⅹ_課題と対応策_20121211" xfId="1417" xr:uid="{00000000-0005-0000-0000-000047050000}"/>
    <cellStyle name="_【20090323_参考資料】千里導入明細資料_【20090731】千里導入明細資料_２１年度分（９月工事分）_Ⅹ_課題と対応策_20121211 2" xfId="1418" xr:uid="{00000000-0005-0000-0000-000048050000}"/>
    <cellStyle name="_【20090323_参考資料】千里導入明細資料_【20090807】千里導入明細資料" xfId="1419" xr:uid="{00000000-0005-0000-0000-000049050000}"/>
    <cellStyle name="_【20090323_参考資料】千里導入明細資料_【20090807】千里導入明細資料 2" xfId="1420" xr:uid="{00000000-0005-0000-0000-00004A050000}"/>
    <cellStyle name="_【20090323_参考資料】千里導入明細資料_【20090807】千里導入明細資料_【20091207】千里導入明細資料_２１年度分（ネットワーク敷設）" xfId="1421" xr:uid="{00000000-0005-0000-0000-00004B050000}"/>
    <cellStyle name="_【20090323_参考資料】千里導入明細資料_【20090807】千里導入明細資料_【20091207】千里導入明細資料_２１年度分（ネットワーク敷設） 2" xfId="1422" xr:uid="{00000000-0005-0000-0000-00004C050000}"/>
    <cellStyle name="_【20090323_参考資料】千里導入明細資料_【20090807】千里導入明細資料_【20091207】千里導入明細資料_２１年度分（ネットワーク敷設）_【20091218】千里導入明細資料_２１年度分（ネットワーク敷設）" xfId="1423" xr:uid="{00000000-0005-0000-0000-00004D050000}"/>
    <cellStyle name="_【20090323_参考資料】千里導入明細資料_【20090807】千里導入明細資料_【20091207】千里導入明細資料_２１年度分（ネットワーク敷設）_【20091218】千里導入明細資料_２１年度分（ネットワーク敷設） 2" xfId="1424" xr:uid="{00000000-0005-0000-0000-00004E050000}"/>
    <cellStyle name="_【20090323_参考資料】千里導入明細資料_【20090807】千里導入明細資料_【20091207】千里導入明細資料_２１年度分（ネットワーク敷設）_【20091218】千里導入明細資料_２１年度分（ネットワーク敷設）_Ⅹ_課題と対応策_20121211" xfId="1425" xr:uid="{00000000-0005-0000-0000-00004F050000}"/>
    <cellStyle name="_【20090323_参考資料】千里導入明細資料_【20090807】千里導入明細資料_【20091207】千里導入明細資料_２１年度分（ネットワーク敷設）_【20091218】千里導入明細資料_２１年度分（ネットワーク敷設）_Ⅹ_課題と対応策_20121211 2" xfId="1426" xr:uid="{00000000-0005-0000-0000-000050050000}"/>
    <cellStyle name="_【20090323_参考資料】千里導入明細資料_【20090807】千里導入明細資料_【20091207】千里導入明細資料_２１年度分（ネットワーク敷設）_Ⅹ_課題と対応策_20121211" xfId="1427" xr:uid="{00000000-0005-0000-0000-000051050000}"/>
    <cellStyle name="_【20090323_参考資料】千里導入明細資料_【20090807】千里導入明細資料_【20091207】千里導入明細資料_２１年度分（ネットワーク敷設）_Ⅹ_課題と対応策_20121211 2" xfId="1428" xr:uid="{00000000-0005-0000-0000-000052050000}"/>
    <cellStyle name="_【20090323_参考資料】千里導入明細資料_【20090807】千里導入明細資料_【20091207】千里導入明細資料_２１年度分（ネットワーク敷設）_千里導入明細資料_２２年度分（ネットワーク敷設）_fj" xfId="1429" xr:uid="{00000000-0005-0000-0000-000053050000}"/>
    <cellStyle name="_【20090323_参考資料】千里導入明細資料_【20090807】千里導入明細資料_【20091207】千里導入明細資料_２１年度分（ネットワーク敷設）_千里導入明細資料_２２年度分（ネットワーク敷設）_fj 2" xfId="1430" xr:uid="{00000000-0005-0000-0000-000054050000}"/>
    <cellStyle name="_【20090323_参考資料】千里導入明細資料_【20090807】千里導入明細資料_【20091207】千里導入明細資料_２１年度分（ネットワーク敷設）_千里導入明細資料_２２年度分（ネットワーク敷設）_fj_Ⅹ_課題と対応策_20121211" xfId="1431" xr:uid="{00000000-0005-0000-0000-000055050000}"/>
    <cellStyle name="_【20090323_参考資料】千里導入明細資料_【20090807】千里導入明細資料_【20091207】千里導入明細資料_２１年度分（ネットワーク敷設）_千里導入明細資料_２２年度分（ネットワーク敷設）_fj_Ⅹ_課題と対応策_20121211 2" xfId="1432" xr:uid="{00000000-0005-0000-0000-000056050000}"/>
    <cellStyle name="_【20090323_参考資料】千里導入明細資料_【20090807】千里導入明細資料_【20091225】千里導入明細資料_２２年度上期分（営業店ＡＰ－ＤＢ）" xfId="1433" xr:uid="{00000000-0005-0000-0000-000057050000}"/>
    <cellStyle name="_【20090323_参考資料】千里導入明細資料_【20090807】千里導入明細資料_【20091225】千里導入明細資料_２２年度上期分（営業店ＡＰ－ＤＢ） 2" xfId="1434" xr:uid="{00000000-0005-0000-0000-000058050000}"/>
    <cellStyle name="_【20090323_参考資料】千里導入明細資料_【20090807】千里導入明細資料_【20091225】千里導入明細資料_２２年度上期分（営業店ＡＰ－ＤＢ）_【調整中】千里導入明細資料_２２年度上期分_fj_20100127" xfId="1435" xr:uid="{00000000-0005-0000-0000-000059050000}"/>
    <cellStyle name="_【20090323_参考資料】千里導入明細資料_【20090807】千里導入明細資料_【20091225】千里導入明細資料_２２年度上期分（営業店ＡＰ－ＤＢ）_【調整中】千里導入明細資料_２２年度上期分_fj_20100127 2" xfId="1436" xr:uid="{00000000-0005-0000-0000-00005A050000}"/>
    <cellStyle name="_【20090323_参考資料】千里導入明細資料_【20090807】千里導入明細資料_【20091225】千里導入明細資料_２２年度上期分（営業店ＡＰ－ＤＢ）_【調整中】千里導入明細資料_２２年度上期分_fj_20100127_Ⅹ_課題と対応策_20121211" xfId="1437" xr:uid="{00000000-0005-0000-0000-00005B050000}"/>
    <cellStyle name="_【20090323_参考資料】千里導入明細資料_【20090807】千里導入明細資料_【20091225】千里導入明細資料_２２年度上期分（営業店ＡＰ－ＤＢ）_【調整中】千里導入明細資料_２２年度上期分_fj_20100127_Ⅹ_課題と対応策_20121211 2" xfId="1438" xr:uid="{00000000-0005-0000-0000-00005C050000}"/>
    <cellStyle name="_【20090323_参考資料】千里導入明細資料_【20090807】千里導入明細資料_【20091225】千里導入明細資料_２２年度上期分（営業店ＡＰ－ＤＢ）_Ⅹ_課題と対応策_20121211" xfId="1439" xr:uid="{00000000-0005-0000-0000-00005D050000}"/>
    <cellStyle name="_【20090323_参考資料】千里導入明細資料_【20090807】千里導入明細資料_【20091225】千里導入明細資料_２２年度上期分（営業店ＡＰ－ＤＢ）_Ⅹ_課題と対応策_20121211 2" xfId="1440" xr:uid="{00000000-0005-0000-0000-00005E050000}"/>
    <cellStyle name="_【20090323_参考資料】千里導入明細資料_【20090807】千里導入明細資料_【20091225】千里導入明細資料_２２年度上期分_営業店DB" xfId="1441" xr:uid="{00000000-0005-0000-0000-00005F050000}"/>
    <cellStyle name="_【20090323_参考資料】千里導入明細資料_【20090807】千里導入明細資料_【20091225】千里導入明細資料_２２年度上期分_営業店DB 2" xfId="1442" xr:uid="{00000000-0005-0000-0000-000060050000}"/>
    <cellStyle name="_【20090323_参考資料】千里導入明細資料_【20090807】千里導入明細資料_【20091225】千里導入明細資料_２２年度上期分_営業店DB_【調整中】千里導入明細資料_２２年度上期分_fj_20100127" xfId="1443" xr:uid="{00000000-0005-0000-0000-000061050000}"/>
    <cellStyle name="_【20090323_参考資料】千里導入明細資料_【20090807】千里導入明細資料_【20091225】千里導入明細資料_２２年度上期分_営業店DB_【調整中】千里導入明細資料_２２年度上期分_fj_20100127 2" xfId="1444" xr:uid="{00000000-0005-0000-0000-000062050000}"/>
    <cellStyle name="_【20090323_参考資料】千里導入明細資料_【20090807】千里導入明細資料_【20091225】千里導入明細資料_２２年度上期分_営業店DB_【調整中】千里導入明細資料_２２年度上期分_fj_20100127_Ⅹ_課題と対応策_20121211" xfId="1445" xr:uid="{00000000-0005-0000-0000-000063050000}"/>
    <cellStyle name="_【20090323_参考資料】千里導入明細資料_【20090807】千里導入明細資料_【20091225】千里導入明細資料_２２年度上期分_営業店DB_【調整中】千里導入明細資料_２２年度上期分_fj_20100127_Ⅹ_課題と対応策_20121211 2" xfId="1446" xr:uid="{00000000-0005-0000-0000-000064050000}"/>
    <cellStyle name="_【20090323_参考資料】千里導入明細資料_【20090807】千里導入明細資料_【20091225】千里導入明細資料_２２年度上期分_営業店DB_Ⅹ_課題と対応策_20121211" xfId="1447" xr:uid="{00000000-0005-0000-0000-000065050000}"/>
    <cellStyle name="_【20090323_参考資料】千里導入明細資料_【20090807】千里導入明細資料_【20091225】千里導入明細資料_２２年度上期分_営業店DB_Ⅹ_課題と対応策_20121211 2" xfId="1448" xr:uid="{00000000-0005-0000-0000-000066050000}"/>
    <cellStyle name="_【20090323_参考資料】千里導入明細資料_【20090807】千里導入明細資料_【20091225】千里導入明細資料_２２年度上期分_連携DB" xfId="1449" xr:uid="{00000000-0005-0000-0000-000067050000}"/>
    <cellStyle name="_【20090323_参考資料】千里導入明細資料_【20090807】千里導入明細資料_【20091225】千里導入明細資料_２２年度上期分_連携DB 2" xfId="1450" xr:uid="{00000000-0005-0000-0000-000068050000}"/>
    <cellStyle name="_【20090323_参考資料】千里導入明細資料_【20090807】千里導入明細資料_【20091225】千里導入明細資料_２２年度上期分_連携DB_【調整中】千里導入明細資料_２２年度上期分_fj_20100127" xfId="1451" xr:uid="{00000000-0005-0000-0000-000069050000}"/>
    <cellStyle name="_【20090323_参考資料】千里導入明細資料_【20090807】千里導入明細資料_【20091225】千里導入明細資料_２２年度上期分_連携DB_【調整中】千里導入明細資料_２２年度上期分_fj_20100127 2" xfId="1452" xr:uid="{00000000-0005-0000-0000-00006A050000}"/>
    <cellStyle name="_【20090323_参考資料】千里導入明細資料_【20090807】千里導入明細資料_【20091225】千里導入明細資料_２２年度上期分_連携DB_【調整中】千里導入明細資料_２２年度上期分_fj_20100127_Ⅹ_課題と対応策_20121211" xfId="1453" xr:uid="{00000000-0005-0000-0000-00006B050000}"/>
    <cellStyle name="_【20090323_参考資料】千里導入明細資料_【20090807】千里導入明細資料_【20091225】千里導入明細資料_２２年度上期分_連携DB_【調整中】千里導入明細資料_２２年度上期分_fj_20100127_Ⅹ_課題と対応策_20121211 2" xfId="1454" xr:uid="{00000000-0005-0000-0000-00006C050000}"/>
    <cellStyle name="_【20090323_参考資料】千里導入明細資料_【20090807】千里導入明細資料_【20091225】千里導入明細資料_２２年度上期分_連携DB_Ⅹ_課題と対応策_20121211" xfId="1455" xr:uid="{00000000-0005-0000-0000-00006D050000}"/>
    <cellStyle name="_【20090323_参考資料】千里導入明細資料_【20090807】千里導入明細資料_【20091225】千里導入明細資料_２２年度上期分_連携DB_Ⅹ_課題と対応策_20121211 2" xfId="1456" xr:uid="{00000000-0005-0000-0000-00006E050000}"/>
    <cellStyle name="_【20090323_参考資料】千里導入明細資料_【20090807】千里導入明細資料_【作成中】千里センター機器配置図（2010年対応分）_20091221" xfId="1457" xr:uid="{00000000-0005-0000-0000-00006F050000}"/>
    <cellStyle name="_【20090323_参考資料】千里導入明細資料_【20090807】千里導入明細資料_【作成中】千里センター機器配置図（2010年対応分）_20091221 2" xfId="1458" xr:uid="{00000000-0005-0000-0000-000070050000}"/>
    <cellStyle name="_【20090323_参考資料】千里導入明細資料_【20090807】千里導入明細資料_【作成中】千里センター機器配置図（2010年対応分）_20091221_【調整中】千里導入明細資料_２２年度上期分_fj_20100127" xfId="1459" xr:uid="{00000000-0005-0000-0000-000071050000}"/>
    <cellStyle name="_【20090323_参考資料】千里導入明細資料_【20090807】千里導入明細資料_【作成中】千里センター機器配置図（2010年対応分）_20091221_【調整中】千里導入明細資料_２２年度上期分_fj_20100127 2" xfId="1460" xr:uid="{00000000-0005-0000-0000-000072050000}"/>
    <cellStyle name="_【20090323_参考資料】千里導入明細資料_【20090807】千里導入明細資料_【作成中】千里センター機器配置図（2010年対応分）_20091221_【調整中】千里導入明細資料_２２年度上期分_fj_20100127_Ⅹ_課題と対応策_20121211" xfId="1461" xr:uid="{00000000-0005-0000-0000-000073050000}"/>
    <cellStyle name="_【20090323_参考資料】千里導入明細資料_【20090807】千里導入明細資料_【作成中】千里センター機器配置図（2010年対応分）_20091221_【調整中】千里導入明細資料_２２年度上期分_fj_20100127_Ⅹ_課題と対応策_20121211 2" xfId="1462" xr:uid="{00000000-0005-0000-0000-000074050000}"/>
    <cellStyle name="_【20090323_参考資料】千里導入明細資料_【20090807】千里導入明細資料_【作成中】千里センター機器配置図（2010年対応分）_20091221_Ⅹ_課題と対応策_20121211" xfId="1463" xr:uid="{00000000-0005-0000-0000-000075050000}"/>
    <cellStyle name="_【20090323_参考資料】千里導入明細資料_【20090807】千里導入明細資料_【作成中】千里センター機器配置図（2010年対応分）_20091221_Ⅹ_課題と対応策_20121211 2" xfId="1464" xr:uid="{00000000-0005-0000-0000-000076050000}"/>
    <cellStyle name="_【20090323_参考資料】千里導入明細資料_【20090807】千里導入明細資料_Ⅹ_課題と対応策_20121211" xfId="1465" xr:uid="{00000000-0005-0000-0000-000077050000}"/>
    <cellStyle name="_【20090323_参考資料】千里導入明細資料_【20090807】千里導入明細資料_Ⅹ_課題と対応策_20121211 2" xfId="1466" xr:uid="{00000000-0005-0000-0000-000078050000}"/>
    <cellStyle name="_【20090323_参考資料】千里導入明細資料_【20090814】千里導入明細資料_SDB追加" xfId="1467" xr:uid="{00000000-0005-0000-0000-000079050000}"/>
    <cellStyle name="_【20090323_参考資料】千里導入明細資料_【20090814】千里導入明細資料_SDB追加 2" xfId="1468" xr:uid="{00000000-0005-0000-0000-00007A050000}"/>
    <cellStyle name="_【20090323_参考資料】千里導入明細資料_【20090814】千里導入明細資料_SDB追加_【20091207】千里導入明細資料_２１年度分（ネットワーク敷設）" xfId="1469" xr:uid="{00000000-0005-0000-0000-00007B050000}"/>
    <cellStyle name="_【20090323_参考資料】千里導入明細資料_【20090814】千里導入明細資料_SDB追加_【20091207】千里導入明細資料_２１年度分（ネットワーク敷設） 2" xfId="1470" xr:uid="{00000000-0005-0000-0000-00007C050000}"/>
    <cellStyle name="_【20090323_参考資料】千里導入明細資料_【20090814】千里導入明細資料_SDB追加_【20091207】千里導入明細資料_２１年度分（ネットワーク敷設）_【20091218】千里導入明細資料_２１年度分（ネットワーク敷設）" xfId="1471" xr:uid="{00000000-0005-0000-0000-00007D050000}"/>
    <cellStyle name="_【20090323_参考資料】千里導入明細資料_【20090814】千里導入明細資料_SDB追加_【20091207】千里導入明細資料_２１年度分（ネットワーク敷設）_【20091218】千里導入明細資料_２１年度分（ネットワーク敷設） 2" xfId="1472" xr:uid="{00000000-0005-0000-0000-00007E050000}"/>
    <cellStyle name="_【20090323_参考資料】千里導入明細資料_【20090814】千里導入明細資料_SDB追加_【20091207】千里導入明細資料_２１年度分（ネットワーク敷設）_【20091218】千里導入明細資料_２１年度分（ネットワーク敷設）_Ⅹ_課題と対応策_20121211" xfId="1473" xr:uid="{00000000-0005-0000-0000-00007F050000}"/>
    <cellStyle name="_【20090323_参考資料】千里導入明細資料_【20090814】千里導入明細資料_SDB追加_【20091207】千里導入明細資料_２１年度分（ネットワーク敷設）_【20091218】千里導入明細資料_２１年度分（ネットワーク敷設）_Ⅹ_課題と対応策_20121211 2" xfId="1474" xr:uid="{00000000-0005-0000-0000-000080050000}"/>
    <cellStyle name="_【20090323_参考資料】千里導入明細資料_【20090814】千里導入明細資料_SDB追加_【20091207】千里導入明細資料_２１年度分（ネットワーク敷設）_Ⅹ_課題と対応策_20121211" xfId="1475" xr:uid="{00000000-0005-0000-0000-000081050000}"/>
    <cellStyle name="_【20090323_参考資料】千里導入明細資料_【20090814】千里導入明細資料_SDB追加_【20091207】千里導入明細資料_２１年度分（ネットワーク敷設）_Ⅹ_課題と対応策_20121211 2" xfId="1476" xr:uid="{00000000-0005-0000-0000-000082050000}"/>
    <cellStyle name="_【20090323_参考資料】千里導入明細資料_【20090814】千里導入明細資料_SDB追加_【20091207】千里導入明細資料_２１年度分（ネットワーク敷設）_千里導入明細資料_２２年度分（ネットワーク敷設）_fj" xfId="1477" xr:uid="{00000000-0005-0000-0000-000083050000}"/>
    <cellStyle name="_【20090323_参考資料】千里導入明細資料_【20090814】千里導入明細資料_SDB追加_【20091207】千里導入明細資料_２１年度分（ネットワーク敷設）_千里導入明細資料_２２年度分（ネットワーク敷設）_fj 2" xfId="1478" xr:uid="{00000000-0005-0000-0000-000084050000}"/>
    <cellStyle name="_【20090323_参考資料】千里導入明細資料_【20090814】千里導入明細資料_SDB追加_【20091207】千里導入明細資料_２１年度分（ネットワーク敷設）_千里導入明細資料_２２年度分（ネットワーク敷設）_fj_Ⅹ_課題と対応策_20121211" xfId="1479" xr:uid="{00000000-0005-0000-0000-000085050000}"/>
    <cellStyle name="_【20090323_参考資料】千里導入明細資料_【20090814】千里導入明細資料_SDB追加_【20091207】千里導入明細資料_２１年度分（ネットワーク敷設）_千里導入明細資料_２２年度分（ネットワーク敷設）_fj_Ⅹ_課題と対応策_20121211 2" xfId="1480" xr:uid="{00000000-0005-0000-0000-000086050000}"/>
    <cellStyle name="_【20090323_参考資料】千里導入明細資料_【20090814】千里導入明細資料_SDB追加_【20091225】千里導入明細資料_２２年度上期分（営業店ＡＰ－ＤＢ）" xfId="1481" xr:uid="{00000000-0005-0000-0000-000087050000}"/>
    <cellStyle name="_【20090323_参考資料】千里導入明細資料_【20090814】千里導入明細資料_SDB追加_【20091225】千里導入明細資料_２２年度上期分（営業店ＡＰ－ＤＢ） 2" xfId="1482" xr:uid="{00000000-0005-0000-0000-000088050000}"/>
    <cellStyle name="_【20090323_参考資料】千里導入明細資料_【20090814】千里導入明細資料_SDB追加_【20091225】千里導入明細資料_２２年度上期分（営業店ＡＰ－ＤＢ）_【調整中】千里導入明細資料_２２年度上期分_fj_20100127" xfId="1483" xr:uid="{00000000-0005-0000-0000-000089050000}"/>
    <cellStyle name="_【20090323_参考資料】千里導入明細資料_【20090814】千里導入明細資料_SDB追加_【20091225】千里導入明細資料_２２年度上期分（営業店ＡＰ－ＤＢ）_【調整中】千里導入明細資料_２２年度上期分_fj_20100127 2" xfId="1484" xr:uid="{00000000-0005-0000-0000-00008A050000}"/>
    <cellStyle name="_【20090323_参考資料】千里導入明細資料_【20090814】千里導入明細資料_SDB追加_【20091225】千里導入明細資料_２２年度上期分（営業店ＡＰ－ＤＢ）_【調整中】千里導入明細資料_２２年度上期分_fj_20100127_Ⅹ_課題と対応策_20121211" xfId="1485" xr:uid="{00000000-0005-0000-0000-00008B050000}"/>
    <cellStyle name="_【20090323_参考資料】千里導入明細資料_【20090814】千里導入明細資料_SDB追加_【20091225】千里導入明細資料_２２年度上期分（営業店ＡＰ－ＤＢ）_【調整中】千里導入明細資料_２２年度上期分_fj_20100127_Ⅹ_課題と対応策_20121211 2" xfId="1486" xr:uid="{00000000-0005-0000-0000-00008C050000}"/>
    <cellStyle name="_【20090323_参考資料】千里導入明細資料_【20090814】千里導入明細資料_SDB追加_【20091225】千里導入明細資料_２２年度上期分（営業店ＡＰ－ＤＢ）_Ⅹ_課題と対応策_20121211" xfId="1487" xr:uid="{00000000-0005-0000-0000-00008D050000}"/>
    <cellStyle name="_【20090323_参考資料】千里導入明細資料_【20090814】千里導入明細資料_SDB追加_【20091225】千里導入明細資料_２２年度上期分（営業店ＡＰ－ＤＢ）_Ⅹ_課題と対応策_20121211 2" xfId="1488" xr:uid="{00000000-0005-0000-0000-00008E050000}"/>
    <cellStyle name="_【20090323_参考資料】千里導入明細資料_【20090814】千里導入明細資料_SDB追加_【20091225】千里導入明細資料_２２年度上期分_営業店DB" xfId="1489" xr:uid="{00000000-0005-0000-0000-00008F050000}"/>
    <cellStyle name="_【20090323_参考資料】千里導入明細資料_【20090814】千里導入明細資料_SDB追加_【20091225】千里導入明細資料_２２年度上期分_営業店DB 2" xfId="1490" xr:uid="{00000000-0005-0000-0000-000090050000}"/>
    <cellStyle name="_【20090323_参考資料】千里導入明細資料_【20090814】千里導入明細資料_SDB追加_【20091225】千里導入明細資料_２２年度上期分_営業店DB_【調整中】千里導入明細資料_２２年度上期分_fj_20100127" xfId="1491" xr:uid="{00000000-0005-0000-0000-000091050000}"/>
    <cellStyle name="_【20090323_参考資料】千里導入明細資料_【20090814】千里導入明細資料_SDB追加_【20091225】千里導入明細資料_２２年度上期分_営業店DB_【調整中】千里導入明細資料_２２年度上期分_fj_20100127 2" xfId="1492" xr:uid="{00000000-0005-0000-0000-000092050000}"/>
    <cellStyle name="_【20090323_参考資料】千里導入明細資料_【20090814】千里導入明細資料_SDB追加_【20091225】千里導入明細資料_２２年度上期分_営業店DB_【調整中】千里導入明細資料_２２年度上期分_fj_20100127_Ⅹ_課題と対応策_20121211" xfId="1493" xr:uid="{00000000-0005-0000-0000-000093050000}"/>
    <cellStyle name="_【20090323_参考資料】千里導入明細資料_【20090814】千里導入明細資料_SDB追加_【20091225】千里導入明細資料_２２年度上期分_営業店DB_【調整中】千里導入明細資料_２２年度上期分_fj_20100127_Ⅹ_課題と対応策_20121211 2" xfId="1494" xr:uid="{00000000-0005-0000-0000-000094050000}"/>
    <cellStyle name="_【20090323_参考資料】千里導入明細資料_【20090814】千里導入明細資料_SDB追加_【20091225】千里導入明細資料_２２年度上期分_営業店DB_Ⅹ_課題と対応策_20121211" xfId="1495" xr:uid="{00000000-0005-0000-0000-000095050000}"/>
    <cellStyle name="_【20090323_参考資料】千里導入明細資料_【20090814】千里導入明細資料_SDB追加_【20091225】千里導入明細資料_２２年度上期分_営業店DB_Ⅹ_課題と対応策_20121211 2" xfId="1496" xr:uid="{00000000-0005-0000-0000-000096050000}"/>
    <cellStyle name="_【20090323_参考資料】千里導入明細資料_【20090814】千里導入明細資料_SDB追加_【20091225】千里導入明細資料_２２年度上期分_連携DB" xfId="1497" xr:uid="{00000000-0005-0000-0000-000097050000}"/>
    <cellStyle name="_【20090323_参考資料】千里導入明細資料_【20090814】千里導入明細資料_SDB追加_【20091225】千里導入明細資料_２２年度上期分_連携DB 2" xfId="1498" xr:uid="{00000000-0005-0000-0000-000098050000}"/>
    <cellStyle name="_【20090323_参考資料】千里導入明細資料_【20090814】千里導入明細資料_SDB追加_【20091225】千里導入明細資料_２２年度上期分_連携DB_【調整中】千里導入明細資料_２２年度上期分_fj_20100127" xfId="1499" xr:uid="{00000000-0005-0000-0000-000099050000}"/>
    <cellStyle name="_【20090323_参考資料】千里導入明細資料_【20090814】千里導入明細資料_SDB追加_【20091225】千里導入明細資料_２２年度上期分_連携DB_【調整中】千里導入明細資料_２２年度上期分_fj_20100127 2" xfId="1500" xr:uid="{00000000-0005-0000-0000-00009A050000}"/>
    <cellStyle name="_【20090323_参考資料】千里導入明細資料_【20090814】千里導入明細資料_SDB追加_【20091225】千里導入明細資料_２２年度上期分_連携DB_【調整中】千里導入明細資料_２２年度上期分_fj_20100127_Ⅹ_課題と対応策_20121211" xfId="1501" xr:uid="{00000000-0005-0000-0000-00009B050000}"/>
    <cellStyle name="_【20090323_参考資料】千里導入明細資料_【20090814】千里導入明細資料_SDB追加_【20091225】千里導入明細資料_２２年度上期分_連携DB_【調整中】千里導入明細資料_２２年度上期分_fj_20100127_Ⅹ_課題と対応策_20121211 2" xfId="1502" xr:uid="{00000000-0005-0000-0000-00009C050000}"/>
    <cellStyle name="_【20090323_参考資料】千里導入明細資料_【20090814】千里導入明細資料_SDB追加_【20091225】千里導入明細資料_２２年度上期分_連携DB_Ⅹ_課題と対応策_20121211" xfId="1503" xr:uid="{00000000-0005-0000-0000-00009D050000}"/>
    <cellStyle name="_【20090323_参考資料】千里導入明細資料_【20090814】千里導入明細資料_SDB追加_【20091225】千里導入明細資料_２２年度上期分_連携DB_Ⅹ_課題と対応策_20121211 2" xfId="1504" xr:uid="{00000000-0005-0000-0000-00009E050000}"/>
    <cellStyle name="_【20090323_参考資料】千里導入明細資料_【20090814】千里導入明細資料_SDB追加_【作成中】千里センター機器配置図（2010年対応分）_20091221" xfId="1505" xr:uid="{00000000-0005-0000-0000-00009F050000}"/>
    <cellStyle name="_【20090323_参考資料】千里導入明細資料_【20090814】千里導入明細資料_SDB追加_【作成中】千里センター機器配置図（2010年対応分）_20091221 2" xfId="1506" xr:uid="{00000000-0005-0000-0000-0000A0050000}"/>
    <cellStyle name="_【20090323_参考資料】千里導入明細資料_【20090814】千里導入明細資料_SDB追加_【作成中】千里センター機器配置図（2010年対応分）_20091221_【調整中】千里導入明細資料_２２年度上期分_fj_20100127" xfId="1507" xr:uid="{00000000-0005-0000-0000-0000A1050000}"/>
    <cellStyle name="_【20090323_参考資料】千里導入明細資料_【20090814】千里導入明細資料_SDB追加_【作成中】千里センター機器配置図（2010年対応分）_20091221_【調整中】千里導入明細資料_２２年度上期分_fj_20100127 2" xfId="1508" xr:uid="{00000000-0005-0000-0000-0000A2050000}"/>
    <cellStyle name="_【20090323_参考資料】千里導入明細資料_【20090814】千里導入明細資料_SDB追加_【作成中】千里センター機器配置図（2010年対応分）_20091221_【調整中】千里導入明細資料_２２年度上期分_fj_20100127_Ⅹ_課題と対応策_20121211" xfId="1509" xr:uid="{00000000-0005-0000-0000-0000A3050000}"/>
    <cellStyle name="_【20090323_参考資料】千里導入明細資料_【20090814】千里導入明細資料_SDB追加_【作成中】千里センター機器配置図（2010年対応分）_20091221_【調整中】千里導入明細資料_２２年度上期分_fj_20100127_Ⅹ_課題と対応策_20121211 2" xfId="1510" xr:uid="{00000000-0005-0000-0000-0000A4050000}"/>
    <cellStyle name="_【20090323_参考資料】千里導入明細資料_【20090814】千里導入明細資料_SDB追加_【作成中】千里センター機器配置図（2010年対応分）_20091221_Ⅹ_課題と対応策_20121211" xfId="1511" xr:uid="{00000000-0005-0000-0000-0000A5050000}"/>
    <cellStyle name="_【20090323_参考資料】千里導入明細資料_【20090814】千里導入明細資料_SDB追加_【作成中】千里センター機器配置図（2010年対応分）_20091221_Ⅹ_課題と対応策_20121211 2" xfId="1512" xr:uid="{00000000-0005-0000-0000-0000A6050000}"/>
    <cellStyle name="_【20090323_参考資料】千里導入明細資料_【20090814】千里導入明細資料_SDB追加_Ⅹ_課題と対応策_20121211" xfId="1513" xr:uid="{00000000-0005-0000-0000-0000A7050000}"/>
    <cellStyle name="_【20090323_参考資料】千里導入明細資料_【20090814】千里導入明細資料_SDB追加_Ⅹ_課題と対応策_20121211 2" xfId="1514" xr:uid="{00000000-0005-0000-0000-0000A8050000}"/>
    <cellStyle name="_【20090323_参考資料】千里導入明細資料_【20090821】千里ラック搭載図（NW機器）" xfId="1515" xr:uid="{00000000-0005-0000-0000-0000A9050000}"/>
    <cellStyle name="_【20090323_参考資料】千里導入明細資料_【20090821】千里ラック搭載図（NW機器） 2" xfId="1516" xr:uid="{00000000-0005-0000-0000-0000AA050000}"/>
    <cellStyle name="_【20090323_参考資料】千里導入明細資料_【20090821】千里ラック搭載図（NW機器）_Ⅹ_課題と対応策_20121211" xfId="1517" xr:uid="{00000000-0005-0000-0000-0000AB050000}"/>
    <cellStyle name="_【20090323_参考資料】千里導入明細資料_【20090821】千里ラック搭載図（NW機器）_Ⅹ_課題と対応策_20121211 2" xfId="1518" xr:uid="{00000000-0005-0000-0000-0000AC050000}"/>
    <cellStyle name="_【20090323_参考資料】千里導入明細資料_【20091218】千里導入明細資料_２１年度分（ネットワーク敷設）" xfId="1519" xr:uid="{00000000-0005-0000-0000-0000AD050000}"/>
    <cellStyle name="_【20090323_参考資料】千里導入明細資料_【20091218】千里導入明細資料_２１年度分（ネットワーク敷設） 2" xfId="1520" xr:uid="{00000000-0005-0000-0000-0000AE050000}"/>
    <cellStyle name="_【20090323_参考資料】千里導入明細資料_【20091218】千里導入明細資料_２１年度分（ネットワーク敷設）_Ⅹ_課題と対応策_20121211" xfId="1521" xr:uid="{00000000-0005-0000-0000-0000AF050000}"/>
    <cellStyle name="_【20090323_参考資料】千里導入明細資料_【20091218】千里導入明細資料_２１年度分（ネットワーク敷設）_Ⅹ_課題と対応策_20121211 2" xfId="1522" xr:uid="{00000000-0005-0000-0000-0000B0050000}"/>
    <cellStyle name="_【20090323_参考資料】千里導入明細資料_【20091224】千里導入明細資料_２２年度上期分_営業店DB" xfId="1523" xr:uid="{00000000-0005-0000-0000-0000B1050000}"/>
    <cellStyle name="_【20090323_参考資料】千里導入明細資料_【20091224】千里導入明細資料_２２年度上期分_営業店DB 2" xfId="1524" xr:uid="{00000000-0005-0000-0000-0000B2050000}"/>
    <cellStyle name="_【20090323_参考資料】千里導入明細資料_【20091224】千里導入明細資料_２２年度上期分_営業店DB_【20091225】千里導入明細資料_２２年度上期分（営業店ＡＰ－ＤＢ）" xfId="1525" xr:uid="{00000000-0005-0000-0000-0000B3050000}"/>
    <cellStyle name="_【20090323_参考資料】千里導入明細資料_【20091224】千里導入明細資料_２２年度上期分_営業店DB_【20091225】千里導入明細資料_２２年度上期分（営業店ＡＰ－ＤＢ） 2" xfId="1526" xr:uid="{00000000-0005-0000-0000-0000B4050000}"/>
    <cellStyle name="_【20090323_参考資料】千里導入明細資料_【20091224】千里導入明細資料_２２年度上期分_営業店DB_【20091225】千里導入明細資料_２２年度上期分（営業店ＡＰ－ＤＢ）_【調整中】千里導入明細資料_２２年度上期分_fj_20100127" xfId="1527" xr:uid="{00000000-0005-0000-0000-0000B5050000}"/>
    <cellStyle name="_【20090323_参考資料】千里導入明細資料_【20091224】千里導入明細資料_２２年度上期分_営業店DB_【20091225】千里導入明細資料_２２年度上期分（営業店ＡＰ－ＤＢ）_【調整中】千里導入明細資料_２２年度上期分_fj_20100127 2" xfId="1528" xr:uid="{00000000-0005-0000-0000-0000B6050000}"/>
    <cellStyle name="_【20090323_参考資料】千里導入明細資料_【20091224】千里導入明細資料_２２年度上期分_営業店DB_【20091225】千里導入明細資料_２２年度上期分（営業店ＡＰ－ＤＢ）_【調整中】千里導入明細資料_２２年度上期分_fj_20100127_Ⅹ_課題と対応策_20121211" xfId="1529" xr:uid="{00000000-0005-0000-0000-0000B7050000}"/>
    <cellStyle name="_【20090323_参考資料】千里導入明細資料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1530" xr:uid="{00000000-0005-0000-0000-0000B8050000}"/>
    <cellStyle name="_【20090323_参考資料】千里導入明細資料_【20091224】千里導入明細資料_２２年度上期分_営業店DB_【20091225】千里導入明細資料_２２年度上期分（営業店ＡＰ－ＤＢ）_Ⅹ_課題と対応策_20121211" xfId="1531" xr:uid="{00000000-0005-0000-0000-0000B9050000}"/>
    <cellStyle name="_【20090323_参考資料】千里導入明細資料_【20091224】千里導入明細資料_２２年度上期分_営業店DB_【20091225】千里導入明細資料_２２年度上期分（営業店ＡＰ－ＤＢ）_Ⅹ_課題と対応策_20121211 2" xfId="1532" xr:uid="{00000000-0005-0000-0000-0000BA050000}"/>
    <cellStyle name="_【20090323_参考資料】千里導入明細資料_【20091224】千里導入明細資料_２２年度上期分_営業店DB_【20091225】千里導入明細資料_２２年度上期分_営業店DB" xfId="1533" xr:uid="{00000000-0005-0000-0000-0000BB050000}"/>
    <cellStyle name="_【20090323_参考資料】千里導入明細資料_【20091224】千里導入明細資料_２２年度上期分_営業店DB_【20091225】千里導入明細資料_２２年度上期分_営業店DB 2" xfId="1534" xr:uid="{00000000-0005-0000-0000-0000BC050000}"/>
    <cellStyle name="_【20090323_参考資料】千里導入明細資料_【20091224】千里導入明細資料_２２年度上期分_営業店DB_【20091225】千里導入明細資料_２２年度上期分_営業店DB_【調整中】千里導入明細資料_２２年度上期分_fj_20100127" xfId="1535" xr:uid="{00000000-0005-0000-0000-0000BD050000}"/>
    <cellStyle name="_【20090323_参考資料】千里導入明細資料_【20091224】千里導入明細資料_２２年度上期分_営業店DB_【20091225】千里導入明細資料_２２年度上期分_営業店DB_【調整中】千里導入明細資料_２２年度上期分_fj_20100127 2" xfId="1536" xr:uid="{00000000-0005-0000-0000-0000BE050000}"/>
    <cellStyle name="_【20090323_参考資料】千里導入明細資料_【20091224】千里導入明細資料_２２年度上期分_営業店DB_【20091225】千里導入明細資料_２２年度上期分_営業店DB_【調整中】千里導入明細資料_２２年度上期分_fj_20100127_Ⅹ_課題と対応策_20121211" xfId="1537" xr:uid="{00000000-0005-0000-0000-0000BF050000}"/>
    <cellStyle name="_【20090323_参考資料】千里導入明細資料_【20091224】千里導入明細資料_２２年度上期分_営業店DB_【20091225】千里導入明細資料_２２年度上期分_営業店DB_【調整中】千里導入明細資料_２２年度上期分_fj_20100127_Ⅹ_課題と対応策_20121211 2" xfId="1538" xr:uid="{00000000-0005-0000-0000-0000C0050000}"/>
    <cellStyle name="_【20090323_参考資料】千里導入明細資料_【20091224】千里導入明細資料_２２年度上期分_営業店DB_【20091225】千里導入明細資料_２２年度上期分_営業店DB_Ⅹ_課題と対応策_20121211" xfId="1539" xr:uid="{00000000-0005-0000-0000-0000C1050000}"/>
    <cellStyle name="_【20090323_参考資料】千里導入明細資料_【20091224】千里導入明細資料_２２年度上期分_営業店DB_【20091225】千里導入明細資料_２２年度上期分_営業店DB_Ⅹ_課題と対応策_20121211 2" xfId="1540" xr:uid="{00000000-0005-0000-0000-0000C2050000}"/>
    <cellStyle name="_【20090323_参考資料】千里導入明細資料_【20091224】千里導入明細資料_２２年度上期分_営業店DB_Ⅹ_課題と対応策_20121211" xfId="1541" xr:uid="{00000000-0005-0000-0000-0000C3050000}"/>
    <cellStyle name="_【20090323_参考資料】千里導入明細資料_【20091224】千里導入明細資料_２２年度上期分_営業店DB_Ⅹ_課題と対応策_20121211 2" xfId="1542" xr:uid="{00000000-0005-0000-0000-0000C4050000}"/>
    <cellStyle name="_【20090323_参考資料】千里導入明細資料_【20091225】千里導入明細資料_２２年度上期分" xfId="1543" xr:uid="{00000000-0005-0000-0000-0000C5050000}"/>
    <cellStyle name="_【20090323_参考資料】千里導入明細資料_【20091225】千里導入明細資料_２２年度上期分 2" xfId="1544" xr:uid="{00000000-0005-0000-0000-0000C6050000}"/>
    <cellStyle name="_【20090323_参考資料】千里導入明細資料_【20091225】千里導入明細資料_２２年度上期分_Ⅹ_課題と対応策_20121211" xfId="1545" xr:uid="{00000000-0005-0000-0000-0000C7050000}"/>
    <cellStyle name="_【20090323_参考資料】千里導入明細資料_【20091225】千里導入明細資料_２２年度上期分_Ⅹ_課題と対応策_20121211 2" xfId="1546" xr:uid="{00000000-0005-0000-0000-0000C8050000}"/>
    <cellStyle name="_【20090323_参考資料】千里導入明細資料_【20091225】千里導入明細資料_２２年度上期分_営業店DB" xfId="1547" xr:uid="{00000000-0005-0000-0000-0000C9050000}"/>
    <cellStyle name="_【20090323_参考資料】千里導入明細資料_【20091225】千里導入明細資料_２２年度上期分_営業店DB 2" xfId="1548" xr:uid="{00000000-0005-0000-0000-0000CA050000}"/>
    <cellStyle name="_【20090323_参考資料】千里導入明細資料_【20091225】千里導入明細資料_２２年度上期分_営業店DB_Ⅹ_課題と対応策_20121211" xfId="1549" xr:uid="{00000000-0005-0000-0000-0000CB050000}"/>
    <cellStyle name="_【20090323_参考資料】千里導入明細資料_【20091225】千里導入明細資料_２２年度上期分_営業店DB_Ⅹ_課題と対応策_20121211 2" xfId="1550" xr:uid="{00000000-0005-0000-0000-0000CC050000}"/>
    <cellStyle name="_【20090323_参考資料】千里導入明細資料_【20091225】千里導入明細資料_２２年度上期分_連携DB" xfId="1551" xr:uid="{00000000-0005-0000-0000-0000CD050000}"/>
    <cellStyle name="_【20090323_参考資料】千里導入明細資料_【20091225】千里導入明細資料_２２年度上期分_連携DB 2" xfId="1552" xr:uid="{00000000-0005-0000-0000-0000CE050000}"/>
    <cellStyle name="_【20090323_参考資料】千里導入明細資料_【20091225】千里導入明細資料_２２年度上期分_連携DB_Ⅹ_課題と対応策_20121211" xfId="1553" xr:uid="{00000000-0005-0000-0000-0000CF050000}"/>
    <cellStyle name="_【20090323_参考資料】千里導入明細資料_【20091225】千里導入明細資料_２２年度上期分_連携DB_Ⅹ_課題と対応策_20121211 2" xfId="1554" xr:uid="{00000000-0005-0000-0000-0000D0050000}"/>
    <cellStyle name="_【20090323_参考資料】千里導入明細資料_【200912xx】千里導入明細資料_２２年度上期分" xfId="1555" xr:uid="{00000000-0005-0000-0000-0000D1050000}"/>
    <cellStyle name="_【20090323_参考資料】千里導入明細資料_【200912xx】千里導入明細資料_２２年度上期分 2" xfId="1556" xr:uid="{00000000-0005-0000-0000-0000D2050000}"/>
    <cellStyle name="_【20090323_参考資料】千里導入明細資料_【200912xx】千里導入明細資料_２２年度上期分（為替分）" xfId="1557" xr:uid="{00000000-0005-0000-0000-0000D3050000}"/>
    <cellStyle name="_【20090323_参考資料】千里導入明細資料_【200912xx】千里導入明細資料_２２年度上期分（為替分） 2" xfId="1558" xr:uid="{00000000-0005-0000-0000-0000D4050000}"/>
    <cellStyle name="_【20090323_参考資料】千里導入明細資料_【200912xx】千里導入明細資料_２２年度上期分（為替分）_Ⅹ_課題と対応策_20121211" xfId="1559" xr:uid="{00000000-0005-0000-0000-0000D5050000}"/>
    <cellStyle name="_【20090323_参考資料】千里導入明細資料_【200912xx】千里導入明細資料_２２年度上期分（為替分）_Ⅹ_課題と対応策_20121211 2" xfId="1560" xr:uid="{00000000-0005-0000-0000-0000D6050000}"/>
    <cellStyle name="_【20090323_参考資料】千里導入明細資料_【200912xx】千里導入明細資料_２２年度上期分_【20091225】千里導入明細資料_２２年度上期分（営業店ＡＰ－ＤＢ）" xfId="1561" xr:uid="{00000000-0005-0000-0000-0000D7050000}"/>
    <cellStyle name="_【20090323_参考資料】千里導入明細資料_【200912xx】千里導入明細資料_２２年度上期分_【20091225】千里導入明細資料_２２年度上期分（営業店ＡＰ－ＤＢ） 2" xfId="1562" xr:uid="{00000000-0005-0000-0000-0000D8050000}"/>
    <cellStyle name="_【20090323_参考資料】千里導入明細資料_【200912xx】千里導入明細資料_２２年度上期分_【20091225】千里導入明細資料_２２年度上期分（営業店ＡＰ－ＤＢ）_【調整中】千里導入明細資料_２２年度上期分_fj_20100127" xfId="1563" xr:uid="{00000000-0005-0000-0000-0000D9050000}"/>
    <cellStyle name="_【20090323_参考資料】千里導入明細資料_【200912xx】千里導入明細資料_２２年度上期分_【20091225】千里導入明細資料_２２年度上期分（営業店ＡＰ－ＤＢ）_【調整中】千里導入明細資料_２２年度上期分_fj_20100127 2" xfId="1564" xr:uid="{00000000-0005-0000-0000-0000DA050000}"/>
    <cellStyle name="_【20090323_参考資料】千里導入明細資料_【200912xx】千里導入明細資料_２２年度上期分_【20091225】千里導入明細資料_２２年度上期分（営業店ＡＰ－ＤＢ）_【調整中】千里導入明細資料_２２年度上期分_fj_20100127_Ⅹ_課題と対応策_20121211" xfId="1565" xr:uid="{00000000-0005-0000-0000-0000DB050000}"/>
    <cellStyle name="_【20090323_参考資料】千里導入明細資料_【200912xx】千里導入明細資料_２２年度上期分_【20091225】千里導入明細資料_２２年度上期分（営業店ＡＰ－ＤＢ）_【調整中】千里導入明細資料_２２年度上期分_fj_20100127_Ⅹ_課題と対応策_20121211 2" xfId="1566" xr:uid="{00000000-0005-0000-0000-0000DC050000}"/>
    <cellStyle name="_【20090323_参考資料】千里導入明細資料_【200912xx】千里導入明細資料_２２年度上期分_【20091225】千里導入明細資料_２２年度上期分（営業店ＡＰ－ＤＢ）_Ⅹ_課題と対応策_20121211" xfId="1567" xr:uid="{00000000-0005-0000-0000-0000DD050000}"/>
    <cellStyle name="_【20090323_参考資料】千里導入明細資料_【200912xx】千里導入明細資料_２２年度上期分_【20091225】千里導入明細資料_２２年度上期分（営業店ＡＰ－ＤＢ）_Ⅹ_課題と対応策_20121211 2" xfId="1568" xr:uid="{00000000-0005-0000-0000-0000DE050000}"/>
    <cellStyle name="_【20090323_参考資料】千里導入明細資料_【200912xx】千里導入明細資料_２２年度上期分_【20091225】千里導入明細資料_２２年度上期分_営業店DB" xfId="1569" xr:uid="{00000000-0005-0000-0000-0000DF050000}"/>
    <cellStyle name="_【20090323_参考資料】千里導入明細資料_【200912xx】千里導入明細資料_２２年度上期分_【20091225】千里導入明細資料_２２年度上期分_営業店DB 2" xfId="1570" xr:uid="{00000000-0005-0000-0000-0000E0050000}"/>
    <cellStyle name="_【20090323_参考資料】千里導入明細資料_【200912xx】千里導入明細資料_２２年度上期分_【20091225】千里導入明細資料_２２年度上期分_営業店DB_【調整中】千里導入明細資料_２２年度上期分_fj_20100127" xfId="1571" xr:uid="{00000000-0005-0000-0000-0000E1050000}"/>
    <cellStyle name="_【20090323_参考資料】千里導入明細資料_【200912xx】千里導入明細資料_２２年度上期分_【20091225】千里導入明細資料_２２年度上期分_営業店DB_【調整中】千里導入明細資料_２２年度上期分_fj_20100127 2" xfId="1572" xr:uid="{00000000-0005-0000-0000-0000E2050000}"/>
    <cellStyle name="_【20090323_参考資料】千里導入明細資料_【200912xx】千里導入明細資料_２２年度上期分_【20091225】千里導入明細資料_２２年度上期分_営業店DB_【調整中】千里導入明細資料_２２年度上期分_fj_20100127_Ⅹ_課題と対応策_20121211" xfId="1573" xr:uid="{00000000-0005-0000-0000-0000E3050000}"/>
    <cellStyle name="_【20090323_参考資料】千里導入明細資料_【200912xx】千里導入明細資料_２２年度上期分_【20091225】千里導入明細資料_２２年度上期分_営業店DB_【調整中】千里導入明細資料_２２年度上期分_fj_20100127_Ⅹ_課題と対応策_20121211 2" xfId="1574" xr:uid="{00000000-0005-0000-0000-0000E4050000}"/>
    <cellStyle name="_【20090323_参考資料】千里導入明細資料_【200912xx】千里導入明細資料_２２年度上期分_【20091225】千里導入明細資料_２２年度上期分_営業店DB_Ⅹ_課題と対応策_20121211" xfId="1575" xr:uid="{00000000-0005-0000-0000-0000E5050000}"/>
    <cellStyle name="_【20090323_参考資料】千里導入明細資料_【200912xx】千里導入明細資料_２２年度上期分_【20091225】千里導入明細資料_２２年度上期分_営業店DB_Ⅹ_課題と対応策_20121211 2" xfId="1576" xr:uid="{00000000-0005-0000-0000-0000E6050000}"/>
    <cellStyle name="_【20090323_参考資料】千里導入明細資料_【200912xx】千里導入明細資料_２２年度上期分_【20091225】千里導入明細資料_２２年度上期分_連携DB" xfId="1577" xr:uid="{00000000-0005-0000-0000-0000E7050000}"/>
    <cellStyle name="_【20090323_参考資料】千里導入明細資料_【200912xx】千里導入明細資料_２２年度上期分_【20091225】千里導入明細資料_２２年度上期分_連携DB 2" xfId="1578" xr:uid="{00000000-0005-0000-0000-0000E8050000}"/>
    <cellStyle name="_【20090323_参考資料】千里導入明細資料_【200912xx】千里導入明細資料_２２年度上期分_【20091225】千里導入明細資料_２２年度上期分_連携DB_【調整中】千里導入明細資料_２２年度上期分_fj_20100127" xfId="1579" xr:uid="{00000000-0005-0000-0000-0000E9050000}"/>
    <cellStyle name="_【20090323_参考資料】千里導入明細資料_【200912xx】千里導入明細資料_２２年度上期分_【20091225】千里導入明細資料_２２年度上期分_連携DB_【調整中】千里導入明細資料_２２年度上期分_fj_20100127 2" xfId="1580" xr:uid="{00000000-0005-0000-0000-0000EA050000}"/>
    <cellStyle name="_【20090323_参考資料】千里導入明細資料_【200912xx】千里導入明細資料_２２年度上期分_【20091225】千里導入明細資料_２２年度上期分_連携DB_【調整中】千里導入明細資料_２２年度上期分_fj_20100127_Ⅹ_課題と対応策_20121211" xfId="1581" xr:uid="{00000000-0005-0000-0000-0000EB050000}"/>
    <cellStyle name="_【20090323_参考資料】千里導入明細資料_【200912xx】千里導入明細資料_２２年度上期分_【20091225】千里導入明細資料_２２年度上期分_連携DB_【調整中】千里導入明細資料_２２年度上期分_fj_20100127_Ⅹ_課題と対応策_20121211 2" xfId="1582" xr:uid="{00000000-0005-0000-0000-0000EC050000}"/>
    <cellStyle name="_【20090323_参考資料】千里導入明細資料_【200912xx】千里導入明細資料_２２年度上期分_【20091225】千里導入明細資料_２２年度上期分_連携DB_Ⅹ_課題と対応策_20121211" xfId="1583" xr:uid="{00000000-0005-0000-0000-0000ED050000}"/>
    <cellStyle name="_【20090323_参考資料】千里導入明細資料_【200912xx】千里導入明細資料_２２年度上期分_【20091225】千里導入明細資料_２２年度上期分_連携DB_Ⅹ_課題と対応策_20121211 2" xfId="1584" xr:uid="{00000000-0005-0000-0000-0000EE050000}"/>
    <cellStyle name="_【20090323_参考資料】千里導入明細資料_【200912xx】千里導入明細資料_２２年度上期分_Ⅹ_課題と対応策_20121211" xfId="1585" xr:uid="{00000000-0005-0000-0000-0000EF050000}"/>
    <cellStyle name="_【20090323_参考資料】千里導入明細資料_【200912xx】千里導入明細資料_２２年度上期分_Ⅹ_課題と対応策_20121211 2" xfId="1586" xr:uid="{00000000-0005-0000-0000-0000F0050000}"/>
    <cellStyle name="_【20090323_参考資料】千里導入明細資料_【調整中】千里導入明細資料_２２年度上期分_fj_20100127" xfId="1587" xr:uid="{00000000-0005-0000-0000-0000F1050000}"/>
    <cellStyle name="_【20090323_参考資料】千里導入明細資料_【調整中】千里導入明細資料_２２年度上期分_fj_20100127 2" xfId="1588" xr:uid="{00000000-0005-0000-0000-0000F2050000}"/>
    <cellStyle name="_【20090323_参考資料】千里導入明細資料_【調整中】千里導入明細資料_２２年度上期分_fj_20100127_Ⅹ_課題と対応策_20121211" xfId="1589" xr:uid="{00000000-0005-0000-0000-0000F3050000}"/>
    <cellStyle name="_【20090323_参考資料】千里導入明細資料_【調整中】千里導入明細資料_２２年度上期分_fj_20100127_Ⅹ_課題と対応策_20121211 2" xfId="1590" xr:uid="{00000000-0005-0000-0000-0000F4050000}"/>
    <cellStyle name="_【20090323_参考資料】千里導入明細資料_①【20091225】千里導入明細資料_２２年度上期1分)" xfId="1591" xr:uid="{00000000-0005-0000-0000-0000F5050000}"/>
    <cellStyle name="_【20090323_参考資料】千里導入明細資料_①【20091225】千里導入明細資料_２２年度上期1分) 2" xfId="1592" xr:uid="{00000000-0005-0000-0000-0000F6050000}"/>
    <cellStyle name="_【20090323_参考資料】千里導入明細資料_①【20091225】千里導入明細資料_２２年度上期1分)_Ⅹ_課題と対応策_20121211" xfId="1593" xr:uid="{00000000-0005-0000-0000-0000F7050000}"/>
    <cellStyle name="_【20090323_参考資料】千里導入明細資料_①【20091225】千里導入明細資料_２２年度上期1分)_Ⅹ_課題と対応策_20121211 2" xfId="1594" xr:uid="{00000000-0005-0000-0000-0000F8050000}"/>
    <cellStyle name="_【20090323_参考資料】千里導入明細資料_Ⅹ_課題と対応策_20121211" xfId="1595" xr:uid="{00000000-0005-0000-0000-0000F9050000}"/>
    <cellStyle name="_【20090323_参考資料】千里導入明細資料_Ⅹ_課題と対応策_20121211 2" xfId="1596" xr:uid="{00000000-0005-0000-0000-0000FA050000}"/>
    <cellStyle name="_【20090323_参考資料】千里導入明細資料_ラック構成図（千里_営業店・新事務）_20090805" xfId="1597" xr:uid="{00000000-0005-0000-0000-0000FB050000}"/>
    <cellStyle name="_【20090323_参考資料】千里導入明細資料_ラック構成図（千里_営業店・新事務）_20090805 2" xfId="1598" xr:uid="{00000000-0005-0000-0000-0000FC050000}"/>
    <cellStyle name="_【20090323_参考資料】千里導入明細資料_ラック構成図（千里_営業店・新事務）_20090805_【20091207】千里導入明細資料_２１年度分（ネットワーク敷設）" xfId="1599" xr:uid="{00000000-0005-0000-0000-0000FD050000}"/>
    <cellStyle name="_【20090323_参考資料】千里導入明細資料_ラック構成図（千里_営業店・新事務）_20090805_【20091207】千里導入明細資料_２１年度分（ネットワーク敷設） 2" xfId="1600" xr:uid="{00000000-0005-0000-0000-0000FE050000}"/>
    <cellStyle name="_【20090323_参考資料】千里導入明細資料_ラック構成図（千里_営業店・新事務）_20090805_【20091207】千里導入明細資料_２１年度分（ネットワーク敷設）_【20091218】千里導入明細資料_２１年度分（ネットワーク敷設）" xfId="1601" xr:uid="{00000000-0005-0000-0000-0000FF050000}"/>
    <cellStyle name="_【20090323_参考資料】千里導入明細資料_ラック構成図（千里_営業店・新事務）_20090805_【20091207】千里導入明細資料_２１年度分（ネットワーク敷設）_【20091218】千里導入明細資料_２１年度分（ネットワーク敷設） 2" xfId="1602" xr:uid="{00000000-0005-0000-0000-000000060000}"/>
    <cellStyle name="_【20090323_参考資料】千里導入明細資料_ラック構成図（千里_営業店・新事務）_20090805_【20091207】千里導入明細資料_２１年度分（ネットワーク敷設）_【20091218】千里導入明細資料_２１年度分（ネットワーク敷設）_Ⅹ_課題と対応策_20121211" xfId="1603" xr:uid="{00000000-0005-0000-0000-000001060000}"/>
    <cellStyle name="_【20090323_参考資料】千里導入明細資料_ラック構成図（千里_営業店・新事務）_20090805_【20091207】千里導入明細資料_２１年度分（ネットワーク敷設）_【20091218】千里導入明細資料_２１年度分（ネットワーク敷設）_Ⅹ_課題と対応策_20121211 2" xfId="1604" xr:uid="{00000000-0005-0000-0000-000002060000}"/>
    <cellStyle name="_【20090323_参考資料】千里導入明細資料_ラック構成図（千里_営業店・新事務）_20090805_【20091207】千里導入明細資料_２１年度分（ネットワーク敷設）_Ⅹ_課題と対応策_20121211" xfId="1605" xr:uid="{00000000-0005-0000-0000-000003060000}"/>
    <cellStyle name="_【20090323_参考資料】千里導入明細資料_ラック構成図（千里_営業店・新事務）_20090805_【20091207】千里導入明細資料_２１年度分（ネットワーク敷設）_Ⅹ_課題と対応策_20121211 2" xfId="1606" xr:uid="{00000000-0005-0000-0000-000004060000}"/>
    <cellStyle name="_【20090323_参考資料】千里導入明細資料_ラック構成図（千里_営業店・新事務）_20090805_【20091207】千里導入明細資料_２１年度分（ネットワーク敷設）_千里導入明細資料_２２年度分（ネットワーク敷設）_fj" xfId="1607" xr:uid="{00000000-0005-0000-0000-000005060000}"/>
    <cellStyle name="_【20090323_参考資料】千里導入明細資料_ラック構成図（千里_営業店・新事務）_20090805_【20091207】千里導入明細資料_２１年度分（ネットワーク敷設）_千里導入明細資料_２２年度分（ネットワーク敷設）_fj 2" xfId="1608" xr:uid="{00000000-0005-0000-0000-000006060000}"/>
    <cellStyle name="_【20090323_参考資料】千里導入明細資料_ラック構成図（千里_営業店・新事務）_20090805_【20091207】千里導入明細資料_２１年度分（ネットワーク敷設）_千里導入明細資料_２２年度分（ネットワーク敷設）_fj_Ⅹ_課題と対応策_20121211" xfId="1609" xr:uid="{00000000-0005-0000-0000-000007060000}"/>
    <cellStyle name="_【20090323_参考資料】千里導入明細資料_ラック構成図（千里_営業店・新事務）_20090805_【20091207】千里導入明細資料_２１年度分（ネットワーク敷設）_千里導入明細資料_２２年度分（ネットワーク敷設）_fj_Ⅹ_課題と対応策_20121211 2" xfId="1610" xr:uid="{00000000-0005-0000-0000-000008060000}"/>
    <cellStyle name="_【20090323_参考資料】千里導入明細資料_ラック構成図（千里_営業店・新事務）_20090805_【20091225】千里導入明細資料_２２年度上期分（営業店ＡＰ－ＤＢ）" xfId="1611" xr:uid="{00000000-0005-0000-0000-000009060000}"/>
    <cellStyle name="_【20090323_参考資料】千里導入明細資料_ラック構成図（千里_営業店・新事務）_20090805_【20091225】千里導入明細資料_２２年度上期分（営業店ＡＰ－ＤＢ） 2" xfId="1612" xr:uid="{00000000-0005-0000-0000-00000A060000}"/>
    <cellStyle name="_【20090323_参考資料】千里導入明細資料_ラック構成図（千里_営業店・新事務）_20090805_【20091225】千里導入明細資料_２２年度上期分（営業店ＡＰ－ＤＢ）_【調整中】千里導入明細資料_２２年度上期分_fj_20100127" xfId="1613" xr:uid="{00000000-0005-0000-0000-00000B060000}"/>
    <cellStyle name="_【20090323_参考資料】千里導入明細資料_ラック構成図（千里_営業店・新事務）_20090805_【20091225】千里導入明細資料_２２年度上期分（営業店ＡＰ－ＤＢ）_【調整中】千里導入明細資料_２２年度上期分_fj_20100127 2" xfId="1614" xr:uid="{00000000-0005-0000-0000-00000C060000}"/>
    <cellStyle name="_【20090323_参考資料】千里導入明細資料_ラック構成図（千里_営業店・新事務）_20090805_【20091225】千里導入明細資料_２２年度上期分（営業店ＡＰ－ＤＢ）_【調整中】千里導入明細資料_２２年度上期分_fj_20100127_Ⅹ_課題と対応策_20121211" xfId="1615" xr:uid="{00000000-0005-0000-0000-00000D060000}"/>
    <cellStyle name="_【20090323_参考資料】千里導入明細資料_ラック構成図（千里_営業店・新事務）_20090805_【20091225】千里導入明細資料_２２年度上期分（営業店ＡＰ－ＤＢ）_【調整中】千里導入明細資料_２２年度上期分_fj_20100127_Ⅹ_課題と対応策_20121211 2" xfId="1616" xr:uid="{00000000-0005-0000-0000-00000E060000}"/>
    <cellStyle name="_【20090323_参考資料】千里導入明細資料_ラック構成図（千里_営業店・新事務）_20090805_【20091225】千里導入明細資料_２２年度上期分（営業店ＡＰ－ＤＢ）_Ⅹ_課題と対応策_20121211" xfId="1617" xr:uid="{00000000-0005-0000-0000-00000F060000}"/>
    <cellStyle name="_【20090323_参考資料】千里導入明細資料_ラック構成図（千里_営業店・新事務）_20090805_【20091225】千里導入明細資料_２２年度上期分（営業店ＡＰ－ＤＢ）_Ⅹ_課題と対応策_20121211 2" xfId="1618" xr:uid="{00000000-0005-0000-0000-000010060000}"/>
    <cellStyle name="_【20090323_参考資料】千里導入明細資料_ラック構成図（千里_営業店・新事務）_20090805_【20091225】千里導入明細資料_２２年度上期分_営業店DB" xfId="1619" xr:uid="{00000000-0005-0000-0000-000011060000}"/>
    <cellStyle name="_【20090323_参考資料】千里導入明細資料_ラック構成図（千里_営業店・新事務）_20090805_【20091225】千里導入明細資料_２２年度上期分_営業店DB 2" xfId="1620" xr:uid="{00000000-0005-0000-0000-000012060000}"/>
    <cellStyle name="_【20090323_参考資料】千里導入明細資料_ラック構成図（千里_営業店・新事務）_20090805_【20091225】千里導入明細資料_２２年度上期分_営業店DB_【調整中】千里導入明細資料_２２年度上期分_fj_20100127" xfId="1621" xr:uid="{00000000-0005-0000-0000-000013060000}"/>
    <cellStyle name="_【20090323_参考資料】千里導入明細資料_ラック構成図（千里_営業店・新事務）_20090805_【20091225】千里導入明細資料_２２年度上期分_営業店DB_【調整中】千里導入明細資料_２２年度上期分_fj_20100127 2" xfId="1622" xr:uid="{00000000-0005-0000-0000-000014060000}"/>
    <cellStyle name="_【20090323_参考資料】千里導入明細資料_ラック構成図（千里_営業店・新事務）_20090805_【20091225】千里導入明細資料_２２年度上期分_営業店DB_【調整中】千里導入明細資料_２２年度上期分_fj_20100127_Ⅹ_課題と対応策_20121211" xfId="1623" xr:uid="{00000000-0005-0000-0000-000015060000}"/>
    <cellStyle name="_【20090323_参考資料】千里導入明細資料_ラック構成図（千里_営業店・新事務）_20090805_【20091225】千里導入明細資料_２２年度上期分_営業店DB_【調整中】千里導入明細資料_２２年度上期分_fj_20100127_Ⅹ_課題と対応策_20121211 2" xfId="1624" xr:uid="{00000000-0005-0000-0000-000016060000}"/>
    <cellStyle name="_【20090323_参考資料】千里導入明細資料_ラック構成図（千里_営業店・新事務）_20090805_【20091225】千里導入明細資料_２２年度上期分_営業店DB_Ⅹ_課題と対応策_20121211" xfId="1625" xr:uid="{00000000-0005-0000-0000-000017060000}"/>
    <cellStyle name="_【20090323_参考資料】千里導入明細資料_ラック構成図（千里_営業店・新事務）_20090805_【20091225】千里導入明細資料_２２年度上期分_営業店DB_Ⅹ_課題と対応策_20121211 2" xfId="1626" xr:uid="{00000000-0005-0000-0000-000018060000}"/>
    <cellStyle name="_【20090323_参考資料】千里導入明細資料_ラック構成図（千里_営業店・新事務）_20090805_【20091225】千里導入明細資料_２２年度上期分_連携DB" xfId="1627" xr:uid="{00000000-0005-0000-0000-000019060000}"/>
    <cellStyle name="_【20090323_参考資料】千里導入明細資料_ラック構成図（千里_営業店・新事務）_20090805_【20091225】千里導入明細資料_２２年度上期分_連携DB 2" xfId="1628" xr:uid="{00000000-0005-0000-0000-00001A060000}"/>
    <cellStyle name="_【20090323_参考資料】千里導入明細資料_ラック構成図（千里_営業店・新事務）_20090805_【20091225】千里導入明細資料_２２年度上期分_連携DB_【調整中】千里導入明細資料_２２年度上期分_fj_20100127" xfId="1629" xr:uid="{00000000-0005-0000-0000-00001B060000}"/>
    <cellStyle name="_【20090323_参考資料】千里導入明細資料_ラック構成図（千里_営業店・新事務）_20090805_【20091225】千里導入明細資料_２２年度上期分_連携DB_【調整中】千里導入明細資料_２２年度上期分_fj_20100127 2" xfId="1630" xr:uid="{00000000-0005-0000-0000-00001C060000}"/>
    <cellStyle name="_【20090323_参考資料】千里導入明細資料_ラック構成図（千里_営業店・新事務）_20090805_【20091225】千里導入明細資料_２２年度上期分_連携DB_【調整中】千里導入明細資料_２２年度上期分_fj_20100127_Ⅹ_課題と対応策_20121211" xfId="1631" xr:uid="{00000000-0005-0000-0000-00001D060000}"/>
    <cellStyle name="_【20090323_参考資料】千里導入明細資料_ラック構成図（千里_営業店・新事務）_20090805_【20091225】千里導入明細資料_２２年度上期分_連携DB_【調整中】千里導入明細資料_２２年度上期分_fj_20100127_Ⅹ_課題と対応策_20121211 2" xfId="1632" xr:uid="{00000000-0005-0000-0000-00001E060000}"/>
    <cellStyle name="_【20090323_参考資料】千里導入明細資料_ラック構成図（千里_営業店・新事務）_20090805_【20091225】千里導入明細資料_２２年度上期分_連携DB_Ⅹ_課題と対応策_20121211" xfId="1633" xr:uid="{00000000-0005-0000-0000-00001F060000}"/>
    <cellStyle name="_【20090323_参考資料】千里導入明細資料_ラック構成図（千里_営業店・新事務）_20090805_【20091225】千里導入明細資料_２２年度上期分_連携DB_Ⅹ_課題と対応策_20121211 2" xfId="1634" xr:uid="{00000000-0005-0000-0000-000020060000}"/>
    <cellStyle name="_【20090323_参考資料】千里導入明細資料_ラック構成図（千里_営業店・新事務）_20090805_【作成中】千里センター機器配置図（2010年対応分）_20091221" xfId="1635" xr:uid="{00000000-0005-0000-0000-000021060000}"/>
    <cellStyle name="_【20090323_参考資料】千里導入明細資料_ラック構成図（千里_営業店・新事務）_20090805_【作成中】千里センター機器配置図（2010年対応分）_20091221 2" xfId="1636" xr:uid="{00000000-0005-0000-0000-000022060000}"/>
    <cellStyle name="_【20090323_参考資料】千里導入明細資料_ラック構成図（千里_営業店・新事務）_20090805_【作成中】千里センター機器配置図（2010年対応分）_20091221_【調整中】千里導入明細資料_２２年度上期分_fj_20100127" xfId="1637" xr:uid="{00000000-0005-0000-0000-000023060000}"/>
    <cellStyle name="_【20090323_参考資料】千里導入明細資料_ラック構成図（千里_営業店・新事務）_20090805_【作成中】千里センター機器配置図（2010年対応分）_20091221_【調整中】千里導入明細資料_２２年度上期分_fj_20100127 2" xfId="1638" xr:uid="{00000000-0005-0000-0000-000024060000}"/>
    <cellStyle name="_【20090323_参考資料】千里導入明細資料_ラック構成図（千里_営業店・新事務）_20090805_【作成中】千里センター機器配置図（2010年対応分）_20091221_【調整中】千里導入明細資料_２２年度上期分_fj_20100127_Ⅹ_課題と対応策_20121211" xfId="1639" xr:uid="{00000000-0005-0000-0000-000025060000}"/>
    <cellStyle name="_【20090323_参考資料】千里導入明細資料_ラック構成図（千里_営業店・新事務）_20090805_【作成中】千里センター機器配置図（2010年対応分）_20091221_【調整中】千里導入明細資料_２２年度上期分_fj_20100127_Ⅹ_課題と対応策_20121211 2" xfId="1640" xr:uid="{00000000-0005-0000-0000-000026060000}"/>
    <cellStyle name="_【20090323_参考資料】千里導入明細資料_ラック構成図（千里_営業店・新事務）_20090805_【作成中】千里センター機器配置図（2010年対応分）_20091221_Ⅹ_課題と対応策_20121211" xfId="1641" xr:uid="{00000000-0005-0000-0000-000027060000}"/>
    <cellStyle name="_【20090323_参考資料】千里導入明細資料_ラック構成図（千里_営業店・新事務）_20090805_【作成中】千里センター機器配置図（2010年対応分）_20091221_Ⅹ_課題と対応策_20121211 2" xfId="1642" xr:uid="{00000000-0005-0000-0000-000028060000}"/>
    <cellStyle name="_【20090323_参考資料】千里導入明細資料_ラック構成図（千里_営業店・新事務）_20090805_Ⅹ_課題と対応策_20121211" xfId="1643" xr:uid="{00000000-0005-0000-0000-000029060000}"/>
    <cellStyle name="_【20090323_参考資料】千里導入明細資料_ラック構成図（千里_営業店・新事務）_20090805_Ⅹ_課題と対応策_20121211 2" xfId="1644" xr:uid="{00000000-0005-0000-0000-00002A060000}"/>
    <cellStyle name="_【20090323_参考資料】千里導入明細資料_ラック構成図_Catalyst直付け（新事務処理）" xfId="1645" xr:uid="{00000000-0005-0000-0000-00002B060000}"/>
    <cellStyle name="_【20090323_参考資料】千里導入明細資料_ラック構成図_Catalyst直付け（新事務処理） 2" xfId="1646" xr:uid="{00000000-0005-0000-0000-00002C060000}"/>
    <cellStyle name="_【20090323_参考資料】千里導入明細資料_ラック構成図_Catalyst直付け（新事務処理）_【20091207】千里導入明細資料_２１年度分（ネットワーク敷設）" xfId="1647" xr:uid="{00000000-0005-0000-0000-00002D060000}"/>
    <cellStyle name="_【20090323_参考資料】千里導入明細資料_ラック構成図_Catalyst直付け（新事務処理）_【20091207】千里導入明細資料_２１年度分（ネットワーク敷設） 2" xfId="1648" xr:uid="{00000000-0005-0000-0000-00002E060000}"/>
    <cellStyle name="_【20090323_参考資料】千里導入明細資料_ラック構成図_Catalyst直付け（新事務処理）_【20091207】千里導入明細資料_２１年度分（ネットワーク敷設）_【20091218】千里導入明細資料_２１年度分（ネットワーク敷設）" xfId="1649" xr:uid="{00000000-0005-0000-0000-00002F060000}"/>
    <cellStyle name="_【20090323_参考資料】千里導入明細資料_ラック構成図_Catalyst直付け（新事務処理）_【20091207】千里導入明細資料_２１年度分（ネットワーク敷設）_【20091218】千里導入明細資料_２１年度分（ネットワーク敷設） 2" xfId="1650" xr:uid="{00000000-0005-0000-0000-000030060000}"/>
    <cellStyle name="_【20090323_参考資料】千里導入明細資料_ラック構成図_Catalyst直付け（新事務処理）_【20091207】千里導入明細資料_２１年度分（ネットワーク敷設）_【20091218】千里導入明細資料_２１年度分（ネットワーク敷設）_Ⅹ_課題と対応策_20121211" xfId="1651" xr:uid="{00000000-0005-0000-0000-000031060000}"/>
    <cellStyle name="_【20090323_参考資料】千里導入明細資料_ラック構成図_Catalyst直付け（新事務処理）_【20091207】千里導入明細資料_２１年度分（ネットワーク敷設）_【20091218】千里導入明細資料_２１年度分（ネットワーク敷設）_Ⅹ_課題と対応策_20121211 2" xfId="1652" xr:uid="{00000000-0005-0000-0000-000032060000}"/>
    <cellStyle name="_【20090323_参考資料】千里導入明細資料_ラック構成図_Catalyst直付け（新事務処理）_【20091207】千里導入明細資料_２１年度分（ネットワーク敷設）_Ⅹ_課題と対応策_20121211" xfId="1653" xr:uid="{00000000-0005-0000-0000-000033060000}"/>
    <cellStyle name="_【20090323_参考資料】千里導入明細資料_ラック構成図_Catalyst直付け（新事務処理）_【20091207】千里導入明細資料_２１年度分（ネットワーク敷設）_Ⅹ_課題と対応策_20121211 2" xfId="1654" xr:uid="{00000000-0005-0000-0000-000034060000}"/>
    <cellStyle name="_【20090323_参考資料】千里導入明細資料_ラック構成図_Catalyst直付け（新事務処理）_【20091207】千里導入明細資料_２１年度分（ネットワーク敷設）_千里導入明細資料_２２年度分（ネットワーク敷設）_fj" xfId="1655" xr:uid="{00000000-0005-0000-0000-000035060000}"/>
    <cellStyle name="_【20090323_参考資料】千里導入明細資料_ラック構成図_Catalyst直付け（新事務処理）_【20091207】千里導入明細資料_２１年度分（ネットワーク敷設）_千里導入明細資料_２２年度分（ネットワーク敷設）_fj 2" xfId="1656" xr:uid="{00000000-0005-0000-0000-000036060000}"/>
    <cellStyle name="_【20090323_参考資料】千里導入明細資料_ラック構成図_Catalyst直付け（新事務処理）_【20091207】千里導入明細資料_２１年度分（ネットワーク敷設）_千里導入明細資料_２２年度分（ネットワーク敷設）_fj_Ⅹ_課題と対応策_20121211" xfId="1657" xr:uid="{00000000-0005-0000-0000-000037060000}"/>
    <cellStyle name="_【20090323_参考資料】千里導入明細資料_ラック構成図_Catalyst直付け（新事務処理）_【20091207】千里導入明細資料_２１年度分（ネットワーク敷設）_千里導入明細資料_２２年度分（ネットワーク敷設）_fj_Ⅹ_課題と対応策_20121211 2" xfId="1658" xr:uid="{00000000-0005-0000-0000-000038060000}"/>
    <cellStyle name="_【20090323_参考資料】千里導入明細資料_ラック構成図_Catalyst直付け（新事務処理）_【20091225】千里導入明細資料_２２年度上期分（営業店ＡＰ－ＤＢ）" xfId="1659" xr:uid="{00000000-0005-0000-0000-000039060000}"/>
    <cellStyle name="_【20090323_参考資料】千里導入明細資料_ラック構成図_Catalyst直付け（新事務処理）_【20091225】千里導入明細資料_２２年度上期分（営業店ＡＰ－ＤＢ） 2" xfId="1660" xr:uid="{00000000-0005-0000-0000-00003A060000}"/>
    <cellStyle name="_【20090323_参考資料】千里導入明細資料_ラック構成図_Catalyst直付け（新事務処理）_【20091225】千里導入明細資料_２２年度上期分（営業店ＡＰ－ＤＢ）_【調整中】千里導入明細資料_２２年度上期分_fj_20100127" xfId="1661" xr:uid="{00000000-0005-0000-0000-00003B060000}"/>
    <cellStyle name="_【20090323_参考資料】千里導入明細資料_ラック構成図_Catalyst直付け（新事務処理）_【20091225】千里導入明細資料_２２年度上期分（営業店ＡＰ－ＤＢ）_【調整中】千里導入明細資料_２２年度上期分_fj_20100127 2" xfId="1662" xr:uid="{00000000-0005-0000-0000-00003C060000}"/>
    <cellStyle name="_【20090323_参考資料】千里導入明細資料_ラック構成図_Catalyst直付け（新事務処理）_【20091225】千里導入明細資料_２２年度上期分（営業店ＡＰ－ＤＢ）_【調整中】千里導入明細資料_２２年度上期分_fj_20100127_Ⅹ_課題と対応策_20121211" xfId="1663" xr:uid="{00000000-0005-0000-0000-00003D060000}"/>
    <cellStyle name="_【20090323_参考資料】千里導入明細資料_ラック構成図_Catalyst直付け（新事務処理）_【20091225】千里導入明細資料_２２年度上期分（営業店ＡＰ－ＤＢ）_【調整中】千里導入明細資料_２２年度上期分_fj_20100127_Ⅹ_課題と対応策_20121211 2" xfId="1664" xr:uid="{00000000-0005-0000-0000-00003E060000}"/>
    <cellStyle name="_【20090323_参考資料】千里導入明細資料_ラック構成図_Catalyst直付け（新事務処理）_【20091225】千里導入明細資料_２２年度上期分（営業店ＡＰ－ＤＢ）_Ⅹ_課題と対応策_20121211" xfId="1665" xr:uid="{00000000-0005-0000-0000-00003F060000}"/>
    <cellStyle name="_【20090323_参考資料】千里導入明細資料_ラック構成図_Catalyst直付け（新事務処理）_【20091225】千里導入明細資料_２２年度上期分（営業店ＡＰ－ＤＢ）_Ⅹ_課題と対応策_20121211 2" xfId="1666" xr:uid="{00000000-0005-0000-0000-000040060000}"/>
    <cellStyle name="_【20090323_参考資料】千里導入明細資料_ラック構成図_Catalyst直付け（新事務処理）_【20091225】千里導入明細資料_２２年度上期分_営業店DB" xfId="1667" xr:uid="{00000000-0005-0000-0000-000041060000}"/>
    <cellStyle name="_【20090323_参考資料】千里導入明細資料_ラック構成図_Catalyst直付け（新事務処理）_【20091225】千里導入明細資料_２２年度上期分_営業店DB 2" xfId="1668" xr:uid="{00000000-0005-0000-0000-000042060000}"/>
    <cellStyle name="_【20090323_参考資料】千里導入明細資料_ラック構成図_Catalyst直付け（新事務処理）_【20091225】千里導入明細資料_２２年度上期分_営業店DB_【調整中】千里導入明細資料_２２年度上期分_fj_20100127" xfId="1669" xr:uid="{00000000-0005-0000-0000-000043060000}"/>
    <cellStyle name="_【20090323_参考資料】千里導入明細資料_ラック構成図_Catalyst直付け（新事務処理）_【20091225】千里導入明細資料_２２年度上期分_営業店DB_【調整中】千里導入明細資料_２２年度上期分_fj_20100127 2" xfId="1670" xr:uid="{00000000-0005-0000-0000-000044060000}"/>
    <cellStyle name="_【20090323_参考資料】千里導入明細資料_ラック構成図_Catalyst直付け（新事務処理）_【20091225】千里導入明細資料_２２年度上期分_営業店DB_【調整中】千里導入明細資料_２２年度上期分_fj_20100127_Ⅹ_課題と対応策_20121211" xfId="1671" xr:uid="{00000000-0005-0000-0000-000045060000}"/>
    <cellStyle name="_【20090323_参考資料】千里導入明細資料_ラック構成図_Catalyst直付け（新事務処理）_【20091225】千里導入明細資料_２２年度上期分_営業店DB_【調整中】千里導入明細資料_２２年度上期分_fj_20100127_Ⅹ_課題と対応策_20121211 2" xfId="1672" xr:uid="{00000000-0005-0000-0000-000046060000}"/>
    <cellStyle name="_【20090323_参考資料】千里導入明細資料_ラック構成図_Catalyst直付け（新事務処理）_【20091225】千里導入明細資料_２２年度上期分_営業店DB_Ⅹ_課題と対応策_20121211" xfId="1673" xr:uid="{00000000-0005-0000-0000-000047060000}"/>
    <cellStyle name="_【20090323_参考資料】千里導入明細資料_ラック構成図_Catalyst直付け（新事務処理）_【20091225】千里導入明細資料_２２年度上期分_営業店DB_Ⅹ_課題と対応策_20121211 2" xfId="1674" xr:uid="{00000000-0005-0000-0000-000048060000}"/>
    <cellStyle name="_【20090323_参考資料】千里導入明細資料_ラック構成図_Catalyst直付け（新事務処理）_【20091225】千里導入明細資料_２２年度上期分_連携DB" xfId="1675" xr:uid="{00000000-0005-0000-0000-000049060000}"/>
    <cellStyle name="_【20090323_参考資料】千里導入明細資料_ラック構成図_Catalyst直付け（新事務処理）_【20091225】千里導入明細資料_２２年度上期分_連携DB 2" xfId="1676" xr:uid="{00000000-0005-0000-0000-00004A060000}"/>
    <cellStyle name="_【20090323_参考資料】千里導入明細資料_ラック構成図_Catalyst直付け（新事務処理）_【20091225】千里導入明細資料_２２年度上期分_連携DB_【調整中】千里導入明細資料_２２年度上期分_fj_20100127" xfId="1677" xr:uid="{00000000-0005-0000-0000-00004B060000}"/>
    <cellStyle name="_【20090323_参考資料】千里導入明細資料_ラック構成図_Catalyst直付け（新事務処理）_【20091225】千里導入明細資料_２２年度上期分_連携DB_【調整中】千里導入明細資料_２２年度上期分_fj_20100127 2" xfId="1678" xr:uid="{00000000-0005-0000-0000-00004C060000}"/>
    <cellStyle name="_【20090323_参考資料】千里導入明細資料_ラック構成図_Catalyst直付け（新事務処理）_【20091225】千里導入明細資料_２２年度上期分_連携DB_【調整中】千里導入明細資料_２２年度上期分_fj_20100127_Ⅹ_課題と対応策_20121211" xfId="1679" xr:uid="{00000000-0005-0000-0000-00004D060000}"/>
    <cellStyle name="_【20090323_参考資料】千里導入明細資料_ラック構成図_Catalyst直付け（新事務処理）_【20091225】千里導入明細資料_２２年度上期分_連携DB_【調整中】千里導入明細資料_２２年度上期分_fj_20100127_Ⅹ_課題と対応策_20121211 2" xfId="1680" xr:uid="{00000000-0005-0000-0000-00004E060000}"/>
    <cellStyle name="_【20090323_参考資料】千里導入明細資料_ラック構成図_Catalyst直付け（新事務処理）_【20091225】千里導入明細資料_２２年度上期分_連携DB_Ⅹ_課題と対応策_20121211" xfId="1681" xr:uid="{00000000-0005-0000-0000-00004F060000}"/>
    <cellStyle name="_【20090323_参考資料】千里導入明細資料_ラック構成図_Catalyst直付け（新事務処理）_【20091225】千里導入明細資料_２２年度上期分_連携DB_Ⅹ_課題と対応策_20121211 2" xfId="1682" xr:uid="{00000000-0005-0000-0000-000050060000}"/>
    <cellStyle name="_【20090323_参考資料】千里導入明細資料_ラック構成図_Catalyst直付け（新事務処理）_【作成中】千里センター機器配置図（2010年対応分）_20091221" xfId="1683" xr:uid="{00000000-0005-0000-0000-000051060000}"/>
    <cellStyle name="_【20090323_参考資料】千里導入明細資料_ラック構成図_Catalyst直付け（新事務処理）_【作成中】千里センター機器配置図（2010年対応分）_20091221 2" xfId="1684" xr:uid="{00000000-0005-0000-0000-000052060000}"/>
    <cellStyle name="_【20090323_参考資料】千里導入明細資料_ラック構成図_Catalyst直付け（新事務処理）_【作成中】千里センター機器配置図（2010年対応分）_20091221_【調整中】千里導入明細資料_２２年度上期分_fj_20100127" xfId="1685" xr:uid="{00000000-0005-0000-0000-000053060000}"/>
    <cellStyle name="_【20090323_参考資料】千里導入明細資料_ラック構成図_Catalyst直付け（新事務処理）_【作成中】千里センター機器配置図（2010年対応分）_20091221_【調整中】千里導入明細資料_２２年度上期分_fj_20100127 2" xfId="1686" xr:uid="{00000000-0005-0000-0000-000054060000}"/>
    <cellStyle name="_【20090323_参考資料】千里導入明細資料_ラック構成図_Catalyst直付け（新事務処理）_【作成中】千里センター機器配置図（2010年対応分）_20091221_【調整中】千里導入明細資料_２２年度上期分_fj_20100127_Ⅹ_課題と対応策_20121211" xfId="1687" xr:uid="{00000000-0005-0000-0000-000055060000}"/>
    <cellStyle name="_【20090323_参考資料】千里導入明細資料_ラック構成図_Catalyst直付け（新事務処理）_【作成中】千里センター機器配置図（2010年対応分）_20091221_【調整中】千里導入明細資料_２２年度上期分_fj_20100127_Ⅹ_課題と対応策_20121211 2" xfId="1688" xr:uid="{00000000-0005-0000-0000-000056060000}"/>
    <cellStyle name="_【20090323_参考資料】千里導入明細資料_ラック構成図_Catalyst直付け（新事務処理）_【作成中】千里センター機器配置図（2010年対応分）_20091221_Ⅹ_課題と対応策_20121211" xfId="1689" xr:uid="{00000000-0005-0000-0000-000057060000}"/>
    <cellStyle name="_【20090323_参考資料】千里導入明細資料_ラック構成図_Catalyst直付け（新事務処理）_【作成中】千里センター機器配置図（2010年対応分）_20091221_Ⅹ_課題と対応策_20121211 2" xfId="1690" xr:uid="{00000000-0005-0000-0000-000058060000}"/>
    <cellStyle name="_【20090323_参考資料】千里導入明細資料_ラック構成図_Catalyst直付け（新事務処理）_Ⅹ_課題と対応策_20121211" xfId="1691" xr:uid="{00000000-0005-0000-0000-000059060000}"/>
    <cellStyle name="_【20090323_参考資料】千里導入明細資料_ラック構成図_Catalyst直付け（新事務処理）_Ⅹ_課題と対応策_20121211 2" xfId="1692" xr:uid="{00000000-0005-0000-0000-00005A060000}"/>
    <cellStyle name="_【20090323_参考資料】千里導入明細資料_ラック構成図_RX100Si-R削除(新事務処理)" xfId="1693" xr:uid="{00000000-0005-0000-0000-00005B060000}"/>
    <cellStyle name="_【20090323_参考資料】千里導入明細資料_ラック構成図_RX100Si-R削除(新事務処理) 2" xfId="1694" xr:uid="{00000000-0005-0000-0000-00005C060000}"/>
    <cellStyle name="_【20090323_参考資料】千里導入明細資料_ラック構成図_RX100Si-R削除(新事務処理)_【20091207】千里導入明細資料_２１年度分（ネットワーク敷設）" xfId="1695" xr:uid="{00000000-0005-0000-0000-00005D060000}"/>
    <cellStyle name="_【20090323_参考資料】千里導入明細資料_ラック構成図_RX100Si-R削除(新事務処理)_【20091207】千里導入明細資料_２１年度分（ネットワーク敷設） 2" xfId="1696" xr:uid="{00000000-0005-0000-0000-00005E060000}"/>
    <cellStyle name="_【20090323_参考資料】千里導入明細資料_ラック構成図_RX100Si-R削除(新事務処理)_【20091207】千里導入明細資料_２１年度分（ネットワーク敷設）_【20091218】千里導入明細資料_２１年度分（ネットワーク敷設）" xfId="1697" xr:uid="{00000000-0005-0000-0000-00005F060000}"/>
    <cellStyle name="_【20090323_参考資料】千里導入明細資料_ラック構成図_RX100Si-R削除(新事務処理)_【20091207】千里導入明細資料_２１年度分（ネットワーク敷設）_【20091218】千里導入明細資料_２１年度分（ネットワーク敷設） 2" xfId="1698" xr:uid="{00000000-0005-0000-0000-000060060000}"/>
    <cellStyle name="_【20090323_参考資料】千里導入明細資料_ラック構成図_RX100Si-R削除(新事務処理)_【20091207】千里導入明細資料_２１年度分（ネットワーク敷設）_【20091218】千里導入明細資料_２１年度分（ネットワーク敷設）_Ⅹ_課題と対応策_20121211" xfId="1699" xr:uid="{00000000-0005-0000-0000-000061060000}"/>
    <cellStyle name="_【20090323_参考資料】千里導入明細資料_ラック構成図_RX100Si-R削除(新事務処理)_【20091207】千里導入明細資料_２１年度分（ネットワーク敷設）_【20091218】千里導入明細資料_２１年度分（ネットワーク敷設）_Ⅹ_課題と対応策_20121211 2" xfId="1700" xr:uid="{00000000-0005-0000-0000-000062060000}"/>
    <cellStyle name="_【20090323_参考資料】千里導入明細資料_ラック構成図_RX100Si-R削除(新事務処理)_【20091207】千里導入明細資料_２１年度分（ネットワーク敷設）_Ⅹ_課題と対応策_20121211" xfId="1701" xr:uid="{00000000-0005-0000-0000-000063060000}"/>
    <cellStyle name="_【20090323_参考資料】千里導入明細資料_ラック構成図_RX100Si-R削除(新事務処理)_【20091207】千里導入明細資料_２１年度分（ネットワーク敷設）_Ⅹ_課題と対応策_20121211 2" xfId="1702" xr:uid="{00000000-0005-0000-0000-000064060000}"/>
    <cellStyle name="_【20090323_参考資料】千里導入明細資料_ラック構成図_RX100Si-R削除(新事務処理)_【20091207】千里導入明細資料_２１年度分（ネットワーク敷設）_千里導入明細資料_２２年度分（ネットワーク敷設）_fj" xfId="1703" xr:uid="{00000000-0005-0000-0000-000065060000}"/>
    <cellStyle name="_【20090323_参考資料】千里導入明細資料_ラック構成図_RX100Si-R削除(新事務処理)_【20091207】千里導入明細資料_２１年度分（ネットワーク敷設）_千里導入明細資料_２２年度分（ネットワーク敷設）_fj 2" xfId="1704" xr:uid="{00000000-0005-0000-0000-000066060000}"/>
    <cellStyle name="_【20090323_参考資料】千里導入明細資料_ラック構成図_RX100Si-R削除(新事務処理)_【20091207】千里導入明細資料_２１年度分（ネットワーク敷設）_千里導入明細資料_２２年度分（ネットワーク敷設）_fj_Ⅹ_課題と対応策_20121211" xfId="1705" xr:uid="{00000000-0005-0000-0000-000067060000}"/>
    <cellStyle name="_【20090323_参考資料】千里導入明細資料_ラック構成図_RX100Si-R削除(新事務処理)_【20091207】千里導入明細資料_２１年度分（ネットワーク敷設）_千里導入明細資料_２２年度分（ネットワーク敷設）_fj_Ⅹ_課題と対応策_20121211 2" xfId="1706" xr:uid="{00000000-0005-0000-0000-000068060000}"/>
    <cellStyle name="_【20090323_参考資料】千里導入明細資料_ラック構成図_RX100Si-R削除(新事務処理)_【20091225】千里導入明細資料_２２年度上期分（営業店ＡＰ－ＤＢ）" xfId="1707" xr:uid="{00000000-0005-0000-0000-000069060000}"/>
    <cellStyle name="_【20090323_参考資料】千里導入明細資料_ラック構成図_RX100Si-R削除(新事務処理)_【20091225】千里導入明細資料_２２年度上期分（営業店ＡＰ－ＤＢ） 2" xfId="1708" xr:uid="{00000000-0005-0000-0000-00006A060000}"/>
    <cellStyle name="_【20090323_参考資料】千里導入明細資料_ラック構成図_RX100Si-R削除(新事務処理)_【20091225】千里導入明細資料_２２年度上期分（営業店ＡＰ－ＤＢ）_【調整中】千里導入明細資料_２２年度上期分_fj_20100127" xfId="1709" xr:uid="{00000000-0005-0000-0000-00006B060000}"/>
    <cellStyle name="_【20090323_参考資料】千里導入明細資料_ラック構成図_RX100Si-R削除(新事務処理)_【20091225】千里導入明細資料_２２年度上期分（営業店ＡＰ－ＤＢ）_【調整中】千里導入明細資料_２２年度上期分_fj_20100127 2" xfId="1710" xr:uid="{00000000-0005-0000-0000-00006C060000}"/>
    <cellStyle name="_【20090323_参考資料】千里導入明細資料_ラック構成図_RX100Si-R削除(新事務処理)_【20091225】千里導入明細資料_２２年度上期分（営業店ＡＰ－ＤＢ）_【調整中】千里導入明細資料_２２年度上期分_fj_20100127_Ⅹ_課題と対応策_20121211" xfId="1711" xr:uid="{00000000-0005-0000-0000-00006D060000}"/>
    <cellStyle name="_【20090323_参考資料】千里導入明細資料_ラック構成図_RX100Si-R削除(新事務処理)_【20091225】千里導入明細資料_２２年度上期分（営業店ＡＰ－ＤＢ）_【調整中】千里導入明細資料_２２年度上期分_fj_20100127_Ⅹ_課題と対応策_20121211 2" xfId="1712" xr:uid="{00000000-0005-0000-0000-00006E060000}"/>
    <cellStyle name="_【20090323_参考資料】千里導入明細資料_ラック構成図_RX100Si-R削除(新事務処理)_【20091225】千里導入明細資料_２２年度上期分（営業店ＡＰ－ＤＢ）_Ⅹ_課題と対応策_20121211" xfId="1713" xr:uid="{00000000-0005-0000-0000-00006F060000}"/>
    <cellStyle name="_【20090323_参考資料】千里導入明細資料_ラック構成図_RX100Si-R削除(新事務処理)_【20091225】千里導入明細資料_２２年度上期分（営業店ＡＰ－ＤＢ）_Ⅹ_課題と対応策_20121211 2" xfId="1714" xr:uid="{00000000-0005-0000-0000-000070060000}"/>
    <cellStyle name="_【20090323_参考資料】千里導入明細資料_ラック構成図_RX100Si-R削除(新事務処理)_【20091225】千里導入明細資料_２２年度上期分_営業店DB" xfId="1715" xr:uid="{00000000-0005-0000-0000-000071060000}"/>
    <cellStyle name="_【20090323_参考資料】千里導入明細資料_ラック構成図_RX100Si-R削除(新事務処理)_【20091225】千里導入明細資料_２２年度上期分_営業店DB 2" xfId="1716" xr:uid="{00000000-0005-0000-0000-000072060000}"/>
    <cellStyle name="_【20090323_参考資料】千里導入明細資料_ラック構成図_RX100Si-R削除(新事務処理)_【20091225】千里導入明細資料_２２年度上期分_営業店DB_【調整中】千里導入明細資料_２２年度上期分_fj_20100127" xfId="1717" xr:uid="{00000000-0005-0000-0000-000073060000}"/>
    <cellStyle name="_【20090323_参考資料】千里導入明細資料_ラック構成図_RX100Si-R削除(新事務処理)_【20091225】千里導入明細資料_２２年度上期分_営業店DB_【調整中】千里導入明細資料_２２年度上期分_fj_20100127 2" xfId="1718" xr:uid="{00000000-0005-0000-0000-000074060000}"/>
    <cellStyle name="_【20090323_参考資料】千里導入明細資料_ラック構成図_RX100Si-R削除(新事務処理)_【20091225】千里導入明細資料_２２年度上期分_営業店DB_【調整中】千里導入明細資料_２２年度上期分_fj_20100127_Ⅹ_課題と対応策_20121211" xfId="1719" xr:uid="{00000000-0005-0000-0000-000075060000}"/>
    <cellStyle name="_【20090323_参考資料】千里導入明細資料_ラック構成図_RX100Si-R削除(新事務処理)_【20091225】千里導入明細資料_２２年度上期分_営業店DB_【調整中】千里導入明細資料_２２年度上期分_fj_20100127_Ⅹ_課題と対応策_20121211 2" xfId="1720" xr:uid="{00000000-0005-0000-0000-000076060000}"/>
    <cellStyle name="_【20090323_参考資料】千里導入明細資料_ラック構成図_RX100Si-R削除(新事務処理)_【20091225】千里導入明細資料_２２年度上期分_営業店DB_Ⅹ_課題と対応策_20121211" xfId="1721" xr:uid="{00000000-0005-0000-0000-000077060000}"/>
    <cellStyle name="_【20090323_参考資料】千里導入明細資料_ラック構成図_RX100Si-R削除(新事務処理)_【20091225】千里導入明細資料_２２年度上期分_営業店DB_Ⅹ_課題と対応策_20121211 2" xfId="1722" xr:uid="{00000000-0005-0000-0000-000078060000}"/>
    <cellStyle name="_【20090323_参考資料】千里導入明細資料_ラック構成図_RX100Si-R削除(新事務処理)_【20091225】千里導入明細資料_２２年度上期分_連携DB" xfId="1723" xr:uid="{00000000-0005-0000-0000-000079060000}"/>
    <cellStyle name="_【20090323_参考資料】千里導入明細資料_ラック構成図_RX100Si-R削除(新事務処理)_【20091225】千里導入明細資料_２２年度上期分_連携DB 2" xfId="1724" xr:uid="{00000000-0005-0000-0000-00007A060000}"/>
    <cellStyle name="_【20090323_参考資料】千里導入明細資料_ラック構成図_RX100Si-R削除(新事務処理)_【20091225】千里導入明細資料_２２年度上期分_連携DB_【調整中】千里導入明細資料_２２年度上期分_fj_20100127" xfId="1725" xr:uid="{00000000-0005-0000-0000-00007B060000}"/>
    <cellStyle name="_【20090323_参考資料】千里導入明細資料_ラック構成図_RX100Si-R削除(新事務処理)_【20091225】千里導入明細資料_２２年度上期分_連携DB_【調整中】千里導入明細資料_２２年度上期分_fj_20100127 2" xfId="1726" xr:uid="{00000000-0005-0000-0000-00007C060000}"/>
    <cellStyle name="_【20090323_参考資料】千里導入明細資料_ラック構成図_RX100Si-R削除(新事務処理)_【20091225】千里導入明細資料_２２年度上期分_連携DB_【調整中】千里導入明細資料_２２年度上期分_fj_20100127_Ⅹ_課題と対応策_20121211" xfId="1727" xr:uid="{00000000-0005-0000-0000-00007D060000}"/>
    <cellStyle name="_【20090323_参考資料】千里導入明細資料_ラック構成図_RX100Si-R削除(新事務処理)_【20091225】千里導入明細資料_２２年度上期分_連携DB_【調整中】千里導入明細資料_２２年度上期分_fj_20100127_Ⅹ_課題と対応策_20121211 2" xfId="1728" xr:uid="{00000000-0005-0000-0000-00007E060000}"/>
    <cellStyle name="_【20090323_参考資料】千里導入明細資料_ラック構成図_RX100Si-R削除(新事務処理)_【20091225】千里導入明細資料_２２年度上期分_連携DB_Ⅹ_課題と対応策_20121211" xfId="1729" xr:uid="{00000000-0005-0000-0000-00007F060000}"/>
    <cellStyle name="_【20090323_参考資料】千里導入明細資料_ラック構成図_RX100Si-R削除(新事務処理)_【20091225】千里導入明細資料_２２年度上期分_連携DB_Ⅹ_課題と対応策_20121211 2" xfId="1730" xr:uid="{00000000-0005-0000-0000-000080060000}"/>
    <cellStyle name="_【20090323_参考資料】千里導入明細資料_ラック構成図_RX100Si-R削除(新事務処理)_【作成中】千里センター機器配置図（2010年対応分）_20091221" xfId="1731" xr:uid="{00000000-0005-0000-0000-000081060000}"/>
    <cellStyle name="_【20090323_参考資料】千里導入明細資料_ラック構成図_RX100Si-R削除(新事務処理)_【作成中】千里センター機器配置図（2010年対応分）_20091221 2" xfId="1732" xr:uid="{00000000-0005-0000-0000-000082060000}"/>
    <cellStyle name="_【20090323_参考資料】千里導入明細資料_ラック構成図_RX100Si-R削除(新事務処理)_【作成中】千里センター機器配置図（2010年対応分）_20091221_【調整中】千里導入明細資料_２２年度上期分_fj_20100127" xfId="1733" xr:uid="{00000000-0005-0000-0000-000083060000}"/>
    <cellStyle name="_【20090323_参考資料】千里導入明細資料_ラック構成図_RX100Si-R削除(新事務処理)_【作成中】千里センター機器配置図（2010年対応分）_20091221_【調整中】千里導入明細資料_２２年度上期分_fj_20100127 2" xfId="1734" xr:uid="{00000000-0005-0000-0000-000084060000}"/>
    <cellStyle name="_【20090323_参考資料】千里導入明細資料_ラック構成図_RX100Si-R削除(新事務処理)_【作成中】千里センター機器配置図（2010年対応分）_20091221_【調整中】千里導入明細資料_２２年度上期分_fj_20100127_Ⅹ_課題と対応策_20121211" xfId="1735" xr:uid="{00000000-0005-0000-0000-000085060000}"/>
    <cellStyle name="_【20090323_参考資料】千里導入明細資料_ラック構成図_RX100Si-R削除(新事務処理)_【作成中】千里センター機器配置図（2010年対応分）_20091221_【調整中】千里導入明細資料_２２年度上期分_fj_20100127_Ⅹ_課題と対応策_20121211 2" xfId="1736" xr:uid="{00000000-0005-0000-0000-000086060000}"/>
    <cellStyle name="_【20090323_参考資料】千里導入明細資料_ラック構成図_RX100Si-R削除(新事務処理)_【作成中】千里センター機器配置図（2010年対応分）_20091221_Ⅹ_課題と対応策_20121211" xfId="1737" xr:uid="{00000000-0005-0000-0000-000087060000}"/>
    <cellStyle name="_【20090323_参考資料】千里導入明細資料_ラック構成図_RX100Si-R削除(新事務処理)_【作成中】千里センター機器配置図（2010年対応分）_20091221_Ⅹ_課題と対応策_20121211 2" xfId="1738" xr:uid="{00000000-0005-0000-0000-000088060000}"/>
    <cellStyle name="_【20090323_参考資料】千里導入明細資料_ラック構成図_RX100Si-R削除(新事務処理)_Ⅹ_課題と対応策_20121211" xfId="1739" xr:uid="{00000000-0005-0000-0000-000089060000}"/>
    <cellStyle name="_【20090323_参考資料】千里導入明細資料_ラック構成図_RX100Si-R削除(新事務処理)_Ⅹ_課題と対応策_20121211 2" xfId="1740" xr:uid="{00000000-0005-0000-0000-00008A060000}"/>
    <cellStyle name="_【20090323_参考資料】千里導入明細資料_千里導入明細資料_２２年度分（ネットワーク敷設）_fj" xfId="1741" xr:uid="{00000000-0005-0000-0000-00008B060000}"/>
    <cellStyle name="_【20090323_参考資料】千里導入明細資料_千里導入明細資料_２２年度分（ネットワーク敷設）_fj 2" xfId="1742" xr:uid="{00000000-0005-0000-0000-00008C060000}"/>
    <cellStyle name="_【20090323_参考資料】千里導入明細資料_千里導入明細資料_２２年度分（ネットワーク敷設）_fj_Ⅹ_課題と対応策_20121211" xfId="1743" xr:uid="{00000000-0005-0000-0000-00008D060000}"/>
    <cellStyle name="_【20090323_参考資料】千里導入明細資料_千里導入明細資料_２２年度分（ネットワーク敷設）_fj_Ⅹ_課題と対応策_20121211 2" xfId="1744" xr:uid="{00000000-0005-0000-0000-00008E060000}"/>
    <cellStyle name="_【20090522_精緻化中】千里導入明細資料_２１年度分" xfId="1745" xr:uid="{00000000-0005-0000-0000-00008F060000}"/>
    <cellStyle name="_【20090522_精緻化中】千里導入明細資料_２１年度分 2" xfId="1746" xr:uid="{00000000-0005-0000-0000-000090060000}"/>
    <cellStyle name="_【20090522_精緻化中】千里導入明細資料_２１年度分_(自動機監視GW) 【20090602】千里導入明細資料_２１年度fj分" xfId="1747" xr:uid="{00000000-0005-0000-0000-000091060000}"/>
    <cellStyle name="_【20090522_精緻化中】千里導入明細資料_２１年度分_(自動機監視GW) 【20090602】千里導入明細資料_２１年度fj分 2" xfId="1748" xr:uid="{00000000-0005-0000-0000-000092060000}"/>
    <cellStyle name="_【20090522_精緻化中】千里導入明細資料_２１年度分_(自動機監視GW) 【20090602】千里導入明細資料_２１年度fj分_【20091218】千里導入明細資料_２１年度分（ネットワーク敷設）" xfId="1749" xr:uid="{00000000-0005-0000-0000-000093060000}"/>
    <cellStyle name="_【20090522_精緻化中】千里導入明細資料_２１年度分_(自動機監視GW) 【20090602】千里導入明細資料_２１年度fj分_【20091218】千里導入明細資料_２１年度分（ネットワーク敷設） 2" xfId="1750" xr:uid="{00000000-0005-0000-0000-000094060000}"/>
    <cellStyle name="_【20090522_精緻化中】千里導入明細資料_２１年度分_(自動機監視GW) 【20090602】千里導入明細資料_２１年度fj分_【20091218】千里導入明細資料_２１年度分（ネットワーク敷設）_Ⅹ_課題と対応策_20121211" xfId="1751" xr:uid="{00000000-0005-0000-0000-000095060000}"/>
    <cellStyle name="_【20090522_精緻化中】千里導入明細資料_２１年度分_(自動機監視GW) 【20090602】千里導入明細資料_２１年度fj分_【20091218】千里導入明細資料_２１年度分（ネットワーク敷設）_Ⅹ_課題と対応策_20121211 2" xfId="1752" xr:uid="{00000000-0005-0000-0000-000096060000}"/>
    <cellStyle name="_【20090522_精緻化中】千里導入明細資料_２１年度分_(自動機監視GW) 【20090602】千里導入明細資料_２１年度fj分_Ⅹ_課題と対応策_20121211" xfId="1753" xr:uid="{00000000-0005-0000-0000-000097060000}"/>
    <cellStyle name="_【20090522_精緻化中】千里導入明細資料_２１年度分_(自動機監視GW) 【20090602】千里導入明細資料_２１年度fj分_Ⅹ_課題と対応策_20121211 2" xfId="1754" xr:uid="{00000000-0005-0000-0000-000098060000}"/>
    <cellStyle name="_【20090522_精緻化中】千里導入明細資料_２１年度分_(自動機監視GW) 【20090602】千里導入明細資料_２１年度fj分_千里導入明細資料_２２年度分（ネットワーク敷設）_fj" xfId="1755" xr:uid="{00000000-0005-0000-0000-000099060000}"/>
    <cellStyle name="_【20090522_精緻化中】千里導入明細資料_２１年度分_(自動機監視GW) 【20090602】千里導入明細資料_２１年度fj分_千里導入明細資料_２２年度分（ネットワーク敷設）_fj 2" xfId="1756" xr:uid="{00000000-0005-0000-0000-00009A060000}"/>
    <cellStyle name="_【20090522_精緻化中】千里導入明細資料_２１年度分_(自動機監視GW) 【20090602】千里導入明細資料_２１年度fj分_千里導入明細資料_２２年度分（ネットワーク敷設）_fj_Ⅹ_課題と対応策_20121211" xfId="1757" xr:uid="{00000000-0005-0000-0000-00009B060000}"/>
    <cellStyle name="_【20090522_精緻化中】千里導入明細資料_２１年度分_(自動機監視GW) 【20090602】千里導入明細資料_２１年度fj分_千里導入明細資料_２２年度分（ネットワーク敷設）_fj_Ⅹ_課題と対応策_20121211 2" xfId="1758" xr:uid="{00000000-0005-0000-0000-00009C060000}"/>
    <cellStyle name="_【20090522_精緻化中】千里導入明細資料_２１年度分_【20090715】千里導入明細資料_２１年度分（９月工事分）_fj" xfId="1759" xr:uid="{00000000-0005-0000-0000-00009D060000}"/>
    <cellStyle name="_【20090522_精緻化中】千里導入明細資料_２１年度分_【20090715】千里導入明細資料_２１年度分（９月工事分）_fj 2" xfId="1760" xr:uid="{00000000-0005-0000-0000-00009E060000}"/>
    <cellStyle name="_【20090522_精緻化中】千里導入明細資料_２１年度分_【20090715】千里導入明細資料_２１年度分（９月工事分）_fj_【20090721】千里導入明細資料_２１年度分" xfId="1761" xr:uid="{00000000-0005-0000-0000-00009F060000}"/>
    <cellStyle name="_【20090522_精緻化中】千里導入明細資料_２１年度分_【20090715】千里導入明細資料_２１年度分（９月工事分）_fj_【20090721】千里導入明細資料_２１年度分 2" xfId="1762" xr:uid="{00000000-0005-0000-0000-0000A0060000}"/>
    <cellStyle name="_【20090522_精緻化中】千里導入明細資料_２１年度分_【20090715】千里導入明細資料_２１年度分（９月工事分）_fj_【20090721】千里導入明細資料_２１年度分（９月工事分）_ETERNUS追加" xfId="1763" xr:uid="{00000000-0005-0000-0000-0000A1060000}"/>
    <cellStyle name="_【20090522_精緻化中】千里導入明細資料_２１年度分_【20090715】千里導入明細資料_２１年度分（９月工事分）_fj_【20090721】千里導入明細資料_２１年度分（９月工事分）_ETERNUS追加 2" xfId="1764" xr:uid="{00000000-0005-0000-0000-0000A2060000}"/>
    <cellStyle name="_【20090522_精緻化中】千里導入明細資料_２１年度分_【20090715】千里導入明細資料_２１年度分（９月工事分）_fj_【20090721】千里導入明細資料_２１年度分（９月工事分）_ETERNUS追加_【20090731】千里導入明細資料_２１年度分（９月工事分）" xfId="1765" xr:uid="{00000000-0005-0000-0000-0000A3060000}"/>
    <cellStyle name="_【20090522_精緻化中】千里導入明細資料_２１年度分_【20090715】千里導入明細資料_２１年度分（９月工事分）_fj_【20090721】千里導入明細資料_２１年度分（９月工事分）_ETERNUS追加_【20090731】千里導入明細資料_２１年度分（９月工事分） 2" xfId="1766" xr:uid="{00000000-0005-0000-0000-0000A4060000}"/>
    <cellStyle name="_【20090522_精緻化中】千里導入明細資料_２１年度分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" xfId="1767" xr:uid="{00000000-0005-0000-0000-0000A5060000}"/>
    <cellStyle name="_【20090522_精緻化中】千里導入明細資料_２１年度分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 2" xfId="1768" xr:uid="{00000000-0005-0000-0000-0000A6060000}"/>
    <cellStyle name="_【20090522_精緻化中】千里導入明細資料_２１年度分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_Ⅹ_課題と対応策_20121211" xfId="1769" xr:uid="{00000000-0005-0000-0000-0000A7060000}"/>
    <cellStyle name="_【20090522_精緻化中】千里導入明細資料_２１年度分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_Ⅹ_課題と対応策_20121211 2" xfId="1770" xr:uid="{00000000-0005-0000-0000-0000A8060000}"/>
    <cellStyle name="_【20090522_精緻化中】千里導入明細資料_２１年度分_【20090715】千里導入明細資料_２１年度分（９月工事分）_fj_【20090721】千里導入明細資料_２１年度分（９月工事分）_ETERNUS追加_【20090731】千里導入明細資料_２１年度分（９月工事分）_Ⅹ_課題と対応策_20121211" xfId="1771" xr:uid="{00000000-0005-0000-0000-0000A9060000}"/>
    <cellStyle name="_【20090522_精緻化中】千里導入明細資料_２１年度分_【20090715】千里導入明細資料_２１年度分（９月工事分）_fj_【20090721】千里導入明細資料_２１年度分（９月工事分）_ETERNUS追加_【20090731】千里導入明細資料_２１年度分（９月工事分）_Ⅹ_課題と対応策_20121211 2" xfId="1772" xr:uid="{00000000-0005-0000-0000-0000AA060000}"/>
    <cellStyle name="_【20090522_精緻化中】千里導入明細資料_２１年度分_【20090715】千里導入明細資料_２１年度分（９月工事分）_fj_【20090721】千里導入明細資料_２１年度分（９月工事分）_ETERNUS追加_【20090821】千里ラック搭載図（NW機器）" xfId="1773" xr:uid="{00000000-0005-0000-0000-0000AB060000}"/>
    <cellStyle name="_【20090522_精緻化中】千里導入明細資料_２１年度分_【20090715】千里導入明細資料_２１年度分（９月工事分）_fj_【20090721】千里導入明細資料_２１年度分（９月工事分）_ETERNUS追加_【20090821】千里ラック搭載図（NW機器） 2" xfId="1774" xr:uid="{00000000-0005-0000-0000-0000AC060000}"/>
    <cellStyle name="_【20090522_精緻化中】千里導入明細資料_２１年度分_【20090715】千里導入明細資料_２１年度分（９月工事分）_fj_【20090721】千里導入明細資料_２１年度分（９月工事分）_ETERNUS追加_【20090821】千里ラック搭載図（NW機器）_Ⅹ_課題と対応策_20121211" xfId="1775" xr:uid="{00000000-0005-0000-0000-0000AD060000}"/>
    <cellStyle name="_【20090522_精緻化中】千里導入明細資料_２１年度分_【20090715】千里導入明細資料_２１年度分（９月工事分）_fj_【20090721】千里導入明細資料_２１年度分（９月工事分）_ETERNUS追加_【20090821】千里ラック搭載図（NW機器）_Ⅹ_課題と対応策_20121211 2" xfId="1776" xr:uid="{00000000-0005-0000-0000-0000AE060000}"/>
    <cellStyle name="_【20090522_精緻化中】千里導入明細資料_２１年度分_【20090715】千里導入明細資料_２１年度分（９月工事分）_fj_【20090721】千里導入明細資料_２１年度分（９月工事分）_ETERNUS追加_【20091218】千里導入明細資料_２１年度分（ネットワーク敷設）" xfId="1777" xr:uid="{00000000-0005-0000-0000-0000AF060000}"/>
    <cellStyle name="_【20090522_精緻化中】千里導入明細資料_２１年度分_【20090715】千里導入明細資料_２１年度分（９月工事分）_fj_【20090721】千里導入明細資料_２１年度分（９月工事分）_ETERNUS追加_【20091218】千里導入明細資料_２１年度分（ネットワーク敷設） 2" xfId="1778" xr:uid="{00000000-0005-0000-0000-0000B0060000}"/>
    <cellStyle name="_【20090522_精緻化中】千里導入明細資料_２１年度分_【20090715】千里導入明細資料_２１年度分（９月工事分）_fj_【20090721】千里導入明細資料_２１年度分（９月工事分）_ETERNUS追加_【20091218】千里導入明細資料_２１年度分（ネットワーク敷設）_Ⅹ_課題と対応策_20121211" xfId="1779" xr:uid="{00000000-0005-0000-0000-0000B1060000}"/>
    <cellStyle name="_【20090522_精緻化中】千里導入明細資料_２１年度分_【20090715】千里導入明細資料_２１年度分（９月工事分）_fj_【20090721】千里導入明細資料_２１年度分（９月工事分）_ETERNUS追加_【20091218】千里導入明細資料_２１年度分（ネットワーク敷設）_Ⅹ_課題と対応策_20121211 2" xfId="1780" xr:uid="{00000000-0005-0000-0000-0000B2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" xfId="1781" xr:uid="{00000000-0005-0000-0000-0000B3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 2" xfId="1782" xr:uid="{00000000-0005-0000-0000-0000B4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" xfId="1783" xr:uid="{00000000-0005-0000-0000-0000B5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 2" xfId="1784" xr:uid="{00000000-0005-0000-0000-0000B6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" xfId="1785" xr:uid="{00000000-0005-0000-0000-0000B7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 2" xfId="1786" xr:uid="{00000000-0005-0000-0000-0000B8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_Ⅹ_課題と対応策_20121211" xfId="1787" xr:uid="{00000000-0005-0000-0000-0000B9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1788" xr:uid="{00000000-0005-0000-0000-0000BA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Ⅹ_課題と対応策_20121211" xfId="1789" xr:uid="{00000000-0005-0000-0000-0000BB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Ⅹ_課題と対応策_20121211 2" xfId="1790" xr:uid="{00000000-0005-0000-0000-0000BC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" xfId="1791" xr:uid="{00000000-0005-0000-0000-0000BD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 2" xfId="1792" xr:uid="{00000000-0005-0000-0000-0000BE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" xfId="1793" xr:uid="{00000000-0005-0000-0000-0000BF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 2" xfId="1794" xr:uid="{00000000-0005-0000-0000-0000C0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_Ⅹ_課題と対応策_20121211" xfId="1795" xr:uid="{00000000-0005-0000-0000-0000C1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_Ⅹ_課題と対応策_20121211 2" xfId="1796" xr:uid="{00000000-0005-0000-0000-0000C2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Ⅹ_課題と対応策_20121211" xfId="1797" xr:uid="{00000000-0005-0000-0000-0000C3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Ⅹ_課題と対応策_20121211 2" xfId="1798" xr:uid="{00000000-0005-0000-0000-0000C4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Ⅹ_課題と対応策_20121211" xfId="1799" xr:uid="{00000000-0005-0000-0000-0000C5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Ⅹ_課題と対応策_20121211 2" xfId="1800" xr:uid="{00000000-0005-0000-0000-0000C6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5】千里導入明細資料_２２年度上期分" xfId="1801" xr:uid="{00000000-0005-0000-0000-0000C7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5】千里導入明細資料_２２年度上期分 2" xfId="1802" xr:uid="{00000000-0005-0000-0000-0000C8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5】千里導入明細資料_２２年度上期分_Ⅹ_課題と対応策_20121211" xfId="1803" xr:uid="{00000000-0005-0000-0000-0000C9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5】千里導入明細資料_２２年度上期分_Ⅹ_課題と対応策_20121211 2" xfId="1804" xr:uid="{00000000-0005-0000-0000-0000CA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5】千里導入明細資料_２２年度上期分_営業店DB" xfId="1805" xr:uid="{00000000-0005-0000-0000-0000CB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5】千里導入明細資料_２２年度上期分_営業店DB 2" xfId="1806" xr:uid="{00000000-0005-0000-0000-0000CC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5】千里導入明細資料_２２年度上期分_営業店DB_Ⅹ_課題と対応策_20121211" xfId="1807" xr:uid="{00000000-0005-0000-0000-0000CD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5】千里導入明細資料_２２年度上期分_営業店DB_Ⅹ_課題と対応策_20121211 2" xfId="1808" xr:uid="{00000000-0005-0000-0000-0000CE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5】千里導入明細資料_２２年度上期分_連携DB" xfId="1809" xr:uid="{00000000-0005-0000-0000-0000CF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5】千里導入明細資料_２２年度上期分_連携DB 2" xfId="1810" xr:uid="{00000000-0005-0000-0000-0000D0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5】千里導入明細資料_２２年度上期分_連携DB_Ⅹ_課題と対応策_20121211" xfId="1811" xr:uid="{00000000-0005-0000-0000-0000D1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5】千里導入明細資料_２２年度上期分_連携DB_Ⅹ_課題と対応策_20121211 2" xfId="1812" xr:uid="{00000000-0005-0000-0000-0000D2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" xfId="1813" xr:uid="{00000000-0005-0000-0000-0000D3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 2" xfId="1814" xr:uid="{00000000-0005-0000-0000-0000D4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（為替分）" xfId="1815" xr:uid="{00000000-0005-0000-0000-0000D5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（為替分） 2" xfId="1816" xr:uid="{00000000-0005-0000-0000-0000D6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（為替分）_Ⅹ_課題と対応策_20121211" xfId="1817" xr:uid="{00000000-0005-0000-0000-0000D7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（為替分）_Ⅹ_課題と対応策_20121211 2" xfId="1818" xr:uid="{00000000-0005-0000-0000-0000D8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" xfId="1819" xr:uid="{00000000-0005-0000-0000-0000D9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 2" xfId="1820" xr:uid="{00000000-0005-0000-0000-0000DA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" xfId="1821" xr:uid="{00000000-0005-0000-0000-0000DB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 2" xfId="1822" xr:uid="{00000000-0005-0000-0000-0000DC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_Ⅹ_課題と対応策_20121211" xfId="1823" xr:uid="{00000000-0005-0000-0000-0000DD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_Ⅹ_課題と対応策_20121211 2" xfId="1824" xr:uid="{00000000-0005-0000-0000-0000DE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Ⅹ_課題と対応策_20121211" xfId="1825" xr:uid="{00000000-0005-0000-0000-0000DF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Ⅹ_課題と対応策_20121211 2" xfId="1826" xr:uid="{00000000-0005-0000-0000-0000E0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" xfId="1827" xr:uid="{00000000-0005-0000-0000-0000E1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 2" xfId="1828" xr:uid="{00000000-0005-0000-0000-0000E2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" xfId="1829" xr:uid="{00000000-0005-0000-0000-0000E3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 2" xfId="1830" xr:uid="{00000000-0005-0000-0000-0000E4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_Ⅹ_課題と対応策_20121211" xfId="1831" xr:uid="{00000000-0005-0000-0000-0000E5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_Ⅹ_課題と対応策_20121211 2" xfId="1832" xr:uid="{00000000-0005-0000-0000-0000E6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Ⅹ_課題と対応策_20121211" xfId="1833" xr:uid="{00000000-0005-0000-0000-0000E7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Ⅹ_課題と対応策_20121211 2" xfId="1834" xr:uid="{00000000-0005-0000-0000-0000E8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" xfId="1835" xr:uid="{00000000-0005-0000-0000-0000E9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 2" xfId="1836" xr:uid="{00000000-0005-0000-0000-0000EA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" xfId="1837" xr:uid="{00000000-0005-0000-0000-0000EB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 2" xfId="1838" xr:uid="{00000000-0005-0000-0000-0000EC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_Ⅹ_課題と対応策_20121211" xfId="1839" xr:uid="{00000000-0005-0000-0000-0000ED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_Ⅹ_課題と対応策_20121211 2" xfId="1840" xr:uid="{00000000-0005-0000-0000-0000EE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Ⅹ_課題と対応策_20121211" xfId="1841" xr:uid="{00000000-0005-0000-0000-0000EF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Ⅹ_課題と対応策_20121211 2" xfId="1842" xr:uid="{00000000-0005-0000-0000-0000F0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Ⅹ_課題と対応策_20121211" xfId="1843" xr:uid="{00000000-0005-0000-0000-0000F1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Ⅹ_課題と対応策_20121211 2" xfId="1844" xr:uid="{00000000-0005-0000-0000-0000F2060000}"/>
    <cellStyle name="_【20090522_精緻化中】千里導入明細資料_２１年度分_【20090715】千里導入明細資料_２１年度分（９月工事分）_fj_【20090721】千里導入明細資料_２１年度分（９月工事分）_ETERNUS追加_【調整中】千里導入明細資料_２２年度上期分_fj_20100127" xfId="1845" xr:uid="{00000000-0005-0000-0000-0000F3060000}"/>
    <cellStyle name="_【20090522_精緻化中】千里導入明細資料_２１年度分_【20090715】千里導入明細資料_２１年度分（９月工事分）_fj_【20090721】千里導入明細資料_２１年度分（９月工事分）_ETERNUS追加_【調整中】千里導入明細資料_２２年度上期分_fj_20100127 2" xfId="1846" xr:uid="{00000000-0005-0000-0000-0000F4060000}"/>
    <cellStyle name="_【20090522_精緻化中】千里導入明細資料_２１年度分_【20090715】千里導入明細資料_２１年度分（９月工事分）_fj_【20090721】千里導入明細資料_２１年度分（９月工事分）_ETERNUS追加_【調整中】千里導入明細資料_２２年度上期分_fj_20100127_Ⅹ_課題と対応策_20121211" xfId="1847" xr:uid="{00000000-0005-0000-0000-0000F5060000}"/>
    <cellStyle name="_【20090522_精緻化中】千里導入明細資料_２１年度分_【20090715】千里導入明細資料_２１年度分（９月工事分）_fj_【20090721】千里導入明細資料_２１年度分（９月工事分）_ETERNUS追加_【調整中】千里導入明細資料_２２年度上期分_fj_20100127_Ⅹ_課題と対応策_20121211 2" xfId="1848" xr:uid="{00000000-0005-0000-0000-0000F6060000}"/>
    <cellStyle name="_【20090522_精緻化中】千里導入明細資料_２１年度分_【20090715】千里導入明細資料_２１年度分（９月工事分）_fj_【20090721】千里導入明細資料_２１年度分（９月工事分）_ETERNUS追加_①【20091225】千里導入明細資料_２２年度上期1分)" xfId="1849" xr:uid="{00000000-0005-0000-0000-0000F7060000}"/>
    <cellStyle name="_【20090522_精緻化中】千里導入明細資料_２１年度分_【20090715】千里導入明細資料_２１年度分（９月工事分）_fj_【20090721】千里導入明細資料_２１年度分（９月工事分）_ETERNUS追加_①【20091225】千里導入明細資料_２２年度上期1分) 2" xfId="1850" xr:uid="{00000000-0005-0000-0000-0000F8060000}"/>
    <cellStyle name="_【20090522_精緻化中】千里導入明細資料_２１年度分_【20090715】千里導入明細資料_２１年度分（９月工事分）_fj_【20090721】千里導入明細資料_２１年度分（９月工事分）_ETERNUS追加_①【20091225】千里導入明細資料_２２年度上期1分)_Ⅹ_課題と対応策_20121211" xfId="1851" xr:uid="{00000000-0005-0000-0000-0000F9060000}"/>
    <cellStyle name="_【20090522_精緻化中】千里導入明細資料_２１年度分_【20090715】千里導入明細資料_２１年度分（９月工事分）_fj_【20090721】千里導入明細資料_２１年度分（９月工事分）_ETERNUS追加_①【20091225】千里導入明細資料_２２年度上期1分)_Ⅹ_課題と対応策_20121211 2" xfId="1852" xr:uid="{00000000-0005-0000-0000-0000FA060000}"/>
    <cellStyle name="_【20090522_精緻化中】千里導入明細資料_２１年度分_【20090715】千里導入明細資料_２１年度分（９月工事分）_fj_【20090721】千里導入明細資料_２１年度分（９月工事分）_ETERNUS追加_Ⅹ_課題と対応策_20121211" xfId="1853" xr:uid="{00000000-0005-0000-0000-0000FB060000}"/>
    <cellStyle name="_【20090522_精緻化中】千里導入明細資料_２１年度分_【20090715】千里導入明細資料_２１年度分（９月工事分）_fj_【20090721】千里導入明細資料_２１年度分（９月工事分）_ETERNUS追加_Ⅹ_課題と対応策_20121211 2" xfId="1854" xr:uid="{00000000-0005-0000-0000-0000FC060000}"/>
    <cellStyle name="_【20090522_精緻化中】千里導入明細資料_２１年度分_【20090715】千里導入明細資料_２１年度分（９月工事分）_fj_【20090721】千里導入明細資料_２１年度分（９月工事分）_ETERNUS追加_千里導入明細資料_２２年度分（ネットワーク敷設）_fj" xfId="1855" xr:uid="{00000000-0005-0000-0000-0000FD060000}"/>
    <cellStyle name="_【20090522_精緻化中】千里導入明細資料_２１年度分_【20090715】千里導入明細資料_２１年度分（９月工事分）_fj_【20090721】千里導入明細資料_２１年度分（９月工事分）_ETERNUS追加_千里導入明細資料_２２年度分（ネットワーク敷設）_fj 2" xfId="1856" xr:uid="{00000000-0005-0000-0000-0000FE060000}"/>
    <cellStyle name="_【20090522_精緻化中】千里導入明細資料_２１年度分_【20090715】千里導入明細資料_２１年度分（９月工事分）_fj_【20090721】千里導入明細資料_２１年度分（９月工事分）_ETERNUS追加_千里導入明細資料_２２年度分（ネットワーク敷設）_fj_Ⅹ_課題と対応策_20121211" xfId="1857" xr:uid="{00000000-0005-0000-0000-0000FF060000}"/>
    <cellStyle name="_【20090522_精緻化中】千里導入明細資料_２１年度分_【20090715】千里導入明細資料_２１年度分（９月工事分）_fj_【20090721】千里導入明細資料_２１年度分（９月工事分）_ETERNUS追加_千里導入明細資料_２２年度分（ネットワーク敷設）_fj_Ⅹ_課題と対応策_20121211 2" xfId="1858" xr:uid="{00000000-0005-0000-0000-000000070000}"/>
    <cellStyle name="_【20090522_精緻化中】千里導入明細資料_２１年度分_【20090715】千里導入明細資料_２１年度分（９月工事分）_fj_【20090721】千里導入明細資料_２１年度分_【20091218】千里導入明細資料_２１年度分（ネットワーク敷設）" xfId="1859" xr:uid="{00000000-0005-0000-0000-000001070000}"/>
    <cellStyle name="_【20090522_精緻化中】千里導入明細資料_２１年度分_【20090715】千里導入明細資料_２１年度分（９月工事分）_fj_【20090721】千里導入明細資料_２１年度分_【20091218】千里導入明細資料_２１年度分（ネットワーク敷設） 2" xfId="1860" xr:uid="{00000000-0005-0000-0000-000002070000}"/>
    <cellStyle name="_【20090522_精緻化中】千里導入明細資料_２１年度分_【20090715】千里導入明細資料_２１年度分（９月工事分）_fj_【20090721】千里導入明細資料_２１年度分_【20091218】千里導入明細資料_２１年度分（ネットワーク敷設）_Ⅹ_課題と対応策_20121211" xfId="1861" xr:uid="{00000000-0005-0000-0000-000003070000}"/>
    <cellStyle name="_【20090522_精緻化中】千里導入明細資料_２１年度分_【20090715】千里導入明細資料_２１年度分（９月工事分）_fj_【20090721】千里導入明細資料_２１年度分_【20091218】千里導入明細資料_２１年度分（ネットワーク敷設）_Ⅹ_課題と対応策_20121211 2" xfId="1862" xr:uid="{00000000-0005-0000-0000-000004070000}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" xfId="1863" xr:uid="{00000000-0005-0000-0000-000005070000}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 2" xfId="1864" xr:uid="{00000000-0005-0000-0000-000006070000}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" xfId="1865" xr:uid="{00000000-0005-0000-0000-000007070000}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 2" xfId="1866" xr:uid="{00000000-0005-0000-0000-000008070000}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" xfId="1867" xr:uid="{00000000-0005-0000-0000-000009070000}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 2" xfId="1868" xr:uid="{00000000-0005-0000-0000-00000A070000}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_Ⅹ_課題と対応策_20121211" xfId="1869" xr:uid="{00000000-0005-0000-0000-00000B070000}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1870" xr:uid="{00000000-0005-0000-0000-00000C070000}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Ⅹ_課題と対応策_20121211" xfId="1871" xr:uid="{00000000-0005-0000-0000-00000D070000}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Ⅹ_課題と対応策_20121211 2" xfId="1872" xr:uid="{00000000-0005-0000-0000-00000E070000}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" xfId="1873" xr:uid="{00000000-0005-0000-0000-00000F070000}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 2" xfId="1874" xr:uid="{00000000-0005-0000-0000-000010070000}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" xfId="1875" xr:uid="{00000000-0005-0000-0000-000011070000}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 2" xfId="1876" xr:uid="{00000000-0005-0000-0000-000012070000}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_Ⅹ_課題と対応策_20121211" xfId="1877" xr:uid="{00000000-0005-0000-0000-000013070000}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_Ⅹ_課題と対応策_20121211 2" xfId="1878" xr:uid="{00000000-0005-0000-0000-000014070000}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Ⅹ_課題と対応策_20121211" xfId="1879" xr:uid="{00000000-0005-0000-0000-000015070000}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Ⅹ_課題と対応策_20121211 2" xfId="1880" xr:uid="{00000000-0005-0000-0000-000016070000}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Ⅹ_課題と対応策_20121211" xfId="1881" xr:uid="{00000000-0005-0000-0000-000017070000}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Ⅹ_課題と対応策_20121211 2" xfId="1882" xr:uid="{00000000-0005-0000-0000-000018070000}"/>
    <cellStyle name="_【20090522_精緻化中】千里導入明細資料_２１年度分_【20090715】千里導入明細資料_２１年度分（９月工事分）_fj_【20090721】千里導入明細資料_２１年度分_【20091225】千里導入明細資料_２２年度上期分" xfId="1883" xr:uid="{00000000-0005-0000-0000-000019070000}"/>
    <cellStyle name="_【20090522_精緻化中】千里導入明細資料_２１年度分_【20090715】千里導入明細資料_２１年度分（９月工事分）_fj_【20090721】千里導入明細資料_２１年度分_【20091225】千里導入明細資料_２２年度上期分 2" xfId="1884" xr:uid="{00000000-0005-0000-0000-00001A070000}"/>
    <cellStyle name="_【20090522_精緻化中】千里導入明細資料_２１年度分_【20090715】千里導入明細資料_２１年度分（９月工事分）_fj_【20090721】千里導入明細資料_２１年度分_【20091225】千里導入明細資料_２２年度上期分_Ⅹ_課題と対応策_20121211" xfId="1885" xr:uid="{00000000-0005-0000-0000-00001B070000}"/>
    <cellStyle name="_【20090522_精緻化中】千里導入明細資料_２１年度分_【20090715】千里導入明細資料_２１年度分（９月工事分）_fj_【20090721】千里導入明細資料_２１年度分_【20091225】千里導入明細資料_２２年度上期分_Ⅹ_課題と対応策_20121211 2" xfId="1886" xr:uid="{00000000-0005-0000-0000-00001C070000}"/>
    <cellStyle name="_【20090522_精緻化中】千里導入明細資料_２１年度分_【20090715】千里導入明細資料_２１年度分（９月工事分）_fj_【20090721】千里導入明細資料_２１年度分_【20091225】千里導入明細資料_２２年度上期分_営業店DB" xfId="1887" xr:uid="{00000000-0005-0000-0000-00001D070000}"/>
    <cellStyle name="_【20090522_精緻化中】千里導入明細資料_２１年度分_【20090715】千里導入明細資料_２１年度分（９月工事分）_fj_【20090721】千里導入明細資料_２１年度分_【20091225】千里導入明細資料_２２年度上期分_営業店DB 2" xfId="1888" xr:uid="{00000000-0005-0000-0000-00001E070000}"/>
    <cellStyle name="_【20090522_精緻化中】千里導入明細資料_２１年度分_【20090715】千里導入明細資料_２１年度分（９月工事分）_fj_【20090721】千里導入明細資料_２１年度分_【20091225】千里導入明細資料_２２年度上期分_営業店DB_Ⅹ_課題と対応策_20121211" xfId="1889" xr:uid="{00000000-0005-0000-0000-00001F070000}"/>
    <cellStyle name="_【20090522_精緻化中】千里導入明細資料_２１年度分_【20090715】千里導入明細資料_２１年度分（９月工事分）_fj_【20090721】千里導入明細資料_２１年度分_【20091225】千里導入明細資料_２２年度上期分_営業店DB_Ⅹ_課題と対応策_20121211 2" xfId="1890" xr:uid="{00000000-0005-0000-0000-000020070000}"/>
    <cellStyle name="_【20090522_精緻化中】千里導入明細資料_２１年度分_【20090715】千里導入明細資料_２１年度分（９月工事分）_fj_【20090721】千里導入明細資料_２１年度分_【20091225】千里導入明細資料_２２年度上期分_連携DB" xfId="1891" xr:uid="{00000000-0005-0000-0000-000021070000}"/>
    <cellStyle name="_【20090522_精緻化中】千里導入明細資料_２１年度分_【20090715】千里導入明細資料_２１年度分（９月工事分）_fj_【20090721】千里導入明細資料_２１年度分_【20091225】千里導入明細資料_２２年度上期分_連携DB 2" xfId="1892" xr:uid="{00000000-0005-0000-0000-000022070000}"/>
    <cellStyle name="_【20090522_精緻化中】千里導入明細資料_２１年度分_【20090715】千里導入明細資料_２１年度分（９月工事分）_fj_【20090721】千里導入明細資料_２１年度分_【20091225】千里導入明細資料_２２年度上期分_連携DB_Ⅹ_課題と対応策_20121211" xfId="1893" xr:uid="{00000000-0005-0000-0000-000023070000}"/>
    <cellStyle name="_【20090522_精緻化中】千里導入明細資料_２１年度分_【20090715】千里導入明細資料_２１年度分（９月工事分）_fj_【20090721】千里導入明細資料_２１年度分_【20091225】千里導入明細資料_２２年度上期分_連携DB_Ⅹ_課題と対応策_20121211 2" xfId="1894" xr:uid="{00000000-0005-0000-0000-000024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" xfId="1895" xr:uid="{00000000-0005-0000-0000-000025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 2" xfId="1896" xr:uid="{00000000-0005-0000-0000-000026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（為替分）" xfId="1897" xr:uid="{00000000-0005-0000-0000-000027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（為替分） 2" xfId="1898" xr:uid="{00000000-0005-0000-0000-000028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（為替分）_Ⅹ_課題と対応策_20121211" xfId="1899" xr:uid="{00000000-0005-0000-0000-000029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（為替分）_Ⅹ_課題と対応策_20121211 2" xfId="1900" xr:uid="{00000000-0005-0000-0000-00002A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" xfId="1901" xr:uid="{00000000-0005-0000-0000-00002B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 2" xfId="1902" xr:uid="{00000000-0005-0000-0000-00002C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" xfId="1903" xr:uid="{00000000-0005-0000-0000-00002D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 2" xfId="1904" xr:uid="{00000000-0005-0000-0000-00002E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_Ⅹ_課題と対応策_20121211" xfId="1905" xr:uid="{00000000-0005-0000-0000-00002F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_Ⅹ_課題と対応策_20121211 2" xfId="1906" xr:uid="{00000000-0005-0000-0000-000030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Ⅹ_課題と対応策_20121211" xfId="1907" xr:uid="{00000000-0005-0000-0000-000031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Ⅹ_課題と対応策_20121211 2" xfId="1908" xr:uid="{00000000-0005-0000-0000-000032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営業店DB" xfId="1909" xr:uid="{00000000-0005-0000-0000-000033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営業店DB 2" xfId="1910" xr:uid="{00000000-0005-0000-0000-000034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" xfId="1911" xr:uid="{00000000-0005-0000-0000-000035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 2" xfId="1912" xr:uid="{00000000-0005-0000-0000-000036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_Ⅹ_課題と対応策_20121211" xfId="1913" xr:uid="{00000000-0005-0000-0000-000037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_Ⅹ_課題と対応策_20121211 2" xfId="1914" xr:uid="{00000000-0005-0000-0000-000038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営業店DB_Ⅹ_課題と対応策_20121211" xfId="1915" xr:uid="{00000000-0005-0000-0000-000039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営業店DB_Ⅹ_課題と対応策_20121211 2" xfId="1916" xr:uid="{00000000-0005-0000-0000-00003A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連携DB" xfId="1917" xr:uid="{00000000-0005-0000-0000-00003B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連携DB 2" xfId="1918" xr:uid="{00000000-0005-0000-0000-00003C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" xfId="1919" xr:uid="{00000000-0005-0000-0000-00003D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 2" xfId="1920" xr:uid="{00000000-0005-0000-0000-00003E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_Ⅹ_課題と対応策_20121211" xfId="1921" xr:uid="{00000000-0005-0000-0000-00003F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_Ⅹ_課題と対応策_20121211 2" xfId="1922" xr:uid="{00000000-0005-0000-0000-000040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連携DB_Ⅹ_課題と対応策_20121211" xfId="1923" xr:uid="{00000000-0005-0000-0000-000041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連携DB_Ⅹ_課題と対応策_20121211 2" xfId="1924" xr:uid="{00000000-0005-0000-0000-000042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Ⅹ_課題と対応策_20121211" xfId="1925" xr:uid="{00000000-0005-0000-0000-000043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Ⅹ_課題と対応策_20121211 2" xfId="1926" xr:uid="{00000000-0005-0000-0000-000044070000}"/>
    <cellStyle name="_【20090522_精緻化中】千里導入明細資料_２１年度分_【20090715】千里導入明細資料_２１年度分（９月工事分）_fj_【20090721】千里導入明細資料_２１年度分_【調整中】千里導入明細資料_２２年度上期分_fj_20100127" xfId="1927" xr:uid="{00000000-0005-0000-0000-000045070000}"/>
    <cellStyle name="_【20090522_精緻化中】千里導入明細資料_２１年度分_【20090715】千里導入明細資料_２１年度分（９月工事分）_fj_【20090721】千里導入明細資料_２１年度分_【調整中】千里導入明細資料_２２年度上期分_fj_20100127 2" xfId="1928" xr:uid="{00000000-0005-0000-0000-000046070000}"/>
    <cellStyle name="_【20090522_精緻化中】千里導入明細資料_２１年度分_【20090715】千里導入明細資料_２１年度分（９月工事分）_fj_【20090721】千里導入明細資料_２１年度分_【調整中】千里導入明細資料_２２年度上期分_fj_20100127_Ⅹ_課題と対応策_20121211" xfId="1929" xr:uid="{00000000-0005-0000-0000-000047070000}"/>
    <cellStyle name="_【20090522_精緻化中】千里導入明細資料_２１年度分_【20090715】千里導入明細資料_２１年度分（９月工事分）_fj_【20090721】千里導入明細資料_２１年度分_【調整中】千里導入明細資料_２２年度上期分_fj_20100127_Ⅹ_課題と対応策_20121211 2" xfId="1930" xr:uid="{00000000-0005-0000-0000-000048070000}"/>
    <cellStyle name="_【20090522_精緻化中】千里導入明細資料_２１年度分_【20090715】千里導入明細資料_２１年度分（９月工事分）_fj_【20090721】千里導入明細資料_２１年度分_①【20091225】千里導入明細資料_２２年度上期1分)" xfId="1931" xr:uid="{00000000-0005-0000-0000-000049070000}"/>
    <cellStyle name="_【20090522_精緻化中】千里導入明細資料_２１年度分_【20090715】千里導入明細資料_２１年度分（９月工事分）_fj_【20090721】千里導入明細資料_２１年度分_①【20091225】千里導入明細資料_２２年度上期1分) 2" xfId="1932" xr:uid="{00000000-0005-0000-0000-00004A070000}"/>
    <cellStyle name="_【20090522_精緻化中】千里導入明細資料_２１年度分_【20090715】千里導入明細資料_２１年度分（９月工事分）_fj_【20090721】千里導入明細資料_２１年度分_①【20091225】千里導入明細資料_２２年度上期1分)_Ⅹ_課題と対応策_20121211" xfId="1933" xr:uid="{00000000-0005-0000-0000-00004B070000}"/>
    <cellStyle name="_【20090522_精緻化中】千里導入明細資料_２１年度分_【20090715】千里導入明細資料_２１年度分（９月工事分）_fj_【20090721】千里導入明細資料_２１年度分_①【20091225】千里導入明細資料_２２年度上期1分)_Ⅹ_課題と対応策_20121211 2" xfId="1934" xr:uid="{00000000-0005-0000-0000-00004C070000}"/>
    <cellStyle name="_【20090522_精緻化中】千里導入明細資料_２１年度分_【20090715】千里導入明細資料_２１年度分（９月工事分）_fj_【20090721】千里導入明細資料_２１年度分_Ⅹ_課題と対応策_20121211" xfId="1935" xr:uid="{00000000-0005-0000-0000-00004D070000}"/>
    <cellStyle name="_【20090522_精緻化中】千里導入明細資料_２１年度分_【20090715】千里導入明細資料_２１年度分（９月工事分）_fj_【20090721】千里導入明細資料_２１年度分_Ⅹ_課題と対応策_20121211 2" xfId="1936" xr:uid="{00000000-0005-0000-0000-00004E070000}"/>
    <cellStyle name="_【20090522_精緻化中】千里導入明細資料_２１年度分_【20090715】千里導入明細資料_２１年度分（９月工事分）_fj_【20090721】千里導入明細資料_２１年度分_千里導入明細資料_２２年度分（ネットワーク敷設）_fj" xfId="1937" xr:uid="{00000000-0005-0000-0000-00004F070000}"/>
    <cellStyle name="_【20090522_精緻化中】千里導入明細資料_２１年度分_【20090715】千里導入明細資料_２１年度分（９月工事分）_fj_【20090721】千里導入明細資料_２１年度分_千里導入明細資料_２２年度分（ネットワーク敷設）_fj 2" xfId="1938" xr:uid="{00000000-0005-0000-0000-000050070000}"/>
    <cellStyle name="_【20090522_精緻化中】千里導入明細資料_２１年度分_【20090715】千里導入明細資料_２１年度分（９月工事分）_fj_【20090721】千里導入明細資料_２１年度分_千里導入明細資料_２２年度分（ネットワーク敷設）_fj_Ⅹ_課題と対応策_20121211" xfId="1939" xr:uid="{00000000-0005-0000-0000-000051070000}"/>
    <cellStyle name="_【20090522_精緻化中】千里導入明細資料_２１年度分_【20090715】千里導入明細資料_２１年度分（９月工事分）_fj_【20090721】千里導入明細資料_２１年度分_千里導入明細資料_２２年度分（ネットワーク敷設）_fj_Ⅹ_課題と対応策_20121211 2" xfId="1940" xr:uid="{00000000-0005-0000-0000-000052070000}"/>
    <cellStyle name="_【20090522_精緻化中】千里導入明細資料_２１年度分_【20090715】千里導入明細資料_２１年度分（９月工事分）_fj_【20090821】千里ラック搭載図（NW機器）" xfId="1941" xr:uid="{00000000-0005-0000-0000-000053070000}"/>
    <cellStyle name="_【20090522_精緻化中】千里導入明細資料_２１年度分_【20090715】千里導入明細資料_２１年度分（９月工事分）_fj_【20090821】千里ラック搭載図（NW機器） 2" xfId="1942" xr:uid="{00000000-0005-0000-0000-000054070000}"/>
    <cellStyle name="_【20090522_精緻化中】千里導入明細資料_２１年度分_【20090715】千里導入明細資料_２１年度分（９月工事分）_fj_【20090821】千里ラック搭載図（NW機器）_Ⅹ_課題と対応策_20121211" xfId="1943" xr:uid="{00000000-0005-0000-0000-000055070000}"/>
    <cellStyle name="_【20090522_精緻化中】千里導入明細資料_２１年度分_【20090715】千里導入明細資料_２１年度分（９月工事分）_fj_【20090821】千里ラック搭載図（NW機器）_Ⅹ_課題と対応策_20121211 2" xfId="1944" xr:uid="{00000000-0005-0000-0000-000056070000}"/>
    <cellStyle name="_【20090522_精緻化中】千里導入明細資料_２１年度分_【20090715】千里導入明細資料_２１年度分（９月工事分）_fj_【20091207】千里導入明細資料_２１年度分（ネットワーク敷設）" xfId="1945" xr:uid="{00000000-0005-0000-0000-000057070000}"/>
    <cellStyle name="_【20090522_精緻化中】千里導入明細資料_２１年度分_【20090715】千里導入明細資料_２１年度分（９月工事分）_fj_【20091207】千里導入明細資料_２１年度分（ネットワーク敷設） 2" xfId="1946" xr:uid="{00000000-0005-0000-0000-000058070000}"/>
    <cellStyle name="_【20090522_精緻化中】千里導入明細資料_２１年度分_【20090715】千里導入明細資料_２１年度分（９月工事分）_fj_【20091207】千里導入明細資料_２１年度分（ネットワーク敷設）_【20091218】千里導入明細資料_２１年度分（ネットワーク敷設）" xfId="1947" xr:uid="{00000000-0005-0000-0000-000059070000}"/>
    <cellStyle name="_【20090522_精緻化中】千里導入明細資料_２１年度分_【20090715】千里導入明細資料_２１年度分（９月工事分）_fj_【20091207】千里導入明細資料_２１年度分（ネットワーク敷設）_【20091218】千里導入明細資料_２１年度分（ネットワーク敷設） 2" xfId="1948" xr:uid="{00000000-0005-0000-0000-00005A070000}"/>
    <cellStyle name="_【20090522_精緻化中】千里導入明細資料_２１年度分_【20090715】千里導入明細資料_２１年度分（９月工事分）_fj_【20091207】千里導入明細資料_２１年度分（ネットワーク敷設）_【20091218】千里導入明細資料_２１年度分（ネットワーク敷設）_Ⅹ_課題と対応策_20121211" xfId="1949" xr:uid="{00000000-0005-0000-0000-00005B070000}"/>
    <cellStyle name="_【20090522_精緻化中】千里導入明細資料_２１年度分_【20090715】千里導入明細資料_２１年度分（９月工事分）_fj_【20091207】千里導入明細資料_２１年度分（ネットワーク敷設）_【20091218】千里導入明細資料_２１年度分（ネットワーク敷設）_Ⅹ_課題と対応策_20121211 2" xfId="1950" xr:uid="{00000000-0005-0000-0000-00005C070000}"/>
    <cellStyle name="_【20090522_精緻化中】千里導入明細資料_２１年度分_【20090715】千里導入明細資料_２１年度分（９月工事分）_fj_【20091207】千里導入明細資料_２１年度分（ネットワーク敷設）_Ⅹ_課題と対応策_20121211" xfId="1951" xr:uid="{00000000-0005-0000-0000-00005D070000}"/>
    <cellStyle name="_【20090522_精緻化中】千里導入明細資料_２１年度分_【20090715】千里導入明細資料_２１年度分（９月工事分）_fj_【20091207】千里導入明細資料_２１年度分（ネットワーク敷設）_Ⅹ_課題と対応策_20121211 2" xfId="1952" xr:uid="{00000000-0005-0000-0000-00005E070000}"/>
    <cellStyle name="_【20090522_精緻化中】千里導入明細資料_２１年度分_【20090715】千里導入明細資料_２１年度分（９月工事分）_fj_【20091207】千里導入明細資料_２１年度分（ネットワーク敷設）_千里導入明細資料_２２年度分（ネットワーク敷設）_fj" xfId="1953" xr:uid="{00000000-0005-0000-0000-00005F070000}"/>
    <cellStyle name="_【20090522_精緻化中】千里導入明細資料_２１年度分_【20090715】千里導入明細資料_２１年度分（９月工事分）_fj_【20091207】千里導入明細資料_２１年度分（ネットワーク敷設）_千里導入明細資料_２２年度分（ネットワーク敷設）_fj 2" xfId="1954" xr:uid="{00000000-0005-0000-0000-000060070000}"/>
    <cellStyle name="_【20090522_精緻化中】千里導入明細資料_２１年度分_【20090715】千里導入明細資料_２１年度分（９月工事分）_fj_【20091207】千里導入明細資料_２１年度分（ネットワーク敷設）_千里導入明細資料_２２年度分（ネットワーク敷設）_fj_Ⅹ_課題と対応策_20121211" xfId="1955" xr:uid="{00000000-0005-0000-0000-000061070000}"/>
    <cellStyle name="_【20090522_精緻化中】千里導入明細資料_２１年度分_【20090715】千里導入明細資料_２１年度分（９月工事分）_fj_【20091207】千里導入明細資料_２１年度分（ネットワーク敷設）_千里導入明細資料_２２年度分（ネットワーク敷設）_fj_Ⅹ_課題と対応策_20121211 2" xfId="1956" xr:uid="{00000000-0005-0000-0000-000062070000}"/>
    <cellStyle name="_【20090522_精緻化中】千里導入明細資料_２１年度分_【20090715】千里導入明細資料_２１年度分（９月工事分）_fj_【20091225】千里導入明細資料_２２年度上期分（営業店ＡＰ－ＤＢ）" xfId="1957" xr:uid="{00000000-0005-0000-0000-000063070000}"/>
    <cellStyle name="_【20090522_精緻化中】千里導入明細資料_２１年度分_【20090715】千里導入明細資料_２１年度分（９月工事分）_fj_【20091225】千里導入明細資料_２２年度上期分（営業店ＡＰ－ＤＢ） 2" xfId="1958" xr:uid="{00000000-0005-0000-0000-000064070000}"/>
    <cellStyle name="_【20090522_精緻化中】千里導入明細資料_２１年度分_【20090715】千里導入明細資料_２１年度分（９月工事分）_fj_【20091225】千里導入明細資料_２２年度上期分（営業店ＡＰ－ＤＢ）_【調整中】千里導入明細資料_２２年度上期分_fj_20100127" xfId="1959" xr:uid="{00000000-0005-0000-0000-000065070000}"/>
    <cellStyle name="_【20090522_精緻化中】千里導入明細資料_２１年度分_【20090715】千里導入明細資料_２１年度分（９月工事分）_fj_【20091225】千里導入明細資料_２２年度上期分（営業店ＡＰ－ＤＢ）_【調整中】千里導入明細資料_２２年度上期分_fj_20100127 2" xfId="1960" xr:uid="{00000000-0005-0000-0000-000066070000}"/>
    <cellStyle name="_【20090522_精緻化中】千里導入明細資料_２１年度分_【20090715】千里導入明細資料_２１年度分（９月工事分）_fj_【20091225】千里導入明細資料_２２年度上期分（営業店ＡＰ－ＤＢ）_【調整中】千里導入明細資料_２２年度上期分_fj_20100127_Ⅹ_課題と対応策_20121211" xfId="1961" xr:uid="{00000000-0005-0000-0000-000067070000}"/>
    <cellStyle name="_【20090522_精緻化中】千里導入明細資料_２１年度分_【20090715】千里導入明細資料_２１年度分（９月工事分）_fj_【20091225】千里導入明細資料_２２年度上期分（営業店ＡＰ－ＤＢ）_【調整中】千里導入明細資料_２２年度上期分_fj_20100127_Ⅹ_課題と対応策_20121211 2" xfId="1962" xr:uid="{00000000-0005-0000-0000-000068070000}"/>
    <cellStyle name="_【20090522_精緻化中】千里導入明細資料_２１年度分_【20090715】千里導入明細資料_２１年度分（９月工事分）_fj_【20091225】千里導入明細資料_２２年度上期分（営業店ＡＰ－ＤＢ）_Ⅹ_課題と対応策_20121211" xfId="1963" xr:uid="{00000000-0005-0000-0000-000069070000}"/>
    <cellStyle name="_【20090522_精緻化中】千里導入明細資料_２１年度分_【20090715】千里導入明細資料_２１年度分（９月工事分）_fj_【20091225】千里導入明細資料_２２年度上期分（営業店ＡＰ－ＤＢ）_Ⅹ_課題と対応策_20121211 2" xfId="1964" xr:uid="{00000000-0005-0000-0000-00006A070000}"/>
    <cellStyle name="_【20090522_精緻化中】千里導入明細資料_２１年度分_【20090715】千里導入明細資料_２１年度分（９月工事分）_fj_【20091225】千里導入明細資料_２２年度上期分_営業店DB" xfId="1965" xr:uid="{00000000-0005-0000-0000-00006B070000}"/>
    <cellStyle name="_【20090522_精緻化中】千里導入明細資料_２１年度分_【20090715】千里導入明細資料_２１年度分（９月工事分）_fj_【20091225】千里導入明細資料_２２年度上期分_営業店DB 2" xfId="1966" xr:uid="{00000000-0005-0000-0000-00006C070000}"/>
    <cellStyle name="_【20090522_精緻化中】千里導入明細資料_２１年度分_【20090715】千里導入明細資料_２１年度分（９月工事分）_fj_【20091225】千里導入明細資料_２２年度上期分_営業店DB_【調整中】千里導入明細資料_２２年度上期分_fj_20100127" xfId="1967" xr:uid="{00000000-0005-0000-0000-00006D070000}"/>
    <cellStyle name="_【20090522_精緻化中】千里導入明細資料_２１年度分_【20090715】千里導入明細資料_２１年度分（９月工事分）_fj_【20091225】千里導入明細資料_２２年度上期分_営業店DB_【調整中】千里導入明細資料_２２年度上期分_fj_20100127 2" xfId="1968" xr:uid="{00000000-0005-0000-0000-00006E070000}"/>
    <cellStyle name="_【20090522_精緻化中】千里導入明細資料_２１年度分_【20090715】千里導入明細資料_２１年度分（９月工事分）_fj_【20091225】千里導入明細資料_２２年度上期分_営業店DB_【調整中】千里導入明細資料_２２年度上期分_fj_20100127_Ⅹ_課題と対応策_20121211" xfId="1969" xr:uid="{00000000-0005-0000-0000-00006F070000}"/>
    <cellStyle name="_【20090522_精緻化中】千里導入明細資料_２１年度分_【20090715】千里導入明細資料_２１年度分（９月工事分）_fj_【20091225】千里導入明細資料_２２年度上期分_営業店DB_【調整中】千里導入明細資料_２２年度上期分_fj_20100127_Ⅹ_課題と対応策_20121211 2" xfId="1970" xr:uid="{00000000-0005-0000-0000-000070070000}"/>
    <cellStyle name="_【20090522_精緻化中】千里導入明細資料_２１年度分_【20090715】千里導入明細資料_２１年度分（９月工事分）_fj_【20091225】千里導入明細資料_２２年度上期分_営業店DB_Ⅹ_課題と対応策_20121211" xfId="1971" xr:uid="{00000000-0005-0000-0000-000071070000}"/>
    <cellStyle name="_【20090522_精緻化中】千里導入明細資料_２１年度分_【20090715】千里導入明細資料_２１年度分（９月工事分）_fj_【20091225】千里導入明細資料_２２年度上期分_営業店DB_Ⅹ_課題と対応策_20121211 2" xfId="1972" xr:uid="{00000000-0005-0000-0000-000072070000}"/>
    <cellStyle name="_【20090522_精緻化中】千里導入明細資料_２１年度分_【20090715】千里導入明細資料_２１年度分（９月工事分）_fj_【20091225】千里導入明細資料_２２年度上期分_連携DB" xfId="1973" xr:uid="{00000000-0005-0000-0000-000073070000}"/>
    <cellStyle name="_【20090522_精緻化中】千里導入明細資料_２１年度分_【20090715】千里導入明細資料_２１年度分（９月工事分）_fj_【20091225】千里導入明細資料_２２年度上期分_連携DB 2" xfId="1974" xr:uid="{00000000-0005-0000-0000-000074070000}"/>
    <cellStyle name="_【20090522_精緻化中】千里導入明細資料_２１年度分_【20090715】千里導入明細資料_２１年度分（９月工事分）_fj_【20091225】千里導入明細資料_２２年度上期分_連携DB_【調整中】千里導入明細資料_２２年度上期分_fj_20100127" xfId="1975" xr:uid="{00000000-0005-0000-0000-000075070000}"/>
    <cellStyle name="_【20090522_精緻化中】千里導入明細資料_２１年度分_【20090715】千里導入明細資料_２１年度分（９月工事分）_fj_【20091225】千里導入明細資料_２２年度上期分_連携DB_【調整中】千里導入明細資料_２２年度上期分_fj_20100127 2" xfId="1976" xr:uid="{00000000-0005-0000-0000-000076070000}"/>
    <cellStyle name="_【20090522_精緻化中】千里導入明細資料_２１年度分_【20090715】千里導入明細資料_２１年度分（９月工事分）_fj_【20091225】千里導入明細資料_２２年度上期分_連携DB_【調整中】千里導入明細資料_２２年度上期分_fj_20100127_Ⅹ_課題と対応策_20121211" xfId="1977" xr:uid="{00000000-0005-0000-0000-000077070000}"/>
    <cellStyle name="_【20090522_精緻化中】千里導入明細資料_２１年度分_【20090715】千里導入明細資料_２１年度分（９月工事分）_fj_【20091225】千里導入明細資料_２２年度上期分_連携DB_【調整中】千里導入明細資料_２２年度上期分_fj_20100127_Ⅹ_課題と対応策_20121211 2" xfId="1978" xr:uid="{00000000-0005-0000-0000-000078070000}"/>
    <cellStyle name="_【20090522_精緻化中】千里導入明細資料_２１年度分_【20090715】千里導入明細資料_２１年度分（９月工事分）_fj_【20091225】千里導入明細資料_２２年度上期分_連携DB_Ⅹ_課題と対応策_20121211" xfId="1979" xr:uid="{00000000-0005-0000-0000-000079070000}"/>
    <cellStyle name="_【20090522_精緻化中】千里導入明細資料_２１年度分_【20090715】千里導入明細資料_２１年度分（９月工事分）_fj_【20091225】千里導入明細資料_２２年度上期分_連携DB_Ⅹ_課題と対応策_20121211 2" xfId="1980" xr:uid="{00000000-0005-0000-0000-00007A070000}"/>
    <cellStyle name="_【20090522_精緻化中】千里導入明細資料_２１年度分_【20090715】千里導入明細資料_２１年度分（９月工事分）_fj_【作成中】千里センター機器配置図（2010年対応分）_20091221" xfId="1981" xr:uid="{00000000-0005-0000-0000-00007B070000}"/>
    <cellStyle name="_【20090522_精緻化中】千里導入明細資料_２１年度分_【20090715】千里導入明細資料_２１年度分（９月工事分）_fj_【作成中】千里センター機器配置図（2010年対応分）_20091221 2" xfId="1982" xr:uid="{00000000-0005-0000-0000-00007C070000}"/>
    <cellStyle name="_【20090522_精緻化中】千里導入明細資料_２１年度分_【20090715】千里導入明細資料_２１年度分（９月工事分）_fj_【作成中】千里センター機器配置図（2010年対応分）_20091221_【調整中】千里導入明細資料_２２年度上期分_fj_20100127" xfId="1983" xr:uid="{00000000-0005-0000-0000-00007D070000}"/>
    <cellStyle name="_【20090522_精緻化中】千里導入明細資料_２１年度分_【20090715】千里導入明細資料_２１年度分（９月工事分）_fj_【作成中】千里センター機器配置図（2010年対応分）_20091221_【調整中】千里導入明細資料_２２年度上期分_fj_20100127 2" xfId="1984" xr:uid="{00000000-0005-0000-0000-00007E070000}"/>
    <cellStyle name="_【20090522_精緻化中】千里導入明細資料_２１年度分_【20090715】千里導入明細資料_２１年度分（９月工事分）_fj_【作成中】千里センター機器配置図（2010年対応分）_20091221_【調整中】千里導入明細資料_２２年度上期分_fj_20100127_Ⅹ_課題と対応策_20121211" xfId="1985" xr:uid="{00000000-0005-0000-0000-00007F070000}"/>
    <cellStyle name="_【20090522_精緻化中】千里導入明細資料_２１年度分_【20090715】千里導入明細資料_２１年度分（９月工事分）_fj_【作成中】千里センター機器配置図（2010年対応分）_20091221_【調整中】千里導入明細資料_２２年度上期分_fj_20100127_Ⅹ_課題と対応策_20121211 2" xfId="1986" xr:uid="{00000000-0005-0000-0000-000080070000}"/>
    <cellStyle name="_【20090522_精緻化中】千里導入明細資料_２１年度分_【20090715】千里導入明細資料_２１年度分（９月工事分）_fj_【作成中】千里センター機器配置図（2010年対応分）_20091221_Ⅹ_課題と対応策_20121211" xfId="1987" xr:uid="{00000000-0005-0000-0000-000081070000}"/>
    <cellStyle name="_【20090522_精緻化中】千里導入明細資料_２１年度分_【20090715】千里導入明細資料_２１年度分（９月工事分）_fj_【作成中】千里センター機器配置図（2010年対応分）_20091221_Ⅹ_課題と対応策_20121211 2" xfId="1988" xr:uid="{00000000-0005-0000-0000-000082070000}"/>
    <cellStyle name="_【20090522_精緻化中】千里導入明細資料_２１年度分_【20090715】千里導入明細資料_２１年度分（９月工事分）_fj_Ⅹ_課題と対応策_20121211" xfId="1989" xr:uid="{00000000-0005-0000-0000-000083070000}"/>
    <cellStyle name="_【20090522_精緻化中】千里導入明細資料_２１年度分_【20090715】千里導入明細資料_２１年度分（９月工事分）_fj_Ⅹ_課題と対応策_20121211 2" xfId="1990" xr:uid="{00000000-0005-0000-0000-000084070000}"/>
    <cellStyle name="_【20090522_精緻化中】千里導入明細資料_２１年度分_【20090715】千里導入明細資料_２１年度分（９月工事分）_fj_千里センター機器構築スケジュール（８月分）_20090731" xfId="1991" xr:uid="{00000000-0005-0000-0000-000085070000}"/>
    <cellStyle name="_【20090522_精緻化中】千里導入明細資料_２１年度分_【20090715】千里導入明細資料_２１年度分（９月工事分）_fj_千里センター機器構築スケジュール（８月分）_20090731 2" xfId="1992" xr:uid="{00000000-0005-0000-0000-000086070000}"/>
    <cellStyle name="_【20090522_精緻化中】千里導入明細資料_２１年度分_【20090715】千里導入明細資料_２１年度分（９月工事分）_fj_千里センター機器構築スケジュール（８月分）_20090731_【20090731】千里導入明細資料_２１年度分（９月工事分）" xfId="1993" xr:uid="{00000000-0005-0000-0000-000087070000}"/>
    <cellStyle name="_【20090522_精緻化中】千里導入明細資料_２１年度分_【20090715】千里導入明細資料_２１年度分（９月工事分）_fj_千里センター機器構築スケジュール（８月分）_20090731_【20090731】千里導入明細資料_２１年度分（９月工事分） 2" xfId="1994" xr:uid="{00000000-0005-0000-0000-000088070000}"/>
    <cellStyle name="_【20090522_精緻化中】千里導入明細資料_２１年度分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" xfId="1995" xr:uid="{00000000-0005-0000-0000-000089070000}"/>
    <cellStyle name="_【20090522_精緻化中】千里導入明細資料_２１年度分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 2" xfId="1996" xr:uid="{00000000-0005-0000-0000-00008A070000}"/>
    <cellStyle name="_【20090522_精緻化中】千里導入明細資料_２１年度分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_Ⅹ_課題と対応策_20121211" xfId="1997" xr:uid="{00000000-0005-0000-0000-00008B070000}"/>
    <cellStyle name="_【20090522_精緻化中】千里導入明細資料_２１年度分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_Ⅹ_課題と対応策_20121211 2" xfId="1998" xr:uid="{00000000-0005-0000-0000-00008C070000}"/>
    <cellStyle name="_【20090522_精緻化中】千里導入明細資料_２１年度分_【20090715】千里導入明細資料_２１年度分（９月工事分）_fj_千里センター機器構築スケジュール（８月分）_20090731_【20090731】千里導入明細資料_２１年度分（９月工事分）_Ⅹ_課題と対応策_20121211" xfId="1999" xr:uid="{00000000-0005-0000-0000-00008D070000}"/>
    <cellStyle name="_【20090522_精緻化中】千里導入明細資料_２１年度分_【20090715】千里導入明細資料_２１年度分（９月工事分）_fj_千里センター機器構築スケジュール（８月分）_20090731_【20090731】千里導入明細資料_２１年度分（９月工事分）_Ⅹ_課題と対応策_20121211 2" xfId="2000" xr:uid="{00000000-0005-0000-0000-00008E070000}"/>
    <cellStyle name="_【20090522_精緻化中】千里導入明細資料_２１年度分_【20090715】千里導入明細資料_２１年度分（９月工事分）_fj_千里センター機器構築スケジュール（８月分）_20090731_【20090821】千里ラック搭載図（NW機器）" xfId="2001" xr:uid="{00000000-0005-0000-0000-00008F070000}"/>
    <cellStyle name="_【20090522_精緻化中】千里導入明細資料_２１年度分_【20090715】千里導入明細資料_２１年度分（９月工事分）_fj_千里センター機器構築スケジュール（８月分）_20090731_【20090821】千里ラック搭載図（NW機器） 2" xfId="2002" xr:uid="{00000000-0005-0000-0000-000090070000}"/>
    <cellStyle name="_【20090522_精緻化中】千里導入明細資料_２１年度分_【20090715】千里導入明細資料_２１年度分（９月工事分）_fj_千里センター機器構築スケジュール（８月分）_20090731_【20090821】千里ラック搭載図（NW機器）_Ⅹ_課題と対応策_20121211" xfId="2003" xr:uid="{00000000-0005-0000-0000-000091070000}"/>
    <cellStyle name="_【20090522_精緻化中】千里導入明細資料_２１年度分_【20090715】千里導入明細資料_２１年度分（９月工事分）_fj_千里センター機器構築スケジュール（８月分）_20090731_【20090821】千里ラック搭載図（NW機器）_Ⅹ_課題と対応策_20121211 2" xfId="2004" xr:uid="{00000000-0005-0000-0000-000092070000}"/>
    <cellStyle name="_【20090522_精緻化中】千里導入明細資料_２１年度分_【20090715】千里導入明細資料_２１年度分（９月工事分）_fj_千里センター機器構築スケジュール（８月分）_20090731_【20091218】千里導入明細資料_２１年度分（ネットワーク敷設）" xfId="2005" xr:uid="{00000000-0005-0000-0000-000093070000}"/>
    <cellStyle name="_【20090522_精緻化中】千里導入明細資料_２１年度分_【20090715】千里導入明細資料_２１年度分（９月工事分）_fj_千里センター機器構築スケジュール（８月分）_20090731_【20091218】千里導入明細資料_２１年度分（ネットワーク敷設） 2" xfId="2006" xr:uid="{00000000-0005-0000-0000-000094070000}"/>
    <cellStyle name="_【20090522_精緻化中】千里導入明細資料_２１年度分_【20090715】千里導入明細資料_２１年度分（９月工事分）_fj_千里センター機器構築スケジュール（８月分）_20090731_【20091218】千里導入明細資料_２１年度分（ネットワーク敷設）_Ⅹ_課題と対応策_20121211" xfId="2007" xr:uid="{00000000-0005-0000-0000-000095070000}"/>
    <cellStyle name="_【20090522_精緻化中】千里導入明細資料_２１年度分_【20090715】千里導入明細資料_２１年度分（９月工事分）_fj_千里センター機器構築スケジュール（８月分）_20090731_【20091218】千里導入明細資料_２１年度分（ネットワーク敷設）_Ⅹ_課題と対応策_20121211 2" xfId="2008" xr:uid="{00000000-0005-0000-0000-000096070000}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" xfId="2009" xr:uid="{00000000-0005-0000-0000-000097070000}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 2" xfId="2010" xr:uid="{00000000-0005-0000-0000-000098070000}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" xfId="2011" xr:uid="{00000000-0005-0000-0000-000099070000}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 2" xfId="2012" xr:uid="{00000000-0005-0000-0000-00009A070000}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" xfId="2013" xr:uid="{00000000-0005-0000-0000-00009B070000}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 2" xfId="2014" xr:uid="{00000000-0005-0000-0000-00009C070000}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_Ⅹ_課題と対応策_20121211" xfId="2015" xr:uid="{00000000-0005-0000-0000-00009D070000}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2016" xr:uid="{00000000-0005-0000-0000-00009E070000}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Ⅹ_課題と対応策_20121211" xfId="2017" xr:uid="{00000000-0005-0000-0000-00009F070000}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Ⅹ_課題と対応策_20121211 2" xfId="2018" xr:uid="{00000000-0005-0000-0000-0000A0070000}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" xfId="2019" xr:uid="{00000000-0005-0000-0000-0000A1070000}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 2" xfId="2020" xr:uid="{00000000-0005-0000-0000-0000A2070000}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" xfId="2021" xr:uid="{00000000-0005-0000-0000-0000A3070000}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 2" xfId="2022" xr:uid="{00000000-0005-0000-0000-0000A4070000}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_Ⅹ_課題と対応策_20121211" xfId="2023" xr:uid="{00000000-0005-0000-0000-0000A5070000}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_Ⅹ_課題と対応策_20121211 2" xfId="2024" xr:uid="{00000000-0005-0000-0000-0000A6070000}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Ⅹ_課題と対応策_20121211" xfId="2025" xr:uid="{00000000-0005-0000-0000-0000A7070000}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Ⅹ_課題と対応策_20121211 2" xfId="2026" xr:uid="{00000000-0005-0000-0000-0000A8070000}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Ⅹ_課題と対応策_20121211" xfId="2027" xr:uid="{00000000-0005-0000-0000-0000A9070000}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Ⅹ_課題と対応策_20121211 2" xfId="2028" xr:uid="{00000000-0005-0000-0000-0000AA070000}"/>
    <cellStyle name="_【20090522_精緻化中】千里導入明細資料_２１年度分_【20090715】千里導入明細資料_２１年度分（９月工事分）_fj_千里センター機器構築スケジュール（８月分）_20090731_【20091225】千里導入明細資料_２２年度上期分" xfId="2029" xr:uid="{00000000-0005-0000-0000-0000AB070000}"/>
    <cellStyle name="_【20090522_精緻化中】千里導入明細資料_２１年度分_【20090715】千里導入明細資料_２１年度分（９月工事分）_fj_千里センター機器構築スケジュール（８月分）_20090731_【20091225】千里導入明細資料_２２年度上期分 2" xfId="2030" xr:uid="{00000000-0005-0000-0000-0000AC070000}"/>
    <cellStyle name="_【20090522_精緻化中】千里導入明細資料_２１年度分_【20090715】千里導入明細資料_２１年度分（９月工事分）_fj_千里センター機器構築スケジュール（８月分）_20090731_【20091225】千里導入明細資料_２２年度上期分_Ⅹ_課題と対応策_20121211" xfId="2031" xr:uid="{00000000-0005-0000-0000-0000AD070000}"/>
    <cellStyle name="_【20090522_精緻化中】千里導入明細資料_２１年度分_【20090715】千里導入明細資料_２１年度分（９月工事分）_fj_千里センター機器構築スケジュール（８月分）_20090731_【20091225】千里導入明細資料_２２年度上期分_Ⅹ_課題と対応策_20121211 2" xfId="2032" xr:uid="{00000000-0005-0000-0000-0000AE070000}"/>
    <cellStyle name="_【20090522_精緻化中】千里導入明細資料_２１年度分_【20090715】千里導入明細資料_２１年度分（９月工事分）_fj_千里センター機器構築スケジュール（８月分）_20090731_【20091225】千里導入明細資料_２２年度上期分_営業店DB" xfId="2033" xr:uid="{00000000-0005-0000-0000-0000AF070000}"/>
    <cellStyle name="_【20090522_精緻化中】千里導入明細資料_２１年度分_【20090715】千里導入明細資料_２１年度分（９月工事分）_fj_千里センター機器構築スケジュール（８月分）_20090731_【20091225】千里導入明細資料_２２年度上期分_営業店DB 2" xfId="2034" xr:uid="{00000000-0005-0000-0000-0000B0070000}"/>
    <cellStyle name="_【20090522_精緻化中】千里導入明細資料_２１年度分_【20090715】千里導入明細資料_２１年度分（９月工事分）_fj_千里センター機器構築スケジュール（８月分）_20090731_【20091225】千里導入明細資料_２２年度上期分_営業店DB_Ⅹ_課題と対応策_20121211" xfId="2035" xr:uid="{00000000-0005-0000-0000-0000B1070000}"/>
    <cellStyle name="_【20090522_精緻化中】千里導入明細資料_２１年度分_【20090715】千里導入明細資料_２１年度分（９月工事分）_fj_千里センター機器構築スケジュール（８月分）_20090731_【20091225】千里導入明細資料_２２年度上期分_営業店DB_Ⅹ_課題と対応策_20121211 2" xfId="2036" xr:uid="{00000000-0005-0000-0000-0000B2070000}"/>
    <cellStyle name="_【20090522_精緻化中】千里導入明細資料_２１年度分_【20090715】千里導入明細資料_２１年度分（９月工事分）_fj_千里センター機器構築スケジュール（８月分）_20090731_【20091225】千里導入明細資料_２２年度上期分_連携DB" xfId="2037" xr:uid="{00000000-0005-0000-0000-0000B3070000}"/>
    <cellStyle name="_【20090522_精緻化中】千里導入明細資料_２１年度分_【20090715】千里導入明細資料_２１年度分（９月工事分）_fj_千里センター機器構築スケジュール（８月分）_20090731_【20091225】千里導入明細資料_２２年度上期分_連携DB 2" xfId="2038" xr:uid="{00000000-0005-0000-0000-0000B4070000}"/>
    <cellStyle name="_【20090522_精緻化中】千里導入明細資料_２１年度分_【20090715】千里導入明細資料_２１年度分（９月工事分）_fj_千里センター機器構築スケジュール（８月分）_20090731_【20091225】千里導入明細資料_２２年度上期分_連携DB_Ⅹ_課題と対応策_20121211" xfId="2039" xr:uid="{00000000-0005-0000-0000-0000B5070000}"/>
    <cellStyle name="_【20090522_精緻化中】千里導入明細資料_２１年度分_【20090715】千里導入明細資料_２１年度分（９月工事分）_fj_千里センター機器構築スケジュール（８月分）_20090731_【20091225】千里導入明細資料_２２年度上期分_連携DB_Ⅹ_課題と対応策_20121211 2" xfId="2040" xr:uid="{00000000-0005-0000-0000-0000B6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" xfId="2041" xr:uid="{00000000-0005-0000-0000-0000B7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 2" xfId="2042" xr:uid="{00000000-0005-0000-0000-0000B8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（為替分）" xfId="2043" xr:uid="{00000000-0005-0000-0000-0000B9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（為替分） 2" xfId="2044" xr:uid="{00000000-0005-0000-0000-0000BA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（為替分）_Ⅹ_課題と対応策_20121211" xfId="2045" xr:uid="{00000000-0005-0000-0000-0000BB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（為替分）_Ⅹ_課題と対応策_20121211 2" xfId="2046" xr:uid="{00000000-0005-0000-0000-0000BC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" xfId="2047" xr:uid="{00000000-0005-0000-0000-0000BD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 2" xfId="2048" xr:uid="{00000000-0005-0000-0000-0000BE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" xfId="2049" xr:uid="{00000000-0005-0000-0000-0000BF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 2" xfId="2050" xr:uid="{00000000-0005-0000-0000-0000C0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_Ⅹ_課題と対応策_20121211" xfId="2051" xr:uid="{00000000-0005-0000-0000-0000C1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_Ⅹ_課題と対応策_20121211 2" xfId="2052" xr:uid="{00000000-0005-0000-0000-0000C2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Ⅹ_課題と対応策_20121211" xfId="2053" xr:uid="{00000000-0005-0000-0000-0000C3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Ⅹ_課題と対応策_20121211 2" xfId="2054" xr:uid="{00000000-0005-0000-0000-0000C4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" xfId="2055" xr:uid="{00000000-0005-0000-0000-0000C5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 2" xfId="2056" xr:uid="{00000000-0005-0000-0000-0000C6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" xfId="2057" xr:uid="{00000000-0005-0000-0000-0000C7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 2" xfId="2058" xr:uid="{00000000-0005-0000-0000-0000C8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_Ⅹ_課題と対応策_20121211" xfId="2059" xr:uid="{00000000-0005-0000-0000-0000C9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_Ⅹ_課題と対応策_20121211 2" xfId="2060" xr:uid="{00000000-0005-0000-0000-0000CA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Ⅹ_課題と対応策_20121211" xfId="2061" xr:uid="{00000000-0005-0000-0000-0000CB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Ⅹ_課題と対応策_20121211 2" xfId="2062" xr:uid="{00000000-0005-0000-0000-0000CC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" xfId="2063" xr:uid="{00000000-0005-0000-0000-0000CD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 2" xfId="2064" xr:uid="{00000000-0005-0000-0000-0000CE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" xfId="2065" xr:uid="{00000000-0005-0000-0000-0000CF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 2" xfId="2066" xr:uid="{00000000-0005-0000-0000-0000D0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_Ⅹ_課題と対応策_20121211" xfId="2067" xr:uid="{00000000-0005-0000-0000-0000D1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_Ⅹ_課題と対応策_20121211 2" xfId="2068" xr:uid="{00000000-0005-0000-0000-0000D2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Ⅹ_課題と対応策_20121211" xfId="2069" xr:uid="{00000000-0005-0000-0000-0000D3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Ⅹ_課題と対応策_20121211 2" xfId="2070" xr:uid="{00000000-0005-0000-0000-0000D4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Ⅹ_課題と対応策_20121211" xfId="2071" xr:uid="{00000000-0005-0000-0000-0000D5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Ⅹ_課題と対応策_20121211 2" xfId="2072" xr:uid="{00000000-0005-0000-0000-0000D6070000}"/>
    <cellStyle name="_【20090522_精緻化中】千里導入明細資料_２１年度分_【20090715】千里導入明細資料_２１年度分（９月工事分）_fj_千里センター機器構築スケジュール（８月分）_20090731_【調整中】千里導入明細資料_２２年度上期分_fj_20100127" xfId="2073" xr:uid="{00000000-0005-0000-0000-0000D7070000}"/>
    <cellStyle name="_【20090522_精緻化中】千里導入明細資料_２１年度分_【20090715】千里導入明細資料_２１年度分（９月工事分）_fj_千里センター機器構築スケジュール（８月分）_20090731_【調整中】千里導入明細資料_２２年度上期分_fj_20100127 2" xfId="2074" xr:uid="{00000000-0005-0000-0000-0000D8070000}"/>
    <cellStyle name="_【20090522_精緻化中】千里導入明細資料_２１年度分_【20090715】千里導入明細資料_２１年度分（９月工事分）_fj_千里センター機器構築スケジュール（８月分）_20090731_【調整中】千里導入明細資料_２２年度上期分_fj_20100127_Ⅹ_課題と対応策_20121211" xfId="2075" xr:uid="{00000000-0005-0000-0000-0000D9070000}"/>
    <cellStyle name="_【20090522_精緻化中】千里導入明細資料_２１年度分_【20090715】千里導入明細資料_２１年度分（９月工事分）_fj_千里センター機器構築スケジュール（８月分）_20090731_【調整中】千里導入明細資料_２２年度上期分_fj_20100127_Ⅹ_課題と対応策_20121211 2" xfId="2076" xr:uid="{00000000-0005-0000-0000-0000DA070000}"/>
    <cellStyle name="_【20090522_精緻化中】千里導入明細資料_２１年度分_【20090715】千里導入明細資料_２１年度分（９月工事分）_fj_千里センター機器構築スケジュール（８月分）_20090731_①【20091225】千里導入明細資料_２２年度上期1分)" xfId="2077" xr:uid="{00000000-0005-0000-0000-0000DB070000}"/>
    <cellStyle name="_【20090522_精緻化中】千里導入明細資料_２１年度分_【20090715】千里導入明細資料_２１年度分（９月工事分）_fj_千里センター機器構築スケジュール（８月分）_20090731_①【20091225】千里導入明細資料_２２年度上期1分) 2" xfId="2078" xr:uid="{00000000-0005-0000-0000-0000DC070000}"/>
    <cellStyle name="_【20090522_精緻化中】千里導入明細資料_２１年度分_【20090715】千里導入明細資料_２１年度分（９月工事分）_fj_千里センター機器構築スケジュール（８月分）_20090731_①【20091225】千里導入明細資料_２２年度上期1分)_Ⅹ_課題と対応策_20121211" xfId="2079" xr:uid="{00000000-0005-0000-0000-0000DD070000}"/>
    <cellStyle name="_【20090522_精緻化中】千里導入明細資料_２１年度分_【20090715】千里導入明細資料_２１年度分（９月工事分）_fj_千里センター機器構築スケジュール（８月分）_20090731_①【20091225】千里導入明細資料_２２年度上期1分)_Ⅹ_課題と対応策_20121211 2" xfId="2080" xr:uid="{00000000-0005-0000-0000-0000DE070000}"/>
    <cellStyle name="_【20090522_精緻化中】千里導入明細資料_２１年度分_【20090715】千里導入明細資料_２１年度分（９月工事分）_fj_千里センター機器構築スケジュール（８月分）_20090731_Ⅹ_課題と対応策_20121211" xfId="2081" xr:uid="{00000000-0005-0000-0000-0000DF070000}"/>
    <cellStyle name="_【20090522_精緻化中】千里導入明細資料_２１年度分_【20090715】千里導入明細資料_２１年度分（９月工事分）_fj_千里センター機器構築スケジュール（８月分）_20090731_Ⅹ_課題と対応策_20121211 2" xfId="2082" xr:uid="{00000000-0005-0000-0000-0000E0070000}"/>
    <cellStyle name="_【20090522_精緻化中】千里導入明細資料_２１年度分_【20090715】千里導入明細資料_２１年度分（９月工事分）_fj_千里センター機器構築スケジュール（８月分）_20090731_千里導入明細資料_２２年度分（ネットワーク敷設）_fj" xfId="2083" xr:uid="{00000000-0005-0000-0000-0000E1070000}"/>
    <cellStyle name="_【20090522_精緻化中】千里導入明細資料_２１年度分_【20090715】千里導入明細資料_２１年度分（９月工事分）_fj_千里センター機器構築スケジュール（８月分）_20090731_千里導入明細資料_２２年度分（ネットワーク敷設）_fj 2" xfId="2084" xr:uid="{00000000-0005-0000-0000-0000E2070000}"/>
    <cellStyle name="_【20090522_精緻化中】千里導入明細資料_２１年度分_【20090715】千里導入明細資料_２１年度分（９月工事分）_fj_千里センター機器構築スケジュール（８月分）_20090731_千里導入明細資料_２２年度分（ネットワーク敷設）_fj_Ⅹ_課題と対応策_20121211" xfId="2085" xr:uid="{00000000-0005-0000-0000-0000E3070000}"/>
    <cellStyle name="_【20090522_精緻化中】千里導入明細資料_２１年度分_【20090715】千里導入明細資料_２１年度分（９月工事分）_fj_千里センター機器構築スケジュール（８月分）_20090731_千里導入明細資料_２２年度分（ネットワーク敷設）_fj_Ⅹ_課題と対応策_20121211 2" xfId="2086" xr:uid="{00000000-0005-0000-0000-0000E4070000}"/>
    <cellStyle name="_【20090522_精緻化中】千里導入明細資料_２１年度分_【20090724】千里導入明細資料_２１年度" xfId="2087" xr:uid="{00000000-0005-0000-0000-0000E5070000}"/>
    <cellStyle name="_【20090522_精緻化中】千里導入明細資料_２１年度分_【20090724】千里導入明細資料_２１年度 2" xfId="2088" xr:uid="{00000000-0005-0000-0000-0000E6070000}"/>
    <cellStyle name="_【20090522_精緻化中】千里導入明細資料_２１年度分_【20090724】千里導入明細資料_２１年度_【20091207】千里導入明細資料_２１年度分（ネットワーク敷設）" xfId="2089" xr:uid="{00000000-0005-0000-0000-0000E7070000}"/>
    <cellStyle name="_【20090522_精緻化中】千里導入明細資料_２１年度分_【20090724】千里導入明細資料_２１年度_【20091207】千里導入明細資料_２１年度分（ネットワーク敷設） 2" xfId="2090" xr:uid="{00000000-0005-0000-0000-0000E8070000}"/>
    <cellStyle name="_【20090522_精緻化中】千里導入明細資料_２１年度分_【20090724】千里導入明細資料_２１年度_【20091207】千里導入明細資料_２１年度分（ネットワーク敷設）_【20091218】千里導入明細資料_２１年度分（ネットワーク敷設）" xfId="2091" xr:uid="{00000000-0005-0000-0000-0000E9070000}"/>
    <cellStyle name="_【20090522_精緻化中】千里導入明細資料_２１年度分_【20090724】千里導入明細資料_２１年度_【20091207】千里導入明細資料_２１年度分（ネットワーク敷設）_【20091218】千里導入明細資料_２１年度分（ネットワーク敷設） 2" xfId="2092" xr:uid="{00000000-0005-0000-0000-0000EA070000}"/>
    <cellStyle name="_【20090522_精緻化中】千里導入明細資料_２１年度分_【20090724】千里導入明細資料_２１年度_【20091207】千里導入明細資料_２１年度分（ネットワーク敷設）_【20091218】千里導入明細資料_２１年度分（ネットワーク敷設）_Ⅹ_課題と対応策_20121211" xfId="2093" xr:uid="{00000000-0005-0000-0000-0000EB070000}"/>
    <cellStyle name="_【20090522_精緻化中】千里導入明細資料_２１年度分_【20090724】千里導入明細資料_２１年度_【20091207】千里導入明細資料_２１年度分（ネットワーク敷設）_【20091218】千里導入明細資料_２１年度分（ネットワーク敷設）_Ⅹ_課題と対応策_20121211 2" xfId="2094" xr:uid="{00000000-0005-0000-0000-0000EC070000}"/>
    <cellStyle name="_【20090522_精緻化中】千里導入明細資料_２１年度分_【20090724】千里導入明細資料_２１年度_【20091207】千里導入明細資料_２１年度分（ネットワーク敷設）_Ⅹ_課題と対応策_20121211" xfId="2095" xr:uid="{00000000-0005-0000-0000-0000ED070000}"/>
    <cellStyle name="_【20090522_精緻化中】千里導入明細資料_２１年度分_【20090724】千里導入明細資料_２１年度_【20091207】千里導入明細資料_２１年度分（ネットワーク敷設）_Ⅹ_課題と対応策_20121211 2" xfId="2096" xr:uid="{00000000-0005-0000-0000-0000EE070000}"/>
    <cellStyle name="_【20090522_精緻化中】千里導入明細資料_２１年度分_【20090724】千里導入明細資料_２１年度_【20091207】千里導入明細資料_２１年度分（ネットワーク敷設）_千里導入明細資料_２２年度分（ネットワーク敷設）_fj" xfId="2097" xr:uid="{00000000-0005-0000-0000-0000EF070000}"/>
    <cellStyle name="_【20090522_精緻化中】千里導入明細資料_２１年度分_【20090724】千里導入明細資料_２１年度_【20091207】千里導入明細資料_２１年度分（ネットワーク敷設）_千里導入明細資料_２２年度分（ネットワーク敷設）_fj 2" xfId="2098" xr:uid="{00000000-0005-0000-0000-0000F0070000}"/>
    <cellStyle name="_【20090522_精緻化中】千里導入明細資料_２１年度分_【20090724】千里導入明細資料_２１年度_【20091207】千里導入明細資料_２１年度分（ネットワーク敷設）_千里導入明細資料_２２年度分（ネットワーク敷設）_fj_Ⅹ_課題と対応策_20121211" xfId="2099" xr:uid="{00000000-0005-0000-0000-0000F1070000}"/>
    <cellStyle name="_【20090522_精緻化中】千里導入明細資料_２１年度分_【20090724】千里導入明細資料_２１年度_【20091207】千里導入明細資料_２１年度分（ネットワーク敷設）_千里導入明細資料_２２年度分（ネットワーク敷設）_fj_Ⅹ_課題と対応策_20121211 2" xfId="2100" xr:uid="{00000000-0005-0000-0000-0000F2070000}"/>
    <cellStyle name="_【20090522_精緻化中】千里導入明細資料_２１年度分_【20090724】千里導入明細資料_２１年度_【20091225】千里導入明細資料_２２年度上期分（営業店ＡＰ－ＤＢ）" xfId="2101" xr:uid="{00000000-0005-0000-0000-0000F3070000}"/>
    <cellStyle name="_【20090522_精緻化中】千里導入明細資料_２１年度分_【20090724】千里導入明細資料_２１年度_【20091225】千里導入明細資料_２２年度上期分（営業店ＡＰ－ＤＢ） 2" xfId="2102" xr:uid="{00000000-0005-0000-0000-0000F4070000}"/>
    <cellStyle name="_【20090522_精緻化中】千里導入明細資料_２１年度分_【20090724】千里導入明細資料_２１年度_【20091225】千里導入明細資料_２２年度上期分（営業店ＡＰ－ＤＢ）_【調整中】千里導入明細資料_２２年度上期分_fj_20100127" xfId="2103" xr:uid="{00000000-0005-0000-0000-0000F5070000}"/>
    <cellStyle name="_【20090522_精緻化中】千里導入明細資料_２１年度分_【20090724】千里導入明細資料_２１年度_【20091225】千里導入明細資料_２２年度上期分（営業店ＡＰ－ＤＢ）_【調整中】千里導入明細資料_２２年度上期分_fj_20100127 2" xfId="2104" xr:uid="{00000000-0005-0000-0000-0000F6070000}"/>
    <cellStyle name="_【20090522_精緻化中】千里導入明細資料_２１年度分_【20090724】千里導入明細資料_２１年度_【20091225】千里導入明細資料_２２年度上期分（営業店ＡＰ－ＤＢ）_【調整中】千里導入明細資料_２２年度上期分_fj_20100127_Ⅹ_課題と対応策_20121211" xfId="2105" xr:uid="{00000000-0005-0000-0000-0000F7070000}"/>
    <cellStyle name="_【20090522_精緻化中】千里導入明細資料_２１年度分_【20090724】千里導入明細資料_２１年度_【20091225】千里導入明細資料_２２年度上期分（営業店ＡＰ－ＤＢ）_【調整中】千里導入明細資料_２２年度上期分_fj_20100127_Ⅹ_課題と対応策_20121211 2" xfId="2106" xr:uid="{00000000-0005-0000-0000-0000F8070000}"/>
    <cellStyle name="_【20090522_精緻化中】千里導入明細資料_２１年度分_【20090724】千里導入明細資料_２１年度_【20091225】千里導入明細資料_２２年度上期分（営業店ＡＰ－ＤＢ）_Ⅹ_課題と対応策_20121211" xfId="2107" xr:uid="{00000000-0005-0000-0000-0000F9070000}"/>
    <cellStyle name="_【20090522_精緻化中】千里導入明細資料_２１年度分_【20090724】千里導入明細資料_２１年度_【20091225】千里導入明細資料_２２年度上期分（営業店ＡＰ－ＤＢ）_Ⅹ_課題と対応策_20121211 2" xfId="2108" xr:uid="{00000000-0005-0000-0000-0000FA070000}"/>
    <cellStyle name="_【20090522_精緻化中】千里導入明細資料_２１年度分_【20090724】千里導入明細資料_２１年度_【20091225】千里導入明細資料_２２年度上期分_営業店DB" xfId="2109" xr:uid="{00000000-0005-0000-0000-0000FB070000}"/>
    <cellStyle name="_【20090522_精緻化中】千里導入明細資料_２１年度分_【20090724】千里導入明細資料_２１年度_【20091225】千里導入明細資料_２２年度上期分_営業店DB 2" xfId="2110" xr:uid="{00000000-0005-0000-0000-0000FC070000}"/>
    <cellStyle name="_【20090522_精緻化中】千里導入明細資料_２１年度分_【20090724】千里導入明細資料_２１年度_【20091225】千里導入明細資料_２２年度上期分_営業店DB_【調整中】千里導入明細資料_２２年度上期分_fj_20100127" xfId="2111" xr:uid="{00000000-0005-0000-0000-0000FD070000}"/>
    <cellStyle name="_【20090522_精緻化中】千里導入明細資料_２１年度分_【20090724】千里導入明細資料_２１年度_【20091225】千里導入明細資料_２２年度上期分_営業店DB_【調整中】千里導入明細資料_２２年度上期分_fj_20100127 2" xfId="2112" xr:uid="{00000000-0005-0000-0000-0000FE070000}"/>
    <cellStyle name="_【20090522_精緻化中】千里導入明細資料_２１年度分_【20090724】千里導入明細資料_２１年度_【20091225】千里導入明細資料_２２年度上期分_営業店DB_【調整中】千里導入明細資料_２２年度上期分_fj_20100127_Ⅹ_課題と対応策_20121211" xfId="2113" xr:uid="{00000000-0005-0000-0000-0000FF070000}"/>
    <cellStyle name="_【20090522_精緻化中】千里導入明細資料_２１年度分_【20090724】千里導入明細資料_２１年度_【20091225】千里導入明細資料_２２年度上期分_営業店DB_【調整中】千里導入明細資料_２２年度上期分_fj_20100127_Ⅹ_課題と対応策_20121211 2" xfId="2114" xr:uid="{00000000-0005-0000-0000-000000080000}"/>
    <cellStyle name="_【20090522_精緻化中】千里導入明細資料_２１年度分_【20090724】千里導入明細資料_２１年度_【20091225】千里導入明細資料_２２年度上期分_営業店DB_Ⅹ_課題と対応策_20121211" xfId="2115" xr:uid="{00000000-0005-0000-0000-000001080000}"/>
    <cellStyle name="_【20090522_精緻化中】千里導入明細資料_２１年度分_【20090724】千里導入明細資料_２１年度_【20091225】千里導入明細資料_２２年度上期分_営業店DB_Ⅹ_課題と対応策_20121211 2" xfId="2116" xr:uid="{00000000-0005-0000-0000-000002080000}"/>
    <cellStyle name="_【20090522_精緻化中】千里導入明細資料_２１年度分_【20090724】千里導入明細資料_２１年度_【20091225】千里導入明細資料_２２年度上期分_連携DB" xfId="2117" xr:uid="{00000000-0005-0000-0000-000003080000}"/>
    <cellStyle name="_【20090522_精緻化中】千里導入明細資料_２１年度分_【20090724】千里導入明細資料_２１年度_【20091225】千里導入明細資料_２２年度上期分_連携DB 2" xfId="2118" xr:uid="{00000000-0005-0000-0000-000004080000}"/>
    <cellStyle name="_【20090522_精緻化中】千里導入明細資料_２１年度分_【20090724】千里導入明細資料_２１年度_【20091225】千里導入明細資料_２２年度上期分_連携DB_【調整中】千里導入明細資料_２２年度上期分_fj_20100127" xfId="2119" xr:uid="{00000000-0005-0000-0000-000005080000}"/>
    <cellStyle name="_【20090522_精緻化中】千里導入明細資料_２１年度分_【20090724】千里導入明細資料_２１年度_【20091225】千里導入明細資料_２２年度上期分_連携DB_【調整中】千里導入明細資料_２２年度上期分_fj_20100127 2" xfId="2120" xr:uid="{00000000-0005-0000-0000-000006080000}"/>
    <cellStyle name="_【20090522_精緻化中】千里導入明細資料_２１年度分_【20090724】千里導入明細資料_２１年度_【20091225】千里導入明細資料_２２年度上期分_連携DB_【調整中】千里導入明細資料_２２年度上期分_fj_20100127_Ⅹ_課題と対応策_20121211" xfId="2121" xr:uid="{00000000-0005-0000-0000-000007080000}"/>
    <cellStyle name="_【20090522_精緻化中】千里導入明細資料_２１年度分_【20090724】千里導入明細資料_２１年度_【20091225】千里導入明細資料_２２年度上期分_連携DB_【調整中】千里導入明細資料_２２年度上期分_fj_20100127_Ⅹ_課題と対応策_20121211 2" xfId="2122" xr:uid="{00000000-0005-0000-0000-000008080000}"/>
    <cellStyle name="_【20090522_精緻化中】千里導入明細資料_２１年度分_【20090724】千里導入明細資料_２１年度_【20091225】千里導入明細資料_２２年度上期分_連携DB_Ⅹ_課題と対応策_20121211" xfId="2123" xr:uid="{00000000-0005-0000-0000-000009080000}"/>
    <cellStyle name="_【20090522_精緻化中】千里導入明細資料_２１年度分_【20090724】千里導入明細資料_２１年度_【20091225】千里導入明細資料_２２年度上期分_連携DB_Ⅹ_課題と対応策_20121211 2" xfId="2124" xr:uid="{00000000-0005-0000-0000-00000A080000}"/>
    <cellStyle name="_【20090522_精緻化中】千里導入明細資料_２１年度分_【20090724】千里導入明細資料_２１年度_【作成中】千里センター機器配置図（2010年対応分）_20091221" xfId="2125" xr:uid="{00000000-0005-0000-0000-00000B080000}"/>
    <cellStyle name="_【20090522_精緻化中】千里導入明細資料_２１年度分_【20090724】千里導入明細資料_２１年度_【作成中】千里センター機器配置図（2010年対応分）_20091221 2" xfId="2126" xr:uid="{00000000-0005-0000-0000-00000C080000}"/>
    <cellStyle name="_【20090522_精緻化中】千里導入明細資料_２１年度分_【20090724】千里導入明細資料_２１年度_【作成中】千里センター機器配置図（2010年対応分）_20091221_【調整中】千里導入明細資料_２２年度上期分_fj_20100127" xfId="2127" xr:uid="{00000000-0005-0000-0000-00000D080000}"/>
    <cellStyle name="_【20090522_精緻化中】千里導入明細資料_２１年度分_【20090724】千里導入明細資料_２１年度_【作成中】千里センター機器配置図（2010年対応分）_20091221_【調整中】千里導入明細資料_２２年度上期分_fj_20100127 2" xfId="2128" xr:uid="{00000000-0005-0000-0000-00000E080000}"/>
    <cellStyle name="_【20090522_精緻化中】千里導入明細資料_２１年度分_【20090724】千里導入明細資料_２１年度_【作成中】千里センター機器配置図（2010年対応分）_20091221_【調整中】千里導入明細資料_２２年度上期分_fj_20100127_Ⅹ_課題と対応策_20121211" xfId="2129" xr:uid="{00000000-0005-0000-0000-00000F080000}"/>
    <cellStyle name="_【20090522_精緻化中】千里導入明細資料_２１年度分_【20090724】千里導入明細資料_２１年度_【作成中】千里センター機器配置図（2010年対応分）_20091221_【調整中】千里導入明細資料_２２年度上期分_fj_20100127_Ⅹ_課題と対応策_20121211 2" xfId="2130" xr:uid="{00000000-0005-0000-0000-000010080000}"/>
    <cellStyle name="_【20090522_精緻化中】千里導入明細資料_２１年度分_【20090724】千里導入明細資料_２１年度_【作成中】千里センター機器配置図（2010年対応分）_20091221_Ⅹ_課題と対応策_20121211" xfId="2131" xr:uid="{00000000-0005-0000-0000-000011080000}"/>
    <cellStyle name="_【20090522_精緻化中】千里導入明細資料_２１年度分_【20090724】千里導入明細資料_２１年度_【作成中】千里センター機器配置図（2010年対応分）_20091221_Ⅹ_課題と対応策_20121211 2" xfId="2132" xr:uid="{00000000-0005-0000-0000-000012080000}"/>
    <cellStyle name="_【20090522_精緻化中】千里導入明細資料_２１年度分_【20090724】千里導入明細資料_２１年度_Ⅹ_課題と対応策_20121211" xfId="2133" xr:uid="{00000000-0005-0000-0000-000013080000}"/>
    <cellStyle name="_【20090522_精緻化中】千里導入明細資料_２１年度分_【20090724】千里導入明細資料_２１年度_Ⅹ_課題と対応策_20121211 2" xfId="2134" xr:uid="{00000000-0005-0000-0000-000014080000}"/>
    <cellStyle name="_【20090522_精緻化中】千里導入明細資料_２１年度分_【20090724】千里導入明細資料_２１年度分（９月工事分）" xfId="2135" xr:uid="{00000000-0005-0000-0000-000015080000}"/>
    <cellStyle name="_【20090522_精緻化中】千里導入明細資料_２１年度分_【20090724】千里導入明細資料_２１年度分（９月工事分） 2" xfId="2136" xr:uid="{00000000-0005-0000-0000-000016080000}"/>
    <cellStyle name="_【20090522_精緻化中】千里導入明細資料_２１年度分_【20090724】千里導入明細資料_２１年度分（９月工事分）_【20091207】千里導入明細資料_２１年度分（ネットワーク敷設）" xfId="2137" xr:uid="{00000000-0005-0000-0000-000017080000}"/>
    <cellStyle name="_【20090522_精緻化中】千里導入明細資料_２１年度分_【20090724】千里導入明細資料_２１年度分（９月工事分）_【20091207】千里導入明細資料_２１年度分（ネットワーク敷設） 2" xfId="2138" xr:uid="{00000000-0005-0000-0000-000018080000}"/>
    <cellStyle name="_【20090522_精緻化中】千里導入明細資料_２１年度分_【20090724】千里導入明細資料_２１年度分（９月工事分）_【20091207】千里導入明細資料_２１年度分（ネットワーク敷設）_【20091218】千里導入明細資料_２１年度分（ネットワーク敷設）" xfId="2139" xr:uid="{00000000-0005-0000-0000-000019080000}"/>
    <cellStyle name="_【20090522_精緻化中】千里導入明細資料_２１年度分_【20090724】千里導入明細資料_２１年度分（９月工事分）_【20091207】千里導入明細資料_２１年度分（ネットワーク敷設）_【20091218】千里導入明細資料_２１年度分（ネットワーク敷設） 2" xfId="2140" xr:uid="{00000000-0005-0000-0000-00001A080000}"/>
    <cellStyle name="_【20090522_精緻化中】千里導入明細資料_２１年度分_【20090724】千里導入明細資料_２１年度分（９月工事分）_【20091207】千里導入明細資料_２１年度分（ネットワーク敷設）_【20091218】千里導入明細資料_２１年度分（ネットワーク敷設）_Ⅹ_課題と対応策_20121211" xfId="2141" xr:uid="{00000000-0005-0000-0000-00001B080000}"/>
    <cellStyle name="_【20090522_精緻化中】千里導入明細資料_２１年度分_【20090724】千里導入明細資料_２１年度分（９月工事分）_【20091207】千里導入明細資料_２１年度分（ネットワーク敷設）_【20091218】千里導入明細資料_２１年度分（ネットワーク敷設）_Ⅹ_課題と対応策_20121211 2" xfId="2142" xr:uid="{00000000-0005-0000-0000-00001C080000}"/>
    <cellStyle name="_【20090522_精緻化中】千里導入明細資料_２１年度分_【20090724】千里導入明細資料_２１年度分（９月工事分）_【20091207】千里導入明細資料_２１年度分（ネットワーク敷設）_Ⅹ_課題と対応策_20121211" xfId="2143" xr:uid="{00000000-0005-0000-0000-00001D080000}"/>
    <cellStyle name="_【20090522_精緻化中】千里導入明細資料_２１年度分_【20090724】千里導入明細資料_２１年度分（９月工事分）_【20091207】千里導入明細資料_２１年度分（ネットワーク敷設）_Ⅹ_課題と対応策_20121211 2" xfId="2144" xr:uid="{00000000-0005-0000-0000-00001E080000}"/>
    <cellStyle name="_【20090522_精緻化中】千里導入明細資料_２１年度分_【20090724】千里導入明細資料_２１年度分（９月工事分）_【20091207】千里導入明細資料_２１年度分（ネットワーク敷設）_千里導入明細資料_２２年度分（ネットワーク敷設）_fj" xfId="2145" xr:uid="{00000000-0005-0000-0000-00001F080000}"/>
    <cellStyle name="_【20090522_精緻化中】千里導入明細資料_２１年度分_【20090724】千里導入明細資料_２１年度分（９月工事分）_【20091207】千里導入明細資料_２１年度分（ネットワーク敷設）_千里導入明細資料_２２年度分（ネットワーク敷設）_fj 2" xfId="2146" xr:uid="{00000000-0005-0000-0000-000020080000}"/>
    <cellStyle name="_【20090522_精緻化中】千里導入明細資料_２１年度分_【20090724】千里導入明細資料_２１年度分（９月工事分）_【20091207】千里導入明細資料_２１年度分（ネットワーク敷設）_千里導入明細資料_２２年度分（ネットワーク敷設）_fj_Ⅹ_課題と対応策_20121211" xfId="2147" xr:uid="{00000000-0005-0000-0000-000021080000}"/>
    <cellStyle name="_【20090522_精緻化中】千里導入明細資料_２１年度分_【20090724】千里導入明細資料_２１年度分（９月工事分）_【20091207】千里導入明細資料_２１年度分（ネットワーク敷設）_千里導入明細資料_２２年度分（ネットワーク敷設）_fj_Ⅹ_課題と対応策_20121211 2" xfId="2148" xr:uid="{00000000-0005-0000-0000-000022080000}"/>
    <cellStyle name="_【20090522_精緻化中】千里導入明細資料_２１年度分_【20090724】千里導入明細資料_２１年度分（９月工事分）_【20091225】千里導入明細資料_２２年度上期分（営業店ＡＰ－ＤＢ）" xfId="2149" xr:uid="{00000000-0005-0000-0000-000023080000}"/>
    <cellStyle name="_【20090522_精緻化中】千里導入明細資料_２１年度分_【20090724】千里導入明細資料_２１年度分（９月工事分）_【20091225】千里導入明細資料_２２年度上期分（営業店ＡＰ－ＤＢ） 2" xfId="2150" xr:uid="{00000000-0005-0000-0000-000024080000}"/>
    <cellStyle name="_【20090522_精緻化中】千里導入明細資料_２１年度分_【20090724】千里導入明細資料_２１年度分（９月工事分）_【20091225】千里導入明細資料_２２年度上期分（営業店ＡＰ－ＤＢ）_【調整中】千里導入明細資料_２２年度上期分_fj_20100127" xfId="2151" xr:uid="{00000000-0005-0000-0000-000025080000}"/>
    <cellStyle name="_【20090522_精緻化中】千里導入明細資料_２１年度分_【20090724】千里導入明細資料_２１年度分（９月工事分）_【20091225】千里導入明細資料_２２年度上期分（営業店ＡＰ－ＤＢ）_【調整中】千里導入明細資料_２２年度上期分_fj_20100127 2" xfId="2152" xr:uid="{00000000-0005-0000-0000-000026080000}"/>
    <cellStyle name="_【20090522_精緻化中】千里導入明細資料_２１年度分_【20090724】千里導入明細資料_２１年度分（９月工事分）_【20091225】千里導入明細資料_２２年度上期分（営業店ＡＰ－ＤＢ）_【調整中】千里導入明細資料_２２年度上期分_fj_20100127_Ⅹ_課題と対応策_20121211" xfId="2153" xr:uid="{00000000-0005-0000-0000-000027080000}"/>
    <cellStyle name="_【20090522_精緻化中】千里導入明細資料_２１年度分_【20090724】千里導入明細資料_２１年度分（９月工事分）_【20091225】千里導入明細資料_２２年度上期分（営業店ＡＰ－ＤＢ）_【調整中】千里導入明細資料_２２年度上期分_fj_20100127_Ⅹ_課題と対応策_20121211 2" xfId="2154" xr:uid="{00000000-0005-0000-0000-000028080000}"/>
    <cellStyle name="_【20090522_精緻化中】千里導入明細資料_２１年度分_【20090724】千里導入明細資料_２１年度分（９月工事分）_【20091225】千里導入明細資料_２２年度上期分（営業店ＡＰ－ＤＢ）_Ⅹ_課題と対応策_20121211" xfId="2155" xr:uid="{00000000-0005-0000-0000-000029080000}"/>
    <cellStyle name="_【20090522_精緻化中】千里導入明細資料_２１年度分_【20090724】千里導入明細資料_２１年度分（９月工事分）_【20091225】千里導入明細資料_２２年度上期分（営業店ＡＰ－ＤＢ）_Ⅹ_課題と対応策_20121211 2" xfId="2156" xr:uid="{00000000-0005-0000-0000-00002A080000}"/>
    <cellStyle name="_【20090522_精緻化中】千里導入明細資料_２１年度分_【20090724】千里導入明細資料_２１年度分（９月工事分）_【20091225】千里導入明細資料_２２年度上期分_営業店DB" xfId="2157" xr:uid="{00000000-0005-0000-0000-00002B080000}"/>
    <cellStyle name="_【20090522_精緻化中】千里導入明細資料_２１年度分_【20090724】千里導入明細資料_２１年度分（９月工事分）_【20091225】千里導入明細資料_２２年度上期分_営業店DB 2" xfId="2158" xr:uid="{00000000-0005-0000-0000-00002C080000}"/>
    <cellStyle name="_【20090522_精緻化中】千里導入明細資料_２１年度分_【20090724】千里導入明細資料_２１年度分（９月工事分）_【20091225】千里導入明細資料_２２年度上期分_営業店DB_【調整中】千里導入明細資料_２２年度上期分_fj_20100127" xfId="2159" xr:uid="{00000000-0005-0000-0000-00002D080000}"/>
    <cellStyle name="_【20090522_精緻化中】千里導入明細資料_２１年度分_【20090724】千里導入明細資料_２１年度分（９月工事分）_【20091225】千里導入明細資料_２２年度上期分_営業店DB_【調整中】千里導入明細資料_２２年度上期分_fj_20100127 2" xfId="2160" xr:uid="{00000000-0005-0000-0000-00002E080000}"/>
    <cellStyle name="_【20090522_精緻化中】千里導入明細資料_２１年度分_【20090724】千里導入明細資料_２１年度分（９月工事分）_【20091225】千里導入明細資料_２２年度上期分_営業店DB_【調整中】千里導入明細資料_２２年度上期分_fj_20100127_Ⅹ_課題と対応策_20121211" xfId="2161" xr:uid="{00000000-0005-0000-0000-00002F080000}"/>
    <cellStyle name="_【20090522_精緻化中】千里導入明細資料_２１年度分_【20090724】千里導入明細資料_２１年度分（９月工事分）_【20091225】千里導入明細資料_２２年度上期分_営業店DB_【調整中】千里導入明細資料_２２年度上期分_fj_20100127_Ⅹ_課題と対応策_20121211 2" xfId="2162" xr:uid="{00000000-0005-0000-0000-000030080000}"/>
    <cellStyle name="_【20090522_精緻化中】千里導入明細資料_２１年度分_【20090724】千里導入明細資料_２１年度分（９月工事分）_【20091225】千里導入明細資料_２２年度上期分_営業店DB_Ⅹ_課題と対応策_20121211" xfId="2163" xr:uid="{00000000-0005-0000-0000-000031080000}"/>
    <cellStyle name="_【20090522_精緻化中】千里導入明細資料_２１年度分_【20090724】千里導入明細資料_２１年度分（９月工事分）_【20091225】千里導入明細資料_２２年度上期分_営業店DB_Ⅹ_課題と対応策_20121211 2" xfId="2164" xr:uid="{00000000-0005-0000-0000-000032080000}"/>
    <cellStyle name="_【20090522_精緻化中】千里導入明細資料_２１年度分_【20090724】千里導入明細資料_２１年度分（９月工事分）_【20091225】千里導入明細資料_２２年度上期分_連携DB" xfId="2165" xr:uid="{00000000-0005-0000-0000-000033080000}"/>
    <cellStyle name="_【20090522_精緻化中】千里導入明細資料_２１年度分_【20090724】千里導入明細資料_２１年度分（９月工事分）_【20091225】千里導入明細資料_２２年度上期分_連携DB 2" xfId="2166" xr:uid="{00000000-0005-0000-0000-000034080000}"/>
    <cellStyle name="_【20090522_精緻化中】千里導入明細資料_２１年度分_【20090724】千里導入明細資料_２１年度分（９月工事分）_【20091225】千里導入明細資料_２２年度上期分_連携DB_【調整中】千里導入明細資料_２２年度上期分_fj_20100127" xfId="2167" xr:uid="{00000000-0005-0000-0000-000035080000}"/>
    <cellStyle name="_【20090522_精緻化中】千里導入明細資料_２１年度分_【20090724】千里導入明細資料_２１年度分（９月工事分）_【20091225】千里導入明細資料_２２年度上期分_連携DB_【調整中】千里導入明細資料_２２年度上期分_fj_20100127 2" xfId="2168" xr:uid="{00000000-0005-0000-0000-000036080000}"/>
    <cellStyle name="_【20090522_精緻化中】千里導入明細資料_２１年度分_【20090724】千里導入明細資料_２１年度分（９月工事分）_【20091225】千里導入明細資料_２２年度上期分_連携DB_【調整中】千里導入明細資料_２２年度上期分_fj_20100127_Ⅹ_課題と対応策_20121211" xfId="2169" xr:uid="{00000000-0005-0000-0000-000037080000}"/>
    <cellStyle name="_【20090522_精緻化中】千里導入明細資料_２１年度分_【20090724】千里導入明細資料_２１年度分（９月工事分）_【20091225】千里導入明細資料_２２年度上期分_連携DB_【調整中】千里導入明細資料_２２年度上期分_fj_20100127_Ⅹ_課題と対応策_20121211 2" xfId="2170" xr:uid="{00000000-0005-0000-0000-000038080000}"/>
    <cellStyle name="_【20090522_精緻化中】千里導入明細資料_２１年度分_【20090724】千里導入明細資料_２１年度分（９月工事分）_【20091225】千里導入明細資料_２２年度上期分_連携DB_Ⅹ_課題と対応策_20121211" xfId="2171" xr:uid="{00000000-0005-0000-0000-000039080000}"/>
    <cellStyle name="_【20090522_精緻化中】千里導入明細資料_２１年度分_【20090724】千里導入明細資料_２１年度分（９月工事分）_【20091225】千里導入明細資料_２２年度上期分_連携DB_Ⅹ_課題と対応策_20121211 2" xfId="2172" xr:uid="{00000000-0005-0000-0000-00003A080000}"/>
    <cellStyle name="_【20090522_精緻化中】千里導入明細資料_２１年度分_【20090724】千里導入明細資料_２１年度分（９月工事分）_【作成中】千里センター機器配置図（2010年対応分）_20091221" xfId="2173" xr:uid="{00000000-0005-0000-0000-00003B080000}"/>
    <cellStyle name="_【20090522_精緻化中】千里導入明細資料_２１年度分_【20090724】千里導入明細資料_２１年度分（９月工事分）_【作成中】千里センター機器配置図（2010年対応分）_20091221 2" xfId="2174" xr:uid="{00000000-0005-0000-0000-00003C080000}"/>
    <cellStyle name="_【20090522_精緻化中】千里導入明細資料_２１年度分_【20090724】千里導入明細資料_２１年度分（９月工事分）_【作成中】千里センター機器配置図（2010年対応分）_20091221_【調整中】千里導入明細資料_２２年度上期分_fj_20100127" xfId="2175" xr:uid="{00000000-0005-0000-0000-00003D080000}"/>
    <cellStyle name="_【20090522_精緻化中】千里導入明細資料_２１年度分_【20090724】千里導入明細資料_２１年度分（９月工事分）_【作成中】千里センター機器配置図（2010年対応分）_20091221_【調整中】千里導入明細資料_２２年度上期分_fj_20100127 2" xfId="2176" xr:uid="{00000000-0005-0000-0000-00003E080000}"/>
    <cellStyle name="_【20090522_精緻化中】千里導入明細資料_２１年度分_【20090724】千里導入明細資料_２１年度分（９月工事分）_【作成中】千里センター機器配置図（2010年対応分）_20091221_【調整中】千里導入明細資料_２２年度上期分_fj_20100127_Ⅹ_課題と対応策_20121211" xfId="2177" xr:uid="{00000000-0005-0000-0000-00003F080000}"/>
    <cellStyle name="_【20090522_精緻化中】千里導入明細資料_２１年度分_【20090724】千里導入明細資料_２１年度分（９月工事分）_【作成中】千里センター機器配置図（2010年対応分）_20091221_【調整中】千里導入明細資料_２２年度上期分_fj_20100127_Ⅹ_課題と対応策_20121211 2" xfId="2178" xr:uid="{00000000-0005-0000-0000-000040080000}"/>
    <cellStyle name="_【20090522_精緻化中】千里導入明細資料_２１年度分_【20090724】千里導入明細資料_２１年度分（９月工事分）_【作成中】千里センター機器配置図（2010年対応分）_20091221_Ⅹ_課題と対応策_20121211" xfId="2179" xr:uid="{00000000-0005-0000-0000-000041080000}"/>
    <cellStyle name="_【20090522_精緻化中】千里導入明細資料_２１年度分_【20090724】千里導入明細資料_２１年度分（９月工事分）_【作成中】千里センター機器配置図（2010年対応分）_20091221_Ⅹ_課題と対応策_20121211 2" xfId="2180" xr:uid="{00000000-0005-0000-0000-000042080000}"/>
    <cellStyle name="_【20090522_精緻化中】千里導入明細資料_２１年度分_【20090724】千里導入明細資料_２１年度分（９月工事分）_Ⅹ_課題と対応策_20121211" xfId="2181" xr:uid="{00000000-0005-0000-0000-000043080000}"/>
    <cellStyle name="_【20090522_精緻化中】千里導入明細資料_２１年度分_【20090724】千里導入明細資料_２１年度分（９月工事分）_Ⅹ_課題と対応策_20121211 2" xfId="2182" xr:uid="{00000000-0005-0000-0000-000044080000}"/>
    <cellStyle name="_【20090522_精緻化中】千里導入明細資料_２１年度分_【20090731】千里導入明細資料_２１年度分（９月工事分）" xfId="2183" xr:uid="{00000000-0005-0000-0000-000045080000}"/>
    <cellStyle name="_【20090522_精緻化中】千里導入明細資料_２１年度分_【20090731】千里導入明細資料_２１年度分（９月工事分） 2" xfId="2184" xr:uid="{00000000-0005-0000-0000-000046080000}"/>
    <cellStyle name="_【20090522_精緻化中】千里導入明細資料_２１年度分_【20090731】千里導入明細資料_２１年度分（９月工事分）_【20090821】千里ラック搭載図（NW機器）" xfId="2185" xr:uid="{00000000-0005-0000-0000-000047080000}"/>
    <cellStyle name="_【20090522_精緻化中】千里導入明細資料_２１年度分_【20090731】千里導入明細資料_２１年度分（９月工事分）_【20090821】千里ラック搭載図（NW機器） 2" xfId="2186" xr:uid="{00000000-0005-0000-0000-000048080000}"/>
    <cellStyle name="_【20090522_精緻化中】千里導入明細資料_２１年度分_【20090731】千里導入明細資料_２１年度分（９月工事分）_【20090821】千里ラック搭載図（NW機器）_Ⅹ_課題と対応策_20121211" xfId="2187" xr:uid="{00000000-0005-0000-0000-000049080000}"/>
    <cellStyle name="_【20090522_精緻化中】千里導入明細資料_２１年度分_【20090731】千里導入明細資料_２１年度分（９月工事分）_【20090821】千里ラック搭載図（NW機器）_Ⅹ_課題と対応策_20121211 2" xfId="2188" xr:uid="{00000000-0005-0000-0000-00004A080000}"/>
    <cellStyle name="_【20090522_精緻化中】千里導入明細資料_２１年度分_【20090731】千里導入明細資料_２１年度分（９月工事分）_Ⅹ_課題と対応策_20121211" xfId="2189" xr:uid="{00000000-0005-0000-0000-00004B080000}"/>
    <cellStyle name="_【20090522_精緻化中】千里導入明細資料_２１年度分_【20090731】千里導入明細資料_２１年度分（９月工事分）_Ⅹ_課題と対応策_20121211 2" xfId="2190" xr:uid="{00000000-0005-0000-0000-00004C080000}"/>
    <cellStyle name="_【20090522_精緻化中】千里導入明細資料_２１年度分_【20090807】千里導入明細資料" xfId="2191" xr:uid="{00000000-0005-0000-0000-00004D080000}"/>
    <cellStyle name="_【20090522_精緻化中】千里導入明細資料_２１年度分_【20090807】千里導入明細資料 2" xfId="2192" xr:uid="{00000000-0005-0000-0000-00004E080000}"/>
    <cellStyle name="_【20090522_精緻化中】千里導入明細資料_２１年度分_【20090807】千里導入明細資料_【20091207】千里導入明細資料_２１年度分（ネットワーク敷設）" xfId="2193" xr:uid="{00000000-0005-0000-0000-00004F080000}"/>
    <cellStyle name="_【20090522_精緻化中】千里導入明細資料_２１年度分_【20090807】千里導入明細資料_【20091207】千里導入明細資料_２１年度分（ネットワーク敷設） 2" xfId="2194" xr:uid="{00000000-0005-0000-0000-000050080000}"/>
    <cellStyle name="_【20090522_精緻化中】千里導入明細資料_２１年度分_【20090807】千里導入明細資料_【20091207】千里導入明細資料_２１年度分（ネットワーク敷設）_【20091218】千里導入明細資料_２１年度分（ネットワーク敷設）" xfId="2195" xr:uid="{00000000-0005-0000-0000-000051080000}"/>
    <cellStyle name="_【20090522_精緻化中】千里導入明細資料_２１年度分_【20090807】千里導入明細資料_【20091207】千里導入明細資料_２１年度分（ネットワーク敷設）_【20091218】千里導入明細資料_２１年度分（ネットワーク敷設） 2" xfId="2196" xr:uid="{00000000-0005-0000-0000-000052080000}"/>
    <cellStyle name="_【20090522_精緻化中】千里導入明細資料_２１年度分_【20090807】千里導入明細資料_【20091207】千里導入明細資料_２１年度分（ネットワーク敷設）_【20091218】千里導入明細資料_２１年度分（ネットワーク敷設）_Ⅹ_課題と対応策_20121211" xfId="2197" xr:uid="{00000000-0005-0000-0000-000053080000}"/>
    <cellStyle name="_【20090522_精緻化中】千里導入明細資料_２１年度分_【20090807】千里導入明細資料_【20091207】千里導入明細資料_２１年度分（ネットワーク敷設）_【20091218】千里導入明細資料_２１年度分（ネットワーク敷設）_Ⅹ_課題と対応策_20121211 2" xfId="2198" xr:uid="{00000000-0005-0000-0000-000054080000}"/>
    <cellStyle name="_【20090522_精緻化中】千里導入明細資料_２１年度分_【20090807】千里導入明細資料_【20091207】千里導入明細資料_２１年度分（ネットワーク敷設）_Ⅹ_課題と対応策_20121211" xfId="2199" xr:uid="{00000000-0005-0000-0000-000055080000}"/>
    <cellStyle name="_【20090522_精緻化中】千里導入明細資料_２１年度分_【20090807】千里導入明細資料_【20091207】千里導入明細資料_２１年度分（ネットワーク敷設）_Ⅹ_課題と対応策_20121211 2" xfId="2200" xr:uid="{00000000-0005-0000-0000-000056080000}"/>
    <cellStyle name="_【20090522_精緻化中】千里導入明細資料_２１年度分_【20090807】千里導入明細資料_【20091207】千里導入明細資料_２１年度分（ネットワーク敷設）_千里導入明細資料_２２年度分（ネットワーク敷設）_fj" xfId="2201" xr:uid="{00000000-0005-0000-0000-000057080000}"/>
    <cellStyle name="_【20090522_精緻化中】千里導入明細資料_２１年度分_【20090807】千里導入明細資料_【20091207】千里導入明細資料_２１年度分（ネットワーク敷設）_千里導入明細資料_２２年度分（ネットワーク敷設）_fj 2" xfId="2202" xr:uid="{00000000-0005-0000-0000-000058080000}"/>
    <cellStyle name="_【20090522_精緻化中】千里導入明細資料_２１年度分_【20090807】千里導入明細資料_【20091207】千里導入明細資料_２１年度分（ネットワーク敷設）_千里導入明細資料_２２年度分（ネットワーク敷設）_fj_Ⅹ_課題と対応策_20121211" xfId="2203" xr:uid="{00000000-0005-0000-0000-000059080000}"/>
    <cellStyle name="_【20090522_精緻化中】千里導入明細資料_２１年度分_【20090807】千里導入明細資料_【20091207】千里導入明細資料_２１年度分（ネットワーク敷設）_千里導入明細資料_２２年度分（ネットワーク敷設）_fj_Ⅹ_課題と対応策_20121211 2" xfId="2204" xr:uid="{00000000-0005-0000-0000-00005A080000}"/>
    <cellStyle name="_【20090522_精緻化中】千里導入明細資料_２１年度分_【20090807】千里導入明細資料_【20091225】千里導入明細資料_２２年度上期分（営業店ＡＰ－ＤＢ）" xfId="2205" xr:uid="{00000000-0005-0000-0000-00005B080000}"/>
    <cellStyle name="_【20090522_精緻化中】千里導入明細資料_２１年度分_【20090807】千里導入明細資料_【20091225】千里導入明細資料_２２年度上期分（営業店ＡＰ－ＤＢ） 2" xfId="2206" xr:uid="{00000000-0005-0000-0000-00005C080000}"/>
    <cellStyle name="_【20090522_精緻化中】千里導入明細資料_２１年度分_【20090807】千里導入明細資料_【20091225】千里導入明細資料_２２年度上期分（営業店ＡＰ－ＤＢ）_【調整中】千里導入明細資料_２２年度上期分_fj_20100127" xfId="2207" xr:uid="{00000000-0005-0000-0000-00005D080000}"/>
    <cellStyle name="_【20090522_精緻化中】千里導入明細資料_２１年度分_【20090807】千里導入明細資料_【20091225】千里導入明細資料_２２年度上期分（営業店ＡＰ－ＤＢ）_【調整中】千里導入明細資料_２２年度上期分_fj_20100127 2" xfId="2208" xr:uid="{00000000-0005-0000-0000-00005E080000}"/>
    <cellStyle name="_【20090522_精緻化中】千里導入明細資料_２１年度分_【20090807】千里導入明細資料_【20091225】千里導入明細資料_２２年度上期分（営業店ＡＰ－ＤＢ）_【調整中】千里導入明細資料_２２年度上期分_fj_20100127_Ⅹ_課題と対応策_20121211" xfId="2209" xr:uid="{00000000-0005-0000-0000-00005F080000}"/>
    <cellStyle name="_【20090522_精緻化中】千里導入明細資料_２１年度分_【20090807】千里導入明細資料_【20091225】千里導入明細資料_２２年度上期分（営業店ＡＰ－ＤＢ）_【調整中】千里導入明細資料_２２年度上期分_fj_20100127_Ⅹ_課題と対応策_20121211 2" xfId="2210" xr:uid="{00000000-0005-0000-0000-000060080000}"/>
    <cellStyle name="_【20090522_精緻化中】千里導入明細資料_２１年度分_【20090807】千里導入明細資料_【20091225】千里導入明細資料_２２年度上期分（営業店ＡＰ－ＤＢ）_Ⅹ_課題と対応策_20121211" xfId="2211" xr:uid="{00000000-0005-0000-0000-000061080000}"/>
    <cellStyle name="_【20090522_精緻化中】千里導入明細資料_２１年度分_【20090807】千里導入明細資料_【20091225】千里導入明細資料_２２年度上期分（営業店ＡＰ－ＤＢ）_Ⅹ_課題と対応策_20121211 2" xfId="2212" xr:uid="{00000000-0005-0000-0000-000062080000}"/>
    <cellStyle name="_【20090522_精緻化中】千里導入明細資料_２１年度分_【20090807】千里導入明細資料_【20091225】千里導入明細資料_２２年度上期分_営業店DB" xfId="2213" xr:uid="{00000000-0005-0000-0000-000063080000}"/>
    <cellStyle name="_【20090522_精緻化中】千里導入明細資料_２１年度分_【20090807】千里導入明細資料_【20091225】千里導入明細資料_２２年度上期分_営業店DB 2" xfId="2214" xr:uid="{00000000-0005-0000-0000-000064080000}"/>
    <cellStyle name="_【20090522_精緻化中】千里導入明細資料_２１年度分_【20090807】千里導入明細資料_【20091225】千里導入明細資料_２２年度上期分_営業店DB_【調整中】千里導入明細資料_２２年度上期分_fj_20100127" xfId="2215" xr:uid="{00000000-0005-0000-0000-000065080000}"/>
    <cellStyle name="_【20090522_精緻化中】千里導入明細資料_２１年度分_【20090807】千里導入明細資料_【20091225】千里導入明細資料_２２年度上期分_営業店DB_【調整中】千里導入明細資料_２２年度上期分_fj_20100127 2" xfId="2216" xr:uid="{00000000-0005-0000-0000-000066080000}"/>
    <cellStyle name="_【20090522_精緻化中】千里導入明細資料_２１年度分_【20090807】千里導入明細資料_【20091225】千里導入明細資料_２２年度上期分_営業店DB_【調整中】千里導入明細資料_２２年度上期分_fj_20100127_Ⅹ_課題と対応策_20121211" xfId="2217" xr:uid="{00000000-0005-0000-0000-000067080000}"/>
    <cellStyle name="_【20090522_精緻化中】千里導入明細資料_２１年度分_【20090807】千里導入明細資料_【20091225】千里導入明細資料_２２年度上期分_営業店DB_【調整中】千里導入明細資料_２２年度上期分_fj_20100127_Ⅹ_課題と対応策_20121211 2" xfId="2218" xr:uid="{00000000-0005-0000-0000-000068080000}"/>
    <cellStyle name="_【20090522_精緻化中】千里導入明細資料_２１年度分_【20090807】千里導入明細資料_【20091225】千里導入明細資料_２２年度上期分_営業店DB_Ⅹ_課題と対応策_20121211" xfId="2219" xr:uid="{00000000-0005-0000-0000-000069080000}"/>
    <cellStyle name="_【20090522_精緻化中】千里導入明細資料_２１年度分_【20090807】千里導入明細資料_【20091225】千里導入明細資料_２２年度上期分_営業店DB_Ⅹ_課題と対応策_20121211 2" xfId="2220" xr:uid="{00000000-0005-0000-0000-00006A080000}"/>
    <cellStyle name="_【20090522_精緻化中】千里導入明細資料_２１年度分_【20090807】千里導入明細資料_【20091225】千里導入明細資料_２２年度上期分_連携DB" xfId="2221" xr:uid="{00000000-0005-0000-0000-00006B080000}"/>
    <cellStyle name="_【20090522_精緻化中】千里導入明細資料_２１年度分_【20090807】千里導入明細資料_【20091225】千里導入明細資料_２２年度上期分_連携DB 2" xfId="2222" xr:uid="{00000000-0005-0000-0000-00006C080000}"/>
    <cellStyle name="_【20090522_精緻化中】千里導入明細資料_２１年度分_【20090807】千里導入明細資料_【20091225】千里導入明細資料_２２年度上期分_連携DB_【調整中】千里導入明細資料_２２年度上期分_fj_20100127" xfId="2223" xr:uid="{00000000-0005-0000-0000-00006D080000}"/>
    <cellStyle name="_【20090522_精緻化中】千里導入明細資料_２１年度分_【20090807】千里導入明細資料_【20091225】千里導入明細資料_２２年度上期分_連携DB_【調整中】千里導入明細資料_２２年度上期分_fj_20100127 2" xfId="2224" xr:uid="{00000000-0005-0000-0000-00006E080000}"/>
    <cellStyle name="_【20090522_精緻化中】千里導入明細資料_２１年度分_【20090807】千里導入明細資料_【20091225】千里導入明細資料_２２年度上期分_連携DB_【調整中】千里導入明細資料_２２年度上期分_fj_20100127_Ⅹ_課題と対応策_20121211" xfId="2225" xr:uid="{00000000-0005-0000-0000-00006F080000}"/>
    <cellStyle name="_【20090522_精緻化中】千里導入明細資料_２１年度分_【20090807】千里導入明細資料_【20091225】千里導入明細資料_２２年度上期分_連携DB_【調整中】千里導入明細資料_２２年度上期分_fj_20100127_Ⅹ_課題と対応策_20121211 2" xfId="2226" xr:uid="{00000000-0005-0000-0000-000070080000}"/>
    <cellStyle name="_【20090522_精緻化中】千里導入明細資料_２１年度分_【20090807】千里導入明細資料_【20091225】千里導入明細資料_２２年度上期分_連携DB_Ⅹ_課題と対応策_20121211" xfId="2227" xr:uid="{00000000-0005-0000-0000-000071080000}"/>
    <cellStyle name="_【20090522_精緻化中】千里導入明細資料_２１年度分_【20090807】千里導入明細資料_【20091225】千里導入明細資料_２２年度上期分_連携DB_Ⅹ_課題と対応策_20121211 2" xfId="2228" xr:uid="{00000000-0005-0000-0000-000072080000}"/>
    <cellStyle name="_【20090522_精緻化中】千里導入明細資料_２１年度分_【20090807】千里導入明細資料_【作成中】千里センター機器配置図（2010年対応分）_20091221" xfId="2229" xr:uid="{00000000-0005-0000-0000-000073080000}"/>
    <cellStyle name="_【20090522_精緻化中】千里導入明細資料_２１年度分_【20090807】千里導入明細資料_【作成中】千里センター機器配置図（2010年対応分）_20091221 2" xfId="2230" xr:uid="{00000000-0005-0000-0000-000074080000}"/>
    <cellStyle name="_【20090522_精緻化中】千里導入明細資料_２１年度分_【20090807】千里導入明細資料_【作成中】千里センター機器配置図（2010年対応分）_20091221_【調整中】千里導入明細資料_２２年度上期分_fj_20100127" xfId="2231" xr:uid="{00000000-0005-0000-0000-000075080000}"/>
    <cellStyle name="_【20090522_精緻化中】千里導入明細資料_２１年度分_【20090807】千里導入明細資料_【作成中】千里センター機器配置図（2010年対応分）_20091221_【調整中】千里導入明細資料_２２年度上期分_fj_20100127 2" xfId="2232" xr:uid="{00000000-0005-0000-0000-000076080000}"/>
    <cellStyle name="_【20090522_精緻化中】千里導入明細資料_２１年度分_【20090807】千里導入明細資料_【作成中】千里センター機器配置図（2010年対応分）_20091221_【調整中】千里導入明細資料_２２年度上期分_fj_20100127_Ⅹ_課題と対応策_20121211" xfId="2233" xr:uid="{00000000-0005-0000-0000-000077080000}"/>
    <cellStyle name="_【20090522_精緻化中】千里導入明細資料_２１年度分_【20090807】千里導入明細資料_【作成中】千里センター機器配置図（2010年対応分）_20091221_【調整中】千里導入明細資料_２２年度上期分_fj_20100127_Ⅹ_課題と対応策_20121211 2" xfId="2234" xr:uid="{00000000-0005-0000-0000-000078080000}"/>
    <cellStyle name="_【20090522_精緻化中】千里導入明細資料_２１年度分_【20090807】千里導入明細資料_【作成中】千里センター機器配置図（2010年対応分）_20091221_Ⅹ_課題と対応策_20121211" xfId="2235" xr:uid="{00000000-0005-0000-0000-000079080000}"/>
    <cellStyle name="_【20090522_精緻化中】千里導入明細資料_２１年度分_【20090807】千里導入明細資料_【作成中】千里センター機器配置図（2010年対応分）_20091221_Ⅹ_課題と対応策_20121211 2" xfId="2236" xr:uid="{00000000-0005-0000-0000-00007A080000}"/>
    <cellStyle name="_【20090522_精緻化中】千里導入明細資料_２１年度分_【20090807】千里導入明細資料_Ⅹ_課題と対応策_20121211" xfId="2237" xr:uid="{00000000-0005-0000-0000-00007B080000}"/>
    <cellStyle name="_【20090522_精緻化中】千里導入明細資料_２１年度分_【20090807】千里導入明細資料_Ⅹ_課題と対応策_20121211 2" xfId="2238" xr:uid="{00000000-0005-0000-0000-00007C080000}"/>
    <cellStyle name="_【20090522_精緻化中】千里導入明細資料_２１年度分_【20090814】千里導入明細資料_SDB追加" xfId="2239" xr:uid="{00000000-0005-0000-0000-00007D080000}"/>
    <cellStyle name="_【20090522_精緻化中】千里導入明細資料_２１年度分_【20090814】千里導入明細資料_SDB追加 2" xfId="2240" xr:uid="{00000000-0005-0000-0000-00007E080000}"/>
    <cellStyle name="_【20090522_精緻化中】千里導入明細資料_２１年度分_【20090814】千里導入明細資料_SDB追加_【20091207】千里導入明細資料_２１年度分（ネットワーク敷設）" xfId="2241" xr:uid="{00000000-0005-0000-0000-00007F080000}"/>
    <cellStyle name="_【20090522_精緻化中】千里導入明細資料_２１年度分_【20090814】千里導入明細資料_SDB追加_【20091207】千里導入明細資料_２１年度分（ネットワーク敷設） 2" xfId="2242" xr:uid="{00000000-0005-0000-0000-000080080000}"/>
    <cellStyle name="_【20090522_精緻化中】千里導入明細資料_２１年度分_【20090814】千里導入明細資料_SDB追加_【20091207】千里導入明細資料_２１年度分（ネットワーク敷設）_【20091218】千里導入明細資料_２１年度分（ネットワーク敷設）" xfId="2243" xr:uid="{00000000-0005-0000-0000-000081080000}"/>
    <cellStyle name="_【20090522_精緻化中】千里導入明細資料_２１年度分_【20090814】千里導入明細資料_SDB追加_【20091207】千里導入明細資料_２１年度分（ネットワーク敷設）_【20091218】千里導入明細資料_２１年度分（ネットワーク敷設） 2" xfId="2244" xr:uid="{00000000-0005-0000-0000-000082080000}"/>
    <cellStyle name="_【20090522_精緻化中】千里導入明細資料_２１年度分_【20090814】千里導入明細資料_SDB追加_【20091207】千里導入明細資料_２１年度分（ネットワーク敷設）_【20091218】千里導入明細資料_２１年度分（ネットワーク敷設）_Ⅹ_課題と対応策_20121211" xfId="2245" xr:uid="{00000000-0005-0000-0000-000083080000}"/>
    <cellStyle name="_【20090522_精緻化中】千里導入明細資料_２１年度分_【20090814】千里導入明細資料_SDB追加_【20091207】千里導入明細資料_２１年度分（ネットワーク敷設）_【20091218】千里導入明細資料_２１年度分（ネットワーク敷設）_Ⅹ_課題と対応策_20121211 2" xfId="2246" xr:uid="{00000000-0005-0000-0000-000084080000}"/>
    <cellStyle name="_【20090522_精緻化中】千里導入明細資料_２１年度分_【20090814】千里導入明細資料_SDB追加_【20091207】千里導入明細資料_２１年度分（ネットワーク敷設）_Ⅹ_課題と対応策_20121211" xfId="2247" xr:uid="{00000000-0005-0000-0000-000085080000}"/>
    <cellStyle name="_【20090522_精緻化中】千里導入明細資料_２１年度分_【20090814】千里導入明細資料_SDB追加_【20091207】千里導入明細資料_２１年度分（ネットワーク敷設）_Ⅹ_課題と対応策_20121211 2" xfId="2248" xr:uid="{00000000-0005-0000-0000-000086080000}"/>
    <cellStyle name="_【20090522_精緻化中】千里導入明細資料_２１年度分_【20090814】千里導入明細資料_SDB追加_【20091207】千里導入明細資料_２１年度分（ネットワーク敷設）_千里導入明細資料_２２年度分（ネットワーク敷設）_fj" xfId="2249" xr:uid="{00000000-0005-0000-0000-000087080000}"/>
    <cellStyle name="_【20090522_精緻化中】千里導入明細資料_２１年度分_【20090814】千里導入明細資料_SDB追加_【20091207】千里導入明細資料_２１年度分（ネットワーク敷設）_千里導入明細資料_２２年度分（ネットワーク敷設）_fj 2" xfId="2250" xr:uid="{00000000-0005-0000-0000-000088080000}"/>
    <cellStyle name="_【20090522_精緻化中】千里導入明細資料_２１年度分_【20090814】千里導入明細資料_SDB追加_【20091207】千里導入明細資料_２１年度分（ネットワーク敷設）_千里導入明細資料_２２年度分（ネットワーク敷設）_fj_Ⅹ_課題と対応策_20121211" xfId="2251" xr:uid="{00000000-0005-0000-0000-000089080000}"/>
    <cellStyle name="_【20090522_精緻化中】千里導入明細資料_２１年度分_【20090814】千里導入明細資料_SDB追加_【20091207】千里導入明細資料_２１年度分（ネットワーク敷設）_千里導入明細資料_２２年度分（ネットワーク敷設）_fj_Ⅹ_課題と対応策_20121211 2" xfId="2252" xr:uid="{00000000-0005-0000-0000-00008A080000}"/>
    <cellStyle name="_【20090522_精緻化中】千里導入明細資料_２１年度分_【20090814】千里導入明細資料_SDB追加_【20091225】千里導入明細資料_２２年度上期分（営業店ＡＰ－ＤＢ）" xfId="2253" xr:uid="{00000000-0005-0000-0000-00008B080000}"/>
    <cellStyle name="_【20090522_精緻化中】千里導入明細資料_２１年度分_【20090814】千里導入明細資料_SDB追加_【20091225】千里導入明細資料_２２年度上期分（営業店ＡＰ－ＤＢ） 2" xfId="2254" xr:uid="{00000000-0005-0000-0000-00008C080000}"/>
    <cellStyle name="_【20090522_精緻化中】千里導入明細資料_２１年度分_【20090814】千里導入明細資料_SDB追加_【20091225】千里導入明細資料_２２年度上期分（営業店ＡＰ－ＤＢ）_【調整中】千里導入明細資料_２２年度上期分_fj_20100127" xfId="2255" xr:uid="{00000000-0005-0000-0000-00008D080000}"/>
    <cellStyle name="_【20090522_精緻化中】千里導入明細資料_２１年度分_【20090814】千里導入明細資料_SDB追加_【20091225】千里導入明細資料_２２年度上期分（営業店ＡＰ－ＤＢ）_【調整中】千里導入明細資料_２２年度上期分_fj_20100127 2" xfId="2256" xr:uid="{00000000-0005-0000-0000-00008E080000}"/>
    <cellStyle name="_【20090522_精緻化中】千里導入明細資料_２１年度分_【20090814】千里導入明細資料_SDB追加_【20091225】千里導入明細資料_２２年度上期分（営業店ＡＰ－ＤＢ）_【調整中】千里導入明細資料_２２年度上期分_fj_20100127_Ⅹ_課題と対応策_20121211" xfId="2257" xr:uid="{00000000-0005-0000-0000-00008F080000}"/>
    <cellStyle name="_【20090522_精緻化中】千里導入明細資料_２１年度分_【20090814】千里導入明細資料_SDB追加_【20091225】千里導入明細資料_２２年度上期分（営業店ＡＰ－ＤＢ）_【調整中】千里導入明細資料_２２年度上期分_fj_20100127_Ⅹ_課題と対応策_20121211 2" xfId="2258" xr:uid="{00000000-0005-0000-0000-000090080000}"/>
    <cellStyle name="_【20090522_精緻化中】千里導入明細資料_２１年度分_【20090814】千里導入明細資料_SDB追加_【20091225】千里導入明細資料_２２年度上期分（営業店ＡＰ－ＤＢ）_Ⅹ_課題と対応策_20121211" xfId="2259" xr:uid="{00000000-0005-0000-0000-000091080000}"/>
    <cellStyle name="_【20090522_精緻化中】千里導入明細資料_２１年度分_【20090814】千里導入明細資料_SDB追加_【20091225】千里導入明細資料_２２年度上期分（営業店ＡＰ－ＤＢ）_Ⅹ_課題と対応策_20121211 2" xfId="2260" xr:uid="{00000000-0005-0000-0000-000092080000}"/>
    <cellStyle name="_【20090522_精緻化中】千里導入明細資料_２１年度分_【20090814】千里導入明細資料_SDB追加_【20091225】千里導入明細資料_２２年度上期分_営業店DB" xfId="2261" xr:uid="{00000000-0005-0000-0000-000093080000}"/>
    <cellStyle name="_【20090522_精緻化中】千里導入明細資料_２１年度分_【20090814】千里導入明細資料_SDB追加_【20091225】千里導入明細資料_２２年度上期分_営業店DB 2" xfId="2262" xr:uid="{00000000-0005-0000-0000-000094080000}"/>
    <cellStyle name="_【20090522_精緻化中】千里導入明細資料_２１年度分_【20090814】千里導入明細資料_SDB追加_【20091225】千里導入明細資料_２２年度上期分_営業店DB_【調整中】千里導入明細資料_２２年度上期分_fj_20100127" xfId="2263" xr:uid="{00000000-0005-0000-0000-000095080000}"/>
    <cellStyle name="_【20090522_精緻化中】千里導入明細資料_２１年度分_【20090814】千里導入明細資料_SDB追加_【20091225】千里導入明細資料_２２年度上期分_営業店DB_【調整中】千里導入明細資料_２２年度上期分_fj_20100127 2" xfId="2264" xr:uid="{00000000-0005-0000-0000-000096080000}"/>
    <cellStyle name="_【20090522_精緻化中】千里導入明細資料_２１年度分_【20090814】千里導入明細資料_SDB追加_【20091225】千里導入明細資料_２２年度上期分_営業店DB_【調整中】千里導入明細資料_２２年度上期分_fj_20100127_Ⅹ_課題と対応策_20121211" xfId="2265" xr:uid="{00000000-0005-0000-0000-000097080000}"/>
    <cellStyle name="_【20090522_精緻化中】千里導入明細資料_２１年度分_【20090814】千里導入明細資料_SDB追加_【20091225】千里導入明細資料_２２年度上期分_営業店DB_【調整中】千里導入明細資料_２２年度上期分_fj_20100127_Ⅹ_課題と対応策_20121211 2" xfId="2266" xr:uid="{00000000-0005-0000-0000-000098080000}"/>
    <cellStyle name="_【20090522_精緻化中】千里導入明細資料_２１年度分_【20090814】千里導入明細資料_SDB追加_【20091225】千里導入明細資料_２２年度上期分_営業店DB_Ⅹ_課題と対応策_20121211" xfId="2267" xr:uid="{00000000-0005-0000-0000-000099080000}"/>
    <cellStyle name="_【20090522_精緻化中】千里導入明細資料_２１年度分_【20090814】千里導入明細資料_SDB追加_【20091225】千里導入明細資料_２２年度上期分_営業店DB_Ⅹ_課題と対応策_20121211 2" xfId="2268" xr:uid="{00000000-0005-0000-0000-00009A080000}"/>
    <cellStyle name="_【20090522_精緻化中】千里導入明細資料_２１年度分_【20090814】千里導入明細資料_SDB追加_【20091225】千里導入明細資料_２２年度上期分_連携DB" xfId="2269" xr:uid="{00000000-0005-0000-0000-00009B080000}"/>
    <cellStyle name="_【20090522_精緻化中】千里導入明細資料_２１年度分_【20090814】千里導入明細資料_SDB追加_【20091225】千里導入明細資料_２２年度上期分_連携DB 2" xfId="2270" xr:uid="{00000000-0005-0000-0000-00009C080000}"/>
    <cellStyle name="_【20090522_精緻化中】千里導入明細資料_２１年度分_【20090814】千里導入明細資料_SDB追加_【20091225】千里導入明細資料_２２年度上期分_連携DB_【調整中】千里導入明細資料_２２年度上期分_fj_20100127" xfId="2271" xr:uid="{00000000-0005-0000-0000-00009D080000}"/>
    <cellStyle name="_【20090522_精緻化中】千里導入明細資料_２１年度分_【20090814】千里導入明細資料_SDB追加_【20091225】千里導入明細資料_２２年度上期分_連携DB_【調整中】千里導入明細資料_２２年度上期分_fj_20100127 2" xfId="2272" xr:uid="{00000000-0005-0000-0000-00009E080000}"/>
    <cellStyle name="_【20090522_精緻化中】千里導入明細資料_２１年度分_【20090814】千里導入明細資料_SDB追加_【20091225】千里導入明細資料_２２年度上期分_連携DB_【調整中】千里導入明細資料_２２年度上期分_fj_20100127_Ⅹ_課題と対応策_20121211" xfId="2273" xr:uid="{00000000-0005-0000-0000-00009F080000}"/>
    <cellStyle name="_【20090522_精緻化中】千里導入明細資料_２１年度分_【20090814】千里導入明細資料_SDB追加_【20091225】千里導入明細資料_２２年度上期分_連携DB_【調整中】千里導入明細資料_２２年度上期分_fj_20100127_Ⅹ_課題と対応策_20121211 2" xfId="2274" xr:uid="{00000000-0005-0000-0000-0000A0080000}"/>
    <cellStyle name="_【20090522_精緻化中】千里導入明細資料_２１年度分_【20090814】千里導入明細資料_SDB追加_【20091225】千里導入明細資料_２２年度上期分_連携DB_Ⅹ_課題と対応策_20121211" xfId="2275" xr:uid="{00000000-0005-0000-0000-0000A1080000}"/>
    <cellStyle name="_【20090522_精緻化中】千里導入明細資料_２１年度分_【20090814】千里導入明細資料_SDB追加_【20091225】千里導入明細資料_２２年度上期分_連携DB_Ⅹ_課題と対応策_20121211 2" xfId="2276" xr:uid="{00000000-0005-0000-0000-0000A2080000}"/>
    <cellStyle name="_【20090522_精緻化中】千里導入明細資料_２１年度分_【20090814】千里導入明細資料_SDB追加_【作成中】千里センター機器配置図（2010年対応分）_20091221" xfId="2277" xr:uid="{00000000-0005-0000-0000-0000A3080000}"/>
    <cellStyle name="_【20090522_精緻化中】千里導入明細資料_２１年度分_【20090814】千里導入明細資料_SDB追加_【作成中】千里センター機器配置図（2010年対応分）_20091221 2" xfId="2278" xr:uid="{00000000-0005-0000-0000-0000A4080000}"/>
    <cellStyle name="_【20090522_精緻化中】千里導入明細資料_２１年度分_【20090814】千里導入明細資料_SDB追加_【作成中】千里センター機器配置図（2010年対応分）_20091221_【調整中】千里導入明細資料_２２年度上期分_fj_20100127" xfId="2279" xr:uid="{00000000-0005-0000-0000-0000A5080000}"/>
    <cellStyle name="_【20090522_精緻化中】千里導入明細資料_２１年度分_【20090814】千里導入明細資料_SDB追加_【作成中】千里センター機器配置図（2010年対応分）_20091221_【調整中】千里導入明細資料_２２年度上期分_fj_20100127 2" xfId="2280" xr:uid="{00000000-0005-0000-0000-0000A6080000}"/>
    <cellStyle name="_【20090522_精緻化中】千里導入明細資料_２１年度分_【20090814】千里導入明細資料_SDB追加_【作成中】千里センター機器配置図（2010年対応分）_20091221_【調整中】千里導入明細資料_２２年度上期分_fj_20100127_Ⅹ_課題と対応策_20121211" xfId="2281" xr:uid="{00000000-0005-0000-0000-0000A7080000}"/>
    <cellStyle name="_【20090522_精緻化中】千里導入明細資料_２１年度分_【20090814】千里導入明細資料_SDB追加_【作成中】千里センター機器配置図（2010年対応分）_20091221_【調整中】千里導入明細資料_２２年度上期分_fj_20100127_Ⅹ_課題と対応策_20121211 2" xfId="2282" xr:uid="{00000000-0005-0000-0000-0000A8080000}"/>
    <cellStyle name="_【20090522_精緻化中】千里導入明細資料_２１年度分_【20090814】千里導入明細資料_SDB追加_【作成中】千里センター機器配置図（2010年対応分）_20091221_Ⅹ_課題と対応策_20121211" xfId="2283" xr:uid="{00000000-0005-0000-0000-0000A9080000}"/>
    <cellStyle name="_【20090522_精緻化中】千里導入明細資料_２１年度分_【20090814】千里導入明細資料_SDB追加_【作成中】千里センター機器配置図（2010年対応分）_20091221_Ⅹ_課題と対応策_20121211 2" xfId="2284" xr:uid="{00000000-0005-0000-0000-0000AA080000}"/>
    <cellStyle name="_【20090522_精緻化中】千里導入明細資料_２１年度分_【20090814】千里導入明細資料_SDB追加_Ⅹ_課題と対応策_20121211" xfId="2285" xr:uid="{00000000-0005-0000-0000-0000AB080000}"/>
    <cellStyle name="_【20090522_精緻化中】千里導入明細資料_２１年度分_【20090814】千里導入明細資料_SDB追加_Ⅹ_課題と対応策_20121211 2" xfId="2286" xr:uid="{00000000-0005-0000-0000-0000AC080000}"/>
    <cellStyle name="_【20090522_精緻化中】千里導入明細資料_２１年度分_【20090821】千里ラック搭載図（NW機器）" xfId="2287" xr:uid="{00000000-0005-0000-0000-0000AD080000}"/>
    <cellStyle name="_【20090522_精緻化中】千里導入明細資料_２１年度分_【20090821】千里ラック搭載図（NW機器） 2" xfId="2288" xr:uid="{00000000-0005-0000-0000-0000AE080000}"/>
    <cellStyle name="_【20090522_精緻化中】千里導入明細資料_２１年度分_【20090821】千里ラック搭載図（NW機器）_Ⅹ_課題と対応策_20121211" xfId="2289" xr:uid="{00000000-0005-0000-0000-0000AF080000}"/>
    <cellStyle name="_【20090522_精緻化中】千里導入明細資料_２１年度分_【20090821】千里ラック搭載図（NW機器）_Ⅹ_課題と対応策_20121211 2" xfId="2290" xr:uid="{00000000-0005-0000-0000-0000B0080000}"/>
    <cellStyle name="_【20090522_精緻化中】千里導入明細資料_２１年度分_【20091218】千里導入明細資料_２１年度分（ネットワーク敷設）" xfId="2291" xr:uid="{00000000-0005-0000-0000-0000B1080000}"/>
    <cellStyle name="_【20090522_精緻化中】千里導入明細資料_２１年度分_【20091218】千里導入明細資料_２１年度分（ネットワーク敷設） 2" xfId="2292" xr:uid="{00000000-0005-0000-0000-0000B2080000}"/>
    <cellStyle name="_【20090522_精緻化中】千里導入明細資料_２１年度分_【20091218】千里導入明細資料_２１年度分（ネットワーク敷設）_Ⅹ_課題と対応策_20121211" xfId="2293" xr:uid="{00000000-0005-0000-0000-0000B3080000}"/>
    <cellStyle name="_【20090522_精緻化中】千里導入明細資料_２１年度分_【20091218】千里導入明細資料_２１年度分（ネットワーク敷設）_Ⅹ_課題と対応策_20121211 2" xfId="2294" xr:uid="{00000000-0005-0000-0000-0000B4080000}"/>
    <cellStyle name="_【20090522_精緻化中】千里導入明細資料_２１年度分_【20091224】千里導入明細資料_２２年度上期分_営業店DB" xfId="2295" xr:uid="{00000000-0005-0000-0000-0000B5080000}"/>
    <cellStyle name="_【20090522_精緻化中】千里導入明細資料_２１年度分_【20091224】千里導入明細資料_２２年度上期分_営業店DB 2" xfId="2296" xr:uid="{00000000-0005-0000-0000-0000B6080000}"/>
    <cellStyle name="_【20090522_精緻化中】千里導入明細資料_２１年度分_【20091224】千里導入明細資料_２２年度上期分_営業店DB_【20091225】千里導入明細資料_２２年度上期分（営業店ＡＰ－ＤＢ）" xfId="2297" xr:uid="{00000000-0005-0000-0000-0000B7080000}"/>
    <cellStyle name="_【20090522_精緻化中】千里導入明細資料_２１年度分_【20091224】千里導入明細資料_２２年度上期分_営業店DB_【20091225】千里導入明細資料_２２年度上期分（営業店ＡＰ－ＤＢ） 2" xfId="2298" xr:uid="{00000000-0005-0000-0000-0000B8080000}"/>
    <cellStyle name="_【20090522_精緻化中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" xfId="2299" xr:uid="{00000000-0005-0000-0000-0000B9080000}"/>
    <cellStyle name="_【20090522_精緻化中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 2" xfId="2300" xr:uid="{00000000-0005-0000-0000-0000BA080000}"/>
    <cellStyle name="_【20090522_精緻化中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_Ⅹ_課題と対応策_20121211" xfId="2301" xr:uid="{00000000-0005-0000-0000-0000BB080000}"/>
    <cellStyle name="_【20090522_精緻化中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2302" xr:uid="{00000000-0005-0000-0000-0000BC080000}"/>
    <cellStyle name="_【20090522_精緻化中】千里導入明細資料_２１年度分_【20091224】千里導入明細資料_２２年度上期分_営業店DB_【20091225】千里導入明細資料_２２年度上期分（営業店ＡＰ－ＤＢ）_Ⅹ_課題と対応策_20121211" xfId="2303" xr:uid="{00000000-0005-0000-0000-0000BD080000}"/>
    <cellStyle name="_【20090522_精緻化中】千里導入明細資料_２１年度分_【20091224】千里導入明細資料_２２年度上期分_営業店DB_【20091225】千里導入明細資料_２２年度上期分（営業店ＡＰ－ＤＢ）_Ⅹ_課題と対応策_20121211 2" xfId="2304" xr:uid="{00000000-0005-0000-0000-0000BE080000}"/>
    <cellStyle name="_【20090522_精緻化中】千里導入明細資料_２１年度分_【20091224】千里導入明細資料_２２年度上期分_営業店DB_【20091225】千里導入明細資料_２２年度上期分_営業店DB" xfId="2305" xr:uid="{00000000-0005-0000-0000-0000BF080000}"/>
    <cellStyle name="_【20090522_精緻化中】千里導入明細資料_２１年度分_【20091224】千里導入明細資料_２２年度上期分_営業店DB_【20091225】千里導入明細資料_２２年度上期分_営業店DB 2" xfId="2306" xr:uid="{00000000-0005-0000-0000-0000C0080000}"/>
    <cellStyle name="_【20090522_精緻化中】千里導入明細資料_２１年度分_【20091224】千里導入明細資料_２２年度上期分_営業店DB_【20091225】千里導入明細資料_２２年度上期分_営業店DB_【調整中】千里導入明細資料_２２年度上期分_fj_20100127" xfId="2307" xr:uid="{00000000-0005-0000-0000-0000C1080000}"/>
    <cellStyle name="_【20090522_精緻化中】千里導入明細資料_２１年度分_【20091224】千里導入明細資料_２２年度上期分_営業店DB_【20091225】千里導入明細資料_２２年度上期分_営業店DB_【調整中】千里導入明細資料_２２年度上期分_fj_20100127 2" xfId="2308" xr:uid="{00000000-0005-0000-0000-0000C2080000}"/>
    <cellStyle name="_【20090522_精緻化中】千里導入明細資料_２１年度分_【20091224】千里導入明細資料_２２年度上期分_営業店DB_【20091225】千里導入明細資料_２２年度上期分_営業店DB_【調整中】千里導入明細資料_２２年度上期分_fj_20100127_Ⅹ_課題と対応策_20121211" xfId="2309" xr:uid="{00000000-0005-0000-0000-0000C3080000}"/>
    <cellStyle name="_【20090522_精緻化中】千里導入明細資料_２１年度分_【20091224】千里導入明細資料_２２年度上期分_営業店DB_【20091225】千里導入明細資料_２２年度上期分_営業店DB_【調整中】千里導入明細資料_２２年度上期分_fj_20100127_Ⅹ_課題と対応策_20121211 2" xfId="2310" xr:uid="{00000000-0005-0000-0000-0000C4080000}"/>
    <cellStyle name="_【20090522_精緻化中】千里導入明細資料_２１年度分_【20091224】千里導入明細資料_２２年度上期分_営業店DB_【20091225】千里導入明細資料_２２年度上期分_営業店DB_Ⅹ_課題と対応策_20121211" xfId="2311" xr:uid="{00000000-0005-0000-0000-0000C5080000}"/>
    <cellStyle name="_【20090522_精緻化中】千里導入明細資料_２１年度分_【20091224】千里導入明細資料_２２年度上期分_営業店DB_【20091225】千里導入明細資料_２２年度上期分_営業店DB_Ⅹ_課題と対応策_20121211 2" xfId="2312" xr:uid="{00000000-0005-0000-0000-0000C6080000}"/>
    <cellStyle name="_【20090522_精緻化中】千里導入明細資料_２１年度分_【20091224】千里導入明細資料_２２年度上期分_営業店DB_Ⅹ_課題と対応策_20121211" xfId="2313" xr:uid="{00000000-0005-0000-0000-0000C7080000}"/>
    <cellStyle name="_【20090522_精緻化中】千里導入明細資料_２１年度分_【20091224】千里導入明細資料_２２年度上期分_営業店DB_Ⅹ_課題と対応策_20121211 2" xfId="2314" xr:uid="{00000000-0005-0000-0000-0000C8080000}"/>
    <cellStyle name="_【20090522_精緻化中】千里導入明細資料_２１年度分_【20091225】千里導入明細資料_２２年度上期分" xfId="2315" xr:uid="{00000000-0005-0000-0000-0000C9080000}"/>
    <cellStyle name="_【20090522_精緻化中】千里導入明細資料_２１年度分_【20091225】千里導入明細資料_２２年度上期分 2" xfId="2316" xr:uid="{00000000-0005-0000-0000-0000CA080000}"/>
    <cellStyle name="_【20090522_精緻化中】千里導入明細資料_２１年度分_【20091225】千里導入明細資料_２２年度上期分_Ⅹ_課題と対応策_20121211" xfId="2317" xr:uid="{00000000-0005-0000-0000-0000CB080000}"/>
    <cellStyle name="_【20090522_精緻化中】千里導入明細資料_２１年度分_【20091225】千里導入明細資料_２２年度上期分_Ⅹ_課題と対応策_20121211 2" xfId="2318" xr:uid="{00000000-0005-0000-0000-0000CC080000}"/>
    <cellStyle name="_【20090522_精緻化中】千里導入明細資料_２１年度分_【20091225】千里導入明細資料_２２年度上期分_営業店DB" xfId="2319" xr:uid="{00000000-0005-0000-0000-0000CD080000}"/>
    <cellStyle name="_【20090522_精緻化中】千里導入明細資料_２１年度分_【20091225】千里導入明細資料_２２年度上期分_営業店DB 2" xfId="2320" xr:uid="{00000000-0005-0000-0000-0000CE080000}"/>
    <cellStyle name="_【20090522_精緻化中】千里導入明細資料_２１年度分_【20091225】千里導入明細資料_２２年度上期分_営業店DB_Ⅹ_課題と対応策_20121211" xfId="2321" xr:uid="{00000000-0005-0000-0000-0000CF080000}"/>
    <cellStyle name="_【20090522_精緻化中】千里導入明細資料_２１年度分_【20091225】千里導入明細資料_２２年度上期分_営業店DB_Ⅹ_課題と対応策_20121211 2" xfId="2322" xr:uid="{00000000-0005-0000-0000-0000D0080000}"/>
    <cellStyle name="_【20090522_精緻化中】千里導入明細資料_２１年度分_【20091225】千里導入明細資料_２２年度上期分_連携DB" xfId="2323" xr:uid="{00000000-0005-0000-0000-0000D1080000}"/>
    <cellStyle name="_【20090522_精緻化中】千里導入明細資料_２１年度分_【20091225】千里導入明細資料_２２年度上期分_連携DB 2" xfId="2324" xr:uid="{00000000-0005-0000-0000-0000D2080000}"/>
    <cellStyle name="_【20090522_精緻化中】千里導入明細資料_２１年度分_【20091225】千里導入明細資料_２２年度上期分_連携DB_Ⅹ_課題と対応策_20121211" xfId="2325" xr:uid="{00000000-0005-0000-0000-0000D3080000}"/>
    <cellStyle name="_【20090522_精緻化中】千里導入明細資料_２１年度分_【20091225】千里導入明細資料_２２年度上期分_連携DB_Ⅹ_課題と対応策_20121211 2" xfId="2326" xr:uid="{00000000-0005-0000-0000-0000D4080000}"/>
    <cellStyle name="_【20090522_精緻化中】千里導入明細資料_２１年度分_【200912xx】千里導入明細資料_２２年度上期分" xfId="2327" xr:uid="{00000000-0005-0000-0000-0000D5080000}"/>
    <cellStyle name="_【20090522_精緻化中】千里導入明細資料_２１年度分_【200912xx】千里導入明細資料_２２年度上期分 2" xfId="2328" xr:uid="{00000000-0005-0000-0000-0000D6080000}"/>
    <cellStyle name="_【20090522_精緻化中】千里導入明細資料_２１年度分_【200912xx】千里導入明細資料_２２年度上期分（為替分）" xfId="2329" xr:uid="{00000000-0005-0000-0000-0000D7080000}"/>
    <cellStyle name="_【20090522_精緻化中】千里導入明細資料_２１年度分_【200912xx】千里導入明細資料_２２年度上期分（為替分） 2" xfId="2330" xr:uid="{00000000-0005-0000-0000-0000D8080000}"/>
    <cellStyle name="_【20090522_精緻化中】千里導入明細資料_２１年度分_【200912xx】千里導入明細資料_２２年度上期分（為替分）_Ⅹ_課題と対応策_20121211" xfId="2331" xr:uid="{00000000-0005-0000-0000-0000D9080000}"/>
    <cellStyle name="_【20090522_精緻化中】千里導入明細資料_２１年度分_【200912xx】千里導入明細資料_２２年度上期分（為替分）_Ⅹ_課題と対応策_20121211 2" xfId="2332" xr:uid="{00000000-0005-0000-0000-0000DA080000}"/>
    <cellStyle name="_【20090522_精緻化中】千里導入明細資料_２１年度分_【200912xx】千里導入明細資料_２２年度上期分_【20091225】千里導入明細資料_２２年度上期分（営業店ＡＰ－ＤＢ）" xfId="2333" xr:uid="{00000000-0005-0000-0000-0000DB080000}"/>
    <cellStyle name="_【20090522_精緻化中】千里導入明細資料_２１年度分_【200912xx】千里導入明細資料_２２年度上期分_【20091225】千里導入明細資料_２２年度上期分（営業店ＡＰ－ＤＢ） 2" xfId="2334" xr:uid="{00000000-0005-0000-0000-0000DC080000}"/>
    <cellStyle name="_【20090522_精緻化中】千里導入明細資料_２１年度分_【200912xx】千里導入明細資料_２２年度上期分_【20091225】千里導入明細資料_２２年度上期分（営業店ＡＰ－ＤＢ）_【調整中】千里導入明細資料_２２年度上期分_fj_20100127" xfId="2335" xr:uid="{00000000-0005-0000-0000-0000DD080000}"/>
    <cellStyle name="_【20090522_精緻化中】千里導入明細資料_２１年度分_【200912xx】千里導入明細資料_２２年度上期分_【20091225】千里導入明細資料_２２年度上期分（営業店ＡＰ－ＤＢ）_【調整中】千里導入明細資料_２２年度上期分_fj_20100127 2" xfId="2336" xr:uid="{00000000-0005-0000-0000-0000DE080000}"/>
    <cellStyle name="_【20090522_精緻化中】千里導入明細資料_２１年度分_【200912xx】千里導入明細資料_２２年度上期分_【20091225】千里導入明細資料_２２年度上期分（営業店ＡＰ－ＤＢ）_【調整中】千里導入明細資料_２２年度上期分_fj_20100127_Ⅹ_課題と対応策_20121211" xfId="2337" xr:uid="{00000000-0005-0000-0000-0000DF080000}"/>
    <cellStyle name="_【20090522_精緻化中】千里導入明細資料_２１年度分_【200912xx】千里導入明細資料_２２年度上期分_【20091225】千里導入明細資料_２２年度上期分（営業店ＡＰ－ＤＢ）_【調整中】千里導入明細資料_２２年度上期分_fj_20100127_Ⅹ_課題と対応策_20121211 2" xfId="2338" xr:uid="{00000000-0005-0000-0000-0000E0080000}"/>
    <cellStyle name="_【20090522_精緻化中】千里導入明細資料_２１年度分_【200912xx】千里導入明細資料_２２年度上期分_【20091225】千里導入明細資料_２２年度上期分（営業店ＡＰ－ＤＢ）_Ⅹ_課題と対応策_20121211" xfId="2339" xr:uid="{00000000-0005-0000-0000-0000E1080000}"/>
    <cellStyle name="_【20090522_精緻化中】千里導入明細資料_２１年度分_【200912xx】千里導入明細資料_２２年度上期分_【20091225】千里導入明細資料_２２年度上期分（営業店ＡＰ－ＤＢ）_Ⅹ_課題と対応策_20121211 2" xfId="2340" xr:uid="{00000000-0005-0000-0000-0000E2080000}"/>
    <cellStyle name="_【20090522_精緻化中】千里導入明細資料_２１年度分_【200912xx】千里導入明細資料_２２年度上期分_【20091225】千里導入明細資料_２２年度上期分_営業店DB" xfId="2341" xr:uid="{00000000-0005-0000-0000-0000E3080000}"/>
    <cellStyle name="_【20090522_精緻化中】千里導入明細資料_２１年度分_【200912xx】千里導入明細資料_２２年度上期分_【20091225】千里導入明細資料_２２年度上期分_営業店DB 2" xfId="2342" xr:uid="{00000000-0005-0000-0000-0000E4080000}"/>
    <cellStyle name="_【20090522_精緻化中】千里導入明細資料_２１年度分_【200912xx】千里導入明細資料_２２年度上期分_【20091225】千里導入明細資料_２２年度上期分_営業店DB_【調整中】千里導入明細資料_２２年度上期分_fj_20100127" xfId="2343" xr:uid="{00000000-0005-0000-0000-0000E5080000}"/>
    <cellStyle name="_【20090522_精緻化中】千里導入明細資料_２１年度分_【200912xx】千里導入明細資料_２２年度上期分_【20091225】千里導入明細資料_２２年度上期分_営業店DB_【調整中】千里導入明細資料_２２年度上期分_fj_20100127 2" xfId="2344" xr:uid="{00000000-0005-0000-0000-0000E6080000}"/>
    <cellStyle name="_【20090522_精緻化中】千里導入明細資料_２１年度分_【200912xx】千里導入明細資料_２２年度上期分_【20091225】千里導入明細資料_２２年度上期分_営業店DB_【調整中】千里導入明細資料_２２年度上期分_fj_20100127_Ⅹ_課題と対応策_20121211" xfId="2345" xr:uid="{00000000-0005-0000-0000-0000E7080000}"/>
    <cellStyle name="_【20090522_精緻化中】千里導入明細資料_２１年度分_【200912xx】千里導入明細資料_２２年度上期分_【20091225】千里導入明細資料_２２年度上期分_営業店DB_【調整中】千里導入明細資料_２２年度上期分_fj_20100127_Ⅹ_課題と対応策_20121211 2" xfId="2346" xr:uid="{00000000-0005-0000-0000-0000E8080000}"/>
    <cellStyle name="_【20090522_精緻化中】千里導入明細資料_２１年度分_【200912xx】千里導入明細資料_２２年度上期分_【20091225】千里導入明細資料_２２年度上期分_営業店DB_Ⅹ_課題と対応策_20121211" xfId="2347" xr:uid="{00000000-0005-0000-0000-0000E9080000}"/>
    <cellStyle name="_【20090522_精緻化中】千里導入明細資料_２１年度分_【200912xx】千里導入明細資料_２２年度上期分_【20091225】千里導入明細資料_２２年度上期分_営業店DB_Ⅹ_課題と対応策_20121211 2" xfId="2348" xr:uid="{00000000-0005-0000-0000-0000EA080000}"/>
    <cellStyle name="_【20090522_精緻化中】千里導入明細資料_２１年度分_【200912xx】千里導入明細資料_２２年度上期分_【20091225】千里導入明細資料_２２年度上期分_連携DB" xfId="2349" xr:uid="{00000000-0005-0000-0000-0000EB080000}"/>
    <cellStyle name="_【20090522_精緻化中】千里導入明細資料_２１年度分_【200912xx】千里導入明細資料_２２年度上期分_【20091225】千里導入明細資料_２２年度上期分_連携DB 2" xfId="2350" xr:uid="{00000000-0005-0000-0000-0000EC080000}"/>
    <cellStyle name="_【20090522_精緻化中】千里導入明細資料_２１年度分_【200912xx】千里導入明細資料_２２年度上期分_【20091225】千里導入明細資料_２２年度上期分_連携DB_【調整中】千里導入明細資料_２２年度上期分_fj_20100127" xfId="2351" xr:uid="{00000000-0005-0000-0000-0000ED080000}"/>
    <cellStyle name="_【20090522_精緻化中】千里導入明細資料_２１年度分_【200912xx】千里導入明細資料_２２年度上期分_【20091225】千里導入明細資料_２２年度上期分_連携DB_【調整中】千里導入明細資料_２２年度上期分_fj_20100127 2" xfId="2352" xr:uid="{00000000-0005-0000-0000-0000EE080000}"/>
    <cellStyle name="_【20090522_精緻化中】千里導入明細資料_２１年度分_【200912xx】千里導入明細資料_２２年度上期分_【20091225】千里導入明細資料_２２年度上期分_連携DB_【調整中】千里導入明細資料_２２年度上期分_fj_20100127_Ⅹ_課題と対応策_20121211" xfId="2353" xr:uid="{00000000-0005-0000-0000-0000EF080000}"/>
    <cellStyle name="_【20090522_精緻化中】千里導入明細資料_２１年度分_【200912xx】千里導入明細資料_２２年度上期分_【20091225】千里導入明細資料_２２年度上期分_連携DB_【調整中】千里導入明細資料_２２年度上期分_fj_20100127_Ⅹ_課題と対応策_20121211 2" xfId="2354" xr:uid="{00000000-0005-0000-0000-0000F0080000}"/>
    <cellStyle name="_【20090522_精緻化中】千里導入明細資料_２１年度分_【200912xx】千里導入明細資料_２２年度上期分_【20091225】千里導入明細資料_２２年度上期分_連携DB_Ⅹ_課題と対応策_20121211" xfId="2355" xr:uid="{00000000-0005-0000-0000-0000F1080000}"/>
    <cellStyle name="_【20090522_精緻化中】千里導入明細資料_２１年度分_【200912xx】千里導入明細資料_２２年度上期分_【20091225】千里導入明細資料_２２年度上期分_連携DB_Ⅹ_課題と対応策_20121211 2" xfId="2356" xr:uid="{00000000-0005-0000-0000-0000F2080000}"/>
    <cellStyle name="_【20090522_精緻化中】千里導入明細資料_２１年度分_【200912xx】千里導入明細資料_２２年度上期分_Ⅹ_課題と対応策_20121211" xfId="2357" xr:uid="{00000000-0005-0000-0000-0000F3080000}"/>
    <cellStyle name="_【20090522_精緻化中】千里導入明細資料_２１年度分_【200912xx】千里導入明細資料_２２年度上期分_Ⅹ_課題と対応策_20121211 2" xfId="2358" xr:uid="{00000000-0005-0000-0000-0000F4080000}"/>
    <cellStyle name="_【20090522_精緻化中】千里導入明細資料_２１年度分_【調整中】千里導入明細資料_２２年度上期分_fj_20100127" xfId="2359" xr:uid="{00000000-0005-0000-0000-0000F5080000}"/>
    <cellStyle name="_【20090522_精緻化中】千里導入明細資料_２１年度分_【調整中】千里導入明細資料_２２年度上期分_fj_20100127 2" xfId="2360" xr:uid="{00000000-0005-0000-0000-0000F6080000}"/>
    <cellStyle name="_【20090522_精緻化中】千里導入明細資料_２１年度分_【調整中】千里導入明細資料_２２年度上期分_fj_20100127_Ⅹ_課題と対応策_20121211" xfId="2361" xr:uid="{00000000-0005-0000-0000-0000F7080000}"/>
    <cellStyle name="_【20090522_精緻化中】千里導入明細資料_２１年度分_【調整中】千里導入明細資料_２２年度上期分_fj_20100127_Ⅹ_課題と対応策_20121211 2" xfId="2362" xr:uid="{00000000-0005-0000-0000-0000F8080000}"/>
    <cellStyle name="_【20090522_精緻化中】千里導入明細資料_２１年度分_①【20091225】千里導入明細資料_２２年度上期1分)" xfId="2363" xr:uid="{00000000-0005-0000-0000-0000F9080000}"/>
    <cellStyle name="_【20090522_精緻化中】千里導入明細資料_２１年度分_①【20091225】千里導入明細資料_２２年度上期1分) 2" xfId="2364" xr:uid="{00000000-0005-0000-0000-0000FA080000}"/>
    <cellStyle name="_【20090522_精緻化中】千里導入明細資料_２１年度分_①【20091225】千里導入明細資料_２２年度上期1分)_Ⅹ_課題と対応策_20121211" xfId="2365" xr:uid="{00000000-0005-0000-0000-0000FB080000}"/>
    <cellStyle name="_【20090522_精緻化中】千里導入明細資料_２１年度分_①【20091225】千里導入明細資料_２２年度上期1分)_Ⅹ_課題と対応策_20121211 2" xfId="2366" xr:uid="{00000000-0005-0000-0000-0000FC080000}"/>
    <cellStyle name="_【20090522_精緻化中】千里導入明細資料_２１年度分_Ⅹ_課題と対応策_20121211" xfId="2367" xr:uid="{00000000-0005-0000-0000-0000FD080000}"/>
    <cellStyle name="_【20090522_精緻化中】千里導入明細資料_２１年度分_Ⅹ_課題と対応策_20121211 2" xfId="2368" xr:uid="{00000000-0005-0000-0000-0000FE080000}"/>
    <cellStyle name="_【20090522_精緻化中】千里導入明細資料_２１年度分_ラック構成図（千里_営業店・新事務）_20090805" xfId="2369" xr:uid="{00000000-0005-0000-0000-0000FF080000}"/>
    <cellStyle name="_【20090522_精緻化中】千里導入明細資料_２１年度分_ラック構成図（千里_営業店・新事務）_20090805 2" xfId="2370" xr:uid="{00000000-0005-0000-0000-000000090000}"/>
    <cellStyle name="_【20090522_精緻化中】千里導入明細資料_２１年度分_ラック構成図（千里_営業店・新事務）_20090805_【20091207】千里導入明細資料_２１年度分（ネットワーク敷設）" xfId="2371" xr:uid="{00000000-0005-0000-0000-000001090000}"/>
    <cellStyle name="_【20090522_精緻化中】千里導入明細資料_２１年度分_ラック構成図（千里_営業店・新事務）_20090805_【20091207】千里導入明細資料_２１年度分（ネットワーク敷設） 2" xfId="2372" xr:uid="{00000000-0005-0000-0000-000002090000}"/>
    <cellStyle name="_【20090522_精緻化中】千里導入明細資料_２１年度分_ラック構成図（千里_営業店・新事務）_20090805_【20091207】千里導入明細資料_２１年度分（ネットワーク敷設）_【20091218】千里導入明細資料_２１年度分（ネットワーク敷設）" xfId="2373" xr:uid="{00000000-0005-0000-0000-000003090000}"/>
    <cellStyle name="_【20090522_精緻化中】千里導入明細資料_２１年度分_ラック構成図（千里_営業店・新事務）_20090805_【20091207】千里導入明細資料_２１年度分（ネットワーク敷設）_【20091218】千里導入明細資料_２１年度分（ネットワーク敷設） 2" xfId="2374" xr:uid="{00000000-0005-0000-0000-000004090000}"/>
    <cellStyle name="_【20090522_精緻化中】千里導入明細資料_２１年度分_ラック構成図（千里_営業店・新事務）_20090805_【20091207】千里導入明細資料_２１年度分（ネットワーク敷設）_【20091218】千里導入明細資料_２１年度分（ネットワーク敷設）_Ⅹ_課題と対応策_20121211" xfId="2375" xr:uid="{00000000-0005-0000-0000-000005090000}"/>
    <cellStyle name="_【20090522_精緻化中】千里導入明細資料_２１年度分_ラック構成図（千里_営業店・新事務）_20090805_【20091207】千里導入明細資料_２１年度分（ネットワーク敷設）_【20091218】千里導入明細資料_２１年度分（ネットワーク敷設）_Ⅹ_課題と対応策_20121211 2" xfId="2376" xr:uid="{00000000-0005-0000-0000-000006090000}"/>
    <cellStyle name="_【20090522_精緻化中】千里導入明細資料_２１年度分_ラック構成図（千里_営業店・新事務）_20090805_【20091207】千里導入明細資料_２１年度分（ネットワーク敷設）_Ⅹ_課題と対応策_20121211" xfId="2377" xr:uid="{00000000-0005-0000-0000-000007090000}"/>
    <cellStyle name="_【20090522_精緻化中】千里導入明細資料_２１年度分_ラック構成図（千里_営業店・新事務）_20090805_【20091207】千里導入明細資料_２１年度分（ネットワーク敷設）_Ⅹ_課題と対応策_20121211 2" xfId="2378" xr:uid="{00000000-0005-0000-0000-000008090000}"/>
    <cellStyle name="_【20090522_精緻化中】千里導入明細資料_２１年度分_ラック構成図（千里_営業店・新事務）_20090805_【20091207】千里導入明細資料_２１年度分（ネットワーク敷設）_千里導入明細資料_２２年度分（ネットワーク敷設）_fj" xfId="2379" xr:uid="{00000000-0005-0000-0000-000009090000}"/>
    <cellStyle name="_【20090522_精緻化中】千里導入明細資料_２１年度分_ラック構成図（千里_営業店・新事務）_20090805_【20091207】千里導入明細資料_２１年度分（ネットワーク敷設）_千里導入明細資料_２２年度分（ネットワーク敷設）_fj 2" xfId="2380" xr:uid="{00000000-0005-0000-0000-00000A090000}"/>
    <cellStyle name="_【20090522_精緻化中】千里導入明細資料_２１年度分_ラック構成図（千里_営業店・新事務）_20090805_【20091207】千里導入明細資料_２１年度分（ネットワーク敷設）_千里導入明細資料_２２年度分（ネットワーク敷設）_fj_Ⅹ_課題と対応策_20121211" xfId="2381" xr:uid="{00000000-0005-0000-0000-00000B090000}"/>
    <cellStyle name="_【20090522_精緻化中】千里導入明細資料_２１年度分_ラック構成図（千里_営業店・新事務）_20090805_【20091207】千里導入明細資料_２１年度分（ネットワーク敷設）_千里導入明細資料_２２年度分（ネットワーク敷設）_fj_Ⅹ_課題と対応策_20121211 2" xfId="2382" xr:uid="{00000000-0005-0000-0000-00000C090000}"/>
    <cellStyle name="_【20090522_精緻化中】千里導入明細資料_２１年度分_ラック構成図（千里_営業店・新事務）_20090805_【20091225】千里導入明細資料_２２年度上期分（営業店ＡＰ－ＤＢ）" xfId="2383" xr:uid="{00000000-0005-0000-0000-00000D090000}"/>
    <cellStyle name="_【20090522_精緻化中】千里導入明細資料_２１年度分_ラック構成図（千里_営業店・新事務）_20090805_【20091225】千里導入明細資料_２２年度上期分（営業店ＡＰ－ＤＢ） 2" xfId="2384" xr:uid="{00000000-0005-0000-0000-00000E090000}"/>
    <cellStyle name="_【20090522_精緻化中】千里導入明細資料_２１年度分_ラック構成図（千里_営業店・新事務）_20090805_【20091225】千里導入明細資料_２２年度上期分（営業店ＡＰ－ＤＢ）_【調整中】千里導入明細資料_２２年度上期分_fj_20100127" xfId="2385" xr:uid="{00000000-0005-0000-0000-00000F090000}"/>
    <cellStyle name="_【20090522_精緻化中】千里導入明細資料_２１年度分_ラック構成図（千里_営業店・新事務）_20090805_【20091225】千里導入明細資料_２２年度上期分（営業店ＡＰ－ＤＢ）_【調整中】千里導入明細資料_２２年度上期分_fj_20100127 2" xfId="2386" xr:uid="{00000000-0005-0000-0000-000010090000}"/>
    <cellStyle name="_【20090522_精緻化中】千里導入明細資料_２１年度分_ラック構成図（千里_営業店・新事務）_20090805_【20091225】千里導入明細資料_２２年度上期分（営業店ＡＰ－ＤＢ）_【調整中】千里導入明細資料_２２年度上期分_fj_20100127_Ⅹ_課題と対応策_20121211" xfId="2387" xr:uid="{00000000-0005-0000-0000-000011090000}"/>
    <cellStyle name="_【20090522_精緻化中】千里導入明細資料_２１年度分_ラック構成図（千里_営業店・新事務）_20090805_【20091225】千里導入明細資料_２２年度上期分（営業店ＡＰ－ＤＢ）_【調整中】千里導入明細資料_２２年度上期分_fj_20100127_Ⅹ_課題と対応策_20121211 2" xfId="2388" xr:uid="{00000000-0005-0000-0000-000012090000}"/>
    <cellStyle name="_【20090522_精緻化中】千里導入明細資料_２１年度分_ラック構成図（千里_営業店・新事務）_20090805_【20091225】千里導入明細資料_２２年度上期分（営業店ＡＰ－ＤＢ）_Ⅹ_課題と対応策_20121211" xfId="2389" xr:uid="{00000000-0005-0000-0000-000013090000}"/>
    <cellStyle name="_【20090522_精緻化中】千里導入明細資料_２１年度分_ラック構成図（千里_営業店・新事務）_20090805_【20091225】千里導入明細資料_２２年度上期分（営業店ＡＰ－ＤＢ）_Ⅹ_課題と対応策_20121211 2" xfId="2390" xr:uid="{00000000-0005-0000-0000-000014090000}"/>
    <cellStyle name="_【20090522_精緻化中】千里導入明細資料_２１年度分_ラック構成図（千里_営業店・新事務）_20090805_【20091225】千里導入明細資料_２２年度上期分_営業店DB" xfId="2391" xr:uid="{00000000-0005-0000-0000-000015090000}"/>
    <cellStyle name="_【20090522_精緻化中】千里導入明細資料_２１年度分_ラック構成図（千里_営業店・新事務）_20090805_【20091225】千里導入明細資料_２２年度上期分_営業店DB 2" xfId="2392" xr:uid="{00000000-0005-0000-0000-000016090000}"/>
    <cellStyle name="_【20090522_精緻化中】千里導入明細資料_２１年度分_ラック構成図（千里_営業店・新事務）_20090805_【20091225】千里導入明細資料_２２年度上期分_営業店DB_【調整中】千里導入明細資料_２２年度上期分_fj_20100127" xfId="2393" xr:uid="{00000000-0005-0000-0000-000017090000}"/>
    <cellStyle name="_【20090522_精緻化中】千里導入明細資料_２１年度分_ラック構成図（千里_営業店・新事務）_20090805_【20091225】千里導入明細資料_２２年度上期分_営業店DB_【調整中】千里導入明細資料_２２年度上期分_fj_20100127 2" xfId="2394" xr:uid="{00000000-0005-0000-0000-000018090000}"/>
    <cellStyle name="_【20090522_精緻化中】千里導入明細資料_２１年度分_ラック構成図（千里_営業店・新事務）_20090805_【20091225】千里導入明細資料_２２年度上期分_営業店DB_【調整中】千里導入明細資料_２２年度上期分_fj_20100127_Ⅹ_課題と対応策_20121211" xfId="2395" xr:uid="{00000000-0005-0000-0000-000019090000}"/>
    <cellStyle name="_【20090522_精緻化中】千里導入明細資料_２１年度分_ラック構成図（千里_営業店・新事務）_20090805_【20091225】千里導入明細資料_２２年度上期分_営業店DB_【調整中】千里導入明細資料_２２年度上期分_fj_20100127_Ⅹ_課題と対応策_20121211 2" xfId="2396" xr:uid="{00000000-0005-0000-0000-00001A090000}"/>
    <cellStyle name="_【20090522_精緻化中】千里導入明細資料_２１年度分_ラック構成図（千里_営業店・新事務）_20090805_【20091225】千里導入明細資料_２２年度上期分_営業店DB_Ⅹ_課題と対応策_20121211" xfId="2397" xr:uid="{00000000-0005-0000-0000-00001B090000}"/>
    <cellStyle name="_【20090522_精緻化中】千里導入明細資料_２１年度分_ラック構成図（千里_営業店・新事務）_20090805_【20091225】千里導入明細資料_２２年度上期分_営業店DB_Ⅹ_課題と対応策_20121211 2" xfId="2398" xr:uid="{00000000-0005-0000-0000-00001C090000}"/>
    <cellStyle name="_【20090522_精緻化中】千里導入明細資料_２１年度分_ラック構成図（千里_営業店・新事務）_20090805_【20091225】千里導入明細資料_２２年度上期分_連携DB" xfId="2399" xr:uid="{00000000-0005-0000-0000-00001D090000}"/>
    <cellStyle name="_【20090522_精緻化中】千里導入明細資料_２１年度分_ラック構成図（千里_営業店・新事務）_20090805_【20091225】千里導入明細資料_２２年度上期分_連携DB 2" xfId="2400" xr:uid="{00000000-0005-0000-0000-00001E090000}"/>
    <cellStyle name="_【20090522_精緻化中】千里導入明細資料_２１年度分_ラック構成図（千里_営業店・新事務）_20090805_【20091225】千里導入明細資料_２２年度上期分_連携DB_【調整中】千里導入明細資料_２２年度上期分_fj_20100127" xfId="2401" xr:uid="{00000000-0005-0000-0000-00001F090000}"/>
    <cellStyle name="_【20090522_精緻化中】千里導入明細資料_２１年度分_ラック構成図（千里_営業店・新事務）_20090805_【20091225】千里導入明細資料_２２年度上期分_連携DB_【調整中】千里導入明細資料_２２年度上期分_fj_20100127 2" xfId="2402" xr:uid="{00000000-0005-0000-0000-000020090000}"/>
    <cellStyle name="_【20090522_精緻化中】千里導入明細資料_２１年度分_ラック構成図（千里_営業店・新事務）_20090805_【20091225】千里導入明細資料_２２年度上期分_連携DB_【調整中】千里導入明細資料_２２年度上期分_fj_20100127_Ⅹ_課題と対応策_20121211" xfId="2403" xr:uid="{00000000-0005-0000-0000-000021090000}"/>
    <cellStyle name="_【20090522_精緻化中】千里導入明細資料_２１年度分_ラック構成図（千里_営業店・新事務）_20090805_【20091225】千里導入明細資料_２２年度上期分_連携DB_【調整中】千里導入明細資料_２２年度上期分_fj_20100127_Ⅹ_課題と対応策_20121211 2" xfId="2404" xr:uid="{00000000-0005-0000-0000-000022090000}"/>
    <cellStyle name="_【20090522_精緻化中】千里導入明細資料_２１年度分_ラック構成図（千里_営業店・新事務）_20090805_【20091225】千里導入明細資料_２２年度上期分_連携DB_Ⅹ_課題と対応策_20121211" xfId="2405" xr:uid="{00000000-0005-0000-0000-000023090000}"/>
    <cellStyle name="_【20090522_精緻化中】千里導入明細資料_２１年度分_ラック構成図（千里_営業店・新事務）_20090805_【20091225】千里導入明細資料_２２年度上期分_連携DB_Ⅹ_課題と対応策_20121211 2" xfId="2406" xr:uid="{00000000-0005-0000-0000-000024090000}"/>
    <cellStyle name="_【20090522_精緻化中】千里導入明細資料_２１年度分_ラック構成図（千里_営業店・新事務）_20090805_【作成中】千里センター機器配置図（2010年対応分）_20091221" xfId="2407" xr:uid="{00000000-0005-0000-0000-000025090000}"/>
    <cellStyle name="_【20090522_精緻化中】千里導入明細資料_２１年度分_ラック構成図（千里_営業店・新事務）_20090805_【作成中】千里センター機器配置図（2010年対応分）_20091221 2" xfId="2408" xr:uid="{00000000-0005-0000-0000-000026090000}"/>
    <cellStyle name="_【20090522_精緻化中】千里導入明細資料_２１年度分_ラック構成図（千里_営業店・新事務）_20090805_【作成中】千里センター機器配置図（2010年対応分）_20091221_【調整中】千里導入明細資料_２２年度上期分_fj_20100127" xfId="2409" xr:uid="{00000000-0005-0000-0000-000027090000}"/>
    <cellStyle name="_【20090522_精緻化中】千里導入明細資料_２１年度分_ラック構成図（千里_営業店・新事務）_20090805_【作成中】千里センター機器配置図（2010年対応分）_20091221_【調整中】千里導入明細資料_２２年度上期分_fj_20100127 2" xfId="2410" xr:uid="{00000000-0005-0000-0000-000028090000}"/>
    <cellStyle name="_【20090522_精緻化中】千里導入明細資料_２１年度分_ラック構成図（千里_営業店・新事務）_20090805_【作成中】千里センター機器配置図（2010年対応分）_20091221_【調整中】千里導入明細資料_２２年度上期分_fj_20100127_Ⅹ_課題と対応策_20121211" xfId="2411" xr:uid="{00000000-0005-0000-0000-000029090000}"/>
    <cellStyle name="_【20090522_精緻化中】千里導入明細資料_２１年度分_ラック構成図（千里_営業店・新事務）_20090805_【作成中】千里センター機器配置図（2010年対応分）_20091221_【調整中】千里導入明細資料_２２年度上期分_fj_20100127_Ⅹ_課題と対応策_20121211 2" xfId="2412" xr:uid="{00000000-0005-0000-0000-00002A090000}"/>
    <cellStyle name="_【20090522_精緻化中】千里導入明細資料_２１年度分_ラック構成図（千里_営業店・新事務）_20090805_【作成中】千里センター機器配置図（2010年対応分）_20091221_Ⅹ_課題と対応策_20121211" xfId="2413" xr:uid="{00000000-0005-0000-0000-00002B090000}"/>
    <cellStyle name="_【20090522_精緻化中】千里導入明細資料_２１年度分_ラック構成図（千里_営業店・新事務）_20090805_【作成中】千里センター機器配置図（2010年対応分）_20091221_Ⅹ_課題と対応策_20121211 2" xfId="2414" xr:uid="{00000000-0005-0000-0000-00002C090000}"/>
    <cellStyle name="_【20090522_精緻化中】千里導入明細資料_２１年度分_ラック構成図（千里_営業店・新事務）_20090805_Ⅹ_課題と対応策_20121211" xfId="2415" xr:uid="{00000000-0005-0000-0000-00002D090000}"/>
    <cellStyle name="_【20090522_精緻化中】千里導入明細資料_２１年度分_ラック構成図（千里_営業店・新事務）_20090805_Ⅹ_課題と対応策_20121211 2" xfId="2416" xr:uid="{00000000-0005-0000-0000-00002E090000}"/>
    <cellStyle name="_【20090522_精緻化中】千里導入明細資料_２１年度分_ラック構成図_Catalyst直付け（新事務処理）" xfId="2417" xr:uid="{00000000-0005-0000-0000-00002F090000}"/>
    <cellStyle name="_【20090522_精緻化中】千里導入明細資料_２１年度分_ラック構成図_Catalyst直付け（新事務処理） 2" xfId="2418" xr:uid="{00000000-0005-0000-0000-000030090000}"/>
    <cellStyle name="_【20090522_精緻化中】千里導入明細資料_２１年度分_ラック構成図_Catalyst直付け（新事務処理）_【20091207】千里導入明細資料_２１年度分（ネットワーク敷設）" xfId="2419" xr:uid="{00000000-0005-0000-0000-000031090000}"/>
    <cellStyle name="_【20090522_精緻化中】千里導入明細資料_２１年度分_ラック構成図_Catalyst直付け（新事務処理）_【20091207】千里導入明細資料_２１年度分（ネットワーク敷設） 2" xfId="2420" xr:uid="{00000000-0005-0000-0000-000032090000}"/>
    <cellStyle name="_【20090522_精緻化中】千里導入明細資料_２１年度分_ラック構成図_Catalyst直付け（新事務処理）_【20091207】千里導入明細資料_２１年度分（ネットワーク敷設）_【20091218】千里導入明細資料_２１年度分（ネットワーク敷設）" xfId="2421" xr:uid="{00000000-0005-0000-0000-000033090000}"/>
    <cellStyle name="_【20090522_精緻化中】千里導入明細資料_２１年度分_ラック構成図_Catalyst直付け（新事務処理）_【20091207】千里導入明細資料_２１年度分（ネットワーク敷設）_【20091218】千里導入明細資料_２１年度分（ネットワーク敷設） 2" xfId="2422" xr:uid="{00000000-0005-0000-0000-000034090000}"/>
    <cellStyle name="_【20090522_精緻化中】千里導入明細資料_２１年度分_ラック構成図_Catalyst直付け（新事務処理）_【20091207】千里導入明細資料_２１年度分（ネットワーク敷設）_【20091218】千里導入明細資料_２１年度分（ネットワーク敷設）_Ⅹ_課題と対応策_20121211" xfId="2423" xr:uid="{00000000-0005-0000-0000-000035090000}"/>
    <cellStyle name="_【20090522_精緻化中】千里導入明細資料_２１年度分_ラック構成図_Catalyst直付け（新事務処理）_【20091207】千里導入明細資料_２１年度分（ネットワーク敷設）_【20091218】千里導入明細資料_２１年度分（ネットワーク敷設）_Ⅹ_課題と対応策_20121211 2" xfId="2424" xr:uid="{00000000-0005-0000-0000-000036090000}"/>
    <cellStyle name="_【20090522_精緻化中】千里導入明細資料_２１年度分_ラック構成図_Catalyst直付け（新事務処理）_【20091207】千里導入明細資料_２１年度分（ネットワーク敷設）_Ⅹ_課題と対応策_20121211" xfId="2425" xr:uid="{00000000-0005-0000-0000-000037090000}"/>
    <cellStyle name="_【20090522_精緻化中】千里導入明細資料_２１年度分_ラック構成図_Catalyst直付け（新事務処理）_【20091207】千里導入明細資料_２１年度分（ネットワーク敷設）_Ⅹ_課題と対応策_20121211 2" xfId="2426" xr:uid="{00000000-0005-0000-0000-000038090000}"/>
    <cellStyle name="_【20090522_精緻化中】千里導入明細資料_２１年度分_ラック構成図_Catalyst直付け（新事務処理）_【20091207】千里導入明細資料_２１年度分（ネットワーク敷設）_千里導入明細資料_２２年度分（ネットワーク敷設）_fj" xfId="2427" xr:uid="{00000000-0005-0000-0000-000039090000}"/>
    <cellStyle name="_【20090522_精緻化中】千里導入明細資料_２１年度分_ラック構成図_Catalyst直付け（新事務処理）_【20091207】千里導入明細資料_２１年度分（ネットワーク敷設）_千里導入明細資料_２２年度分（ネットワーク敷設）_fj 2" xfId="2428" xr:uid="{00000000-0005-0000-0000-00003A090000}"/>
    <cellStyle name="_【20090522_精緻化中】千里導入明細資料_２１年度分_ラック構成図_Catalyst直付け（新事務処理）_【20091207】千里導入明細資料_２１年度分（ネットワーク敷設）_千里導入明細資料_２２年度分（ネットワーク敷設）_fj_Ⅹ_課題と対応策_20121211" xfId="2429" xr:uid="{00000000-0005-0000-0000-00003B090000}"/>
    <cellStyle name="_【20090522_精緻化中】千里導入明細資料_２１年度分_ラック構成図_Catalyst直付け（新事務処理）_【20091207】千里導入明細資料_２１年度分（ネットワーク敷設）_千里導入明細資料_２２年度分（ネットワーク敷設）_fj_Ⅹ_課題と対応策_20121211 2" xfId="2430" xr:uid="{00000000-0005-0000-0000-00003C090000}"/>
    <cellStyle name="_【20090522_精緻化中】千里導入明細資料_２１年度分_ラック構成図_Catalyst直付け（新事務処理）_【20091225】千里導入明細資料_２２年度上期分（営業店ＡＰ－ＤＢ）" xfId="2431" xr:uid="{00000000-0005-0000-0000-00003D090000}"/>
    <cellStyle name="_【20090522_精緻化中】千里導入明細資料_２１年度分_ラック構成図_Catalyst直付け（新事務処理）_【20091225】千里導入明細資料_２２年度上期分（営業店ＡＰ－ＤＢ） 2" xfId="2432" xr:uid="{00000000-0005-0000-0000-00003E090000}"/>
    <cellStyle name="_【20090522_精緻化中】千里導入明細資料_２１年度分_ラック構成図_Catalyst直付け（新事務処理）_【20091225】千里導入明細資料_２２年度上期分（営業店ＡＰ－ＤＢ）_【調整中】千里導入明細資料_２２年度上期分_fj_20100127" xfId="2433" xr:uid="{00000000-0005-0000-0000-00003F090000}"/>
    <cellStyle name="_【20090522_精緻化中】千里導入明細資料_２１年度分_ラック構成図_Catalyst直付け（新事務処理）_【20091225】千里導入明細資料_２２年度上期分（営業店ＡＰ－ＤＢ）_【調整中】千里導入明細資料_２２年度上期分_fj_20100127 2" xfId="2434" xr:uid="{00000000-0005-0000-0000-000040090000}"/>
    <cellStyle name="_【20090522_精緻化中】千里導入明細資料_２１年度分_ラック構成図_Catalyst直付け（新事務処理）_【20091225】千里導入明細資料_２２年度上期分（営業店ＡＰ－ＤＢ）_【調整中】千里導入明細資料_２２年度上期分_fj_20100127_Ⅹ_課題と対応策_20121211" xfId="2435" xr:uid="{00000000-0005-0000-0000-000041090000}"/>
    <cellStyle name="_【20090522_精緻化中】千里導入明細資料_２１年度分_ラック構成図_Catalyst直付け（新事務処理）_【20091225】千里導入明細資料_２２年度上期分（営業店ＡＰ－ＤＢ）_【調整中】千里導入明細資料_２２年度上期分_fj_20100127_Ⅹ_課題と対応策_20121211 2" xfId="2436" xr:uid="{00000000-0005-0000-0000-000042090000}"/>
    <cellStyle name="_【20090522_精緻化中】千里導入明細資料_２１年度分_ラック構成図_Catalyst直付け（新事務処理）_【20091225】千里導入明細資料_２２年度上期分（営業店ＡＰ－ＤＢ）_Ⅹ_課題と対応策_20121211" xfId="2437" xr:uid="{00000000-0005-0000-0000-000043090000}"/>
    <cellStyle name="_【20090522_精緻化中】千里導入明細資料_２１年度分_ラック構成図_Catalyst直付け（新事務処理）_【20091225】千里導入明細資料_２２年度上期分（営業店ＡＰ－ＤＢ）_Ⅹ_課題と対応策_20121211 2" xfId="2438" xr:uid="{00000000-0005-0000-0000-000044090000}"/>
    <cellStyle name="_【20090522_精緻化中】千里導入明細資料_２１年度分_ラック構成図_Catalyst直付け（新事務処理）_【20091225】千里導入明細資料_２２年度上期分_営業店DB" xfId="2439" xr:uid="{00000000-0005-0000-0000-000045090000}"/>
    <cellStyle name="_【20090522_精緻化中】千里導入明細資料_２１年度分_ラック構成図_Catalyst直付け（新事務処理）_【20091225】千里導入明細資料_２２年度上期分_営業店DB 2" xfId="2440" xr:uid="{00000000-0005-0000-0000-000046090000}"/>
    <cellStyle name="_【20090522_精緻化中】千里導入明細資料_２１年度分_ラック構成図_Catalyst直付け（新事務処理）_【20091225】千里導入明細資料_２２年度上期分_営業店DB_【調整中】千里導入明細資料_２２年度上期分_fj_20100127" xfId="2441" xr:uid="{00000000-0005-0000-0000-000047090000}"/>
    <cellStyle name="_【20090522_精緻化中】千里導入明細資料_２１年度分_ラック構成図_Catalyst直付け（新事務処理）_【20091225】千里導入明細資料_２２年度上期分_営業店DB_【調整中】千里導入明細資料_２２年度上期分_fj_20100127 2" xfId="2442" xr:uid="{00000000-0005-0000-0000-000048090000}"/>
    <cellStyle name="_【20090522_精緻化中】千里導入明細資料_２１年度分_ラック構成図_Catalyst直付け（新事務処理）_【20091225】千里導入明細資料_２２年度上期分_営業店DB_【調整中】千里導入明細資料_２２年度上期分_fj_20100127_Ⅹ_課題と対応策_20121211" xfId="2443" xr:uid="{00000000-0005-0000-0000-000049090000}"/>
    <cellStyle name="_【20090522_精緻化中】千里導入明細資料_２１年度分_ラック構成図_Catalyst直付け（新事務処理）_【20091225】千里導入明細資料_２２年度上期分_営業店DB_【調整中】千里導入明細資料_２２年度上期分_fj_20100127_Ⅹ_課題と対応策_20121211 2" xfId="2444" xr:uid="{00000000-0005-0000-0000-00004A090000}"/>
    <cellStyle name="_【20090522_精緻化中】千里導入明細資料_２１年度分_ラック構成図_Catalyst直付け（新事務処理）_【20091225】千里導入明細資料_２２年度上期分_営業店DB_Ⅹ_課題と対応策_20121211" xfId="2445" xr:uid="{00000000-0005-0000-0000-00004B090000}"/>
    <cellStyle name="_【20090522_精緻化中】千里導入明細資料_２１年度分_ラック構成図_Catalyst直付け（新事務処理）_【20091225】千里導入明細資料_２２年度上期分_営業店DB_Ⅹ_課題と対応策_20121211 2" xfId="2446" xr:uid="{00000000-0005-0000-0000-00004C090000}"/>
    <cellStyle name="_【20090522_精緻化中】千里導入明細資料_２１年度分_ラック構成図_Catalyst直付け（新事務処理）_【20091225】千里導入明細資料_２２年度上期分_連携DB" xfId="2447" xr:uid="{00000000-0005-0000-0000-00004D090000}"/>
    <cellStyle name="_【20090522_精緻化中】千里導入明細資料_２１年度分_ラック構成図_Catalyst直付け（新事務処理）_【20091225】千里導入明細資料_２２年度上期分_連携DB 2" xfId="2448" xr:uid="{00000000-0005-0000-0000-00004E090000}"/>
    <cellStyle name="_【20090522_精緻化中】千里導入明細資料_２１年度分_ラック構成図_Catalyst直付け（新事務処理）_【20091225】千里導入明細資料_２２年度上期分_連携DB_【調整中】千里導入明細資料_２２年度上期分_fj_20100127" xfId="2449" xr:uid="{00000000-0005-0000-0000-00004F090000}"/>
    <cellStyle name="_【20090522_精緻化中】千里導入明細資料_２１年度分_ラック構成図_Catalyst直付け（新事務処理）_【20091225】千里導入明細資料_２２年度上期分_連携DB_【調整中】千里導入明細資料_２２年度上期分_fj_20100127 2" xfId="2450" xr:uid="{00000000-0005-0000-0000-000050090000}"/>
    <cellStyle name="_【20090522_精緻化中】千里導入明細資料_２１年度分_ラック構成図_Catalyst直付け（新事務処理）_【20091225】千里導入明細資料_２２年度上期分_連携DB_【調整中】千里導入明細資料_２２年度上期分_fj_20100127_Ⅹ_課題と対応策_20121211" xfId="2451" xr:uid="{00000000-0005-0000-0000-000051090000}"/>
    <cellStyle name="_【20090522_精緻化中】千里導入明細資料_２１年度分_ラック構成図_Catalyst直付け（新事務処理）_【20091225】千里導入明細資料_２２年度上期分_連携DB_【調整中】千里導入明細資料_２２年度上期分_fj_20100127_Ⅹ_課題と対応策_20121211 2" xfId="2452" xr:uid="{00000000-0005-0000-0000-000052090000}"/>
    <cellStyle name="_【20090522_精緻化中】千里導入明細資料_２１年度分_ラック構成図_Catalyst直付け（新事務処理）_【20091225】千里導入明細資料_２２年度上期分_連携DB_Ⅹ_課題と対応策_20121211" xfId="2453" xr:uid="{00000000-0005-0000-0000-000053090000}"/>
    <cellStyle name="_【20090522_精緻化中】千里導入明細資料_２１年度分_ラック構成図_Catalyst直付け（新事務処理）_【20091225】千里導入明細資料_２２年度上期分_連携DB_Ⅹ_課題と対応策_20121211 2" xfId="2454" xr:uid="{00000000-0005-0000-0000-000054090000}"/>
    <cellStyle name="_【20090522_精緻化中】千里導入明細資料_２１年度分_ラック構成図_Catalyst直付け（新事務処理）_【作成中】千里センター機器配置図（2010年対応分）_20091221" xfId="2455" xr:uid="{00000000-0005-0000-0000-000055090000}"/>
    <cellStyle name="_【20090522_精緻化中】千里導入明細資料_２１年度分_ラック構成図_Catalyst直付け（新事務処理）_【作成中】千里センター機器配置図（2010年対応分）_20091221 2" xfId="2456" xr:uid="{00000000-0005-0000-0000-000056090000}"/>
    <cellStyle name="_【20090522_精緻化中】千里導入明細資料_２１年度分_ラック構成図_Catalyst直付け（新事務処理）_【作成中】千里センター機器配置図（2010年対応分）_20091221_【調整中】千里導入明細資料_２２年度上期分_fj_20100127" xfId="2457" xr:uid="{00000000-0005-0000-0000-000057090000}"/>
    <cellStyle name="_【20090522_精緻化中】千里導入明細資料_２１年度分_ラック構成図_Catalyst直付け（新事務処理）_【作成中】千里センター機器配置図（2010年対応分）_20091221_【調整中】千里導入明細資料_２２年度上期分_fj_20100127 2" xfId="2458" xr:uid="{00000000-0005-0000-0000-000058090000}"/>
    <cellStyle name="_【20090522_精緻化中】千里導入明細資料_２１年度分_ラック構成図_Catalyst直付け（新事務処理）_【作成中】千里センター機器配置図（2010年対応分）_20091221_【調整中】千里導入明細資料_２２年度上期分_fj_20100127_Ⅹ_課題と対応策_20121211" xfId="2459" xr:uid="{00000000-0005-0000-0000-000059090000}"/>
    <cellStyle name="_【20090522_精緻化中】千里導入明細資料_２１年度分_ラック構成図_Catalyst直付け（新事務処理）_【作成中】千里センター機器配置図（2010年対応分）_20091221_【調整中】千里導入明細資料_２２年度上期分_fj_20100127_Ⅹ_課題と対応策_20121211 2" xfId="2460" xr:uid="{00000000-0005-0000-0000-00005A090000}"/>
    <cellStyle name="_【20090522_精緻化中】千里導入明細資料_２１年度分_ラック構成図_Catalyst直付け（新事務処理）_【作成中】千里センター機器配置図（2010年対応分）_20091221_Ⅹ_課題と対応策_20121211" xfId="2461" xr:uid="{00000000-0005-0000-0000-00005B090000}"/>
    <cellStyle name="_【20090522_精緻化中】千里導入明細資料_２１年度分_ラック構成図_Catalyst直付け（新事務処理）_【作成中】千里センター機器配置図（2010年対応分）_20091221_Ⅹ_課題と対応策_20121211 2" xfId="2462" xr:uid="{00000000-0005-0000-0000-00005C090000}"/>
    <cellStyle name="_【20090522_精緻化中】千里導入明細資料_２１年度分_ラック構成図_Catalyst直付け（新事務処理）_Ⅹ_課題と対応策_20121211" xfId="2463" xr:uid="{00000000-0005-0000-0000-00005D090000}"/>
    <cellStyle name="_【20090522_精緻化中】千里導入明細資料_２１年度分_ラック構成図_Catalyst直付け（新事務処理）_Ⅹ_課題と対応策_20121211 2" xfId="2464" xr:uid="{00000000-0005-0000-0000-00005E090000}"/>
    <cellStyle name="_【20090522_精緻化中】千里導入明細資料_２１年度分_ラック構成図_RX100Si-R削除(新事務処理)" xfId="2465" xr:uid="{00000000-0005-0000-0000-00005F090000}"/>
    <cellStyle name="_【20090522_精緻化中】千里導入明細資料_２１年度分_ラック構成図_RX100Si-R削除(新事務処理) 2" xfId="2466" xr:uid="{00000000-0005-0000-0000-000060090000}"/>
    <cellStyle name="_【20090522_精緻化中】千里導入明細資料_２１年度分_ラック構成図_RX100Si-R削除(新事務処理)_【20091207】千里導入明細資料_２１年度分（ネットワーク敷設）" xfId="2467" xr:uid="{00000000-0005-0000-0000-000061090000}"/>
    <cellStyle name="_【20090522_精緻化中】千里導入明細資料_２１年度分_ラック構成図_RX100Si-R削除(新事務処理)_【20091207】千里導入明細資料_２１年度分（ネットワーク敷設） 2" xfId="2468" xr:uid="{00000000-0005-0000-0000-000062090000}"/>
    <cellStyle name="_【20090522_精緻化中】千里導入明細資料_２１年度分_ラック構成図_RX100Si-R削除(新事務処理)_【20091207】千里導入明細資料_２１年度分（ネットワーク敷設）_【20091218】千里導入明細資料_２１年度分（ネットワーク敷設）" xfId="2469" xr:uid="{00000000-0005-0000-0000-000063090000}"/>
    <cellStyle name="_【20090522_精緻化中】千里導入明細資料_２１年度分_ラック構成図_RX100Si-R削除(新事務処理)_【20091207】千里導入明細資料_２１年度分（ネットワーク敷設）_【20091218】千里導入明細資料_２１年度分（ネットワーク敷設） 2" xfId="2470" xr:uid="{00000000-0005-0000-0000-000064090000}"/>
    <cellStyle name="_【20090522_精緻化中】千里導入明細資料_２１年度分_ラック構成図_RX100Si-R削除(新事務処理)_【20091207】千里導入明細資料_２１年度分（ネットワーク敷設）_【20091218】千里導入明細資料_２１年度分（ネットワーク敷設）_Ⅹ_課題と対応策_20121211" xfId="2471" xr:uid="{00000000-0005-0000-0000-000065090000}"/>
    <cellStyle name="_【20090522_精緻化中】千里導入明細資料_２１年度分_ラック構成図_RX100Si-R削除(新事務処理)_【20091207】千里導入明細資料_２１年度分（ネットワーク敷設）_【20091218】千里導入明細資料_２１年度分（ネットワーク敷設）_Ⅹ_課題と対応策_20121211 2" xfId="2472" xr:uid="{00000000-0005-0000-0000-000066090000}"/>
    <cellStyle name="_【20090522_精緻化中】千里導入明細資料_２１年度分_ラック構成図_RX100Si-R削除(新事務処理)_【20091207】千里導入明細資料_２１年度分（ネットワーク敷設）_Ⅹ_課題と対応策_20121211" xfId="2473" xr:uid="{00000000-0005-0000-0000-000067090000}"/>
    <cellStyle name="_【20090522_精緻化中】千里導入明細資料_２１年度分_ラック構成図_RX100Si-R削除(新事務処理)_【20091207】千里導入明細資料_２１年度分（ネットワーク敷設）_Ⅹ_課題と対応策_20121211 2" xfId="2474" xr:uid="{00000000-0005-0000-0000-000068090000}"/>
    <cellStyle name="_【20090522_精緻化中】千里導入明細資料_２１年度分_ラック構成図_RX100Si-R削除(新事務処理)_【20091207】千里導入明細資料_２１年度分（ネットワーク敷設）_千里導入明細資料_２２年度分（ネットワーク敷設）_fj" xfId="2475" xr:uid="{00000000-0005-0000-0000-000069090000}"/>
    <cellStyle name="_【20090522_精緻化中】千里導入明細資料_２１年度分_ラック構成図_RX100Si-R削除(新事務処理)_【20091207】千里導入明細資料_２１年度分（ネットワーク敷設）_千里導入明細資料_２２年度分（ネットワーク敷設）_fj 2" xfId="2476" xr:uid="{00000000-0005-0000-0000-00006A090000}"/>
    <cellStyle name="_【20090522_精緻化中】千里導入明細資料_２１年度分_ラック構成図_RX100Si-R削除(新事務処理)_【20091207】千里導入明細資料_２１年度分（ネットワーク敷設）_千里導入明細資料_２２年度分（ネットワーク敷設）_fj_Ⅹ_課題と対応策_20121211" xfId="2477" xr:uid="{00000000-0005-0000-0000-00006B090000}"/>
    <cellStyle name="_【20090522_精緻化中】千里導入明細資料_２１年度分_ラック構成図_RX100Si-R削除(新事務処理)_【20091207】千里導入明細資料_２１年度分（ネットワーク敷設）_千里導入明細資料_２２年度分（ネットワーク敷設）_fj_Ⅹ_課題と対応策_20121211 2" xfId="2478" xr:uid="{00000000-0005-0000-0000-00006C090000}"/>
    <cellStyle name="_【20090522_精緻化中】千里導入明細資料_２１年度分_ラック構成図_RX100Si-R削除(新事務処理)_【20091225】千里導入明細資料_２２年度上期分（営業店ＡＰ－ＤＢ）" xfId="2479" xr:uid="{00000000-0005-0000-0000-00006D090000}"/>
    <cellStyle name="_【20090522_精緻化中】千里導入明細資料_２１年度分_ラック構成図_RX100Si-R削除(新事務処理)_【20091225】千里導入明細資料_２２年度上期分（営業店ＡＰ－ＤＢ） 2" xfId="2480" xr:uid="{00000000-0005-0000-0000-00006E090000}"/>
    <cellStyle name="_【20090522_精緻化中】千里導入明細資料_２１年度分_ラック構成図_RX100Si-R削除(新事務処理)_【20091225】千里導入明細資料_２２年度上期分（営業店ＡＰ－ＤＢ）_【調整中】千里導入明細資料_２２年度上期分_fj_20100127" xfId="2481" xr:uid="{00000000-0005-0000-0000-00006F090000}"/>
    <cellStyle name="_【20090522_精緻化中】千里導入明細資料_２１年度分_ラック構成図_RX100Si-R削除(新事務処理)_【20091225】千里導入明細資料_２２年度上期分（営業店ＡＰ－ＤＢ）_【調整中】千里導入明細資料_２２年度上期分_fj_20100127 2" xfId="2482" xr:uid="{00000000-0005-0000-0000-000070090000}"/>
    <cellStyle name="_【20090522_精緻化中】千里導入明細資料_２１年度分_ラック構成図_RX100Si-R削除(新事務処理)_【20091225】千里導入明細資料_２２年度上期分（営業店ＡＰ－ＤＢ）_【調整中】千里導入明細資料_２２年度上期分_fj_20100127_Ⅹ_課題と対応策_20121211" xfId="2483" xr:uid="{00000000-0005-0000-0000-000071090000}"/>
    <cellStyle name="_【20090522_精緻化中】千里導入明細資料_２１年度分_ラック構成図_RX100Si-R削除(新事務処理)_【20091225】千里導入明細資料_２２年度上期分（営業店ＡＰ－ＤＢ）_【調整中】千里導入明細資料_２２年度上期分_fj_20100127_Ⅹ_課題と対応策_20121211 2" xfId="2484" xr:uid="{00000000-0005-0000-0000-000072090000}"/>
    <cellStyle name="_【20090522_精緻化中】千里導入明細資料_２１年度分_ラック構成図_RX100Si-R削除(新事務処理)_【20091225】千里導入明細資料_２２年度上期分（営業店ＡＰ－ＤＢ）_Ⅹ_課題と対応策_20121211" xfId="2485" xr:uid="{00000000-0005-0000-0000-000073090000}"/>
    <cellStyle name="_【20090522_精緻化中】千里導入明細資料_２１年度分_ラック構成図_RX100Si-R削除(新事務処理)_【20091225】千里導入明細資料_２２年度上期分（営業店ＡＰ－ＤＢ）_Ⅹ_課題と対応策_20121211 2" xfId="2486" xr:uid="{00000000-0005-0000-0000-000074090000}"/>
    <cellStyle name="_【20090522_精緻化中】千里導入明細資料_２１年度分_ラック構成図_RX100Si-R削除(新事務処理)_【20091225】千里導入明細資料_２２年度上期分_営業店DB" xfId="2487" xr:uid="{00000000-0005-0000-0000-000075090000}"/>
    <cellStyle name="_【20090522_精緻化中】千里導入明細資料_２１年度分_ラック構成図_RX100Si-R削除(新事務処理)_【20091225】千里導入明細資料_２２年度上期分_営業店DB 2" xfId="2488" xr:uid="{00000000-0005-0000-0000-000076090000}"/>
    <cellStyle name="_【20090522_精緻化中】千里導入明細資料_２１年度分_ラック構成図_RX100Si-R削除(新事務処理)_【20091225】千里導入明細資料_２２年度上期分_営業店DB_【調整中】千里導入明細資料_２２年度上期分_fj_20100127" xfId="2489" xr:uid="{00000000-0005-0000-0000-000077090000}"/>
    <cellStyle name="_【20090522_精緻化中】千里導入明細資料_２１年度分_ラック構成図_RX100Si-R削除(新事務処理)_【20091225】千里導入明細資料_２２年度上期分_営業店DB_【調整中】千里導入明細資料_２２年度上期分_fj_20100127 2" xfId="2490" xr:uid="{00000000-0005-0000-0000-000078090000}"/>
    <cellStyle name="_【20090522_精緻化中】千里導入明細資料_２１年度分_ラック構成図_RX100Si-R削除(新事務処理)_【20091225】千里導入明細資料_２２年度上期分_営業店DB_【調整中】千里導入明細資料_２２年度上期分_fj_20100127_Ⅹ_課題と対応策_20121211" xfId="2491" xr:uid="{00000000-0005-0000-0000-000079090000}"/>
    <cellStyle name="_【20090522_精緻化中】千里導入明細資料_２１年度分_ラック構成図_RX100Si-R削除(新事務処理)_【20091225】千里導入明細資料_２２年度上期分_営業店DB_【調整中】千里導入明細資料_２２年度上期分_fj_20100127_Ⅹ_課題と対応策_20121211 2" xfId="2492" xr:uid="{00000000-0005-0000-0000-00007A090000}"/>
    <cellStyle name="_【20090522_精緻化中】千里導入明細資料_２１年度分_ラック構成図_RX100Si-R削除(新事務処理)_【20091225】千里導入明細資料_２２年度上期分_営業店DB_Ⅹ_課題と対応策_20121211" xfId="2493" xr:uid="{00000000-0005-0000-0000-00007B090000}"/>
    <cellStyle name="_【20090522_精緻化中】千里導入明細資料_２１年度分_ラック構成図_RX100Si-R削除(新事務処理)_【20091225】千里導入明細資料_２２年度上期分_営業店DB_Ⅹ_課題と対応策_20121211 2" xfId="2494" xr:uid="{00000000-0005-0000-0000-00007C090000}"/>
    <cellStyle name="_【20090522_精緻化中】千里導入明細資料_２１年度分_ラック構成図_RX100Si-R削除(新事務処理)_【20091225】千里導入明細資料_２２年度上期分_連携DB" xfId="2495" xr:uid="{00000000-0005-0000-0000-00007D090000}"/>
    <cellStyle name="_【20090522_精緻化中】千里導入明細資料_２１年度分_ラック構成図_RX100Si-R削除(新事務処理)_【20091225】千里導入明細資料_２２年度上期分_連携DB 2" xfId="2496" xr:uid="{00000000-0005-0000-0000-00007E090000}"/>
    <cellStyle name="_【20090522_精緻化中】千里導入明細資料_２１年度分_ラック構成図_RX100Si-R削除(新事務処理)_【20091225】千里導入明細資料_２２年度上期分_連携DB_【調整中】千里導入明細資料_２２年度上期分_fj_20100127" xfId="2497" xr:uid="{00000000-0005-0000-0000-00007F090000}"/>
    <cellStyle name="_【20090522_精緻化中】千里導入明細資料_２１年度分_ラック構成図_RX100Si-R削除(新事務処理)_【20091225】千里導入明細資料_２２年度上期分_連携DB_【調整中】千里導入明細資料_２２年度上期分_fj_20100127 2" xfId="2498" xr:uid="{00000000-0005-0000-0000-000080090000}"/>
    <cellStyle name="_【20090522_精緻化中】千里導入明細資料_２１年度分_ラック構成図_RX100Si-R削除(新事務処理)_【20091225】千里導入明細資料_２２年度上期分_連携DB_【調整中】千里導入明細資料_２２年度上期分_fj_20100127_Ⅹ_課題と対応策_20121211" xfId="2499" xr:uid="{00000000-0005-0000-0000-000081090000}"/>
    <cellStyle name="_【20090522_精緻化中】千里導入明細資料_２１年度分_ラック構成図_RX100Si-R削除(新事務処理)_【20091225】千里導入明細資料_２２年度上期分_連携DB_【調整中】千里導入明細資料_２２年度上期分_fj_20100127_Ⅹ_課題と対応策_20121211 2" xfId="2500" xr:uid="{00000000-0005-0000-0000-000082090000}"/>
    <cellStyle name="_【20090522_精緻化中】千里導入明細資料_２１年度分_ラック構成図_RX100Si-R削除(新事務処理)_【20091225】千里導入明細資料_２２年度上期分_連携DB_Ⅹ_課題と対応策_20121211" xfId="2501" xr:uid="{00000000-0005-0000-0000-000083090000}"/>
    <cellStyle name="_【20090522_精緻化中】千里導入明細資料_２１年度分_ラック構成図_RX100Si-R削除(新事務処理)_【20091225】千里導入明細資料_２２年度上期分_連携DB_Ⅹ_課題と対応策_20121211 2" xfId="2502" xr:uid="{00000000-0005-0000-0000-000084090000}"/>
    <cellStyle name="_【20090522_精緻化中】千里導入明細資料_２１年度分_ラック構成図_RX100Si-R削除(新事務処理)_【作成中】千里センター機器配置図（2010年対応分）_20091221" xfId="2503" xr:uid="{00000000-0005-0000-0000-000085090000}"/>
    <cellStyle name="_【20090522_精緻化中】千里導入明細資料_２１年度分_ラック構成図_RX100Si-R削除(新事務処理)_【作成中】千里センター機器配置図（2010年対応分）_20091221 2" xfId="2504" xr:uid="{00000000-0005-0000-0000-000086090000}"/>
    <cellStyle name="_【20090522_精緻化中】千里導入明細資料_２１年度分_ラック構成図_RX100Si-R削除(新事務処理)_【作成中】千里センター機器配置図（2010年対応分）_20091221_【調整中】千里導入明細資料_２２年度上期分_fj_20100127" xfId="2505" xr:uid="{00000000-0005-0000-0000-000087090000}"/>
    <cellStyle name="_【20090522_精緻化中】千里導入明細資料_２１年度分_ラック構成図_RX100Si-R削除(新事務処理)_【作成中】千里センター機器配置図（2010年対応分）_20091221_【調整中】千里導入明細資料_２２年度上期分_fj_20100127 2" xfId="2506" xr:uid="{00000000-0005-0000-0000-000088090000}"/>
    <cellStyle name="_【20090522_精緻化中】千里導入明細資料_２１年度分_ラック構成図_RX100Si-R削除(新事務処理)_【作成中】千里センター機器配置図（2010年対応分）_20091221_【調整中】千里導入明細資料_２２年度上期分_fj_20100127_Ⅹ_課題と対応策_20121211" xfId="2507" xr:uid="{00000000-0005-0000-0000-000089090000}"/>
    <cellStyle name="_【20090522_精緻化中】千里導入明細資料_２１年度分_ラック構成図_RX100Si-R削除(新事務処理)_【作成中】千里センター機器配置図（2010年対応分）_20091221_【調整中】千里導入明細資料_２２年度上期分_fj_20100127_Ⅹ_課題と対応策_20121211 2" xfId="2508" xr:uid="{00000000-0005-0000-0000-00008A090000}"/>
    <cellStyle name="_【20090522_精緻化中】千里導入明細資料_２１年度分_ラック構成図_RX100Si-R削除(新事務処理)_【作成中】千里センター機器配置図（2010年対応分）_20091221_Ⅹ_課題と対応策_20121211" xfId="2509" xr:uid="{00000000-0005-0000-0000-00008B090000}"/>
    <cellStyle name="_【20090522_精緻化中】千里導入明細資料_２１年度分_ラック構成図_RX100Si-R削除(新事務処理)_【作成中】千里センター機器配置図（2010年対応分）_20091221_Ⅹ_課題と対応策_20121211 2" xfId="2510" xr:uid="{00000000-0005-0000-0000-00008C090000}"/>
    <cellStyle name="_【20090522_精緻化中】千里導入明細資料_２１年度分_ラック構成図_RX100Si-R削除(新事務処理)_Ⅹ_課題と対応策_20121211" xfId="2511" xr:uid="{00000000-0005-0000-0000-00008D090000}"/>
    <cellStyle name="_【20090522_精緻化中】千里導入明細資料_２１年度分_ラック構成図_RX100Si-R削除(新事務処理)_Ⅹ_課題と対応策_20121211 2" xfId="2512" xr:uid="{00000000-0005-0000-0000-00008E090000}"/>
    <cellStyle name="_【20090522_精緻化中】千里導入明細資料_２１年度分_千里導入明細資料_２２年度分（ネットワーク敷設）_fj" xfId="2513" xr:uid="{00000000-0005-0000-0000-00008F090000}"/>
    <cellStyle name="_【20090522_精緻化中】千里導入明細資料_２１年度分_千里導入明細資料_２２年度分（ネットワーク敷設）_fj 2" xfId="2514" xr:uid="{00000000-0005-0000-0000-000090090000}"/>
    <cellStyle name="_【20090522_精緻化中】千里導入明細資料_２１年度分_千里導入明細資料_２２年度分（ネットワーク敷設）_fj_Ⅹ_課題と対応策_20121211" xfId="2515" xr:uid="{00000000-0005-0000-0000-000091090000}"/>
    <cellStyle name="_【20090522_精緻化中】千里導入明細資料_２１年度分_千里導入明細資料_２２年度分（ネットワーク敷設）_fj_Ⅹ_課題と対応策_20121211 2" xfId="2516" xr:uid="{00000000-0005-0000-0000-000092090000}"/>
    <cellStyle name="_【20090608】千里導入明細資料_２１年度分" xfId="2517" xr:uid="{00000000-0005-0000-0000-000093090000}"/>
    <cellStyle name="_【20090608】千里導入明細資料_２１年度分 2" xfId="2518" xr:uid="{00000000-0005-0000-0000-000094090000}"/>
    <cellStyle name="_【20090608】千里導入明細資料_２１年度分（ＬＡＮケーブル）" xfId="2519" xr:uid="{00000000-0005-0000-0000-000095090000}"/>
    <cellStyle name="_【20090608】千里導入明細資料_２１年度分（ＬＡＮケーブル） 2" xfId="2520" xr:uid="{00000000-0005-0000-0000-000096090000}"/>
    <cellStyle name="_【20090608】千里導入明細資料_２１年度分（ＬＡＮケーブル）_【20091218】千里導入明細資料_２１年度分（ネットワーク敷設）" xfId="2521" xr:uid="{00000000-0005-0000-0000-000097090000}"/>
    <cellStyle name="_【20090608】千里導入明細資料_２１年度分（ＬＡＮケーブル）_【20091218】千里導入明細資料_２１年度分（ネットワーク敷設） 2" xfId="2522" xr:uid="{00000000-0005-0000-0000-000098090000}"/>
    <cellStyle name="_【20090608】千里導入明細資料_２１年度分（ＬＡＮケーブル）_【20091218】千里導入明細資料_２１年度分（ネットワーク敷設）_Ⅹ_課題と対応策_20121211" xfId="2523" xr:uid="{00000000-0005-0000-0000-000099090000}"/>
    <cellStyle name="_【20090608】千里導入明細資料_２１年度分（ＬＡＮケーブル）_【20091218】千里導入明細資料_２１年度分（ネットワーク敷設）_Ⅹ_課題と対応策_20121211 2" xfId="2524" xr:uid="{00000000-0005-0000-0000-00009A090000}"/>
    <cellStyle name="_【20090608】千里導入明細資料_２１年度分（ＬＡＮケーブル）_Ⅹ_課題と対応策_20121211" xfId="2525" xr:uid="{00000000-0005-0000-0000-00009B090000}"/>
    <cellStyle name="_【20090608】千里導入明細資料_２１年度分（ＬＡＮケーブル）_Ⅹ_課題と対応策_20121211 2" xfId="2526" xr:uid="{00000000-0005-0000-0000-00009C090000}"/>
    <cellStyle name="_【20090608】千里導入明細資料_２１年度分（ＬＡＮケーブル）_千里導入明細資料_２２年度分（ネットワーク敷設）_fj" xfId="2527" xr:uid="{00000000-0005-0000-0000-00009D090000}"/>
    <cellStyle name="_【20090608】千里導入明細資料_２１年度分（ＬＡＮケーブル）_千里導入明細資料_２２年度分（ネットワーク敷設）_fj 2" xfId="2528" xr:uid="{00000000-0005-0000-0000-00009E090000}"/>
    <cellStyle name="_【20090608】千里導入明細資料_２１年度分（ＬＡＮケーブル）_千里導入明細資料_２２年度分（ネットワーク敷設）_fj_Ⅹ_課題と対応策_20121211" xfId="2529" xr:uid="{00000000-0005-0000-0000-00009F090000}"/>
    <cellStyle name="_【20090608】千里導入明細資料_２１年度分（ＬＡＮケーブル）_千里導入明細資料_２２年度分（ネットワーク敷設）_fj_Ⅹ_課題と対応策_20121211 2" xfId="2530" xr:uid="{00000000-0005-0000-0000-0000A0090000}"/>
    <cellStyle name="_【20090608】千里導入明細資料_２１年度分_【20090715】千里導入明細資料_２１年度分（９月工事分）_fj" xfId="2531" xr:uid="{00000000-0005-0000-0000-0000A1090000}"/>
    <cellStyle name="_【20090608】千里導入明細資料_２１年度分_【20090715】千里導入明細資料_２１年度分（９月工事分）_fj 2" xfId="2532" xr:uid="{00000000-0005-0000-0000-0000A2090000}"/>
    <cellStyle name="_【20090608】千里導入明細資料_２１年度分_【20090715】千里導入明細資料_２１年度分（９月工事分）_fj_【20090721】千里導入明細資料_２１年度分" xfId="2533" xr:uid="{00000000-0005-0000-0000-0000A3090000}"/>
    <cellStyle name="_【20090608】千里導入明細資料_２１年度分_【20090715】千里導入明細資料_２１年度分（９月工事分）_fj_【20090721】千里導入明細資料_２１年度分 2" xfId="2534" xr:uid="{00000000-0005-0000-0000-0000A4090000}"/>
    <cellStyle name="_【20090608】千里導入明細資料_２１年度分_【20090715】千里導入明細資料_２１年度分（９月工事分）_fj_【20090721】千里導入明細資料_２１年度分（９月工事分）_ETERNUS追加" xfId="2535" xr:uid="{00000000-0005-0000-0000-0000A5090000}"/>
    <cellStyle name="_【20090608】千里導入明細資料_２１年度分_【20090715】千里導入明細資料_２１年度分（９月工事分）_fj_【20090721】千里導入明細資料_２１年度分（９月工事分）_ETERNUS追加 2" xfId="2536" xr:uid="{00000000-0005-0000-0000-0000A6090000}"/>
    <cellStyle name="_【20090608】千里導入明細資料_２１年度分_【20090715】千里導入明細資料_２１年度分（９月工事分）_fj_【20090721】千里導入明細資料_２１年度分（９月工事分）_ETERNUS追加_【20090731】千里導入明細資料_２１年度分（９月工事分）" xfId="2537" xr:uid="{00000000-0005-0000-0000-0000A7090000}"/>
    <cellStyle name="_【20090608】千里導入明細資料_２１年度分_【20090715】千里導入明細資料_２１年度分（９月工事分）_fj_【20090721】千里導入明細資料_２１年度分（９月工事分）_ETERNUS追加_【20090731】千里導入明細資料_２１年度分（９月工事分） 2" xfId="2538" xr:uid="{00000000-0005-0000-0000-0000A8090000}"/>
    <cellStyle name="_【20090608】千里導入明細資料_２１年度分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" xfId="2539" xr:uid="{00000000-0005-0000-0000-0000A9090000}"/>
    <cellStyle name="_【20090608】千里導入明細資料_２１年度分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 2" xfId="2540" xr:uid="{00000000-0005-0000-0000-0000AA090000}"/>
    <cellStyle name="_【20090608】千里導入明細資料_２１年度分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_Ⅹ_課題と対応策_20121211" xfId="2541" xr:uid="{00000000-0005-0000-0000-0000AB090000}"/>
    <cellStyle name="_【20090608】千里導入明細資料_２１年度分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_Ⅹ_課題と対応策_20121211 2" xfId="2542" xr:uid="{00000000-0005-0000-0000-0000AC090000}"/>
    <cellStyle name="_【20090608】千里導入明細資料_２１年度分_【20090715】千里導入明細資料_２１年度分（９月工事分）_fj_【20090721】千里導入明細資料_２１年度分（９月工事分）_ETERNUS追加_【20090731】千里導入明細資料_２１年度分（９月工事分）_Ⅹ_課題と対応策_20121211" xfId="2543" xr:uid="{00000000-0005-0000-0000-0000AD090000}"/>
    <cellStyle name="_【20090608】千里導入明細資料_２１年度分_【20090715】千里導入明細資料_２１年度分（９月工事分）_fj_【20090721】千里導入明細資料_２１年度分（９月工事分）_ETERNUS追加_【20090731】千里導入明細資料_２１年度分（９月工事分）_Ⅹ_課題と対応策_20121211 2" xfId="2544" xr:uid="{00000000-0005-0000-0000-0000AE090000}"/>
    <cellStyle name="_【20090608】千里導入明細資料_２１年度分_【20090715】千里導入明細資料_２１年度分（９月工事分）_fj_【20090721】千里導入明細資料_２１年度分（９月工事分）_ETERNUS追加_【20090821】千里ラック搭載図（NW機器）" xfId="2545" xr:uid="{00000000-0005-0000-0000-0000AF090000}"/>
    <cellStyle name="_【20090608】千里導入明細資料_２１年度分_【20090715】千里導入明細資料_２１年度分（９月工事分）_fj_【20090721】千里導入明細資料_２１年度分（９月工事分）_ETERNUS追加_【20090821】千里ラック搭載図（NW機器） 2" xfId="2546" xr:uid="{00000000-0005-0000-0000-0000B0090000}"/>
    <cellStyle name="_【20090608】千里導入明細資料_２１年度分_【20090715】千里導入明細資料_２１年度分（９月工事分）_fj_【20090721】千里導入明細資料_２１年度分（９月工事分）_ETERNUS追加_【20090821】千里ラック搭載図（NW機器）_Ⅹ_課題と対応策_20121211" xfId="2547" xr:uid="{00000000-0005-0000-0000-0000B1090000}"/>
    <cellStyle name="_【20090608】千里導入明細資料_２１年度分_【20090715】千里導入明細資料_２１年度分（９月工事分）_fj_【20090721】千里導入明細資料_２１年度分（９月工事分）_ETERNUS追加_【20090821】千里ラック搭載図（NW機器）_Ⅹ_課題と対応策_20121211 2" xfId="2548" xr:uid="{00000000-0005-0000-0000-0000B2090000}"/>
    <cellStyle name="_【20090608】千里導入明細資料_２１年度分_【20090715】千里導入明細資料_２１年度分（９月工事分）_fj_【20090721】千里導入明細資料_２１年度分（９月工事分）_ETERNUS追加_【20091218】千里導入明細資料_２１年度分（ネットワーク敷設）" xfId="2549" xr:uid="{00000000-0005-0000-0000-0000B3090000}"/>
    <cellStyle name="_【20090608】千里導入明細資料_２１年度分_【20090715】千里導入明細資料_２１年度分（９月工事分）_fj_【20090721】千里導入明細資料_２１年度分（９月工事分）_ETERNUS追加_【20091218】千里導入明細資料_２１年度分（ネットワーク敷設） 2" xfId="2550" xr:uid="{00000000-0005-0000-0000-0000B4090000}"/>
    <cellStyle name="_【20090608】千里導入明細資料_２１年度分_【20090715】千里導入明細資料_２１年度分（９月工事分）_fj_【20090721】千里導入明細資料_２１年度分（９月工事分）_ETERNUS追加_【20091218】千里導入明細資料_２１年度分（ネットワーク敷設）_Ⅹ_課題と対応策_20121211" xfId="2551" xr:uid="{00000000-0005-0000-0000-0000B5090000}"/>
    <cellStyle name="_【20090608】千里導入明細資料_２１年度分_【20090715】千里導入明細資料_２１年度分（９月工事分）_fj_【20090721】千里導入明細資料_２１年度分（９月工事分）_ETERNUS追加_【20091218】千里導入明細資料_２１年度分（ネットワーク敷設）_Ⅹ_課題と対応策_20121211 2" xfId="2552" xr:uid="{00000000-0005-0000-0000-0000B6090000}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" xfId="2553" xr:uid="{00000000-0005-0000-0000-0000B7090000}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 2" xfId="2554" xr:uid="{00000000-0005-0000-0000-0000B8090000}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" xfId="2555" xr:uid="{00000000-0005-0000-0000-0000B9090000}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 2" xfId="2556" xr:uid="{00000000-0005-0000-0000-0000BA090000}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" xfId="2557" xr:uid="{00000000-0005-0000-0000-0000BB090000}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 2" xfId="2558" xr:uid="{00000000-0005-0000-0000-0000BC090000}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_Ⅹ_課題と対応策_20121211" xfId="2559" xr:uid="{00000000-0005-0000-0000-0000BD090000}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2560" xr:uid="{00000000-0005-0000-0000-0000BE090000}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Ⅹ_課題と対応策_20121211" xfId="2561" xr:uid="{00000000-0005-0000-0000-0000BF090000}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Ⅹ_課題と対応策_20121211 2" xfId="2562" xr:uid="{00000000-0005-0000-0000-0000C0090000}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" xfId="2563" xr:uid="{00000000-0005-0000-0000-0000C1090000}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 2" xfId="2564" xr:uid="{00000000-0005-0000-0000-0000C2090000}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" xfId="2565" xr:uid="{00000000-0005-0000-0000-0000C3090000}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 2" xfId="2566" xr:uid="{00000000-0005-0000-0000-0000C4090000}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_Ⅹ_課題と対応策_20121211" xfId="2567" xr:uid="{00000000-0005-0000-0000-0000C5090000}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_Ⅹ_課題と対応策_20121211 2" xfId="2568" xr:uid="{00000000-0005-0000-0000-0000C6090000}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Ⅹ_課題と対応策_20121211" xfId="2569" xr:uid="{00000000-0005-0000-0000-0000C7090000}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Ⅹ_課題と対応策_20121211 2" xfId="2570" xr:uid="{00000000-0005-0000-0000-0000C8090000}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Ⅹ_課題と対応策_20121211" xfId="2571" xr:uid="{00000000-0005-0000-0000-0000C9090000}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Ⅹ_課題と対応策_20121211 2" xfId="2572" xr:uid="{00000000-0005-0000-0000-0000CA090000}"/>
    <cellStyle name="_【20090608】千里導入明細資料_２１年度分_【20090715】千里導入明細資料_２１年度分（９月工事分）_fj_【20090721】千里導入明細資料_２１年度分（９月工事分）_ETERNUS追加_【20091225】千里導入明細資料_２２年度上期分" xfId="2573" xr:uid="{00000000-0005-0000-0000-0000CB090000}"/>
    <cellStyle name="_【20090608】千里導入明細資料_２１年度分_【20090715】千里導入明細資料_２１年度分（９月工事分）_fj_【20090721】千里導入明細資料_２１年度分（９月工事分）_ETERNUS追加_【20091225】千里導入明細資料_２２年度上期分 2" xfId="2574" xr:uid="{00000000-0005-0000-0000-0000CC090000}"/>
    <cellStyle name="_【20090608】千里導入明細資料_２１年度分_【20090715】千里導入明細資料_２１年度分（９月工事分）_fj_【20090721】千里導入明細資料_２１年度分（９月工事分）_ETERNUS追加_【20091225】千里導入明細資料_２２年度上期分_Ⅹ_課題と対応策_20121211" xfId="2575" xr:uid="{00000000-0005-0000-0000-0000CD090000}"/>
    <cellStyle name="_【20090608】千里導入明細資料_２１年度分_【20090715】千里導入明細資料_２１年度分（９月工事分）_fj_【20090721】千里導入明細資料_２１年度分（９月工事分）_ETERNUS追加_【20091225】千里導入明細資料_２２年度上期分_Ⅹ_課題と対応策_20121211 2" xfId="2576" xr:uid="{00000000-0005-0000-0000-0000CE090000}"/>
    <cellStyle name="_【20090608】千里導入明細資料_２１年度分_【20090715】千里導入明細資料_２１年度分（９月工事分）_fj_【20090721】千里導入明細資料_２１年度分（９月工事分）_ETERNUS追加_【20091225】千里導入明細資料_２２年度上期分_営業店DB" xfId="2577" xr:uid="{00000000-0005-0000-0000-0000CF090000}"/>
    <cellStyle name="_【20090608】千里導入明細資料_２１年度分_【20090715】千里導入明細資料_２１年度分（９月工事分）_fj_【20090721】千里導入明細資料_２１年度分（９月工事分）_ETERNUS追加_【20091225】千里導入明細資料_２２年度上期分_営業店DB 2" xfId="2578" xr:uid="{00000000-0005-0000-0000-0000D0090000}"/>
    <cellStyle name="_【20090608】千里導入明細資料_２１年度分_【20090715】千里導入明細資料_２１年度分（９月工事分）_fj_【20090721】千里導入明細資料_２１年度分（９月工事分）_ETERNUS追加_【20091225】千里導入明細資料_２２年度上期分_営業店DB_Ⅹ_課題と対応策_20121211" xfId="2579" xr:uid="{00000000-0005-0000-0000-0000D1090000}"/>
    <cellStyle name="_【20090608】千里導入明細資料_２１年度分_【20090715】千里導入明細資料_２１年度分（９月工事分）_fj_【20090721】千里導入明細資料_２１年度分（９月工事分）_ETERNUS追加_【20091225】千里導入明細資料_２２年度上期分_営業店DB_Ⅹ_課題と対応策_20121211 2" xfId="2580" xr:uid="{00000000-0005-0000-0000-0000D2090000}"/>
    <cellStyle name="_【20090608】千里導入明細資料_２１年度分_【20090715】千里導入明細資料_２１年度分（９月工事分）_fj_【20090721】千里導入明細資料_２１年度分（９月工事分）_ETERNUS追加_【20091225】千里導入明細資料_２２年度上期分_連携DB" xfId="2581" xr:uid="{00000000-0005-0000-0000-0000D3090000}"/>
    <cellStyle name="_【20090608】千里導入明細資料_２１年度分_【20090715】千里導入明細資料_２１年度分（９月工事分）_fj_【20090721】千里導入明細資料_２１年度分（９月工事分）_ETERNUS追加_【20091225】千里導入明細資料_２２年度上期分_連携DB 2" xfId="2582" xr:uid="{00000000-0005-0000-0000-0000D4090000}"/>
    <cellStyle name="_【20090608】千里導入明細資料_２１年度分_【20090715】千里導入明細資料_２１年度分（９月工事分）_fj_【20090721】千里導入明細資料_２１年度分（９月工事分）_ETERNUS追加_【20091225】千里導入明細資料_２２年度上期分_連携DB_Ⅹ_課題と対応策_20121211" xfId="2583" xr:uid="{00000000-0005-0000-0000-0000D5090000}"/>
    <cellStyle name="_【20090608】千里導入明細資料_２１年度分_【20090715】千里導入明細資料_２１年度分（９月工事分）_fj_【20090721】千里導入明細資料_２１年度分（９月工事分）_ETERNUS追加_【20091225】千里導入明細資料_２２年度上期分_連携DB_Ⅹ_課題と対応策_20121211 2" xfId="2584" xr:uid="{00000000-0005-0000-0000-0000D6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" xfId="2585" xr:uid="{00000000-0005-0000-0000-0000D7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 2" xfId="2586" xr:uid="{00000000-0005-0000-0000-0000D8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（為替分）" xfId="2587" xr:uid="{00000000-0005-0000-0000-0000D9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（為替分） 2" xfId="2588" xr:uid="{00000000-0005-0000-0000-0000DA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（為替分）_Ⅹ_課題と対応策_20121211" xfId="2589" xr:uid="{00000000-0005-0000-0000-0000DB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（為替分）_Ⅹ_課題と対応策_20121211 2" xfId="2590" xr:uid="{00000000-0005-0000-0000-0000DC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" xfId="2591" xr:uid="{00000000-0005-0000-0000-0000DD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 2" xfId="2592" xr:uid="{00000000-0005-0000-0000-0000DE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" xfId="2593" xr:uid="{00000000-0005-0000-0000-0000DF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 2" xfId="2594" xr:uid="{00000000-0005-0000-0000-0000E0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_Ⅹ_課題と対応策_20121211" xfId="2595" xr:uid="{00000000-0005-0000-0000-0000E1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_Ⅹ_課題と対応策_20121211 2" xfId="2596" xr:uid="{00000000-0005-0000-0000-0000E2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Ⅹ_課題と対応策_20121211" xfId="2597" xr:uid="{00000000-0005-0000-0000-0000E3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Ⅹ_課題と対応策_20121211 2" xfId="2598" xr:uid="{00000000-0005-0000-0000-0000E4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" xfId="2599" xr:uid="{00000000-0005-0000-0000-0000E5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 2" xfId="2600" xr:uid="{00000000-0005-0000-0000-0000E6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" xfId="2601" xr:uid="{00000000-0005-0000-0000-0000E7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 2" xfId="2602" xr:uid="{00000000-0005-0000-0000-0000E8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_Ⅹ_課題と対応策_20121211" xfId="2603" xr:uid="{00000000-0005-0000-0000-0000E9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_Ⅹ_課題と対応策_20121211 2" xfId="2604" xr:uid="{00000000-0005-0000-0000-0000EA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Ⅹ_課題と対応策_20121211" xfId="2605" xr:uid="{00000000-0005-0000-0000-0000EB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Ⅹ_課題と対応策_20121211 2" xfId="2606" xr:uid="{00000000-0005-0000-0000-0000EC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" xfId="2607" xr:uid="{00000000-0005-0000-0000-0000ED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 2" xfId="2608" xr:uid="{00000000-0005-0000-0000-0000EE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" xfId="2609" xr:uid="{00000000-0005-0000-0000-0000EF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 2" xfId="2610" xr:uid="{00000000-0005-0000-0000-0000F0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_Ⅹ_課題と対応策_20121211" xfId="2611" xr:uid="{00000000-0005-0000-0000-0000F1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_Ⅹ_課題と対応策_20121211 2" xfId="2612" xr:uid="{00000000-0005-0000-0000-0000F2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Ⅹ_課題と対応策_20121211" xfId="2613" xr:uid="{00000000-0005-0000-0000-0000F3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Ⅹ_課題と対応策_20121211 2" xfId="2614" xr:uid="{00000000-0005-0000-0000-0000F4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Ⅹ_課題と対応策_20121211" xfId="2615" xr:uid="{00000000-0005-0000-0000-0000F5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Ⅹ_課題と対応策_20121211 2" xfId="2616" xr:uid="{00000000-0005-0000-0000-0000F6090000}"/>
    <cellStyle name="_【20090608】千里導入明細資料_２１年度分_【20090715】千里導入明細資料_２１年度分（９月工事分）_fj_【20090721】千里導入明細資料_２１年度分（９月工事分）_ETERNUS追加_【調整中】千里導入明細資料_２２年度上期分_fj_20100127" xfId="2617" xr:uid="{00000000-0005-0000-0000-0000F7090000}"/>
    <cellStyle name="_【20090608】千里導入明細資料_２１年度分_【20090715】千里導入明細資料_２１年度分（９月工事分）_fj_【20090721】千里導入明細資料_２１年度分（９月工事分）_ETERNUS追加_【調整中】千里導入明細資料_２２年度上期分_fj_20100127 2" xfId="2618" xr:uid="{00000000-0005-0000-0000-0000F8090000}"/>
    <cellStyle name="_【20090608】千里導入明細資料_２１年度分_【20090715】千里導入明細資料_２１年度分（９月工事分）_fj_【20090721】千里導入明細資料_２１年度分（９月工事分）_ETERNUS追加_【調整中】千里導入明細資料_２２年度上期分_fj_20100127_Ⅹ_課題と対応策_20121211" xfId="2619" xr:uid="{00000000-0005-0000-0000-0000F9090000}"/>
    <cellStyle name="_【20090608】千里導入明細資料_２１年度分_【20090715】千里導入明細資料_２１年度分（９月工事分）_fj_【20090721】千里導入明細資料_２１年度分（９月工事分）_ETERNUS追加_【調整中】千里導入明細資料_２２年度上期分_fj_20100127_Ⅹ_課題と対応策_20121211 2" xfId="2620" xr:uid="{00000000-0005-0000-0000-0000FA090000}"/>
    <cellStyle name="_【20090608】千里導入明細資料_２１年度分_【20090715】千里導入明細資料_２１年度分（９月工事分）_fj_【20090721】千里導入明細資料_２１年度分（９月工事分）_ETERNUS追加_①【20091225】千里導入明細資料_２２年度上期1分)" xfId="2621" xr:uid="{00000000-0005-0000-0000-0000FB090000}"/>
    <cellStyle name="_【20090608】千里導入明細資料_２１年度分_【20090715】千里導入明細資料_２１年度分（９月工事分）_fj_【20090721】千里導入明細資料_２１年度分（９月工事分）_ETERNUS追加_①【20091225】千里導入明細資料_２２年度上期1分) 2" xfId="2622" xr:uid="{00000000-0005-0000-0000-0000FC090000}"/>
    <cellStyle name="_【20090608】千里導入明細資料_２１年度分_【20090715】千里導入明細資料_２１年度分（９月工事分）_fj_【20090721】千里導入明細資料_２１年度分（９月工事分）_ETERNUS追加_①【20091225】千里導入明細資料_２２年度上期1分)_Ⅹ_課題と対応策_20121211" xfId="2623" xr:uid="{00000000-0005-0000-0000-0000FD090000}"/>
    <cellStyle name="_【20090608】千里導入明細資料_２１年度分_【20090715】千里導入明細資料_２１年度分（９月工事分）_fj_【20090721】千里導入明細資料_２１年度分（９月工事分）_ETERNUS追加_①【20091225】千里導入明細資料_２２年度上期1分)_Ⅹ_課題と対応策_20121211 2" xfId="2624" xr:uid="{00000000-0005-0000-0000-0000FE090000}"/>
    <cellStyle name="_【20090608】千里導入明細資料_２１年度分_【20090715】千里導入明細資料_２１年度分（９月工事分）_fj_【20090721】千里導入明細資料_２１年度分（９月工事分）_ETERNUS追加_Ⅹ_課題と対応策_20121211" xfId="2625" xr:uid="{00000000-0005-0000-0000-0000FF090000}"/>
    <cellStyle name="_【20090608】千里導入明細資料_２１年度分_【20090715】千里導入明細資料_２１年度分（９月工事分）_fj_【20090721】千里導入明細資料_２１年度分（９月工事分）_ETERNUS追加_Ⅹ_課題と対応策_20121211 2" xfId="2626" xr:uid="{00000000-0005-0000-0000-0000000A0000}"/>
    <cellStyle name="_【20090608】千里導入明細資料_２１年度分_【20090715】千里導入明細資料_２１年度分（９月工事分）_fj_【20090721】千里導入明細資料_２１年度分（９月工事分）_ETERNUS追加_千里導入明細資料_２２年度分（ネットワーク敷設）_fj" xfId="2627" xr:uid="{00000000-0005-0000-0000-0000010A0000}"/>
    <cellStyle name="_【20090608】千里導入明細資料_２１年度分_【20090715】千里導入明細資料_２１年度分（９月工事分）_fj_【20090721】千里導入明細資料_２１年度分（９月工事分）_ETERNUS追加_千里導入明細資料_２２年度分（ネットワーク敷設）_fj 2" xfId="2628" xr:uid="{00000000-0005-0000-0000-0000020A0000}"/>
    <cellStyle name="_【20090608】千里導入明細資料_２１年度分_【20090715】千里導入明細資料_２１年度分（９月工事分）_fj_【20090721】千里導入明細資料_２１年度分（９月工事分）_ETERNUS追加_千里導入明細資料_２２年度分（ネットワーク敷設）_fj_Ⅹ_課題と対応策_20121211" xfId="2629" xr:uid="{00000000-0005-0000-0000-0000030A0000}"/>
    <cellStyle name="_【20090608】千里導入明細資料_２１年度分_【20090715】千里導入明細資料_２１年度分（９月工事分）_fj_【20090721】千里導入明細資料_２１年度分（９月工事分）_ETERNUS追加_千里導入明細資料_２２年度分（ネットワーク敷設）_fj_Ⅹ_課題と対応策_20121211 2" xfId="2630" xr:uid="{00000000-0005-0000-0000-0000040A0000}"/>
    <cellStyle name="_【20090608】千里導入明細資料_２１年度分_【20090715】千里導入明細資料_２１年度分（９月工事分）_fj_【20090721】千里導入明細資料_２１年度分_【20091218】千里導入明細資料_２１年度分（ネットワーク敷設）" xfId="2631" xr:uid="{00000000-0005-0000-0000-0000050A0000}"/>
    <cellStyle name="_【20090608】千里導入明細資料_２１年度分_【20090715】千里導入明細資料_２１年度分（９月工事分）_fj_【20090721】千里導入明細資料_２１年度分_【20091218】千里導入明細資料_２１年度分（ネットワーク敷設） 2" xfId="2632" xr:uid="{00000000-0005-0000-0000-0000060A0000}"/>
    <cellStyle name="_【20090608】千里導入明細資料_２１年度分_【20090715】千里導入明細資料_２１年度分（９月工事分）_fj_【20090721】千里導入明細資料_２１年度分_【20091218】千里導入明細資料_２１年度分（ネットワーク敷設）_Ⅹ_課題と対応策_20121211" xfId="2633" xr:uid="{00000000-0005-0000-0000-0000070A0000}"/>
    <cellStyle name="_【20090608】千里導入明細資料_２１年度分_【20090715】千里導入明細資料_２１年度分（９月工事分）_fj_【20090721】千里導入明細資料_２１年度分_【20091218】千里導入明細資料_２１年度分（ネットワーク敷設）_Ⅹ_課題と対応策_20121211 2" xfId="2634" xr:uid="{00000000-0005-0000-0000-0000080A0000}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" xfId="2635" xr:uid="{00000000-0005-0000-0000-0000090A0000}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 2" xfId="2636" xr:uid="{00000000-0005-0000-0000-00000A0A0000}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" xfId="2637" xr:uid="{00000000-0005-0000-0000-00000B0A0000}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 2" xfId="2638" xr:uid="{00000000-0005-0000-0000-00000C0A0000}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" xfId="2639" xr:uid="{00000000-0005-0000-0000-00000D0A0000}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 2" xfId="2640" xr:uid="{00000000-0005-0000-0000-00000E0A0000}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_Ⅹ_課題と対応策_20121211" xfId="2641" xr:uid="{00000000-0005-0000-0000-00000F0A0000}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2642" xr:uid="{00000000-0005-0000-0000-0000100A0000}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Ⅹ_課題と対応策_20121211" xfId="2643" xr:uid="{00000000-0005-0000-0000-0000110A0000}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Ⅹ_課題と対応策_20121211 2" xfId="2644" xr:uid="{00000000-0005-0000-0000-0000120A0000}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" xfId="2645" xr:uid="{00000000-0005-0000-0000-0000130A0000}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 2" xfId="2646" xr:uid="{00000000-0005-0000-0000-0000140A0000}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" xfId="2647" xr:uid="{00000000-0005-0000-0000-0000150A0000}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 2" xfId="2648" xr:uid="{00000000-0005-0000-0000-0000160A0000}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_Ⅹ_課題と対応策_20121211" xfId="2649" xr:uid="{00000000-0005-0000-0000-0000170A0000}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_Ⅹ_課題と対応策_20121211 2" xfId="2650" xr:uid="{00000000-0005-0000-0000-0000180A0000}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Ⅹ_課題と対応策_20121211" xfId="2651" xr:uid="{00000000-0005-0000-0000-0000190A0000}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Ⅹ_課題と対応策_20121211 2" xfId="2652" xr:uid="{00000000-0005-0000-0000-00001A0A0000}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Ⅹ_課題と対応策_20121211" xfId="2653" xr:uid="{00000000-0005-0000-0000-00001B0A0000}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Ⅹ_課題と対応策_20121211 2" xfId="2654" xr:uid="{00000000-0005-0000-0000-00001C0A0000}"/>
    <cellStyle name="_【20090608】千里導入明細資料_２１年度分_【20090715】千里導入明細資料_２１年度分（９月工事分）_fj_【20090721】千里導入明細資料_２１年度分_【20091225】千里導入明細資料_２２年度上期分" xfId="2655" xr:uid="{00000000-0005-0000-0000-00001D0A0000}"/>
    <cellStyle name="_【20090608】千里導入明細資料_２１年度分_【20090715】千里導入明細資料_２１年度分（９月工事分）_fj_【20090721】千里導入明細資料_２１年度分_【20091225】千里導入明細資料_２２年度上期分 2" xfId="2656" xr:uid="{00000000-0005-0000-0000-00001E0A0000}"/>
    <cellStyle name="_【20090608】千里導入明細資料_２１年度分_【20090715】千里導入明細資料_２１年度分（９月工事分）_fj_【20090721】千里導入明細資料_２１年度分_【20091225】千里導入明細資料_２２年度上期分_Ⅹ_課題と対応策_20121211" xfId="2657" xr:uid="{00000000-0005-0000-0000-00001F0A0000}"/>
    <cellStyle name="_【20090608】千里導入明細資料_２１年度分_【20090715】千里導入明細資料_２１年度分（９月工事分）_fj_【20090721】千里導入明細資料_２１年度分_【20091225】千里導入明細資料_２２年度上期分_Ⅹ_課題と対応策_20121211 2" xfId="2658" xr:uid="{00000000-0005-0000-0000-0000200A0000}"/>
    <cellStyle name="_【20090608】千里導入明細資料_２１年度分_【20090715】千里導入明細資料_２１年度分（９月工事分）_fj_【20090721】千里導入明細資料_２１年度分_【20091225】千里導入明細資料_２２年度上期分_営業店DB" xfId="2659" xr:uid="{00000000-0005-0000-0000-0000210A0000}"/>
    <cellStyle name="_【20090608】千里導入明細資料_２１年度分_【20090715】千里導入明細資料_２１年度分（９月工事分）_fj_【20090721】千里導入明細資料_２１年度分_【20091225】千里導入明細資料_２２年度上期分_営業店DB 2" xfId="2660" xr:uid="{00000000-0005-0000-0000-0000220A0000}"/>
    <cellStyle name="_【20090608】千里導入明細資料_２１年度分_【20090715】千里導入明細資料_２１年度分（９月工事分）_fj_【20090721】千里導入明細資料_２１年度分_【20091225】千里導入明細資料_２２年度上期分_営業店DB_Ⅹ_課題と対応策_20121211" xfId="2661" xr:uid="{00000000-0005-0000-0000-0000230A0000}"/>
    <cellStyle name="_【20090608】千里導入明細資料_２１年度分_【20090715】千里導入明細資料_２１年度分（９月工事分）_fj_【20090721】千里導入明細資料_２１年度分_【20091225】千里導入明細資料_２２年度上期分_営業店DB_Ⅹ_課題と対応策_20121211 2" xfId="2662" xr:uid="{00000000-0005-0000-0000-0000240A0000}"/>
    <cellStyle name="_【20090608】千里導入明細資料_２１年度分_【20090715】千里導入明細資料_２１年度分（９月工事分）_fj_【20090721】千里導入明細資料_２１年度分_【20091225】千里導入明細資料_２２年度上期分_連携DB" xfId="2663" xr:uid="{00000000-0005-0000-0000-0000250A0000}"/>
    <cellStyle name="_【20090608】千里導入明細資料_２１年度分_【20090715】千里導入明細資料_２１年度分（９月工事分）_fj_【20090721】千里導入明細資料_２１年度分_【20091225】千里導入明細資料_２２年度上期分_連携DB 2" xfId="2664" xr:uid="{00000000-0005-0000-0000-0000260A0000}"/>
    <cellStyle name="_【20090608】千里導入明細資料_２１年度分_【20090715】千里導入明細資料_２１年度分（９月工事分）_fj_【20090721】千里導入明細資料_２１年度分_【20091225】千里導入明細資料_２２年度上期分_連携DB_Ⅹ_課題と対応策_20121211" xfId="2665" xr:uid="{00000000-0005-0000-0000-0000270A0000}"/>
    <cellStyle name="_【20090608】千里導入明細資料_２１年度分_【20090715】千里導入明細資料_２１年度分（９月工事分）_fj_【20090721】千里導入明細資料_２１年度分_【20091225】千里導入明細資料_２２年度上期分_連携DB_Ⅹ_課題と対応策_20121211 2" xfId="2666" xr:uid="{00000000-0005-0000-0000-000028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" xfId="2667" xr:uid="{00000000-0005-0000-0000-000029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 2" xfId="2668" xr:uid="{00000000-0005-0000-0000-00002A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（為替分）" xfId="2669" xr:uid="{00000000-0005-0000-0000-00002B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（為替分） 2" xfId="2670" xr:uid="{00000000-0005-0000-0000-00002C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（為替分）_Ⅹ_課題と対応策_20121211" xfId="2671" xr:uid="{00000000-0005-0000-0000-00002D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（為替分）_Ⅹ_課題と対応策_20121211 2" xfId="2672" xr:uid="{00000000-0005-0000-0000-00002E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" xfId="2673" xr:uid="{00000000-0005-0000-0000-00002F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 2" xfId="2674" xr:uid="{00000000-0005-0000-0000-000030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" xfId="2675" xr:uid="{00000000-0005-0000-0000-000031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 2" xfId="2676" xr:uid="{00000000-0005-0000-0000-000032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_Ⅹ_課題と対応策_20121211" xfId="2677" xr:uid="{00000000-0005-0000-0000-000033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_Ⅹ_課題と対応策_20121211 2" xfId="2678" xr:uid="{00000000-0005-0000-0000-000034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Ⅹ_課題と対応策_20121211" xfId="2679" xr:uid="{00000000-0005-0000-0000-000035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Ⅹ_課題と対応策_20121211 2" xfId="2680" xr:uid="{00000000-0005-0000-0000-000036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営業店DB" xfId="2681" xr:uid="{00000000-0005-0000-0000-000037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営業店DB 2" xfId="2682" xr:uid="{00000000-0005-0000-0000-000038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" xfId="2683" xr:uid="{00000000-0005-0000-0000-000039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 2" xfId="2684" xr:uid="{00000000-0005-0000-0000-00003A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_Ⅹ_課題と対応策_20121211" xfId="2685" xr:uid="{00000000-0005-0000-0000-00003B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_Ⅹ_課題と対応策_20121211 2" xfId="2686" xr:uid="{00000000-0005-0000-0000-00003C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営業店DB_Ⅹ_課題と対応策_20121211" xfId="2687" xr:uid="{00000000-0005-0000-0000-00003D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営業店DB_Ⅹ_課題と対応策_20121211 2" xfId="2688" xr:uid="{00000000-0005-0000-0000-00003E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連携DB" xfId="2689" xr:uid="{00000000-0005-0000-0000-00003F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連携DB 2" xfId="2690" xr:uid="{00000000-0005-0000-0000-000040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" xfId="2691" xr:uid="{00000000-0005-0000-0000-000041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 2" xfId="2692" xr:uid="{00000000-0005-0000-0000-000042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_Ⅹ_課題と対応策_20121211" xfId="2693" xr:uid="{00000000-0005-0000-0000-000043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_Ⅹ_課題と対応策_20121211 2" xfId="2694" xr:uid="{00000000-0005-0000-0000-000044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連携DB_Ⅹ_課題と対応策_20121211" xfId="2695" xr:uid="{00000000-0005-0000-0000-000045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連携DB_Ⅹ_課題と対応策_20121211 2" xfId="2696" xr:uid="{00000000-0005-0000-0000-000046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Ⅹ_課題と対応策_20121211" xfId="2697" xr:uid="{00000000-0005-0000-0000-000047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Ⅹ_課題と対応策_20121211 2" xfId="2698" xr:uid="{00000000-0005-0000-0000-0000480A0000}"/>
    <cellStyle name="_【20090608】千里導入明細資料_２１年度分_【20090715】千里導入明細資料_２１年度分（９月工事分）_fj_【20090721】千里導入明細資料_２１年度分_【調整中】千里導入明細資料_２２年度上期分_fj_20100127" xfId="2699" xr:uid="{00000000-0005-0000-0000-0000490A0000}"/>
    <cellStyle name="_【20090608】千里導入明細資料_２１年度分_【20090715】千里導入明細資料_２１年度分（９月工事分）_fj_【20090721】千里導入明細資料_２１年度分_【調整中】千里導入明細資料_２２年度上期分_fj_20100127 2" xfId="2700" xr:uid="{00000000-0005-0000-0000-00004A0A0000}"/>
    <cellStyle name="_【20090608】千里導入明細資料_２１年度分_【20090715】千里導入明細資料_２１年度分（９月工事分）_fj_【20090721】千里導入明細資料_２１年度分_【調整中】千里導入明細資料_２２年度上期分_fj_20100127_Ⅹ_課題と対応策_20121211" xfId="2701" xr:uid="{00000000-0005-0000-0000-00004B0A0000}"/>
    <cellStyle name="_【20090608】千里導入明細資料_２１年度分_【20090715】千里導入明細資料_２１年度分（９月工事分）_fj_【20090721】千里導入明細資料_２１年度分_【調整中】千里導入明細資料_２２年度上期分_fj_20100127_Ⅹ_課題と対応策_20121211 2" xfId="2702" xr:uid="{00000000-0005-0000-0000-00004C0A0000}"/>
    <cellStyle name="_【20090608】千里導入明細資料_２１年度分_【20090715】千里導入明細資料_２１年度分（９月工事分）_fj_【20090721】千里導入明細資料_２１年度分_①【20091225】千里導入明細資料_２２年度上期1分)" xfId="2703" xr:uid="{00000000-0005-0000-0000-00004D0A0000}"/>
    <cellStyle name="_【20090608】千里導入明細資料_２１年度分_【20090715】千里導入明細資料_２１年度分（９月工事分）_fj_【20090721】千里導入明細資料_２１年度分_①【20091225】千里導入明細資料_２２年度上期1分) 2" xfId="2704" xr:uid="{00000000-0005-0000-0000-00004E0A0000}"/>
    <cellStyle name="_【20090608】千里導入明細資料_２１年度分_【20090715】千里導入明細資料_２１年度分（９月工事分）_fj_【20090721】千里導入明細資料_２１年度分_①【20091225】千里導入明細資料_２２年度上期1分)_Ⅹ_課題と対応策_20121211" xfId="2705" xr:uid="{00000000-0005-0000-0000-00004F0A0000}"/>
    <cellStyle name="_【20090608】千里導入明細資料_２１年度分_【20090715】千里導入明細資料_２１年度分（９月工事分）_fj_【20090721】千里導入明細資料_２１年度分_①【20091225】千里導入明細資料_２２年度上期1分)_Ⅹ_課題と対応策_20121211 2" xfId="2706" xr:uid="{00000000-0005-0000-0000-0000500A0000}"/>
    <cellStyle name="_【20090608】千里導入明細資料_２１年度分_【20090715】千里導入明細資料_２１年度分（９月工事分）_fj_【20090721】千里導入明細資料_２１年度分_Ⅹ_課題と対応策_20121211" xfId="2707" xr:uid="{00000000-0005-0000-0000-0000510A0000}"/>
    <cellStyle name="_【20090608】千里導入明細資料_２１年度分_【20090715】千里導入明細資料_２１年度分（９月工事分）_fj_【20090721】千里導入明細資料_２１年度分_Ⅹ_課題と対応策_20121211 2" xfId="2708" xr:uid="{00000000-0005-0000-0000-0000520A0000}"/>
    <cellStyle name="_【20090608】千里導入明細資料_２１年度分_【20090715】千里導入明細資料_２１年度分（９月工事分）_fj_【20090721】千里導入明細資料_２１年度分_千里導入明細資料_２２年度分（ネットワーク敷設）_fj" xfId="2709" xr:uid="{00000000-0005-0000-0000-0000530A0000}"/>
    <cellStyle name="_【20090608】千里導入明細資料_２１年度分_【20090715】千里導入明細資料_２１年度分（９月工事分）_fj_【20090721】千里導入明細資料_２１年度分_千里導入明細資料_２２年度分（ネットワーク敷設）_fj 2" xfId="2710" xr:uid="{00000000-0005-0000-0000-0000540A0000}"/>
    <cellStyle name="_【20090608】千里導入明細資料_２１年度分_【20090715】千里導入明細資料_２１年度分（９月工事分）_fj_【20090721】千里導入明細資料_２１年度分_千里導入明細資料_２２年度分（ネットワーク敷設）_fj_Ⅹ_課題と対応策_20121211" xfId="2711" xr:uid="{00000000-0005-0000-0000-0000550A0000}"/>
    <cellStyle name="_【20090608】千里導入明細資料_２１年度分_【20090715】千里導入明細資料_２１年度分（９月工事分）_fj_【20090721】千里導入明細資料_２１年度分_千里導入明細資料_２２年度分（ネットワーク敷設）_fj_Ⅹ_課題と対応策_20121211 2" xfId="2712" xr:uid="{00000000-0005-0000-0000-0000560A0000}"/>
    <cellStyle name="_【20090608】千里導入明細資料_２１年度分_【20090715】千里導入明細資料_２１年度分（９月工事分）_fj_【20090821】千里ラック搭載図（NW機器）" xfId="2713" xr:uid="{00000000-0005-0000-0000-0000570A0000}"/>
    <cellStyle name="_【20090608】千里導入明細資料_２１年度分_【20090715】千里導入明細資料_２１年度分（９月工事分）_fj_【20090821】千里ラック搭載図（NW機器） 2" xfId="2714" xr:uid="{00000000-0005-0000-0000-0000580A0000}"/>
    <cellStyle name="_【20090608】千里導入明細資料_２１年度分_【20090715】千里導入明細資料_２１年度分（９月工事分）_fj_【20090821】千里ラック搭載図（NW機器）_Ⅹ_課題と対応策_20121211" xfId="2715" xr:uid="{00000000-0005-0000-0000-0000590A0000}"/>
    <cellStyle name="_【20090608】千里導入明細資料_２１年度分_【20090715】千里導入明細資料_２１年度分（９月工事分）_fj_【20090821】千里ラック搭載図（NW機器）_Ⅹ_課題と対応策_20121211 2" xfId="2716" xr:uid="{00000000-0005-0000-0000-00005A0A0000}"/>
    <cellStyle name="_【20090608】千里導入明細資料_２１年度分_【20090715】千里導入明細資料_２１年度分（９月工事分）_fj_【20091207】千里導入明細資料_２１年度分（ネットワーク敷設）" xfId="2717" xr:uid="{00000000-0005-0000-0000-00005B0A0000}"/>
    <cellStyle name="_【20090608】千里導入明細資料_２１年度分_【20090715】千里導入明細資料_２１年度分（９月工事分）_fj_【20091207】千里導入明細資料_２１年度分（ネットワーク敷設） 2" xfId="2718" xr:uid="{00000000-0005-0000-0000-00005C0A0000}"/>
    <cellStyle name="_【20090608】千里導入明細資料_２１年度分_【20090715】千里導入明細資料_２１年度分（９月工事分）_fj_【20091207】千里導入明細資料_２１年度分（ネットワーク敷設）_【20091218】千里導入明細資料_２１年度分（ネットワーク敷設）" xfId="2719" xr:uid="{00000000-0005-0000-0000-00005D0A0000}"/>
    <cellStyle name="_【20090608】千里導入明細資料_２１年度分_【20090715】千里導入明細資料_２１年度分（９月工事分）_fj_【20091207】千里導入明細資料_２１年度分（ネットワーク敷設）_【20091218】千里導入明細資料_２１年度分（ネットワーク敷設） 2" xfId="2720" xr:uid="{00000000-0005-0000-0000-00005E0A0000}"/>
    <cellStyle name="_【20090608】千里導入明細資料_２１年度分_【20090715】千里導入明細資料_２１年度分（９月工事分）_fj_【20091207】千里導入明細資料_２１年度分（ネットワーク敷設）_【20091218】千里導入明細資料_２１年度分（ネットワーク敷設）_Ⅹ_課題と対応策_20121211" xfId="2721" xr:uid="{00000000-0005-0000-0000-00005F0A0000}"/>
    <cellStyle name="_【20090608】千里導入明細資料_２１年度分_【20090715】千里導入明細資料_２１年度分（９月工事分）_fj_【20091207】千里導入明細資料_２１年度分（ネットワーク敷設）_【20091218】千里導入明細資料_２１年度分（ネットワーク敷設）_Ⅹ_課題と対応策_20121211 2" xfId="2722" xr:uid="{00000000-0005-0000-0000-0000600A0000}"/>
    <cellStyle name="_【20090608】千里導入明細資料_２１年度分_【20090715】千里導入明細資料_２１年度分（９月工事分）_fj_【20091207】千里導入明細資料_２１年度分（ネットワーク敷設）_Ⅹ_課題と対応策_20121211" xfId="2723" xr:uid="{00000000-0005-0000-0000-0000610A0000}"/>
    <cellStyle name="_【20090608】千里導入明細資料_２１年度分_【20090715】千里導入明細資料_２１年度分（９月工事分）_fj_【20091207】千里導入明細資料_２１年度分（ネットワーク敷設）_Ⅹ_課題と対応策_20121211 2" xfId="2724" xr:uid="{00000000-0005-0000-0000-0000620A0000}"/>
    <cellStyle name="_【20090608】千里導入明細資料_２１年度分_【20090715】千里導入明細資料_２１年度分（９月工事分）_fj_【20091207】千里導入明細資料_２１年度分（ネットワーク敷設）_千里導入明細資料_２２年度分（ネットワーク敷設）_fj" xfId="2725" xr:uid="{00000000-0005-0000-0000-0000630A0000}"/>
    <cellStyle name="_【20090608】千里導入明細資料_２１年度分_【20090715】千里導入明細資料_２１年度分（９月工事分）_fj_【20091207】千里導入明細資料_２１年度分（ネットワーク敷設）_千里導入明細資料_２２年度分（ネットワーク敷設）_fj 2" xfId="2726" xr:uid="{00000000-0005-0000-0000-0000640A0000}"/>
    <cellStyle name="_【20090608】千里導入明細資料_２１年度分_【20090715】千里導入明細資料_２１年度分（９月工事分）_fj_【20091207】千里導入明細資料_２１年度分（ネットワーク敷設）_千里導入明細資料_２２年度分（ネットワーク敷設）_fj_Ⅹ_課題と対応策_20121211" xfId="2727" xr:uid="{00000000-0005-0000-0000-0000650A0000}"/>
    <cellStyle name="_【20090608】千里導入明細資料_２１年度分_【20090715】千里導入明細資料_２１年度分（９月工事分）_fj_【20091207】千里導入明細資料_２１年度分（ネットワーク敷設）_千里導入明細資料_２２年度分（ネットワーク敷設）_fj_Ⅹ_課題と対応策_20121211 2" xfId="2728" xr:uid="{00000000-0005-0000-0000-0000660A0000}"/>
    <cellStyle name="_【20090608】千里導入明細資料_２１年度分_【20090715】千里導入明細資料_２１年度分（９月工事分）_fj_【20091225】千里導入明細資料_２２年度上期分（営業店ＡＰ－ＤＢ）" xfId="2729" xr:uid="{00000000-0005-0000-0000-0000670A0000}"/>
    <cellStyle name="_【20090608】千里導入明細資料_２１年度分_【20090715】千里導入明細資料_２１年度分（９月工事分）_fj_【20091225】千里導入明細資料_２２年度上期分（営業店ＡＰ－ＤＢ） 2" xfId="2730" xr:uid="{00000000-0005-0000-0000-0000680A0000}"/>
    <cellStyle name="_【20090608】千里導入明細資料_２１年度分_【20090715】千里導入明細資料_２１年度分（９月工事分）_fj_【20091225】千里導入明細資料_２２年度上期分（営業店ＡＰ－ＤＢ）_【調整中】千里導入明細資料_２２年度上期分_fj_20100127" xfId="2731" xr:uid="{00000000-0005-0000-0000-0000690A0000}"/>
    <cellStyle name="_【20090608】千里導入明細資料_２１年度分_【20090715】千里導入明細資料_２１年度分（９月工事分）_fj_【20091225】千里導入明細資料_２２年度上期分（営業店ＡＰ－ＤＢ）_【調整中】千里導入明細資料_２２年度上期分_fj_20100127 2" xfId="2732" xr:uid="{00000000-0005-0000-0000-00006A0A0000}"/>
    <cellStyle name="_【20090608】千里導入明細資料_２１年度分_【20090715】千里導入明細資料_２１年度分（９月工事分）_fj_【20091225】千里導入明細資料_２２年度上期分（営業店ＡＰ－ＤＢ）_【調整中】千里導入明細資料_２２年度上期分_fj_20100127_Ⅹ_課題と対応策_20121211" xfId="2733" xr:uid="{00000000-0005-0000-0000-00006B0A0000}"/>
    <cellStyle name="_【20090608】千里導入明細資料_２１年度分_【20090715】千里導入明細資料_２１年度分（９月工事分）_fj_【20091225】千里導入明細資料_２２年度上期分（営業店ＡＰ－ＤＢ）_【調整中】千里導入明細資料_２２年度上期分_fj_20100127_Ⅹ_課題と対応策_20121211 2" xfId="2734" xr:uid="{00000000-0005-0000-0000-00006C0A0000}"/>
    <cellStyle name="_【20090608】千里導入明細資料_２１年度分_【20090715】千里導入明細資料_２１年度分（９月工事分）_fj_【20091225】千里導入明細資料_２２年度上期分（営業店ＡＰ－ＤＢ）_Ⅹ_課題と対応策_20121211" xfId="2735" xr:uid="{00000000-0005-0000-0000-00006D0A0000}"/>
    <cellStyle name="_【20090608】千里導入明細資料_２１年度分_【20090715】千里導入明細資料_２１年度分（９月工事分）_fj_【20091225】千里導入明細資料_２２年度上期分（営業店ＡＰ－ＤＢ）_Ⅹ_課題と対応策_20121211 2" xfId="2736" xr:uid="{00000000-0005-0000-0000-00006E0A0000}"/>
    <cellStyle name="_【20090608】千里導入明細資料_２１年度分_【20090715】千里導入明細資料_２１年度分（９月工事分）_fj_【20091225】千里導入明細資料_２２年度上期分_営業店DB" xfId="2737" xr:uid="{00000000-0005-0000-0000-00006F0A0000}"/>
    <cellStyle name="_【20090608】千里導入明細資料_２１年度分_【20090715】千里導入明細資料_２１年度分（９月工事分）_fj_【20091225】千里導入明細資料_２２年度上期分_営業店DB 2" xfId="2738" xr:uid="{00000000-0005-0000-0000-0000700A0000}"/>
    <cellStyle name="_【20090608】千里導入明細資料_２１年度分_【20090715】千里導入明細資料_２１年度分（９月工事分）_fj_【20091225】千里導入明細資料_２２年度上期分_営業店DB_【調整中】千里導入明細資料_２２年度上期分_fj_20100127" xfId="2739" xr:uid="{00000000-0005-0000-0000-0000710A0000}"/>
    <cellStyle name="_【20090608】千里導入明細資料_２１年度分_【20090715】千里導入明細資料_２１年度分（９月工事分）_fj_【20091225】千里導入明細資料_２２年度上期分_営業店DB_【調整中】千里導入明細資料_２２年度上期分_fj_20100127 2" xfId="2740" xr:uid="{00000000-0005-0000-0000-0000720A0000}"/>
    <cellStyle name="_【20090608】千里導入明細資料_２１年度分_【20090715】千里導入明細資料_２１年度分（９月工事分）_fj_【20091225】千里導入明細資料_２２年度上期分_営業店DB_【調整中】千里導入明細資料_２２年度上期分_fj_20100127_Ⅹ_課題と対応策_20121211" xfId="2741" xr:uid="{00000000-0005-0000-0000-0000730A0000}"/>
    <cellStyle name="_【20090608】千里導入明細資料_２１年度分_【20090715】千里導入明細資料_２１年度分（９月工事分）_fj_【20091225】千里導入明細資料_２２年度上期分_営業店DB_【調整中】千里導入明細資料_２２年度上期分_fj_20100127_Ⅹ_課題と対応策_20121211 2" xfId="2742" xr:uid="{00000000-0005-0000-0000-0000740A0000}"/>
    <cellStyle name="_【20090608】千里導入明細資料_２１年度分_【20090715】千里導入明細資料_２１年度分（９月工事分）_fj_【20091225】千里導入明細資料_２２年度上期分_営業店DB_Ⅹ_課題と対応策_20121211" xfId="2743" xr:uid="{00000000-0005-0000-0000-0000750A0000}"/>
    <cellStyle name="_【20090608】千里導入明細資料_２１年度分_【20090715】千里導入明細資料_２１年度分（９月工事分）_fj_【20091225】千里導入明細資料_２２年度上期分_営業店DB_Ⅹ_課題と対応策_20121211 2" xfId="2744" xr:uid="{00000000-0005-0000-0000-0000760A0000}"/>
    <cellStyle name="_【20090608】千里導入明細資料_２１年度分_【20090715】千里導入明細資料_２１年度分（９月工事分）_fj_【20091225】千里導入明細資料_２２年度上期分_連携DB" xfId="2745" xr:uid="{00000000-0005-0000-0000-0000770A0000}"/>
    <cellStyle name="_【20090608】千里導入明細資料_２１年度分_【20090715】千里導入明細資料_２１年度分（９月工事分）_fj_【20091225】千里導入明細資料_２２年度上期分_連携DB 2" xfId="2746" xr:uid="{00000000-0005-0000-0000-0000780A0000}"/>
    <cellStyle name="_【20090608】千里導入明細資料_２１年度分_【20090715】千里導入明細資料_２１年度分（９月工事分）_fj_【20091225】千里導入明細資料_２２年度上期分_連携DB_【調整中】千里導入明細資料_２２年度上期分_fj_20100127" xfId="2747" xr:uid="{00000000-0005-0000-0000-0000790A0000}"/>
    <cellStyle name="_【20090608】千里導入明細資料_２１年度分_【20090715】千里導入明細資料_２１年度分（９月工事分）_fj_【20091225】千里導入明細資料_２２年度上期分_連携DB_【調整中】千里導入明細資料_２２年度上期分_fj_20100127 2" xfId="2748" xr:uid="{00000000-0005-0000-0000-00007A0A0000}"/>
    <cellStyle name="_【20090608】千里導入明細資料_２１年度分_【20090715】千里導入明細資料_２１年度分（９月工事分）_fj_【20091225】千里導入明細資料_２２年度上期分_連携DB_【調整中】千里導入明細資料_２２年度上期分_fj_20100127_Ⅹ_課題と対応策_20121211" xfId="2749" xr:uid="{00000000-0005-0000-0000-00007B0A0000}"/>
    <cellStyle name="_【20090608】千里導入明細資料_２１年度分_【20090715】千里導入明細資料_２１年度分（９月工事分）_fj_【20091225】千里導入明細資料_２２年度上期分_連携DB_【調整中】千里導入明細資料_２２年度上期分_fj_20100127_Ⅹ_課題と対応策_20121211 2" xfId="2750" xr:uid="{00000000-0005-0000-0000-00007C0A0000}"/>
    <cellStyle name="_【20090608】千里導入明細資料_２１年度分_【20090715】千里導入明細資料_２１年度分（９月工事分）_fj_【20091225】千里導入明細資料_２２年度上期分_連携DB_Ⅹ_課題と対応策_20121211" xfId="2751" xr:uid="{00000000-0005-0000-0000-00007D0A0000}"/>
    <cellStyle name="_【20090608】千里導入明細資料_２１年度分_【20090715】千里導入明細資料_２１年度分（９月工事分）_fj_【20091225】千里導入明細資料_２２年度上期分_連携DB_Ⅹ_課題と対応策_20121211 2" xfId="2752" xr:uid="{00000000-0005-0000-0000-00007E0A0000}"/>
    <cellStyle name="_【20090608】千里導入明細資料_２１年度分_【20090715】千里導入明細資料_２１年度分（９月工事分）_fj_【作成中】千里センター機器配置図（2010年対応分）_20091221" xfId="2753" xr:uid="{00000000-0005-0000-0000-00007F0A0000}"/>
    <cellStyle name="_【20090608】千里導入明細資料_２１年度分_【20090715】千里導入明細資料_２１年度分（９月工事分）_fj_【作成中】千里センター機器配置図（2010年対応分）_20091221 2" xfId="2754" xr:uid="{00000000-0005-0000-0000-0000800A0000}"/>
    <cellStyle name="_【20090608】千里導入明細資料_２１年度分_【20090715】千里導入明細資料_２１年度分（９月工事分）_fj_【作成中】千里センター機器配置図（2010年対応分）_20091221_【調整中】千里導入明細資料_２２年度上期分_fj_20100127" xfId="2755" xr:uid="{00000000-0005-0000-0000-0000810A0000}"/>
    <cellStyle name="_【20090608】千里導入明細資料_２１年度分_【20090715】千里導入明細資料_２１年度分（９月工事分）_fj_【作成中】千里センター機器配置図（2010年対応分）_20091221_【調整中】千里導入明細資料_２２年度上期分_fj_20100127 2" xfId="2756" xr:uid="{00000000-0005-0000-0000-0000820A0000}"/>
    <cellStyle name="_【20090608】千里導入明細資料_２１年度分_【20090715】千里導入明細資料_２１年度分（９月工事分）_fj_【作成中】千里センター機器配置図（2010年対応分）_20091221_【調整中】千里導入明細資料_２２年度上期分_fj_20100127_Ⅹ_課題と対応策_20121211" xfId="2757" xr:uid="{00000000-0005-0000-0000-0000830A0000}"/>
    <cellStyle name="_【20090608】千里導入明細資料_２１年度分_【20090715】千里導入明細資料_２１年度分（９月工事分）_fj_【作成中】千里センター機器配置図（2010年対応分）_20091221_【調整中】千里導入明細資料_２２年度上期分_fj_20100127_Ⅹ_課題と対応策_20121211 2" xfId="2758" xr:uid="{00000000-0005-0000-0000-0000840A0000}"/>
    <cellStyle name="_【20090608】千里導入明細資料_２１年度分_【20090715】千里導入明細資料_２１年度分（９月工事分）_fj_【作成中】千里センター機器配置図（2010年対応分）_20091221_Ⅹ_課題と対応策_20121211" xfId="2759" xr:uid="{00000000-0005-0000-0000-0000850A0000}"/>
    <cellStyle name="_【20090608】千里導入明細資料_２１年度分_【20090715】千里導入明細資料_２１年度分（９月工事分）_fj_【作成中】千里センター機器配置図（2010年対応分）_20091221_Ⅹ_課題と対応策_20121211 2" xfId="2760" xr:uid="{00000000-0005-0000-0000-0000860A0000}"/>
    <cellStyle name="_【20090608】千里導入明細資料_２１年度分_【20090715】千里導入明細資料_２１年度分（９月工事分）_fj_Ⅹ_課題と対応策_20121211" xfId="2761" xr:uid="{00000000-0005-0000-0000-0000870A0000}"/>
    <cellStyle name="_【20090608】千里導入明細資料_２１年度分_【20090715】千里導入明細資料_２１年度分（９月工事分）_fj_Ⅹ_課題と対応策_20121211 2" xfId="2762" xr:uid="{00000000-0005-0000-0000-0000880A0000}"/>
    <cellStyle name="_【20090608】千里導入明細資料_２１年度分_【20090715】千里導入明細資料_２１年度分（９月工事分）_fj_千里センター機器構築スケジュール（８月分）_20090731" xfId="2763" xr:uid="{00000000-0005-0000-0000-0000890A0000}"/>
    <cellStyle name="_【20090608】千里導入明細資料_２１年度分_【20090715】千里導入明細資料_２１年度分（９月工事分）_fj_千里センター機器構築スケジュール（８月分）_20090731 2" xfId="2764" xr:uid="{00000000-0005-0000-0000-00008A0A0000}"/>
    <cellStyle name="_【20090608】千里導入明細資料_２１年度分_【20090715】千里導入明細資料_２１年度分（９月工事分）_fj_千里センター機器構築スケジュール（８月分）_20090731_【20090731】千里導入明細資料_２１年度分（９月工事分）" xfId="2765" xr:uid="{00000000-0005-0000-0000-00008B0A0000}"/>
    <cellStyle name="_【20090608】千里導入明細資料_２１年度分_【20090715】千里導入明細資料_２１年度分（９月工事分）_fj_千里センター機器構築スケジュール（８月分）_20090731_【20090731】千里導入明細資料_２１年度分（９月工事分） 2" xfId="2766" xr:uid="{00000000-0005-0000-0000-00008C0A0000}"/>
    <cellStyle name="_【20090608】千里導入明細資料_２１年度分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" xfId="2767" xr:uid="{00000000-0005-0000-0000-00008D0A0000}"/>
    <cellStyle name="_【20090608】千里導入明細資料_２１年度分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 2" xfId="2768" xr:uid="{00000000-0005-0000-0000-00008E0A0000}"/>
    <cellStyle name="_【20090608】千里導入明細資料_２１年度分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_Ⅹ_課題と対応策_20121211" xfId="2769" xr:uid="{00000000-0005-0000-0000-00008F0A0000}"/>
    <cellStyle name="_【20090608】千里導入明細資料_２１年度分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_Ⅹ_課題と対応策_20121211 2" xfId="2770" xr:uid="{00000000-0005-0000-0000-0000900A0000}"/>
    <cellStyle name="_【20090608】千里導入明細資料_２１年度分_【20090715】千里導入明細資料_２１年度分（９月工事分）_fj_千里センター機器構築スケジュール（８月分）_20090731_【20090731】千里導入明細資料_２１年度分（９月工事分）_Ⅹ_課題と対応策_20121211" xfId="2771" xr:uid="{00000000-0005-0000-0000-0000910A0000}"/>
    <cellStyle name="_【20090608】千里導入明細資料_２１年度分_【20090715】千里導入明細資料_２１年度分（９月工事分）_fj_千里センター機器構築スケジュール（８月分）_20090731_【20090731】千里導入明細資料_２１年度分（９月工事分）_Ⅹ_課題と対応策_20121211 2" xfId="2772" xr:uid="{00000000-0005-0000-0000-0000920A0000}"/>
    <cellStyle name="_【20090608】千里導入明細資料_２１年度分_【20090715】千里導入明細資料_２１年度分（９月工事分）_fj_千里センター機器構築スケジュール（８月分）_20090731_【20090821】千里ラック搭載図（NW機器）" xfId="2773" xr:uid="{00000000-0005-0000-0000-0000930A0000}"/>
    <cellStyle name="_【20090608】千里導入明細資料_２１年度分_【20090715】千里導入明細資料_２１年度分（９月工事分）_fj_千里センター機器構築スケジュール（８月分）_20090731_【20090821】千里ラック搭載図（NW機器） 2" xfId="2774" xr:uid="{00000000-0005-0000-0000-0000940A0000}"/>
    <cellStyle name="_【20090608】千里導入明細資料_２１年度分_【20090715】千里導入明細資料_２１年度分（９月工事分）_fj_千里センター機器構築スケジュール（８月分）_20090731_【20090821】千里ラック搭載図（NW機器）_Ⅹ_課題と対応策_20121211" xfId="2775" xr:uid="{00000000-0005-0000-0000-0000950A0000}"/>
    <cellStyle name="_【20090608】千里導入明細資料_２１年度分_【20090715】千里導入明細資料_２１年度分（９月工事分）_fj_千里センター機器構築スケジュール（８月分）_20090731_【20090821】千里ラック搭載図（NW機器）_Ⅹ_課題と対応策_20121211 2" xfId="2776" xr:uid="{00000000-0005-0000-0000-0000960A0000}"/>
    <cellStyle name="_【20090608】千里導入明細資料_２１年度分_【20090715】千里導入明細資料_２１年度分（９月工事分）_fj_千里センター機器構築スケジュール（８月分）_20090731_【20091218】千里導入明細資料_２１年度分（ネットワーク敷設）" xfId="2777" xr:uid="{00000000-0005-0000-0000-0000970A0000}"/>
    <cellStyle name="_【20090608】千里導入明細資料_２１年度分_【20090715】千里導入明細資料_２１年度分（９月工事分）_fj_千里センター機器構築スケジュール（８月分）_20090731_【20091218】千里導入明細資料_２１年度分（ネットワーク敷設） 2" xfId="2778" xr:uid="{00000000-0005-0000-0000-0000980A0000}"/>
    <cellStyle name="_【20090608】千里導入明細資料_２１年度分_【20090715】千里導入明細資料_２１年度分（９月工事分）_fj_千里センター機器構築スケジュール（８月分）_20090731_【20091218】千里導入明細資料_２１年度分（ネットワーク敷設）_Ⅹ_課題と対応策_20121211" xfId="2779" xr:uid="{00000000-0005-0000-0000-0000990A0000}"/>
    <cellStyle name="_【20090608】千里導入明細資料_２１年度分_【20090715】千里導入明細資料_２１年度分（９月工事分）_fj_千里センター機器構築スケジュール（８月分）_20090731_【20091218】千里導入明細資料_２１年度分（ネットワーク敷設）_Ⅹ_課題と対応策_20121211 2" xfId="2780" xr:uid="{00000000-0005-0000-0000-00009A0A0000}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" xfId="2781" xr:uid="{00000000-0005-0000-0000-00009B0A0000}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 2" xfId="2782" xr:uid="{00000000-0005-0000-0000-00009C0A0000}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" xfId="2783" xr:uid="{00000000-0005-0000-0000-00009D0A0000}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 2" xfId="2784" xr:uid="{00000000-0005-0000-0000-00009E0A0000}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" xfId="2785" xr:uid="{00000000-0005-0000-0000-00009F0A0000}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 2" xfId="2786" xr:uid="{00000000-0005-0000-0000-0000A00A0000}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_Ⅹ_課題と対応策_20121211" xfId="2787" xr:uid="{00000000-0005-0000-0000-0000A10A0000}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2788" xr:uid="{00000000-0005-0000-0000-0000A20A0000}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Ⅹ_課題と対応策_20121211" xfId="2789" xr:uid="{00000000-0005-0000-0000-0000A30A0000}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Ⅹ_課題と対応策_20121211 2" xfId="2790" xr:uid="{00000000-0005-0000-0000-0000A40A0000}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" xfId="2791" xr:uid="{00000000-0005-0000-0000-0000A50A0000}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 2" xfId="2792" xr:uid="{00000000-0005-0000-0000-0000A60A0000}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" xfId="2793" xr:uid="{00000000-0005-0000-0000-0000A70A0000}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 2" xfId="2794" xr:uid="{00000000-0005-0000-0000-0000A80A0000}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_Ⅹ_課題と対応策_20121211" xfId="2795" xr:uid="{00000000-0005-0000-0000-0000A90A0000}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_Ⅹ_課題と対応策_20121211 2" xfId="2796" xr:uid="{00000000-0005-0000-0000-0000AA0A0000}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Ⅹ_課題と対応策_20121211" xfId="2797" xr:uid="{00000000-0005-0000-0000-0000AB0A0000}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Ⅹ_課題と対応策_20121211 2" xfId="2798" xr:uid="{00000000-0005-0000-0000-0000AC0A0000}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Ⅹ_課題と対応策_20121211" xfId="2799" xr:uid="{00000000-0005-0000-0000-0000AD0A0000}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Ⅹ_課題と対応策_20121211 2" xfId="2800" xr:uid="{00000000-0005-0000-0000-0000AE0A0000}"/>
    <cellStyle name="_【20090608】千里導入明細資料_２１年度分_【20090715】千里導入明細資料_２１年度分（９月工事分）_fj_千里センター機器構築スケジュール（８月分）_20090731_【20091225】千里導入明細資料_２２年度上期分" xfId="2801" xr:uid="{00000000-0005-0000-0000-0000AF0A0000}"/>
    <cellStyle name="_【20090608】千里導入明細資料_２１年度分_【20090715】千里導入明細資料_２１年度分（９月工事分）_fj_千里センター機器構築スケジュール（８月分）_20090731_【20091225】千里導入明細資料_２２年度上期分 2" xfId="2802" xr:uid="{00000000-0005-0000-0000-0000B00A0000}"/>
    <cellStyle name="_【20090608】千里導入明細資料_２１年度分_【20090715】千里導入明細資料_２１年度分（９月工事分）_fj_千里センター機器構築スケジュール（８月分）_20090731_【20091225】千里導入明細資料_２２年度上期分_Ⅹ_課題と対応策_20121211" xfId="2803" xr:uid="{00000000-0005-0000-0000-0000B10A0000}"/>
    <cellStyle name="_【20090608】千里導入明細資料_２１年度分_【20090715】千里導入明細資料_２１年度分（９月工事分）_fj_千里センター機器構築スケジュール（８月分）_20090731_【20091225】千里導入明細資料_２２年度上期分_Ⅹ_課題と対応策_20121211 2" xfId="2804" xr:uid="{00000000-0005-0000-0000-0000B20A0000}"/>
    <cellStyle name="_【20090608】千里導入明細資料_２１年度分_【20090715】千里導入明細資料_２１年度分（９月工事分）_fj_千里センター機器構築スケジュール（８月分）_20090731_【20091225】千里導入明細資料_２２年度上期分_営業店DB" xfId="2805" xr:uid="{00000000-0005-0000-0000-0000B30A0000}"/>
    <cellStyle name="_【20090608】千里導入明細資料_２１年度分_【20090715】千里導入明細資料_２１年度分（９月工事分）_fj_千里センター機器構築スケジュール（８月分）_20090731_【20091225】千里導入明細資料_２２年度上期分_営業店DB 2" xfId="2806" xr:uid="{00000000-0005-0000-0000-0000B40A0000}"/>
    <cellStyle name="_【20090608】千里導入明細資料_２１年度分_【20090715】千里導入明細資料_２１年度分（９月工事分）_fj_千里センター機器構築スケジュール（８月分）_20090731_【20091225】千里導入明細資料_２２年度上期分_営業店DB_Ⅹ_課題と対応策_20121211" xfId="2807" xr:uid="{00000000-0005-0000-0000-0000B50A0000}"/>
    <cellStyle name="_【20090608】千里導入明細資料_２１年度分_【20090715】千里導入明細資料_２１年度分（９月工事分）_fj_千里センター機器構築スケジュール（８月分）_20090731_【20091225】千里導入明細資料_２２年度上期分_営業店DB_Ⅹ_課題と対応策_20121211 2" xfId="2808" xr:uid="{00000000-0005-0000-0000-0000B60A0000}"/>
    <cellStyle name="_【20090608】千里導入明細資料_２１年度分_【20090715】千里導入明細資料_２１年度分（９月工事分）_fj_千里センター機器構築スケジュール（８月分）_20090731_【20091225】千里導入明細資料_２２年度上期分_連携DB" xfId="2809" xr:uid="{00000000-0005-0000-0000-0000B70A0000}"/>
    <cellStyle name="_【20090608】千里導入明細資料_２１年度分_【20090715】千里導入明細資料_２１年度分（９月工事分）_fj_千里センター機器構築スケジュール（８月分）_20090731_【20091225】千里導入明細資料_２２年度上期分_連携DB 2" xfId="2810" xr:uid="{00000000-0005-0000-0000-0000B80A0000}"/>
    <cellStyle name="_【20090608】千里導入明細資料_２１年度分_【20090715】千里導入明細資料_２１年度分（９月工事分）_fj_千里センター機器構築スケジュール（８月分）_20090731_【20091225】千里導入明細資料_２２年度上期分_連携DB_Ⅹ_課題と対応策_20121211" xfId="2811" xr:uid="{00000000-0005-0000-0000-0000B90A0000}"/>
    <cellStyle name="_【20090608】千里導入明細資料_２１年度分_【20090715】千里導入明細資料_２１年度分（９月工事分）_fj_千里センター機器構築スケジュール（８月分）_20090731_【20091225】千里導入明細資料_２２年度上期分_連携DB_Ⅹ_課題と対応策_20121211 2" xfId="2812" xr:uid="{00000000-0005-0000-0000-0000BA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" xfId="2813" xr:uid="{00000000-0005-0000-0000-0000BB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 2" xfId="2814" xr:uid="{00000000-0005-0000-0000-0000BC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（為替分）" xfId="2815" xr:uid="{00000000-0005-0000-0000-0000BD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（為替分） 2" xfId="2816" xr:uid="{00000000-0005-0000-0000-0000BE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（為替分）_Ⅹ_課題と対応策_20121211" xfId="2817" xr:uid="{00000000-0005-0000-0000-0000BF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（為替分）_Ⅹ_課題と対応策_20121211 2" xfId="2818" xr:uid="{00000000-0005-0000-0000-0000C0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" xfId="2819" xr:uid="{00000000-0005-0000-0000-0000C1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 2" xfId="2820" xr:uid="{00000000-0005-0000-0000-0000C2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" xfId="2821" xr:uid="{00000000-0005-0000-0000-0000C3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 2" xfId="2822" xr:uid="{00000000-0005-0000-0000-0000C4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_Ⅹ_課題と対応策_20121211" xfId="2823" xr:uid="{00000000-0005-0000-0000-0000C5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_Ⅹ_課題と対応策_20121211 2" xfId="2824" xr:uid="{00000000-0005-0000-0000-0000C6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Ⅹ_課題と対応策_20121211" xfId="2825" xr:uid="{00000000-0005-0000-0000-0000C7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Ⅹ_課題と対応策_20121211 2" xfId="2826" xr:uid="{00000000-0005-0000-0000-0000C8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" xfId="2827" xr:uid="{00000000-0005-0000-0000-0000C9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 2" xfId="2828" xr:uid="{00000000-0005-0000-0000-0000CA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" xfId="2829" xr:uid="{00000000-0005-0000-0000-0000CB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 2" xfId="2830" xr:uid="{00000000-0005-0000-0000-0000CC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_Ⅹ_課題と対応策_20121211" xfId="2831" xr:uid="{00000000-0005-0000-0000-0000CD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_Ⅹ_課題と対応策_20121211 2" xfId="2832" xr:uid="{00000000-0005-0000-0000-0000CE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Ⅹ_課題と対応策_20121211" xfId="2833" xr:uid="{00000000-0005-0000-0000-0000CF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Ⅹ_課題と対応策_20121211 2" xfId="2834" xr:uid="{00000000-0005-0000-0000-0000D0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" xfId="2835" xr:uid="{00000000-0005-0000-0000-0000D1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 2" xfId="2836" xr:uid="{00000000-0005-0000-0000-0000D2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" xfId="2837" xr:uid="{00000000-0005-0000-0000-0000D3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 2" xfId="2838" xr:uid="{00000000-0005-0000-0000-0000D4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_Ⅹ_課題と対応策_20121211" xfId="2839" xr:uid="{00000000-0005-0000-0000-0000D5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_Ⅹ_課題と対応策_20121211 2" xfId="2840" xr:uid="{00000000-0005-0000-0000-0000D6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Ⅹ_課題と対応策_20121211" xfId="2841" xr:uid="{00000000-0005-0000-0000-0000D7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Ⅹ_課題と対応策_20121211 2" xfId="2842" xr:uid="{00000000-0005-0000-0000-0000D8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Ⅹ_課題と対応策_20121211" xfId="2843" xr:uid="{00000000-0005-0000-0000-0000D9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Ⅹ_課題と対応策_20121211 2" xfId="2844" xr:uid="{00000000-0005-0000-0000-0000DA0A0000}"/>
    <cellStyle name="_【20090608】千里導入明細資料_２１年度分_【20090715】千里導入明細資料_２１年度分（９月工事分）_fj_千里センター機器構築スケジュール（８月分）_20090731_【調整中】千里導入明細資料_２２年度上期分_fj_20100127" xfId="2845" xr:uid="{00000000-0005-0000-0000-0000DB0A0000}"/>
    <cellStyle name="_【20090608】千里導入明細資料_２１年度分_【20090715】千里導入明細資料_２１年度分（９月工事分）_fj_千里センター機器構築スケジュール（８月分）_20090731_【調整中】千里導入明細資料_２２年度上期分_fj_20100127 2" xfId="2846" xr:uid="{00000000-0005-0000-0000-0000DC0A0000}"/>
    <cellStyle name="_【20090608】千里導入明細資料_２１年度分_【20090715】千里導入明細資料_２１年度分（９月工事分）_fj_千里センター機器構築スケジュール（８月分）_20090731_【調整中】千里導入明細資料_２２年度上期分_fj_20100127_Ⅹ_課題と対応策_20121211" xfId="2847" xr:uid="{00000000-0005-0000-0000-0000DD0A0000}"/>
    <cellStyle name="_【20090608】千里導入明細資料_２１年度分_【20090715】千里導入明細資料_２１年度分（９月工事分）_fj_千里センター機器構築スケジュール（８月分）_20090731_【調整中】千里導入明細資料_２２年度上期分_fj_20100127_Ⅹ_課題と対応策_20121211 2" xfId="2848" xr:uid="{00000000-0005-0000-0000-0000DE0A0000}"/>
    <cellStyle name="_【20090608】千里導入明細資料_２１年度分_【20090715】千里導入明細資料_２１年度分（９月工事分）_fj_千里センター機器構築スケジュール（８月分）_20090731_①【20091225】千里導入明細資料_２２年度上期1分)" xfId="2849" xr:uid="{00000000-0005-0000-0000-0000DF0A0000}"/>
    <cellStyle name="_【20090608】千里導入明細資料_２１年度分_【20090715】千里導入明細資料_２１年度分（９月工事分）_fj_千里センター機器構築スケジュール（８月分）_20090731_①【20091225】千里導入明細資料_２２年度上期1分) 2" xfId="2850" xr:uid="{00000000-0005-0000-0000-0000E00A0000}"/>
    <cellStyle name="_【20090608】千里導入明細資料_２１年度分_【20090715】千里導入明細資料_２１年度分（９月工事分）_fj_千里センター機器構築スケジュール（８月分）_20090731_①【20091225】千里導入明細資料_２２年度上期1分)_Ⅹ_課題と対応策_20121211" xfId="2851" xr:uid="{00000000-0005-0000-0000-0000E10A0000}"/>
    <cellStyle name="_【20090608】千里導入明細資料_２１年度分_【20090715】千里導入明細資料_２１年度分（９月工事分）_fj_千里センター機器構築スケジュール（８月分）_20090731_①【20091225】千里導入明細資料_２２年度上期1分)_Ⅹ_課題と対応策_20121211 2" xfId="2852" xr:uid="{00000000-0005-0000-0000-0000E20A0000}"/>
    <cellStyle name="_【20090608】千里導入明細資料_２１年度分_【20090715】千里導入明細資料_２１年度分（９月工事分）_fj_千里センター機器構築スケジュール（８月分）_20090731_Ⅹ_課題と対応策_20121211" xfId="2853" xr:uid="{00000000-0005-0000-0000-0000E30A0000}"/>
    <cellStyle name="_【20090608】千里導入明細資料_２１年度分_【20090715】千里導入明細資料_２１年度分（９月工事分）_fj_千里センター機器構築スケジュール（８月分）_20090731_Ⅹ_課題と対応策_20121211 2" xfId="2854" xr:uid="{00000000-0005-0000-0000-0000E40A0000}"/>
    <cellStyle name="_【20090608】千里導入明細資料_２１年度分_【20090715】千里導入明細資料_２１年度分（９月工事分）_fj_千里センター機器構築スケジュール（８月分）_20090731_千里導入明細資料_２２年度分（ネットワーク敷設）_fj" xfId="2855" xr:uid="{00000000-0005-0000-0000-0000E50A0000}"/>
    <cellStyle name="_【20090608】千里導入明細資料_２１年度分_【20090715】千里導入明細資料_２１年度分（９月工事分）_fj_千里センター機器構築スケジュール（８月分）_20090731_千里導入明細資料_２２年度分（ネットワーク敷設）_fj 2" xfId="2856" xr:uid="{00000000-0005-0000-0000-0000E60A0000}"/>
    <cellStyle name="_【20090608】千里導入明細資料_２１年度分_【20090715】千里導入明細資料_２１年度分（９月工事分）_fj_千里センター機器構築スケジュール（８月分）_20090731_千里導入明細資料_２２年度分（ネットワーク敷設）_fj_Ⅹ_課題と対応策_20121211" xfId="2857" xr:uid="{00000000-0005-0000-0000-0000E70A0000}"/>
    <cellStyle name="_【20090608】千里導入明細資料_２１年度分_【20090715】千里導入明細資料_２１年度分（９月工事分）_fj_千里センター機器構築スケジュール（８月分）_20090731_千里導入明細資料_２２年度分（ネットワーク敷設）_fj_Ⅹ_課題と対応策_20121211 2" xfId="2858" xr:uid="{00000000-0005-0000-0000-0000E80A0000}"/>
    <cellStyle name="_【20090608】千里導入明細資料_２１年度分_【20090724】千里導入明細資料_２１年度" xfId="2859" xr:uid="{00000000-0005-0000-0000-0000E90A0000}"/>
    <cellStyle name="_【20090608】千里導入明細資料_２１年度分_【20090724】千里導入明細資料_２１年度 2" xfId="2860" xr:uid="{00000000-0005-0000-0000-0000EA0A0000}"/>
    <cellStyle name="_【20090608】千里導入明細資料_２１年度分_【20090724】千里導入明細資料_２１年度_【20091207】千里導入明細資料_２１年度分（ネットワーク敷設）" xfId="2861" xr:uid="{00000000-0005-0000-0000-0000EB0A0000}"/>
    <cellStyle name="_【20090608】千里導入明細資料_２１年度分_【20090724】千里導入明細資料_２１年度_【20091207】千里導入明細資料_２１年度分（ネットワーク敷設） 2" xfId="2862" xr:uid="{00000000-0005-0000-0000-0000EC0A0000}"/>
    <cellStyle name="_【20090608】千里導入明細資料_２１年度分_【20090724】千里導入明細資料_２１年度_【20091207】千里導入明細資料_２１年度分（ネットワーク敷設）_【20091218】千里導入明細資料_２１年度分（ネットワーク敷設）" xfId="2863" xr:uid="{00000000-0005-0000-0000-0000ED0A0000}"/>
    <cellStyle name="_【20090608】千里導入明細資料_２１年度分_【20090724】千里導入明細資料_２１年度_【20091207】千里導入明細資料_２１年度分（ネットワーク敷設）_【20091218】千里導入明細資料_２１年度分（ネットワーク敷設） 2" xfId="2864" xr:uid="{00000000-0005-0000-0000-0000EE0A0000}"/>
    <cellStyle name="_【20090608】千里導入明細資料_２１年度分_【20090724】千里導入明細資料_２１年度_【20091207】千里導入明細資料_２１年度分（ネットワーク敷設）_【20091218】千里導入明細資料_２１年度分（ネットワーク敷設）_Ⅹ_課題と対応策_20121211" xfId="2865" xr:uid="{00000000-0005-0000-0000-0000EF0A0000}"/>
    <cellStyle name="_【20090608】千里導入明細資料_２１年度分_【20090724】千里導入明細資料_２１年度_【20091207】千里導入明細資料_２１年度分（ネットワーク敷設）_【20091218】千里導入明細資料_２１年度分（ネットワーク敷設）_Ⅹ_課題と対応策_20121211 2" xfId="2866" xr:uid="{00000000-0005-0000-0000-0000F00A0000}"/>
    <cellStyle name="_【20090608】千里導入明細資料_２１年度分_【20090724】千里導入明細資料_２１年度_【20091207】千里導入明細資料_２１年度分（ネットワーク敷設）_Ⅹ_課題と対応策_20121211" xfId="2867" xr:uid="{00000000-0005-0000-0000-0000F10A0000}"/>
    <cellStyle name="_【20090608】千里導入明細資料_２１年度分_【20090724】千里導入明細資料_２１年度_【20091207】千里導入明細資料_２１年度分（ネットワーク敷設）_Ⅹ_課題と対応策_20121211 2" xfId="2868" xr:uid="{00000000-0005-0000-0000-0000F20A0000}"/>
    <cellStyle name="_【20090608】千里導入明細資料_２１年度分_【20090724】千里導入明細資料_２１年度_【20091207】千里導入明細資料_２１年度分（ネットワーク敷設）_千里導入明細資料_２２年度分（ネットワーク敷設）_fj" xfId="2869" xr:uid="{00000000-0005-0000-0000-0000F30A0000}"/>
    <cellStyle name="_【20090608】千里導入明細資料_２１年度分_【20090724】千里導入明細資料_２１年度_【20091207】千里導入明細資料_２１年度分（ネットワーク敷設）_千里導入明細資料_２２年度分（ネットワーク敷設）_fj 2" xfId="2870" xr:uid="{00000000-0005-0000-0000-0000F40A0000}"/>
    <cellStyle name="_【20090608】千里導入明細資料_２１年度分_【20090724】千里導入明細資料_２１年度_【20091207】千里導入明細資料_２１年度分（ネットワーク敷設）_千里導入明細資料_２２年度分（ネットワーク敷設）_fj_Ⅹ_課題と対応策_20121211" xfId="2871" xr:uid="{00000000-0005-0000-0000-0000F50A0000}"/>
    <cellStyle name="_【20090608】千里導入明細資料_２１年度分_【20090724】千里導入明細資料_２１年度_【20091207】千里導入明細資料_２１年度分（ネットワーク敷設）_千里導入明細資料_２２年度分（ネットワーク敷設）_fj_Ⅹ_課題と対応策_20121211 2" xfId="2872" xr:uid="{00000000-0005-0000-0000-0000F60A0000}"/>
    <cellStyle name="_【20090608】千里導入明細資料_２１年度分_【20090724】千里導入明細資料_２１年度_【20091225】千里導入明細資料_２２年度上期分（営業店ＡＰ－ＤＢ）" xfId="2873" xr:uid="{00000000-0005-0000-0000-0000F70A0000}"/>
    <cellStyle name="_【20090608】千里導入明細資料_２１年度分_【20090724】千里導入明細資料_２１年度_【20091225】千里導入明細資料_２２年度上期分（営業店ＡＰ－ＤＢ） 2" xfId="2874" xr:uid="{00000000-0005-0000-0000-0000F80A0000}"/>
    <cellStyle name="_【20090608】千里導入明細資料_２１年度分_【20090724】千里導入明細資料_２１年度_【20091225】千里導入明細資料_２２年度上期分（営業店ＡＰ－ＤＢ）_【調整中】千里導入明細資料_２２年度上期分_fj_20100127" xfId="2875" xr:uid="{00000000-0005-0000-0000-0000F90A0000}"/>
    <cellStyle name="_【20090608】千里導入明細資料_２１年度分_【20090724】千里導入明細資料_２１年度_【20091225】千里導入明細資料_２２年度上期分（営業店ＡＰ－ＤＢ）_【調整中】千里導入明細資料_２２年度上期分_fj_20100127 2" xfId="2876" xr:uid="{00000000-0005-0000-0000-0000FA0A0000}"/>
    <cellStyle name="_【20090608】千里導入明細資料_２１年度分_【20090724】千里導入明細資料_２１年度_【20091225】千里導入明細資料_２２年度上期分（営業店ＡＰ－ＤＢ）_【調整中】千里導入明細資料_２２年度上期分_fj_20100127_Ⅹ_課題と対応策_20121211" xfId="2877" xr:uid="{00000000-0005-0000-0000-0000FB0A0000}"/>
    <cellStyle name="_【20090608】千里導入明細資料_２１年度分_【20090724】千里導入明細資料_２１年度_【20091225】千里導入明細資料_２２年度上期分（営業店ＡＰ－ＤＢ）_【調整中】千里導入明細資料_２２年度上期分_fj_20100127_Ⅹ_課題と対応策_20121211 2" xfId="2878" xr:uid="{00000000-0005-0000-0000-0000FC0A0000}"/>
    <cellStyle name="_【20090608】千里導入明細資料_２１年度分_【20090724】千里導入明細資料_２１年度_【20091225】千里導入明細資料_２２年度上期分（営業店ＡＰ－ＤＢ）_Ⅹ_課題と対応策_20121211" xfId="2879" xr:uid="{00000000-0005-0000-0000-0000FD0A0000}"/>
    <cellStyle name="_【20090608】千里導入明細資料_２１年度分_【20090724】千里導入明細資料_２１年度_【20091225】千里導入明細資料_２２年度上期分（営業店ＡＰ－ＤＢ）_Ⅹ_課題と対応策_20121211 2" xfId="2880" xr:uid="{00000000-0005-0000-0000-0000FE0A0000}"/>
    <cellStyle name="_【20090608】千里導入明細資料_２１年度分_【20090724】千里導入明細資料_２１年度_【20091225】千里導入明細資料_２２年度上期分_営業店DB" xfId="2881" xr:uid="{00000000-0005-0000-0000-0000FF0A0000}"/>
    <cellStyle name="_【20090608】千里導入明細資料_２１年度分_【20090724】千里導入明細資料_２１年度_【20091225】千里導入明細資料_２２年度上期分_営業店DB 2" xfId="2882" xr:uid="{00000000-0005-0000-0000-0000000B0000}"/>
    <cellStyle name="_【20090608】千里導入明細資料_２１年度分_【20090724】千里導入明細資料_２１年度_【20091225】千里導入明細資料_２２年度上期分_営業店DB_【調整中】千里導入明細資料_２２年度上期分_fj_20100127" xfId="2883" xr:uid="{00000000-0005-0000-0000-0000010B0000}"/>
    <cellStyle name="_【20090608】千里導入明細資料_２１年度分_【20090724】千里導入明細資料_２１年度_【20091225】千里導入明細資料_２２年度上期分_営業店DB_【調整中】千里導入明細資料_２２年度上期分_fj_20100127 2" xfId="2884" xr:uid="{00000000-0005-0000-0000-0000020B0000}"/>
    <cellStyle name="_【20090608】千里導入明細資料_２１年度分_【20090724】千里導入明細資料_２１年度_【20091225】千里導入明細資料_２２年度上期分_営業店DB_【調整中】千里導入明細資料_２２年度上期分_fj_20100127_Ⅹ_課題と対応策_20121211" xfId="2885" xr:uid="{00000000-0005-0000-0000-0000030B0000}"/>
    <cellStyle name="_【20090608】千里導入明細資料_２１年度分_【20090724】千里導入明細資料_２１年度_【20091225】千里導入明細資料_２２年度上期分_営業店DB_【調整中】千里導入明細資料_２２年度上期分_fj_20100127_Ⅹ_課題と対応策_20121211 2" xfId="2886" xr:uid="{00000000-0005-0000-0000-0000040B0000}"/>
    <cellStyle name="_【20090608】千里導入明細資料_２１年度分_【20090724】千里導入明細資料_２１年度_【20091225】千里導入明細資料_２２年度上期分_営業店DB_Ⅹ_課題と対応策_20121211" xfId="2887" xr:uid="{00000000-0005-0000-0000-0000050B0000}"/>
    <cellStyle name="_【20090608】千里導入明細資料_２１年度分_【20090724】千里導入明細資料_２１年度_【20091225】千里導入明細資料_２２年度上期分_営業店DB_Ⅹ_課題と対応策_20121211 2" xfId="2888" xr:uid="{00000000-0005-0000-0000-0000060B0000}"/>
    <cellStyle name="_【20090608】千里導入明細資料_２１年度分_【20090724】千里導入明細資料_２１年度_【20091225】千里導入明細資料_２２年度上期分_連携DB" xfId="2889" xr:uid="{00000000-0005-0000-0000-0000070B0000}"/>
    <cellStyle name="_【20090608】千里導入明細資料_２１年度分_【20090724】千里導入明細資料_２１年度_【20091225】千里導入明細資料_２２年度上期分_連携DB 2" xfId="2890" xr:uid="{00000000-0005-0000-0000-0000080B0000}"/>
    <cellStyle name="_【20090608】千里導入明細資料_２１年度分_【20090724】千里導入明細資料_２１年度_【20091225】千里導入明細資料_２２年度上期分_連携DB_【調整中】千里導入明細資料_２２年度上期分_fj_20100127" xfId="2891" xr:uid="{00000000-0005-0000-0000-0000090B0000}"/>
    <cellStyle name="_【20090608】千里導入明細資料_２１年度分_【20090724】千里導入明細資料_２１年度_【20091225】千里導入明細資料_２２年度上期分_連携DB_【調整中】千里導入明細資料_２２年度上期分_fj_20100127 2" xfId="2892" xr:uid="{00000000-0005-0000-0000-00000A0B0000}"/>
    <cellStyle name="_【20090608】千里導入明細資料_２１年度分_【20090724】千里導入明細資料_２１年度_【20091225】千里導入明細資料_２２年度上期分_連携DB_【調整中】千里導入明細資料_２２年度上期分_fj_20100127_Ⅹ_課題と対応策_20121211" xfId="2893" xr:uid="{00000000-0005-0000-0000-00000B0B0000}"/>
    <cellStyle name="_【20090608】千里導入明細資料_２１年度分_【20090724】千里導入明細資料_２１年度_【20091225】千里導入明細資料_２２年度上期分_連携DB_【調整中】千里導入明細資料_２２年度上期分_fj_20100127_Ⅹ_課題と対応策_20121211 2" xfId="2894" xr:uid="{00000000-0005-0000-0000-00000C0B0000}"/>
    <cellStyle name="_【20090608】千里導入明細資料_２１年度分_【20090724】千里導入明細資料_２１年度_【20091225】千里導入明細資料_２２年度上期分_連携DB_Ⅹ_課題と対応策_20121211" xfId="2895" xr:uid="{00000000-0005-0000-0000-00000D0B0000}"/>
    <cellStyle name="_【20090608】千里導入明細資料_２１年度分_【20090724】千里導入明細資料_２１年度_【20091225】千里導入明細資料_２２年度上期分_連携DB_Ⅹ_課題と対応策_20121211 2" xfId="2896" xr:uid="{00000000-0005-0000-0000-00000E0B0000}"/>
    <cellStyle name="_【20090608】千里導入明細資料_２１年度分_【20090724】千里導入明細資料_２１年度_【作成中】千里センター機器配置図（2010年対応分）_20091221" xfId="2897" xr:uid="{00000000-0005-0000-0000-00000F0B0000}"/>
    <cellStyle name="_【20090608】千里導入明細資料_２１年度分_【20090724】千里導入明細資料_２１年度_【作成中】千里センター機器配置図（2010年対応分）_20091221 2" xfId="2898" xr:uid="{00000000-0005-0000-0000-0000100B0000}"/>
    <cellStyle name="_【20090608】千里導入明細資料_２１年度分_【20090724】千里導入明細資料_２１年度_【作成中】千里センター機器配置図（2010年対応分）_20091221_【調整中】千里導入明細資料_２２年度上期分_fj_20100127" xfId="2899" xr:uid="{00000000-0005-0000-0000-0000110B0000}"/>
    <cellStyle name="_【20090608】千里導入明細資料_２１年度分_【20090724】千里導入明細資料_２１年度_【作成中】千里センター機器配置図（2010年対応分）_20091221_【調整中】千里導入明細資料_２２年度上期分_fj_20100127 2" xfId="2900" xr:uid="{00000000-0005-0000-0000-0000120B0000}"/>
    <cellStyle name="_【20090608】千里導入明細資料_２１年度分_【20090724】千里導入明細資料_２１年度_【作成中】千里センター機器配置図（2010年対応分）_20091221_【調整中】千里導入明細資料_２２年度上期分_fj_20100127_Ⅹ_課題と対応策_20121211" xfId="2901" xr:uid="{00000000-0005-0000-0000-0000130B0000}"/>
    <cellStyle name="_【20090608】千里導入明細資料_２１年度分_【20090724】千里導入明細資料_２１年度_【作成中】千里センター機器配置図（2010年対応分）_20091221_【調整中】千里導入明細資料_２２年度上期分_fj_20100127_Ⅹ_課題と対応策_20121211 2" xfId="2902" xr:uid="{00000000-0005-0000-0000-0000140B0000}"/>
    <cellStyle name="_【20090608】千里導入明細資料_２１年度分_【20090724】千里導入明細資料_２１年度_【作成中】千里センター機器配置図（2010年対応分）_20091221_Ⅹ_課題と対応策_20121211" xfId="2903" xr:uid="{00000000-0005-0000-0000-0000150B0000}"/>
    <cellStyle name="_【20090608】千里導入明細資料_２１年度分_【20090724】千里導入明細資料_２１年度_【作成中】千里センター機器配置図（2010年対応分）_20091221_Ⅹ_課題と対応策_20121211 2" xfId="2904" xr:uid="{00000000-0005-0000-0000-0000160B0000}"/>
    <cellStyle name="_【20090608】千里導入明細資料_２１年度分_【20090724】千里導入明細資料_２１年度_Ⅹ_課題と対応策_20121211" xfId="2905" xr:uid="{00000000-0005-0000-0000-0000170B0000}"/>
    <cellStyle name="_【20090608】千里導入明細資料_２１年度分_【20090724】千里導入明細資料_２１年度_Ⅹ_課題と対応策_20121211 2" xfId="2906" xr:uid="{00000000-0005-0000-0000-0000180B0000}"/>
    <cellStyle name="_【20090608】千里導入明細資料_２１年度分_【20090724】千里導入明細資料_２１年度分（９月工事分）" xfId="2907" xr:uid="{00000000-0005-0000-0000-0000190B0000}"/>
    <cellStyle name="_【20090608】千里導入明細資料_２１年度分_【20090724】千里導入明細資料_２１年度分（９月工事分） 2" xfId="2908" xr:uid="{00000000-0005-0000-0000-00001A0B0000}"/>
    <cellStyle name="_【20090608】千里導入明細資料_２１年度分_【20090724】千里導入明細資料_２１年度分（９月工事分）_【20091207】千里導入明細資料_２１年度分（ネットワーク敷設）" xfId="2909" xr:uid="{00000000-0005-0000-0000-00001B0B0000}"/>
    <cellStyle name="_【20090608】千里導入明細資料_２１年度分_【20090724】千里導入明細資料_２１年度分（９月工事分）_【20091207】千里導入明細資料_２１年度分（ネットワーク敷設） 2" xfId="2910" xr:uid="{00000000-0005-0000-0000-00001C0B0000}"/>
    <cellStyle name="_【20090608】千里導入明細資料_２１年度分_【20090724】千里導入明細資料_２１年度分（９月工事分）_【20091207】千里導入明細資料_２１年度分（ネットワーク敷設）_【20091218】千里導入明細資料_２１年度分（ネットワーク敷設）" xfId="2911" xr:uid="{00000000-0005-0000-0000-00001D0B0000}"/>
    <cellStyle name="_【20090608】千里導入明細資料_２１年度分_【20090724】千里導入明細資料_２１年度分（９月工事分）_【20091207】千里導入明細資料_２１年度分（ネットワーク敷設）_【20091218】千里導入明細資料_２１年度分（ネットワーク敷設） 2" xfId="2912" xr:uid="{00000000-0005-0000-0000-00001E0B0000}"/>
    <cellStyle name="_【20090608】千里導入明細資料_２１年度分_【20090724】千里導入明細資料_２１年度分（９月工事分）_【20091207】千里導入明細資料_２１年度分（ネットワーク敷設）_【20091218】千里導入明細資料_２１年度分（ネットワーク敷設）_Ⅹ_課題と対応策_20121211" xfId="2913" xr:uid="{00000000-0005-0000-0000-00001F0B0000}"/>
    <cellStyle name="_【20090608】千里導入明細資料_２１年度分_【20090724】千里導入明細資料_２１年度分（９月工事分）_【20091207】千里導入明細資料_２１年度分（ネットワーク敷設）_【20091218】千里導入明細資料_２１年度分（ネットワーク敷設）_Ⅹ_課題と対応策_20121211 2" xfId="2914" xr:uid="{00000000-0005-0000-0000-0000200B0000}"/>
    <cellStyle name="_【20090608】千里導入明細資料_２１年度分_【20090724】千里導入明細資料_２１年度分（９月工事分）_【20091207】千里導入明細資料_２１年度分（ネットワーク敷設）_Ⅹ_課題と対応策_20121211" xfId="2915" xr:uid="{00000000-0005-0000-0000-0000210B0000}"/>
    <cellStyle name="_【20090608】千里導入明細資料_２１年度分_【20090724】千里導入明細資料_２１年度分（９月工事分）_【20091207】千里導入明細資料_２１年度分（ネットワーク敷設）_Ⅹ_課題と対応策_20121211 2" xfId="2916" xr:uid="{00000000-0005-0000-0000-0000220B0000}"/>
    <cellStyle name="_【20090608】千里導入明細資料_２１年度分_【20090724】千里導入明細資料_２１年度分（９月工事分）_【20091207】千里導入明細資料_２１年度分（ネットワーク敷設）_千里導入明細資料_２２年度分（ネットワーク敷設）_fj" xfId="2917" xr:uid="{00000000-0005-0000-0000-0000230B0000}"/>
    <cellStyle name="_【20090608】千里導入明細資料_２１年度分_【20090724】千里導入明細資料_２１年度分（９月工事分）_【20091207】千里導入明細資料_２１年度分（ネットワーク敷設）_千里導入明細資料_２２年度分（ネットワーク敷設）_fj 2" xfId="2918" xr:uid="{00000000-0005-0000-0000-0000240B0000}"/>
    <cellStyle name="_【20090608】千里導入明細資料_２１年度分_【20090724】千里導入明細資料_２１年度分（９月工事分）_【20091207】千里導入明細資料_２１年度分（ネットワーク敷設）_千里導入明細資料_２２年度分（ネットワーク敷設）_fj_Ⅹ_課題と対応策_20121211" xfId="2919" xr:uid="{00000000-0005-0000-0000-0000250B0000}"/>
    <cellStyle name="_【20090608】千里導入明細資料_２１年度分_【20090724】千里導入明細資料_２１年度分（９月工事分）_【20091207】千里導入明細資料_２１年度分（ネットワーク敷設）_千里導入明細資料_２２年度分（ネットワーク敷設）_fj_Ⅹ_課題と対応策_20121211 2" xfId="2920" xr:uid="{00000000-0005-0000-0000-0000260B0000}"/>
    <cellStyle name="_【20090608】千里導入明細資料_２１年度分_【20090724】千里導入明細資料_２１年度分（９月工事分）_【20091225】千里導入明細資料_２２年度上期分（営業店ＡＰ－ＤＢ）" xfId="2921" xr:uid="{00000000-0005-0000-0000-0000270B0000}"/>
    <cellStyle name="_【20090608】千里導入明細資料_２１年度分_【20090724】千里導入明細資料_２１年度分（９月工事分）_【20091225】千里導入明細資料_２２年度上期分（営業店ＡＰ－ＤＢ） 2" xfId="2922" xr:uid="{00000000-0005-0000-0000-0000280B0000}"/>
    <cellStyle name="_【20090608】千里導入明細資料_２１年度分_【20090724】千里導入明細資料_２１年度分（９月工事分）_【20091225】千里導入明細資料_２２年度上期分（営業店ＡＰ－ＤＢ）_【調整中】千里導入明細資料_２２年度上期分_fj_20100127" xfId="2923" xr:uid="{00000000-0005-0000-0000-0000290B0000}"/>
    <cellStyle name="_【20090608】千里導入明細資料_２１年度分_【20090724】千里導入明細資料_２１年度分（９月工事分）_【20091225】千里導入明細資料_２２年度上期分（営業店ＡＰ－ＤＢ）_【調整中】千里導入明細資料_２２年度上期分_fj_20100127 2" xfId="2924" xr:uid="{00000000-0005-0000-0000-00002A0B0000}"/>
    <cellStyle name="_【20090608】千里導入明細資料_２１年度分_【20090724】千里導入明細資料_２１年度分（９月工事分）_【20091225】千里導入明細資料_２２年度上期分（営業店ＡＰ－ＤＢ）_【調整中】千里導入明細資料_２２年度上期分_fj_20100127_Ⅹ_課題と対応策_20121211" xfId="2925" xr:uid="{00000000-0005-0000-0000-00002B0B0000}"/>
    <cellStyle name="_【20090608】千里導入明細資料_２１年度分_【20090724】千里導入明細資料_２１年度分（９月工事分）_【20091225】千里導入明細資料_２２年度上期分（営業店ＡＰ－ＤＢ）_【調整中】千里導入明細資料_２２年度上期分_fj_20100127_Ⅹ_課題と対応策_20121211 2" xfId="2926" xr:uid="{00000000-0005-0000-0000-00002C0B0000}"/>
    <cellStyle name="_【20090608】千里導入明細資料_２１年度分_【20090724】千里導入明細資料_２１年度分（９月工事分）_【20091225】千里導入明細資料_２２年度上期分（営業店ＡＰ－ＤＢ）_Ⅹ_課題と対応策_20121211" xfId="2927" xr:uid="{00000000-0005-0000-0000-00002D0B0000}"/>
    <cellStyle name="_【20090608】千里導入明細資料_２１年度分_【20090724】千里導入明細資料_２１年度分（９月工事分）_【20091225】千里導入明細資料_２２年度上期分（営業店ＡＰ－ＤＢ）_Ⅹ_課題と対応策_20121211 2" xfId="2928" xr:uid="{00000000-0005-0000-0000-00002E0B0000}"/>
    <cellStyle name="_【20090608】千里導入明細資料_２１年度分_【20090724】千里導入明細資料_２１年度分（９月工事分）_【20091225】千里導入明細資料_２２年度上期分_営業店DB" xfId="2929" xr:uid="{00000000-0005-0000-0000-00002F0B0000}"/>
    <cellStyle name="_【20090608】千里導入明細資料_２１年度分_【20090724】千里導入明細資料_２１年度分（９月工事分）_【20091225】千里導入明細資料_２２年度上期分_営業店DB 2" xfId="2930" xr:uid="{00000000-0005-0000-0000-0000300B0000}"/>
    <cellStyle name="_【20090608】千里導入明細資料_２１年度分_【20090724】千里導入明細資料_２１年度分（９月工事分）_【20091225】千里導入明細資料_２２年度上期分_営業店DB_【調整中】千里導入明細資料_２２年度上期分_fj_20100127" xfId="2931" xr:uid="{00000000-0005-0000-0000-0000310B0000}"/>
    <cellStyle name="_【20090608】千里導入明細資料_２１年度分_【20090724】千里導入明細資料_２１年度分（９月工事分）_【20091225】千里導入明細資料_２２年度上期分_営業店DB_【調整中】千里導入明細資料_２２年度上期分_fj_20100127 2" xfId="2932" xr:uid="{00000000-0005-0000-0000-0000320B0000}"/>
    <cellStyle name="_【20090608】千里導入明細資料_２１年度分_【20090724】千里導入明細資料_２１年度分（９月工事分）_【20091225】千里導入明細資料_２２年度上期分_営業店DB_【調整中】千里導入明細資料_２２年度上期分_fj_20100127_Ⅹ_課題と対応策_20121211" xfId="2933" xr:uid="{00000000-0005-0000-0000-0000330B0000}"/>
    <cellStyle name="_【20090608】千里導入明細資料_２１年度分_【20090724】千里導入明細資料_２１年度分（９月工事分）_【20091225】千里導入明細資料_２２年度上期分_営業店DB_【調整中】千里導入明細資料_２２年度上期分_fj_20100127_Ⅹ_課題と対応策_20121211 2" xfId="2934" xr:uid="{00000000-0005-0000-0000-0000340B0000}"/>
    <cellStyle name="_【20090608】千里導入明細資料_２１年度分_【20090724】千里導入明細資料_２１年度分（９月工事分）_【20091225】千里導入明細資料_２２年度上期分_営業店DB_Ⅹ_課題と対応策_20121211" xfId="2935" xr:uid="{00000000-0005-0000-0000-0000350B0000}"/>
    <cellStyle name="_【20090608】千里導入明細資料_２１年度分_【20090724】千里導入明細資料_２１年度分（９月工事分）_【20091225】千里導入明細資料_２２年度上期分_営業店DB_Ⅹ_課題と対応策_20121211 2" xfId="2936" xr:uid="{00000000-0005-0000-0000-0000360B0000}"/>
    <cellStyle name="_【20090608】千里導入明細資料_２１年度分_【20090724】千里導入明細資料_２１年度分（９月工事分）_【20091225】千里導入明細資料_２２年度上期分_連携DB" xfId="2937" xr:uid="{00000000-0005-0000-0000-0000370B0000}"/>
    <cellStyle name="_【20090608】千里導入明細資料_２１年度分_【20090724】千里導入明細資料_２１年度分（９月工事分）_【20091225】千里導入明細資料_２２年度上期分_連携DB 2" xfId="2938" xr:uid="{00000000-0005-0000-0000-0000380B0000}"/>
    <cellStyle name="_【20090608】千里導入明細資料_２１年度分_【20090724】千里導入明細資料_２１年度分（９月工事分）_【20091225】千里導入明細資料_２２年度上期分_連携DB_【調整中】千里導入明細資料_２２年度上期分_fj_20100127" xfId="2939" xr:uid="{00000000-0005-0000-0000-0000390B0000}"/>
    <cellStyle name="_【20090608】千里導入明細資料_２１年度分_【20090724】千里導入明細資料_２１年度分（９月工事分）_【20091225】千里導入明細資料_２２年度上期分_連携DB_【調整中】千里導入明細資料_２２年度上期分_fj_20100127 2" xfId="2940" xr:uid="{00000000-0005-0000-0000-00003A0B0000}"/>
    <cellStyle name="_【20090608】千里導入明細資料_２１年度分_【20090724】千里導入明細資料_２１年度分（９月工事分）_【20091225】千里導入明細資料_２２年度上期分_連携DB_【調整中】千里導入明細資料_２２年度上期分_fj_20100127_Ⅹ_課題と対応策_20121211" xfId="2941" xr:uid="{00000000-0005-0000-0000-00003B0B0000}"/>
    <cellStyle name="_【20090608】千里導入明細資料_２１年度分_【20090724】千里導入明細資料_２１年度分（９月工事分）_【20091225】千里導入明細資料_２２年度上期分_連携DB_【調整中】千里導入明細資料_２２年度上期分_fj_20100127_Ⅹ_課題と対応策_20121211 2" xfId="2942" xr:uid="{00000000-0005-0000-0000-00003C0B0000}"/>
    <cellStyle name="_【20090608】千里導入明細資料_２１年度分_【20090724】千里導入明細資料_２１年度分（９月工事分）_【20091225】千里導入明細資料_２２年度上期分_連携DB_Ⅹ_課題と対応策_20121211" xfId="2943" xr:uid="{00000000-0005-0000-0000-00003D0B0000}"/>
    <cellStyle name="_【20090608】千里導入明細資料_２１年度分_【20090724】千里導入明細資料_２１年度分（９月工事分）_【20091225】千里導入明細資料_２２年度上期分_連携DB_Ⅹ_課題と対応策_20121211 2" xfId="2944" xr:uid="{00000000-0005-0000-0000-00003E0B0000}"/>
    <cellStyle name="_【20090608】千里導入明細資料_２１年度分_【20090724】千里導入明細資料_２１年度分（９月工事分）_【作成中】千里センター機器配置図（2010年対応分）_20091221" xfId="2945" xr:uid="{00000000-0005-0000-0000-00003F0B0000}"/>
    <cellStyle name="_【20090608】千里導入明細資料_２１年度分_【20090724】千里導入明細資料_２１年度分（９月工事分）_【作成中】千里センター機器配置図（2010年対応分）_20091221 2" xfId="2946" xr:uid="{00000000-0005-0000-0000-0000400B0000}"/>
    <cellStyle name="_【20090608】千里導入明細資料_２１年度分_【20090724】千里導入明細資料_２１年度分（９月工事分）_【作成中】千里センター機器配置図（2010年対応分）_20091221_【調整中】千里導入明細資料_２２年度上期分_fj_20100127" xfId="2947" xr:uid="{00000000-0005-0000-0000-0000410B0000}"/>
    <cellStyle name="_【20090608】千里導入明細資料_２１年度分_【20090724】千里導入明細資料_２１年度分（９月工事分）_【作成中】千里センター機器配置図（2010年対応分）_20091221_【調整中】千里導入明細資料_２２年度上期分_fj_20100127 2" xfId="2948" xr:uid="{00000000-0005-0000-0000-0000420B0000}"/>
    <cellStyle name="_【20090608】千里導入明細資料_２１年度分_【20090724】千里導入明細資料_２１年度分（９月工事分）_【作成中】千里センター機器配置図（2010年対応分）_20091221_【調整中】千里導入明細資料_２２年度上期分_fj_20100127_Ⅹ_課題と対応策_20121211" xfId="2949" xr:uid="{00000000-0005-0000-0000-0000430B0000}"/>
    <cellStyle name="_【20090608】千里導入明細資料_２１年度分_【20090724】千里導入明細資料_２１年度分（９月工事分）_【作成中】千里センター機器配置図（2010年対応分）_20091221_【調整中】千里導入明細資料_２２年度上期分_fj_20100127_Ⅹ_課題と対応策_20121211 2" xfId="2950" xr:uid="{00000000-0005-0000-0000-0000440B0000}"/>
    <cellStyle name="_【20090608】千里導入明細資料_２１年度分_【20090724】千里導入明細資料_２１年度分（９月工事分）_【作成中】千里センター機器配置図（2010年対応分）_20091221_Ⅹ_課題と対応策_20121211" xfId="2951" xr:uid="{00000000-0005-0000-0000-0000450B0000}"/>
    <cellStyle name="_【20090608】千里導入明細資料_２１年度分_【20090724】千里導入明細資料_２１年度分（９月工事分）_【作成中】千里センター機器配置図（2010年対応分）_20091221_Ⅹ_課題と対応策_20121211 2" xfId="2952" xr:uid="{00000000-0005-0000-0000-0000460B0000}"/>
    <cellStyle name="_【20090608】千里導入明細資料_２１年度分_【20090724】千里導入明細資料_２１年度分（９月工事分）_Ⅹ_課題と対応策_20121211" xfId="2953" xr:uid="{00000000-0005-0000-0000-0000470B0000}"/>
    <cellStyle name="_【20090608】千里導入明細資料_２１年度分_【20090724】千里導入明細資料_２１年度分（９月工事分）_Ⅹ_課題と対応策_20121211 2" xfId="2954" xr:uid="{00000000-0005-0000-0000-0000480B0000}"/>
    <cellStyle name="_【20090608】千里導入明細資料_２１年度分_【20090731】千里導入明細資料_２１年度分（９月工事分）" xfId="2955" xr:uid="{00000000-0005-0000-0000-0000490B0000}"/>
    <cellStyle name="_【20090608】千里導入明細資料_２１年度分_【20090731】千里導入明細資料_２１年度分（９月工事分） 2" xfId="2956" xr:uid="{00000000-0005-0000-0000-00004A0B0000}"/>
    <cellStyle name="_【20090608】千里導入明細資料_２１年度分_【20090731】千里導入明細資料_２１年度分（９月工事分）_【20090821】千里ラック搭載図（NW機器）" xfId="2957" xr:uid="{00000000-0005-0000-0000-00004B0B0000}"/>
    <cellStyle name="_【20090608】千里導入明細資料_２１年度分_【20090731】千里導入明細資料_２１年度分（９月工事分）_【20090821】千里ラック搭載図（NW機器） 2" xfId="2958" xr:uid="{00000000-0005-0000-0000-00004C0B0000}"/>
    <cellStyle name="_【20090608】千里導入明細資料_２１年度分_【20090731】千里導入明細資料_２１年度分（９月工事分）_【20090821】千里ラック搭載図（NW機器）_Ⅹ_課題と対応策_20121211" xfId="2959" xr:uid="{00000000-0005-0000-0000-00004D0B0000}"/>
    <cellStyle name="_【20090608】千里導入明細資料_２１年度分_【20090731】千里導入明細資料_２１年度分（９月工事分）_【20090821】千里ラック搭載図（NW機器）_Ⅹ_課題と対応策_20121211 2" xfId="2960" xr:uid="{00000000-0005-0000-0000-00004E0B0000}"/>
    <cellStyle name="_【20090608】千里導入明細資料_２１年度分_【20090731】千里導入明細資料_２１年度分（９月工事分）_Ⅹ_課題と対応策_20121211" xfId="2961" xr:uid="{00000000-0005-0000-0000-00004F0B0000}"/>
    <cellStyle name="_【20090608】千里導入明細資料_２１年度分_【20090731】千里導入明細資料_２１年度分（９月工事分）_Ⅹ_課題と対応策_20121211 2" xfId="2962" xr:uid="{00000000-0005-0000-0000-0000500B0000}"/>
    <cellStyle name="_【20090608】千里導入明細資料_２１年度分_【20090807】千里導入明細資料" xfId="2963" xr:uid="{00000000-0005-0000-0000-0000510B0000}"/>
    <cellStyle name="_【20090608】千里導入明細資料_２１年度分_【20090807】千里導入明細資料 2" xfId="2964" xr:uid="{00000000-0005-0000-0000-0000520B0000}"/>
    <cellStyle name="_【20090608】千里導入明細資料_２１年度分_【20090807】千里導入明細資料_【20091207】千里導入明細資料_２１年度分（ネットワーク敷設）" xfId="2965" xr:uid="{00000000-0005-0000-0000-0000530B0000}"/>
    <cellStyle name="_【20090608】千里導入明細資料_２１年度分_【20090807】千里導入明細資料_【20091207】千里導入明細資料_２１年度分（ネットワーク敷設） 2" xfId="2966" xr:uid="{00000000-0005-0000-0000-0000540B0000}"/>
    <cellStyle name="_【20090608】千里導入明細資料_２１年度分_【20090807】千里導入明細資料_【20091207】千里導入明細資料_２１年度分（ネットワーク敷設）_【20091218】千里導入明細資料_２１年度分（ネットワーク敷設）" xfId="2967" xr:uid="{00000000-0005-0000-0000-0000550B0000}"/>
    <cellStyle name="_【20090608】千里導入明細資料_２１年度分_【20090807】千里導入明細資料_【20091207】千里導入明細資料_２１年度分（ネットワーク敷設）_【20091218】千里導入明細資料_２１年度分（ネットワーク敷設） 2" xfId="2968" xr:uid="{00000000-0005-0000-0000-0000560B0000}"/>
    <cellStyle name="_【20090608】千里導入明細資料_２１年度分_【20090807】千里導入明細資料_【20091207】千里導入明細資料_２１年度分（ネットワーク敷設）_【20091218】千里導入明細資料_２１年度分（ネットワーク敷設）_Ⅹ_課題と対応策_20121211" xfId="2969" xr:uid="{00000000-0005-0000-0000-0000570B0000}"/>
    <cellStyle name="_【20090608】千里導入明細資料_２１年度分_【20090807】千里導入明細資料_【20091207】千里導入明細資料_２１年度分（ネットワーク敷設）_【20091218】千里導入明細資料_２１年度分（ネットワーク敷設）_Ⅹ_課題と対応策_20121211 2" xfId="2970" xr:uid="{00000000-0005-0000-0000-0000580B0000}"/>
    <cellStyle name="_【20090608】千里導入明細資料_２１年度分_【20090807】千里導入明細資料_【20091207】千里導入明細資料_２１年度分（ネットワーク敷設）_Ⅹ_課題と対応策_20121211" xfId="2971" xr:uid="{00000000-0005-0000-0000-0000590B0000}"/>
    <cellStyle name="_【20090608】千里導入明細資料_２１年度分_【20090807】千里導入明細資料_【20091207】千里導入明細資料_２１年度分（ネットワーク敷設）_Ⅹ_課題と対応策_20121211 2" xfId="2972" xr:uid="{00000000-0005-0000-0000-00005A0B0000}"/>
    <cellStyle name="_【20090608】千里導入明細資料_２１年度分_【20090807】千里導入明細資料_【20091207】千里導入明細資料_２１年度分（ネットワーク敷設）_千里導入明細資料_２２年度分（ネットワーク敷設）_fj" xfId="2973" xr:uid="{00000000-0005-0000-0000-00005B0B0000}"/>
    <cellStyle name="_【20090608】千里導入明細資料_２１年度分_【20090807】千里導入明細資料_【20091207】千里導入明細資料_２１年度分（ネットワーク敷設）_千里導入明細資料_２２年度分（ネットワーク敷設）_fj 2" xfId="2974" xr:uid="{00000000-0005-0000-0000-00005C0B0000}"/>
    <cellStyle name="_【20090608】千里導入明細資料_２１年度分_【20090807】千里導入明細資料_【20091207】千里導入明細資料_２１年度分（ネットワーク敷設）_千里導入明細資料_２２年度分（ネットワーク敷設）_fj_Ⅹ_課題と対応策_20121211" xfId="2975" xr:uid="{00000000-0005-0000-0000-00005D0B0000}"/>
    <cellStyle name="_【20090608】千里導入明細資料_２１年度分_【20090807】千里導入明細資料_【20091207】千里導入明細資料_２１年度分（ネットワーク敷設）_千里導入明細資料_２２年度分（ネットワーク敷設）_fj_Ⅹ_課題と対応策_20121211 2" xfId="2976" xr:uid="{00000000-0005-0000-0000-00005E0B0000}"/>
    <cellStyle name="_【20090608】千里導入明細資料_２１年度分_【20090807】千里導入明細資料_【20091225】千里導入明細資料_２２年度上期分（営業店ＡＰ－ＤＢ）" xfId="2977" xr:uid="{00000000-0005-0000-0000-00005F0B0000}"/>
    <cellStyle name="_【20090608】千里導入明細資料_２１年度分_【20090807】千里導入明細資料_【20091225】千里導入明細資料_２２年度上期分（営業店ＡＰ－ＤＢ） 2" xfId="2978" xr:uid="{00000000-0005-0000-0000-0000600B0000}"/>
    <cellStyle name="_【20090608】千里導入明細資料_２１年度分_【20090807】千里導入明細資料_【20091225】千里導入明細資料_２２年度上期分（営業店ＡＰ－ＤＢ）_【調整中】千里導入明細資料_２２年度上期分_fj_20100127" xfId="2979" xr:uid="{00000000-0005-0000-0000-0000610B0000}"/>
    <cellStyle name="_【20090608】千里導入明細資料_２１年度分_【20090807】千里導入明細資料_【20091225】千里導入明細資料_２２年度上期分（営業店ＡＰ－ＤＢ）_【調整中】千里導入明細資料_２２年度上期分_fj_20100127 2" xfId="2980" xr:uid="{00000000-0005-0000-0000-0000620B0000}"/>
    <cellStyle name="_【20090608】千里導入明細資料_２１年度分_【20090807】千里導入明細資料_【20091225】千里導入明細資料_２２年度上期分（営業店ＡＰ－ＤＢ）_【調整中】千里導入明細資料_２２年度上期分_fj_20100127_Ⅹ_課題と対応策_20121211" xfId="2981" xr:uid="{00000000-0005-0000-0000-0000630B0000}"/>
    <cellStyle name="_【20090608】千里導入明細資料_２１年度分_【20090807】千里導入明細資料_【20091225】千里導入明細資料_２２年度上期分（営業店ＡＰ－ＤＢ）_【調整中】千里導入明細資料_２２年度上期分_fj_20100127_Ⅹ_課題と対応策_20121211 2" xfId="2982" xr:uid="{00000000-0005-0000-0000-0000640B0000}"/>
    <cellStyle name="_【20090608】千里導入明細資料_２１年度分_【20090807】千里導入明細資料_【20091225】千里導入明細資料_２２年度上期分（営業店ＡＰ－ＤＢ）_Ⅹ_課題と対応策_20121211" xfId="2983" xr:uid="{00000000-0005-0000-0000-0000650B0000}"/>
    <cellStyle name="_【20090608】千里導入明細資料_２１年度分_【20090807】千里導入明細資料_【20091225】千里導入明細資料_２２年度上期分（営業店ＡＰ－ＤＢ）_Ⅹ_課題と対応策_20121211 2" xfId="2984" xr:uid="{00000000-0005-0000-0000-0000660B0000}"/>
    <cellStyle name="_【20090608】千里導入明細資料_２１年度分_【20090807】千里導入明細資料_【20091225】千里導入明細資料_２２年度上期分_営業店DB" xfId="2985" xr:uid="{00000000-0005-0000-0000-0000670B0000}"/>
    <cellStyle name="_【20090608】千里導入明細資料_２１年度分_【20090807】千里導入明細資料_【20091225】千里導入明細資料_２２年度上期分_営業店DB 2" xfId="2986" xr:uid="{00000000-0005-0000-0000-0000680B0000}"/>
    <cellStyle name="_【20090608】千里導入明細資料_２１年度分_【20090807】千里導入明細資料_【20091225】千里導入明細資料_２２年度上期分_営業店DB_【調整中】千里導入明細資料_２２年度上期分_fj_20100127" xfId="2987" xr:uid="{00000000-0005-0000-0000-0000690B0000}"/>
    <cellStyle name="_【20090608】千里導入明細資料_２１年度分_【20090807】千里導入明細資料_【20091225】千里導入明細資料_２２年度上期分_営業店DB_【調整中】千里導入明細資料_２２年度上期分_fj_20100127 2" xfId="2988" xr:uid="{00000000-0005-0000-0000-00006A0B0000}"/>
    <cellStyle name="_【20090608】千里導入明細資料_２１年度分_【20090807】千里導入明細資料_【20091225】千里導入明細資料_２２年度上期分_営業店DB_【調整中】千里導入明細資料_２２年度上期分_fj_20100127_Ⅹ_課題と対応策_20121211" xfId="2989" xr:uid="{00000000-0005-0000-0000-00006B0B0000}"/>
    <cellStyle name="_【20090608】千里導入明細資料_２１年度分_【20090807】千里導入明細資料_【20091225】千里導入明細資料_２２年度上期分_営業店DB_【調整中】千里導入明細資料_２２年度上期分_fj_20100127_Ⅹ_課題と対応策_20121211 2" xfId="2990" xr:uid="{00000000-0005-0000-0000-00006C0B0000}"/>
    <cellStyle name="_【20090608】千里導入明細資料_２１年度分_【20090807】千里導入明細資料_【20091225】千里導入明細資料_２２年度上期分_営業店DB_Ⅹ_課題と対応策_20121211" xfId="2991" xr:uid="{00000000-0005-0000-0000-00006D0B0000}"/>
    <cellStyle name="_【20090608】千里導入明細資料_２１年度分_【20090807】千里導入明細資料_【20091225】千里導入明細資料_２２年度上期分_営業店DB_Ⅹ_課題と対応策_20121211 2" xfId="2992" xr:uid="{00000000-0005-0000-0000-00006E0B0000}"/>
    <cellStyle name="_【20090608】千里導入明細資料_２１年度分_【20090807】千里導入明細資料_【20091225】千里導入明細資料_２２年度上期分_連携DB" xfId="2993" xr:uid="{00000000-0005-0000-0000-00006F0B0000}"/>
    <cellStyle name="_【20090608】千里導入明細資料_２１年度分_【20090807】千里導入明細資料_【20091225】千里導入明細資料_２２年度上期分_連携DB 2" xfId="2994" xr:uid="{00000000-0005-0000-0000-0000700B0000}"/>
    <cellStyle name="_【20090608】千里導入明細資料_２１年度分_【20090807】千里導入明細資料_【20091225】千里導入明細資料_２２年度上期分_連携DB_【調整中】千里導入明細資料_２２年度上期分_fj_20100127" xfId="2995" xr:uid="{00000000-0005-0000-0000-0000710B0000}"/>
    <cellStyle name="_【20090608】千里導入明細資料_２１年度分_【20090807】千里導入明細資料_【20091225】千里導入明細資料_２２年度上期分_連携DB_【調整中】千里導入明細資料_２２年度上期分_fj_20100127 2" xfId="2996" xr:uid="{00000000-0005-0000-0000-0000720B0000}"/>
    <cellStyle name="_【20090608】千里導入明細資料_２１年度分_【20090807】千里導入明細資料_【20091225】千里導入明細資料_２２年度上期分_連携DB_【調整中】千里導入明細資料_２２年度上期分_fj_20100127_Ⅹ_課題と対応策_20121211" xfId="2997" xr:uid="{00000000-0005-0000-0000-0000730B0000}"/>
    <cellStyle name="_【20090608】千里導入明細資料_２１年度分_【20090807】千里導入明細資料_【20091225】千里導入明細資料_２２年度上期分_連携DB_【調整中】千里導入明細資料_２２年度上期分_fj_20100127_Ⅹ_課題と対応策_20121211 2" xfId="2998" xr:uid="{00000000-0005-0000-0000-0000740B0000}"/>
    <cellStyle name="_【20090608】千里導入明細資料_２１年度分_【20090807】千里導入明細資料_【20091225】千里導入明細資料_２２年度上期分_連携DB_Ⅹ_課題と対応策_20121211" xfId="2999" xr:uid="{00000000-0005-0000-0000-0000750B0000}"/>
    <cellStyle name="_【20090608】千里導入明細資料_２１年度分_【20090807】千里導入明細資料_【20091225】千里導入明細資料_２２年度上期分_連携DB_Ⅹ_課題と対応策_20121211 2" xfId="3000" xr:uid="{00000000-0005-0000-0000-0000760B0000}"/>
    <cellStyle name="_【20090608】千里導入明細資料_２１年度分_【20090807】千里導入明細資料_【作成中】千里センター機器配置図（2010年対応分）_20091221" xfId="3001" xr:uid="{00000000-0005-0000-0000-0000770B0000}"/>
    <cellStyle name="_【20090608】千里導入明細資料_２１年度分_【20090807】千里導入明細資料_【作成中】千里センター機器配置図（2010年対応分）_20091221 2" xfId="3002" xr:uid="{00000000-0005-0000-0000-0000780B0000}"/>
    <cellStyle name="_【20090608】千里導入明細資料_２１年度分_【20090807】千里導入明細資料_【作成中】千里センター機器配置図（2010年対応分）_20091221_【調整中】千里導入明細資料_２２年度上期分_fj_20100127" xfId="3003" xr:uid="{00000000-0005-0000-0000-0000790B0000}"/>
    <cellStyle name="_【20090608】千里導入明細資料_２１年度分_【20090807】千里導入明細資料_【作成中】千里センター機器配置図（2010年対応分）_20091221_【調整中】千里導入明細資料_２２年度上期分_fj_20100127 2" xfId="3004" xr:uid="{00000000-0005-0000-0000-00007A0B0000}"/>
    <cellStyle name="_【20090608】千里導入明細資料_２１年度分_【20090807】千里導入明細資料_【作成中】千里センター機器配置図（2010年対応分）_20091221_【調整中】千里導入明細資料_２２年度上期分_fj_20100127_Ⅹ_課題と対応策_20121211" xfId="3005" xr:uid="{00000000-0005-0000-0000-00007B0B0000}"/>
    <cellStyle name="_【20090608】千里導入明細資料_２１年度分_【20090807】千里導入明細資料_【作成中】千里センター機器配置図（2010年対応分）_20091221_【調整中】千里導入明細資料_２２年度上期分_fj_20100127_Ⅹ_課題と対応策_20121211 2" xfId="3006" xr:uid="{00000000-0005-0000-0000-00007C0B0000}"/>
    <cellStyle name="_【20090608】千里導入明細資料_２１年度分_【20090807】千里導入明細資料_【作成中】千里センター機器配置図（2010年対応分）_20091221_Ⅹ_課題と対応策_20121211" xfId="3007" xr:uid="{00000000-0005-0000-0000-00007D0B0000}"/>
    <cellStyle name="_【20090608】千里導入明細資料_２１年度分_【20090807】千里導入明細資料_【作成中】千里センター機器配置図（2010年対応分）_20091221_Ⅹ_課題と対応策_20121211 2" xfId="3008" xr:uid="{00000000-0005-0000-0000-00007E0B0000}"/>
    <cellStyle name="_【20090608】千里導入明細資料_２１年度分_【20090807】千里導入明細資料_Ⅹ_課題と対応策_20121211" xfId="3009" xr:uid="{00000000-0005-0000-0000-00007F0B0000}"/>
    <cellStyle name="_【20090608】千里導入明細資料_２１年度分_【20090807】千里導入明細資料_Ⅹ_課題と対応策_20121211 2" xfId="3010" xr:uid="{00000000-0005-0000-0000-0000800B0000}"/>
    <cellStyle name="_【20090608】千里導入明細資料_２１年度分_【20090814】千里導入明細資料_SDB追加" xfId="3011" xr:uid="{00000000-0005-0000-0000-0000810B0000}"/>
    <cellStyle name="_【20090608】千里導入明細資料_２１年度分_【20090814】千里導入明細資料_SDB追加 2" xfId="3012" xr:uid="{00000000-0005-0000-0000-0000820B0000}"/>
    <cellStyle name="_【20090608】千里導入明細資料_２１年度分_【20090814】千里導入明細資料_SDB追加_【20091207】千里導入明細資料_２１年度分（ネットワーク敷設）" xfId="3013" xr:uid="{00000000-0005-0000-0000-0000830B0000}"/>
    <cellStyle name="_【20090608】千里導入明細資料_２１年度分_【20090814】千里導入明細資料_SDB追加_【20091207】千里導入明細資料_２１年度分（ネットワーク敷設） 2" xfId="3014" xr:uid="{00000000-0005-0000-0000-0000840B0000}"/>
    <cellStyle name="_【20090608】千里導入明細資料_２１年度分_【20090814】千里導入明細資料_SDB追加_【20091207】千里導入明細資料_２１年度分（ネットワーク敷設）_【20091218】千里導入明細資料_２１年度分（ネットワーク敷設）" xfId="3015" xr:uid="{00000000-0005-0000-0000-0000850B0000}"/>
    <cellStyle name="_【20090608】千里導入明細資料_２１年度分_【20090814】千里導入明細資料_SDB追加_【20091207】千里導入明細資料_２１年度分（ネットワーク敷設）_【20091218】千里導入明細資料_２１年度分（ネットワーク敷設） 2" xfId="3016" xr:uid="{00000000-0005-0000-0000-0000860B0000}"/>
    <cellStyle name="_【20090608】千里導入明細資料_２１年度分_【20090814】千里導入明細資料_SDB追加_【20091207】千里導入明細資料_２１年度分（ネットワーク敷設）_【20091218】千里導入明細資料_２１年度分（ネットワーク敷設）_Ⅹ_課題と対応策_20121211" xfId="3017" xr:uid="{00000000-0005-0000-0000-0000870B0000}"/>
    <cellStyle name="_【20090608】千里導入明細資料_２１年度分_【20090814】千里導入明細資料_SDB追加_【20091207】千里導入明細資料_２１年度分（ネットワーク敷設）_【20091218】千里導入明細資料_２１年度分（ネットワーク敷設）_Ⅹ_課題と対応策_20121211 2" xfId="3018" xr:uid="{00000000-0005-0000-0000-0000880B0000}"/>
    <cellStyle name="_【20090608】千里導入明細資料_２１年度分_【20090814】千里導入明細資料_SDB追加_【20091207】千里導入明細資料_２１年度分（ネットワーク敷設）_Ⅹ_課題と対応策_20121211" xfId="3019" xr:uid="{00000000-0005-0000-0000-0000890B0000}"/>
    <cellStyle name="_【20090608】千里導入明細資料_２１年度分_【20090814】千里導入明細資料_SDB追加_【20091207】千里導入明細資料_２１年度分（ネットワーク敷設）_Ⅹ_課題と対応策_20121211 2" xfId="3020" xr:uid="{00000000-0005-0000-0000-00008A0B0000}"/>
    <cellStyle name="_【20090608】千里導入明細資料_２１年度分_【20090814】千里導入明細資料_SDB追加_【20091207】千里導入明細資料_２１年度分（ネットワーク敷設）_千里導入明細資料_２２年度分（ネットワーク敷設）_fj" xfId="3021" xr:uid="{00000000-0005-0000-0000-00008B0B0000}"/>
    <cellStyle name="_【20090608】千里導入明細資料_２１年度分_【20090814】千里導入明細資料_SDB追加_【20091207】千里導入明細資料_２１年度分（ネットワーク敷設）_千里導入明細資料_２２年度分（ネットワーク敷設）_fj 2" xfId="3022" xr:uid="{00000000-0005-0000-0000-00008C0B0000}"/>
    <cellStyle name="_【20090608】千里導入明細資料_２１年度分_【20090814】千里導入明細資料_SDB追加_【20091207】千里導入明細資料_２１年度分（ネットワーク敷設）_千里導入明細資料_２２年度分（ネットワーク敷設）_fj_Ⅹ_課題と対応策_20121211" xfId="3023" xr:uid="{00000000-0005-0000-0000-00008D0B0000}"/>
    <cellStyle name="_【20090608】千里導入明細資料_２１年度分_【20090814】千里導入明細資料_SDB追加_【20091207】千里導入明細資料_２１年度分（ネットワーク敷設）_千里導入明細資料_２２年度分（ネットワーク敷設）_fj_Ⅹ_課題と対応策_20121211 2" xfId="3024" xr:uid="{00000000-0005-0000-0000-00008E0B0000}"/>
    <cellStyle name="_【20090608】千里導入明細資料_２１年度分_【20090814】千里導入明細資料_SDB追加_【20091225】千里導入明細資料_２２年度上期分（営業店ＡＰ－ＤＢ）" xfId="3025" xr:uid="{00000000-0005-0000-0000-00008F0B0000}"/>
    <cellStyle name="_【20090608】千里導入明細資料_２１年度分_【20090814】千里導入明細資料_SDB追加_【20091225】千里導入明細資料_２２年度上期分（営業店ＡＰ－ＤＢ） 2" xfId="3026" xr:uid="{00000000-0005-0000-0000-0000900B0000}"/>
    <cellStyle name="_【20090608】千里導入明細資料_２１年度分_【20090814】千里導入明細資料_SDB追加_【20091225】千里導入明細資料_２２年度上期分（営業店ＡＰ－ＤＢ）_【調整中】千里導入明細資料_２２年度上期分_fj_20100127" xfId="3027" xr:uid="{00000000-0005-0000-0000-0000910B0000}"/>
    <cellStyle name="_【20090608】千里導入明細資料_２１年度分_【20090814】千里導入明細資料_SDB追加_【20091225】千里導入明細資料_２２年度上期分（営業店ＡＰ－ＤＢ）_【調整中】千里導入明細資料_２２年度上期分_fj_20100127 2" xfId="3028" xr:uid="{00000000-0005-0000-0000-0000920B0000}"/>
    <cellStyle name="_【20090608】千里導入明細資料_２１年度分_【20090814】千里導入明細資料_SDB追加_【20091225】千里導入明細資料_２２年度上期分（営業店ＡＰ－ＤＢ）_【調整中】千里導入明細資料_２２年度上期分_fj_20100127_Ⅹ_課題と対応策_20121211" xfId="3029" xr:uid="{00000000-0005-0000-0000-0000930B0000}"/>
    <cellStyle name="_【20090608】千里導入明細資料_２１年度分_【20090814】千里導入明細資料_SDB追加_【20091225】千里導入明細資料_２２年度上期分（営業店ＡＰ－ＤＢ）_【調整中】千里導入明細資料_２２年度上期分_fj_20100127_Ⅹ_課題と対応策_20121211 2" xfId="3030" xr:uid="{00000000-0005-0000-0000-0000940B0000}"/>
    <cellStyle name="_【20090608】千里導入明細資料_２１年度分_【20090814】千里導入明細資料_SDB追加_【20091225】千里導入明細資料_２２年度上期分（営業店ＡＰ－ＤＢ）_Ⅹ_課題と対応策_20121211" xfId="3031" xr:uid="{00000000-0005-0000-0000-0000950B0000}"/>
    <cellStyle name="_【20090608】千里導入明細資料_２１年度分_【20090814】千里導入明細資料_SDB追加_【20091225】千里導入明細資料_２２年度上期分（営業店ＡＰ－ＤＢ）_Ⅹ_課題と対応策_20121211 2" xfId="3032" xr:uid="{00000000-0005-0000-0000-0000960B0000}"/>
    <cellStyle name="_【20090608】千里導入明細資料_２１年度分_【20090814】千里導入明細資料_SDB追加_【20091225】千里導入明細資料_２２年度上期分_営業店DB" xfId="3033" xr:uid="{00000000-0005-0000-0000-0000970B0000}"/>
    <cellStyle name="_【20090608】千里導入明細資料_２１年度分_【20090814】千里導入明細資料_SDB追加_【20091225】千里導入明細資料_２２年度上期分_営業店DB 2" xfId="3034" xr:uid="{00000000-0005-0000-0000-0000980B0000}"/>
    <cellStyle name="_【20090608】千里導入明細資料_２１年度分_【20090814】千里導入明細資料_SDB追加_【20091225】千里導入明細資料_２２年度上期分_営業店DB_【調整中】千里導入明細資料_２２年度上期分_fj_20100127" xfId="3035" xr:uid="{00000000-0005-0000-0000-0000990B0000}"/>
    <cellStyle name="_【20090608】千里導入明細資料_２１年度分_【20090814】千里導入明細資料_SDB追加_【20091225】千里導入明細資料_２２年度上期分_営業店DB_【調整中】千里導入明細資料_２２年度上期分_fj_20100127 2" xfId="3036" xr:uid="{00000000-0005-0000-0000-00009A0B0000}"/>
    <cellStyle name="_【20090608】千里導入明細資料_２１年度分_【20090814】千里導入明細資料_SDB追加_【20091225】千里導入明細資料_２２年度上期分_営業店DB_【調整中】千里導入明細資料_２２年度上期分_fj_20100127_Ⅹ_課題と対応策_20121211" xfId="3037" xr:uid="{00000000-0005-0000-0000-00009B0B0000}"/>
    <cellStyle name="_【20090608】千里導入明細資料_２１年度分_【20090814】千里導入明細資料_SDB追加_【20091225】千里導入明細資料_２２年度上期分_営業店DB_【調整中】千里導入明細資料_２２年度上期分_fj_20100127_Ⅹ_課題と対応策_20121211 2" xfId="3038" xr:uid="{00000000-0005-0000-0000-00009C0B0000}"/>
    <cellStyle name="_【20090608】千里導入明細資料_２１年度分_【20090814】千里導入明細資料_SDB追加_【20091225】千里導入明細資料_２２年度上期分_営業店DB_Ⅹ_課題と対応策_20121211" xfId="3039" xr:uid="{00000000-0005-0000-0000-00009D0B0000}"/>
    <cellStyle name="_【20090608】千里導入明細資料_２１年度分_【20090814】千里導入明細資料_SDB追加_【20091225】千里導入明細資料_２２年度上期分_営業店DB_Ⅹ_課題と対応策_20121211 2" xfId="3040" xr:uid="{00000000-0005-0000-0000-00009E0B0000}"/>
    <cellStyle name="_【20090608】千里導入明細資料_２１年度分_【20090814】千里導入明細資料_SDB追加_【20091225】千里導入明細資料_２２年度上期分_連携DB" xfId="3041" xr:uid="{00000000-0005-0000-0000-00009F0B0000}"/>
    <cellStyle name="_【20090608】千里導入明細資料_２１年度分_【20090814】千里導入明細資料_SDB追加_【20091225】千里導入明細資料_２２年度上期分_連携DB 2" xfId="3042" xr:uid="{00000000-0005-0000-0000-0000A00B0000}"/>
    <cellStyle name="_【20090608】千里導入明細資料_２１年度分_【20090814】千里導入明細資料_SDB追加_【20091225】千里導入明細資料_２２年度上期分_連携DB_【調整中】千里導入明細資料_２２年度上期分_fj_20100127" xfId="3043" xr:uid="{00000000-0005-0000-0000-0000A10B0000}"/>
    <cellStyle name="_【20090608】千里導入明細資料_２１年度分_【20090814】千里導入明細資料_SDB追加_【20091225】千里導入明細資料_２２年度上期分_連携DB_【調整中】千里導入明細資料_２２年度上期分_fj_20100127 2" xfId="3044" xr:uid="{00000000-0005-0000-0000-0000A20B0000}"/>
    <cellStyle name="_【20090608】千里導入明細資料_２１年度分_【20090814】千里導入明細資料_SDB追加_【20091225】千里導入明細資料_２２年度上期分_連携DB_【調整中】千里導入明細資料_２２年度上期分_fj_20100127_Ⅹ_課題と対応策_20121211" xfId="3045" xr:uid="{00000000-0005-0000-0000-0000A30B0000}"/>
    <cellStyle name="_【20090608】千里導入明細資料_２１年度分_【20090814】千里導入明細資料_SDB追加_【20091225】千里導入明細資料_２２年度上期分_連携DB_【調整中】千里導入明細資料_２２年度上期分_fj_20100127_Ⅹ_課題と対応策_20121211 2" xfId="3046" xr:uid="{00000000-0005-0000-0000-0000A40B0000}"/>
    <cellStyle name="_【20090608】千里導入明細資料_２１年度分_【20090814】千里導入明細資料_SDB追加_【20091225】千里導入明細資料_２２年度上期分_連携DB_Ⅹ_課題と対応策_20121211" xfId="3047" xr:uid="{00000000-0005-0000-0000-0000A50B0000}"/>
    <cellStyle name="_【20090608】千里導入明細資料_２１年度分_【20090814】千里導入明細資料_SDB追加_【20091225】千里導入明細資料_２２年度上期分_連携DB_Ⅹ_課題と対応策_20121211 2" xfId="3048" xr:uid="{00000000-0005-0000-0000-0000A60B0000}"/>
    <cellStyle name="_【20090608】千里導入明細資料_２１年度分_【20090814】千里導入明細資料_SDB追加_【作成中】千里センター機器配置図（2010年対応分）_20091221" xfId="3049" xr:uid="{00000000-0005-0000-0000-0000A70B0000}"/>
    <cellStyle name="_【20090608】千里導入明細資料_２１年度分_【20090814】千里導入明細資料_SDB追加_【作成中】千里センター機器配置図（2010年対応分）_20091221 2" xfId="3050" xr:uid="{00000000-0005-0000-0000-0000A80B0000}"/>
    <cellStyle name="_【20090608】千里導入明細資料_２１年度分_【20090814】千里導入明細資料_SDB追加_【作成中】千里センター機器配置図（2010年対応分）_20091221_【調整中】千里導入明細資料_２２年度上期分_fj_20100127" xfId="3051" xr:uid="{00000000-0005-0000-0000-0000A90B0000}"/>
    <cellStyle name="_【20090608】千里導入明細資料_２１年度分_【20090814】千里導入明細資料_SDB追加_【作成中】千里センター機器配置図（2010年対応分）_20091221_【調整中】千里導入明細資料_２２年度上期分_fj_20100127 2" xfId="3052" xr:uid="{00000000-0005-0000-0000-0000AA0B0000}"/>
    <cellStyle name="_【20090608】千里導入明細資料_２１年度分_【20090814】千里導入明細資料_SDB追加_【作成中】千里センター機器配置図（2010年対応分）_20091221_【調整中】千里導入明細資料_２２年度上期分_fj_20100127_Ⅹ_課題と対応策_20121211" xfId="3053" xr:uid="{00000000-0005-0000-0000-0000AB0B0000}"/>
    <cellStyle name="_【20090608】千里導入明細資料_２１年度分_【20090814】千里導入明細資料_SDB追加_【作成中】千里センター機器配置図（2010年対応分）_20091221_【調整中】千里導入明細資料_２２年度上期分_fj_20100127_Ⅹ_課題と対応策_20121211 2" xfId="3054" xr:uid="{00000000-0005-0000-0000-0000AC0B0000}"/>
    <cellStyle name="_【20090608】千里導入明細資料_２１年度分_【20090814】千里導入明細資料_SDB追加_【作成中】千里センター機器配置図（2010年対応分）_20091221_Ⅹ_課題と対応策_20121211" xfId="3055" xr:uid="{00000000-0005-0000-0000-0000AD0B0000}"/>
    <cellStyle name="_【20090608】千里導入明細資料_２１年度分_【20090814】千里導入明細資料_SDB追加_【作成中】千里センター機器配置図（2010年対応分）_20091221_Ⅹ_課題と対応策_20121211 2" xfId="3056" xr:uid="{00000000-0005-0000-0000-0000AE0B0000}"/>
    <cellStyle name="_【20090608】千里導入明細資料_２１年度分_【20090814】千里導入明細資料_SDB追加_Ⅹ_課題と対応策_20121211" xfId="3057" xr:uid="{00000000-0005-0000-0000-0000AF0B0000}"/>
    <cellStyle name="_【20090608】千里導入明細資料_２１年度分_【20090814】千里導入明細資料_SDB追加_Ⅹ_課題と対応策_20121211 2" xfId="3058" xr:uid="{00000000-0005-0000-0000-0000B00B0000}"/>
    <cellStyle name="_【20090608】千里導入明細資料_２１年度分_【20090821】千里ラック搭載図（NW機器）" xfId="3059" xr:uid="{00000000-0005-0000-0000-0000B10B0000}"/>
    <cellStyle name="_【20090608】千里導入明細資料_２１年度分_【20090821】千里ラック搭載図（NW機器） 2" xfId="3060" xr:uid="{00000000-0005-0000-0000-0000B20B0000}"/>
    <cellStyle name="_【20090608】千里導入明細資料_２１年度分_【20090821】千里ラック搭載図（NW機器）_Ⅹ_課題と対応策_20121211" xfId="3061" xr:uid="{00000000-0005-0000-0000-0000B30B0000}"/>
    <cellStyle name="_【20090608】千里導入明細資料_２１年度分_【20090821】千里ラック搭載図（NW機器）_Ⅹ_課題と対応策_20121211 2" xfId="3062" xr:uid="{00000000-0005-0000-0000-0000B40B0000}"/>
    <cellStyle name="_【20090608】千里導入明細資料_２１年度分_【20091218】千里導入明細資料_２１年度分（ネットワーク敷設）" xfId="3063" xr:uid="{00000000-0005-0000-0000-0000B50B0000}"/>
    <cellStyle name="_【20090608】千里導入明細資料_２１年度分_【20091218】千里導入明細資料_２１年度分（ネットワーク敷設） 2" xfId="3064" xr:uid="{00000000-0005-0000-0000-0000B60B0000}"/>
    <cellStyle name="_【20090608】千里導入明細資料_２１年度分_【20091218】千里導入明細資料_２１年度分（ネットワーク敷設）_Ⅹ_課題と対応策_20121211" xfId="3065" xr:uid="{00000000-0005-0000-0000-0000B70B0000}"/>
    <cellStyle name="_【20090608】千里導入明細資料_２１年度分_【20091218】千里導入明細資料_２１年度分（ネットワーク敷設）_Ⅹ_課題と対応策_20121211 2" xfId="3066" xr:uid="{00000000-0005-0000-0000-0000B80B0000}"/>
    <cellStyle name="_【20090608】千里導入明細資料_２１年度分_【20091224】千里導入明細資料_２２年度上期分_営業店DB" xfId="3067" xr:uid="{00000000-0005-0000-0000-0000B90B0000}"/>
    <cellStyle name="_【20090608】千里導入明細資料_２１年度分_【20091224】千里導入明細資料_２２年度上期分_営業店DB 2" xfId="3068" xr:uid="{00000000-0005-0000-0000-0000BA0B0000}"/>
    <cellStyle name="_【20090608】千里導入明細資料_２１年度分_【20091224】千里導入明細資料_２２年度上期分_営業店DB_【20091225】千里導入明細資料_２２年度上期分（営業店ＡＰ－ＤＢ）" xfId="3069" xr:uid="{00000000-0005-0000-0000-0000BB0B0000}"/>
    <cellStyle name="_【20090608】千里導入明細資料_２１年度分_【20091224】千里導入明細資料_２２年度上期分_営業店DB_【20091225】千里導入明細資料_２２年度上期分（営業店ＡＰ－ＤＢ） 2" xfId="3070" xr:uid="{00000000-0005-0000-0000-0000BC0B0000}"/>
    <cellStyle name="_【20090608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" xfId="3071" xr:uid="{00000000-0005-0000-0000-0000BD0B0000}"/>
    <cellStyle name="_【20090608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 2" xfId="3072" xr:uid="{00000000-0005-0000-0000-0000BE0B0000}"/>
    <cellStyle name="_【20090608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_Ⅹ_課題と対応策_20121211" xfId="3073" xr:uid="{00000000-0005-0000-0000-0000BF0B0000}"/>
    <cellStyle name="_【20090608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3074" xr:uid="{00000000-0005-0000-0000-0000C00B0000}"/>
    <cellStyle name="_【20090608】千里導入明細資料_２１年度分_【20091224】千里導入明細資料_２２年度上期分_営業店DB_【20091225】千里導入明細資料_２２年度上期分（営業店ＡＰ－ＤＢ）_Ⅹ_課題と対応策_20121211" xfId="3075" xr:uid="{00000000-0005-0000-0000-0000C10B0000}"/>
    <cellStyle name="_【20090608】千里導入明細資料_２１年度分_【20091224】千里導入明細資料_２２年度上期分_営業店DB_【20091225】千里導入明細資料_２２年度上期分（営業店ＡＰ－ＤＢ）_Ⅹ_課題と対応策_20121211 2" xfId="3076" xr:uid="{00000000-0005-0000-0000-0000C20B0000}"/>
    <cellStyle name="_【20090608】千里導入明細資料_２１年度分_【20091224】千里導入明細資料_２２年度上期分_営業店DB_【20091225】千里導入明細資料_２２年度上期分_営業店DB" xfId="3077" xr:uid="{00000000-0005-0000-0000-0000C30B0000}"/>
    <cellStyle name="_【20090608】千里導入明細資料_２１年度分_【20091224】千里導入明細資料_２２年度上期分_営業店DB_【20091225】千里導入明細資料_２２年度上期分_営業店DB 2" xfId="3078" xr:uid="{00000000-0005-0000-0000-0000C40B0000}"/>
    <cellStyle name="_【20090608】千里導入明細資料_２１年度分_【20091224】千里導入明細資料_２２年度上期分_営業店DB_【20091225】千里導入明細資料_２２年度上期分_営業店DB_【調整中】千里導入明細資料_２２年度上期分_fj_20100127" xfId="3079" xr:uid="{00000000-0005-0000-0000-0000C50B0000}"/>
    <cellStyle name="_【20090608】千里導入明細資料_２１年度分_【20091224】千里導入明細資料_２２年度上期分_営業店DB_【20091225】千里導入明細資料_２２年度上期分_営業店DB_【調整中】千里導入明細資料_２２年度上期分_fj_20100127 2" xfId="3080" xr:uid="{00000000-0005-0000-0000-0000C60B0000}"/>
    <cellStyle name="_【20090608】千里導入明細資料_２１年度分_【20091224】千里導入明細資料_２２年度上期分_営業店DB_【20091225】千里導入明細資料_２２年度上期分_営業店DB_【調整中】千里導入明細資料_２２年度上期分_fj_20100127_Ⅹ_課題と対応策_20121211" xfId="3081" xr:uid="{00000000-0005-0000-0000-0000C70B0000}"/>
    <cellStyle name="_【20090608】千里導入明細資料_２１年度分_【20091224】千里導入明細資料_２２年度上期分_営業店DB_【20091225】千里導入明細資料_２２年度上期分_営業店DB_【調整中】千里導入明細資料_２２年度上期分_fj_20100127_Ⅹ_課題と対応策_20121211 2" xfId="3082" xr:uid="{00000000-0005-0000-0000-0000C80B0000}"/>
    <cellStyle name="_【20090608】千里導入明細資料_２１年度分_【20091224】千里導入明細資料_２２年度上期分_営業店DB_【20091225】千里導入明細資料_２２年度上期分_営業店DB_Ⅹ_課題と対応策_20121211" xfId="3083" xr:uid="{00000000-0005-0000-0000-0000C90B0000}"/>
    <cellStyle name="_【20090608】千里導入明細資料_２１年度分_【20091224】千里導入明細資料_２２年度上期分_営業店DB_【20091225】千里導入明細資料_２２年度上期分_営業店DB_Ⅹ_課題と対応策_20121211 2" xfId="3084" xr:uid="{00000000-0005-0000-0000-0000CA0B0000}"/>
    <cellStyle name="_【20090608】千里導入明細資料_２１年度分_【20091224】千里導入明細資料_２２年度上期分_営業店DB_Ⅹ_課題と対応策_20121211" xfId="3085" xr:uid="{00000000-0005-0000-0000-0000CB0B0000}"/>
    <cellStyle name="_【20090608】千里導入明細資料_２１年度分_【20091224】千里導入明細資料_２２年度上期分_営業店DB_Ⅹ_課題と対応策_20121211 2" xfId="3086" xr:uid="{00000000-0005-0000-0000-0000CC0B0000}"/>
    <cellStyle name="_【20090608】千里導入明細資料_２１年度分_【20091225】千里導入明細資料_２２年度上期分" xfId="3087" xr:uid="{00000000-0005-0000-0000-0000CD0B0000}"/>
    <cellStyle name="_【20090608】千里導入明細資料_２１年度分_【20091225】千里導入明細資料_２２年度上期分 2" xfId="3088" xr:uid="{00000000-0005-0000-0000-0000CE0B0000}"/>
    <cellStyle name="_【20090608】千里導入明細資料_２１年度分_【20091225】千里導入明細資料_２２年度上期分_Ⅹ_課題と対応策_20121211" xfId="3089" xr:uid="{00000000-0005-0000-0000-0000CF0B0000}"/>
    <cellStyle name="_【20090608】千里導入明細資料_２１年度分_【20091225】千里導入明細資料_２２年度上期分_Ⅹ_課題と対応策_20121211 2" xfId="3090" xr:uid="{00000000-0005-0000-0000-0000D00B0000}"/>
    <cellStyle name="_【20090608】千里導入明細資料_２１年度分_【20091225】千里導入明細資料_２２年度上期分_営業店DB" xfId="3091" xr:uid="{00000000-0005-0000-0000-0000D10B0000}"/>
    <cellStyle name="_【20090608】千里導入明細資料_２１年度分_【20091225】千里導入明細資料_２２年度上期分_営業店DB 2" xfId="3092" xr:uid="{00000000-0005-0000-0000-0000D20B0000}"/>
    <cellStyle name="_【20090608】千里導入明細資料_２１年度分_【20091225】千里導入明細資料_２２年度上期分_営業店DB_Ⅹ_課題と対応策_20121211" xfId="3093" xr:uid="{00000000-0005-0000-0000-0000D30B0000}"/>
    <cellStyle name="_【20090608】千里導入明細資料_２１年度分_【20091225】千里導入明細資料_２２年度上期分_営業店DB_Ⅹ_課題と対応策_20121211 2" xfId="3094" xr:uid="{00000000-0005-0000-0000-0000D40B0000}"/>
    <cellStyle name="_【20090608】千里導入明細資料_２１年度分_【20091225】千里導入明細資料_２２年度上期分_連携DB" xfId="3095" xr:uid="{00000000-0005-0000-0000-0000D50B0000}"/>
    <cellStyle name="_【20090608】千里導入明細資料_２１年度分_【20091225】千里導入明細資料_２２年度上期分_連携DB 2" xfId="3096" xr:uid="{00000000-0005-0000-0000-0000D60B0000}"/>
    <cellStyle name="_【20090608】千里導入明細資料_２１年度分_【20091225】千里導入明細資料_２２年度上期分_連携DB_Ⅹ_課題と対応策_20121211" xfId="3097" xr:uid="{00000000-0005-0000-0000-0000D70B0000}"/>
    <cellStyle name="_【20090608】千里導入明細資料_２１年度分_【20091225】千里導入明細資料_２２年度上期分_連携DB_Ⅹ_課題と対応策_20121211 2" xfId="3098" xr:uid="{00000000-0005-0000-0000-0000D80B0000}"/>
    <cellStyle name="_【20090608】千里導入明細資料_２１年度分_【200912xx】千里導入明細資料_２２年度上期分" xfId="3099" xr:uid="{00000000-0005-0000-0000-0000D90B0000}"/>
    <cellStyle name="_【20090608】千里導入明細資料_２１年度分_【200912xx】千里導入明細資料_２２年度上期分 2" xfId="3100" xr:uid="{00000000-0005-0000-0000-0000DA0B0000}"/>
    <cellStyle name="_【20090608】千里導入明細資料_２１年度分_【200912xx】千里導入明細資料_２２年度上期分（為替分）" xfId="3101" xr:uid="{00000000-0005-0000-0000-0000DB0B0000}"/>
    <cellStyle name="_【20090608】千里導入明細資料_２１年度分_【200912xx】千里導入明細資料_２２年度上期分（為替分） 2" xfId="3102" xr:uid="{00000000-0005-0000-0000-0000DC0B0000}"/>
    <cellStyle name="_【20090608】千里導入明細資料_２１年度分_【200912xx】千里導入明細資料_２２年度上期分（為替分）_Ⅹ_課題と対応策_20121211" xfId="3103" xr:uid="{00000000-0005-0000-0000-0000DD0B0000}"/>
    <cellStyle name="_【20090608】千里導入明細資料_２１年度分_【200912xx】千里導入明細資料_２２年度上期分（為替分）_Ⅹ_課題と対応策_20121211 2" xfId="3104" xr:uid="{00000000-0005-0000-0000-0000DE0B0000}"/>
    <cellStyle name="_【20090608】千里導入明細資料_２１年度分_【200912xx】千里導入明細資料_２２年度上期分_【20091225】千里導入明細資料_２２年度上期分（営業店ＡＰ－ＤＢ）" xfId="3105" xr:uid="{00000000-0005-0000-0000-0000DF0B0000}"/>
    <cellStyle name="_【20090608】千里導入明細資料_２１年度分_【200912xx】千里導入明細資料_２２年度上期分_【20091225】千里導入明細資料_２２年度上期分（営業店ＡＰ－ＤＢ） 2" xfId="3106" xr:uid="{00000000-0005-0000-0000-0000E00B0000}"/>
    <cellStyle name="_【20090608】千里導入明細資料_２１年度分_【200912xx】千里導入明細資料_２２年度上期分_【20091225】千里導入明細資料_２２年度上期分（営業店ＡＰ－ＤＢ）_【調整中】千里導入明細資料_２２年度上期分_fj_20100127" xfId="3107" xr:uid="{00000000-0005-0000-0000-0000E10B0000}"/>
    <cellStyle name="_【20090608】千里導入明細資料_２１年度分_【200912xx】千里導入明細資料_２２年度上期分_【20091225】千里導入明細資料_２２年度上期分（営業店ＡＰ－ＤＢ）_【調整中】千里導入明細資料_２２年度上期分_fj_20100127 2" xfId="3108" xr:uid="{00000000-0005-0000-0000-0000E20B0000}"/>
    <cellStyle name="_【20090608】千里導入明細資料_２１年度分_【200912xx】千里導入明細資料_２２年度上期分_【20091225】千里導入明細資料_２２年度上期分（営業店ＡＰ－ＤＢ）_【調整中】千里導入明細資料_２２年度上期分_fj_20100127_Ⅹ_課題と対応策_20121211" xfId="3109" xr:uid="{00000000-0005-0000-0000-0000E30B0000}"/>
    <cellStyle name="_【20090608】千里導入明細資料_２１年度分_【200912xx】千里導入明細資料_２２年度上期分_【20091225】千里導入明細資料_２２年度上期分（営業店ＡＰ－ＤＢ）_【調整中】千里導入明細資料_２２年度上期分_fj_20100127_Ⅹ_課題と対応策_20121211 2" xfId="3110" xr:uid="{00000000-0005-0000-0000-0000E40B0000}"/>
    <cellStyle name="_【20090608】千里導入明細資料_２１年度分_【200912xx】千里導入明細資料_２２年度上期分_【20091225】千里導入明細資料_２２年度上期分（営業店ＡＰ－ＤＢ）_Ⅹ_課題と対応策_20121211" xfId="3111" xr:uid="{00000000-0005-0000-0000-0000E50B0000}"/>
    <cellStyle name="_【20090608】千里導入明細資料_２１年度分_【200912xx】千里導入明細資料_２２年度上期分_【20091225】千里導入明細資料_２２年度上期分（営業店ＡＰ－ＤＢ）_Ⅹ_課題と対応策_20121211 2" xfId="3112" xr:uid="{00000000-0005-0000-0000-0000E60B0000}"/>
    <cellStyle name="_【20090608】千里導入明細資料_２１年度分_【200912xx】千里導入明細資料_２２年度上期分_【20091225】千里導入明細資料_２２年度上期分_営業店DB" xfId="3113" xr:uid="{00000000-0005-0000-0000-0000E70B0000}"/>
    <cellStyle name="_【20090608】千里導入明細資料_２１年度分_【200912xx】千里導入明細資料_２２年度上期分_【20091225】千里導入明細資料_２２年度上期分_営業店DB 2" xfId="3114" xr:uid="{00000000-0005-0000-0000-0000E80B0000}"/>
    <cellStyle name="_【20090608】千里導入明細資料_２１年度分_【200912xx】千里導入明細資料_２２年度上期分_【20091225】千里導入明細資料_２２年度上期分_営業店DB_【調整中】千里導入明細資料_２２年度上期分_fj_20100127" xfId="3115" xr:uid="{00000000-0005-0000-0000-0000E90B0000}"/>
    <cellStyle name="_【20090608】千里導入明細資料_２１年度分_【200912xx】千里導入明細資料_２２年度上期分_【20091225】千里導入明細資料_２２年度上期分_営業店DB_【調整中】千里導入明細資料_２２年度上期分_fj_20100127 2" xfId="3116" xr:uid="{00000000-0005-0000-0000-0000EA0B0000}"/>
    <cellStyle name="_【20090608】千里導入明細資料_２１年度分_【200912xx】千里導入明細資料_２２年度上期分_【20091225】千里導入明細資料_２２年度上期分_営業店DB_【調整中】千里導入明細資料_２２年度上期分_fj_20100127_Ⅹ_課題と対応策_20121211" xfId="3117" xr:uid="{00000000-0005-0000-0000-0000EB0B0000}"/>
    <cellStyle name="_【20090608】千里導入明細資料_２１年度分_【200912xx】千里導入明細資料_２２年度上期分_【20091225】千里導入明細資料_２２年度上期分_営業店DB_【調整中】千里導入明細資料_２２年度上期分_fj_20100127_Ⅹ_課題と対応策_20121211 2" xfId="3118" xr:uid="{00000000-0005-0000-0000-0000EC0B0000}"/>
    <cellStyle name="_【20090608】千里導入明細資料_２１年度分_【200912xx】千里導入明細資料_２２年度上期分_【20091225】千里導入明細資料_２２年度上期分_営業店DB_Ⅹ_課題と対応策_20121211" xfId="3119" xr:uid="{00000000-0005-0000-0000-0000ED0B0000}"/>
    <cellStyle name="_【20090608】千里導入明細資料_２１年度分_【200912xx】千里導入明細資料_２２年度上期分_【20091225】千里導入明細資料_２２年度上期分_営業店DB_Ⅹ_課題と対応策_20121211 2" xfId="3120" xr:uid="{00000000-0005-0000-0000-0000EE0B0000}"/>
    <cellStyle name="_【20090608】千里導入明細資料_２１年度分_【200912xx】千里導入明細資料_２２年度上期分_【20091225】千里導入明細資料_２２年度上期分_連携DB" xfId="3121" xr:uid="{00000000-0005-0000-0000-0000EF0B0000}"/>
    <cellStyle name="_【20090608】千里導入明細資料_２１年度分_【200912xx】千里導入明細資料_２２年度上期分_【20091225】千里導入明細資料_２２年度上期分_連携DB 2" xfId="3122" xr:uid="{00000000-0005-0000-0000-0000F00B0000}"/>
    <cellStyle name="_【20090608】千里導入明細資料_２１年度分_【200912xx】千里導入明細資料_２２年度上期分_【20091225】千里導入明細資料_２２年度上期分_連携DB_【調整中】千里導入明細資料_２２年度上期分_fj_20100127" xfId="3123" xr:uid="{00000000-0005-0000-0000-0000F10B0000}"/>
    <cellStyle name="_【20090608】千里導入明細資料_２１年度分_【200912xx】千里導入明細資料_２２年度上期分_【20091225】千里導入明細資料_２２年度上期分_連携DB_【調整中】千里導入明細資料_２２年度上期分_fj_20100127 2" xfId="3124" xr:uid="{00000000-0005-0000-0000-0000F20B0000}"/>
    <cellStyle name="_【20090608】千里導入明細資料_２１年度分_【200912xx】千里導入明細資料_２２年度上期分_【20091225】千里導入明細資料_２２年度上期分_連携DB_【調整中】千里導入明細資料_２２年度上期分_fj_20100127_Ⅹ_課題と対応策_20121211" xfId="3125" xr:uid="{00000000-0005-0000-0000-0000F30B0000}"/>
    <cellStyle name="_【20090608】千里導入明細資料_２１年度分_【200912xx】千里導入明細資料_２２年度上期分_【20091225】千里導入明細資料_２２年度上期分_連携DB_【調整中】千里導入明細資料_２２年度上期分_fj_20100127_Ⅹ_課題と対応策_20121211 2" xfId="3126" xr:uid="{00000000-0005-0000-0000-0000F40B0000}"/>
    <cellStyle name="_【20090608】千里導入明細資料_２１年度分_【200912xx】千里導入明細資料_２２年度上期分_【20091225】千里導入明細資料_２２年度上期分_連携DB_Ⅹ_課題と対応策_20121211" xfId="3127" xr:uid="{00000000-0005-0000-0000-0000F50B0000}"/>
    <cellStyle name="_【20090608】千里導入明細資料_２１年度分_【200912xx】千里導入明細資料_２２年度上期分_【20091225】千里導入明細資料_２２年度上期分_連携DB_Ⅹ_課題と対応策_20121211 2" xfId="3128" xr:uid="{00000000-0005-0000-0000-0000F60B0000}"/>
    <cellStyle name="_【20090608】千里導入明細資料_２１年度分_【200912xx】千里導入明細資料_２２年度上期分_Ⅹ_課題と対応策_20121211" xfId="3129" xr:uid="{00000000-0005-0000-0000-0000F70B0000}"/>
    <cellStyle name="_【20090608】千里導入明細資料_２１年度分_【200912xx】千里導入明細資料_２２年度上期分_Ⅹ_課題と対応策_20121211 2" xfId="3130" xr:uid="{00000000-0005-0000-0000-0000F80B0000}"/>
    <cellStyle name="_【20090608】千里導入明細資料_２１年度分_【調整中】千里導入明細資料_２２年度上期分_fj_20100127" xfId="3131" xr:uid="{00000000-0005-0000-0000-0000F90B0000}"/>
    <cellStyle name="_【20090608】千里導入明細資料_２１年度分_【調整中】千里導入明細資料_２２年度上期分_fj_20100127 2" xfId="3132" xr:uid="{00000000-0005-0000-0000-0000FA0B0000}"/>
    <cellStyle name="_【20090608】千里導入明細資料_２１年度分_【調整中】千里導入明細資料_２２年度上期分_fj_20100127_Ⅹ_課題と対応策_20121211" xfId="3133" xr:uid="{00000000-0005-0000-0000-0000FB0B0000}"/>
    <cellStyle name="_【20090608】千里導入明細資料_２１年度分_【調整中】千里導入明細資料_２２年度上期分_fj_20100127_Ⅹ_課題と対応策_20121211 2" xfId="3134" xr:uid="{00000000-0005-0000-0000-0000FC0B0000}"/>
    <cellStyle name="_【20090608】千里導入明細資料_２１年度分_①【20091225】千里導入明細資料_２２年度上期1分)" xfId="3135" xr:uid="{00000000-0005-0000-0000-0000FD0B0000}"/>
    <cellStyle name="_【20090608】千里導入明細資料_２１年度分_①【20091225】千里導入明細資料_２２年度上期1分) 2" xfId="3136" xr:uid="{00000000-0005-0000-0000-0000FE0B0000}"/>
    <cellStyle name="_【20090608】千里導入明細資料_２１年度分_①【20091225】千里導入明細資料_２２年度上期1分)_Ⅹ_課題と対応策_20121211" xfId="3137" xr:uid="{00000000-0005-0000-0000-0000FF0B0000}"/>
    <cellStyle name="_【20090608】千里導入明細資料_２１年度分_①【20091225】千里導入明細資料_２２年度上期1分)_Ⅹ_課題と対応策_20121211 2" xfId="3138" xr:uid="{00000000-0005-0000-0000-0000000C0000}"/>
    <cellStyle name="_【20090608】千里導入明細資料_２１年度分_Ⅹ_課題と対応策_20121211" xfId="3139" xr:uid="{00000000-0005-0000-0000-0000010C0000}"/>
    <cellStyle name="_【20090608】千里導入明細資料_２１年度分_Ⅹ_課題と対応策_20121211 2" xfId="3140" xr:uid="{00000000-0005-0000-0000-0000020C0000}"/>
    <cellStyle name="_【20090608】千里導入明細資料_２１年度分_ラック構成図（千里_営業店・新事務）_20090805" xfId="3141" xr:uid="{00000000-0005-0000-0000-0000030C0000}"/>
    <cellStyle name="_【20090608】千里導入明細資料_２１年度分_ラック構成図（千里_営業店・新事務）_20090805 2" xfId="3142" xr:uid="{00000000-0005-0000-0000-0000040C0000}"/>
    <cellStyle name="_【20090608】千里導入明細資料_２１年度分_ラック構成図（千里_営業店・新事務）_20090805_【20091207】千里導入明細資料_２１年度分（ネットワーク敷設）" xfId="3143" xr:uid="{00000000-0005-0000-0000-0000050C0000}"/>
    <cellStyle name="_【20090608】千里導入明細資料_２１年度分_ラック構成図（千里_営業店・新事務）_20090805_【20091207】千里導入明細資料_２１年度分（ネットワーク敷設） 2" xfId="3144" xr:uid="{00000000-0005-0000-0000-0000060C0000}"/>
    <cellStyle name="_【20090608】千里導入明細資料_２１年度分_ラック構成図（千里_営業店・新事務）_20090805_【20091207】千里導入明細資料_２１年度分（ネットワーク敷設）_【20091218】千里導入明細資料_２１年度分（ネットワーク敷設）" xfId="3145" xr:uid="{00000000-0005-0000-0000-0000070C0000}"/>
    <cellStyle name="_【20090608】千里導入明細資料_２１年度分_ラック構成図（千里_営業店・新事務）_20090805_【20091207】千里導入明細資料_２１年度分（ネットワーク敷設）_【20091218】千里導入明細資料_２１年度分（ネットワーク敷設） 2" xfId="3146" xr:uid="{00000000-0005-0000-0000-0000080C0000}"/>
    <cellStyle name="_【20090608】千里導入明細資料_２１年度分_ラック構成図（千里_営業店・新事務）_20090805_【20091207】千里導入明細資料_２１年度分（ネットワーク敷設）_【20091218】千里導入明細資料_２１年度分（ネットワーク敷設）_Ⅹ_課題と対応策_20121211" xfId="3147" xr:uid="{00000000-0005-0000-0000-0000090C0000}"/>
    <cellStyle name="_【20090608】千里導入明細資料_２１年度分_ラック構成図（千里_営業店・新事務）_20090805_【20091207】千里導入明細資料_２１年度分（ネットワーク敷設）_【20091218】千里導入明細資料_２１年度分（ネットワーク敷設）_Ⅹ_課題と対応策_20121211 2" xfId="3148" xr:uid="{00000000-0005-0000-0000-00000A0C0000}"/>
    <cellStyle name="_【20090608】千里導入明細資料_２１年度分_ラック構成図（千里_営業店・新事務）_20090805_【20091207】千里導入明細資料_２１年度分（ネットワーク敷設）_Ⅹ_課題と対応策_20121211" xfId="3149" xr:uid="{00000000-0005-0000-0000-00000B0C0000}"/>
    <cellStyle name="_【20090608】千里導入明細資料_２１年度分_ラック構成図（千里_営業店・新事務）_20090805_【20091207】千里導入明細資料_２１年度分（ネットワーク敷設）_Ⅹ_課題と対応策_20121211 2" xfId="3150" xr:uid="{00000000-0005-0000-0000-00000C0C0000}"/>
    <cellStyle name="_【20090608】千里導入明細資料_２１年度分_ラック構成図（千里_営業店・新事務）_20090805_【20091207】千里導入明細資料_２１年度分（ネットワーク敷設）_千里導入明細資料_２２年度分（ネットワーク敷設）_fj" xfId="3151" xr:uid="{00000000-0005-0000-0000-00000D0C0000}"/>
    <cellStyle name="_【20090608】千里導入明細資料_２１年度分_ラック構成図（千里_営業店・新事務）_20090805_【20091207】千里導入明細資料_２１年度分（ネットワーク敷設）_千里導入明細資料_２２年度分（ネットワーク敷設）_fj 2" xfId="3152" xr:uid="{00000000-0005-0000-0000-00000E0C0000}"/>
    <cellStyle name="_【20090608】千里導入明細資料_２１年度分_ラック構成図（千里_営業店・新事務）_20090805_【20091207】千里導入明細資料_２１年度分（ネットワーク敷設）_千里導入明細資料_２２年度分（ネットワーク敷設）_fj_Ⅹ_課題と対応策_20121211" xfId="3153" xr:uid="{00000000-0005-0000-0000-00000F0C0000}"/>
    <cellStyle name="_【20090608】千里導入明細資料_２１年度分_ラック構成図（千里_営業店・新事務）_20090805_【20091207】千里導入明細資料_２１年度分（ネットワーク敷設）_千里導入明細資料_２２年度分（ネットワーク敷設）_fj_Ⅹ_課題と対応策_20121211 2" xfId="3154" xr:uid="{00000000-0005-0000-0000-0000100C0000}"/>
    <cellStyle name="_【20090608】千里導入明細資料_２１年度分_ラック構成図（千里_営業店・新事務）_20090805_【20091225】千里導入明細資料_２２年度上期分（営業店ＡＰ－ＤＢ）" xfId="3155" xr:uid="{00000000-0005-0000-0000-0000110C0000}"/>
    <cellStyle name="_【20090608】千里導入明細資料_２１年度分_ラック構成図（千里_営業店・新事務）_20090805_【20091225】千里導入明細資料_２２年度上期分（営業店ＡＰ－ＤＢ） 2" xfId="3156" xr:uid="{00000000-0005-0000-0000-0000120C0000}"/>
    <cellStyle name="_【20090608】千里導入明細資料_２１年度分_ラック構成図（千里_営業店・新事務）_20090805_【20091225】千里導入明細資料_２２年度上期分（営業店ＡＰ－ＤＢ）_【調整中】千里導入明細資料_２２年度上期分_fj_20100127" xfId="3157" xr:uid="{00000000-0005-0000-0000-0000130C0000}"/>
    <cellStyle name="_【20090608】千里導入明細資料_２１年度分_ラック構成図（千里_営業店・新事務）_20090805_【20091225】千里導入明細資料_２２年度上期分（営業店ＡＰ－ＤＢ）_【調整中】千里導入明細資料_２２年度上期分_fj_20100127 2" xfId="3158" xr:uid="{00000000-0005-0000-0000-0000140C0000}"/>
    <cellStyle name="_【20090608】千里導入明細資料_２１年度分_ラック構成図（千里_営業店・新事務）_20090805_【20091225】千里導入明細資料_２２年度上期分（営業店ＡＰ－ＤＢ）_【調整中】千里導入明細資料_２２年度上期分_fj_20100127_Ⅹ_課題と対応策_20121211" xfId="3159" xr:uid="{00000000-0005-0000-0000-0000150C0000}"/>
    <cellStyle name="_【20090608】千里導入明細資料_２１年度分_ラック構成図（千里_営業店・新事務）_20090805_【20091225】千里導入明細資料_２２年度上期分（営業店ＡＰ－ＤＢ）_【調整中】千里導入明細資料_２２年度上期分_fj_20100127_Ⅹ_課題と対応策_20121211 2" xfId="3160" xr:uid="{00000000-0005-0000-0000-0000160C0000}"/>
    <cellStyle name="_【20090608】千里導入明細資料_２１年度分_ラック構成図（千里_営業店・新事務）_20090805_【20091225】千里導入明細資料_２２年度上期分（営業店ＡＰ－ＤＢ）_Ⅹ_課題と対応策_20121211" xfId="3161" xr:uid="{00000000-0005-0000-0000-0000170C0000}"/>
    <cellStyle name="_【20090608】千里導入明細資料_２１年度分_ラック構成図（千里_営業店・新事務）_20090805_【20091225】千里導入明細資料_２２年度上期分（営業店ＡＰ－ＤＢ）_Ⅹ_課題と対応策_20121211 2" xfId="3162" xr:uid="{00000000-0005-0000-0000-0000180C0000}"/>
    <cellStyle name="_【20090608】千里導入明細資料_２１年度分_ラック構成図（千里_営業店・新事務）_20090805_【20091225】千里導入明細資料_２２年度上期分_営業店DB" xfId="3163" xr:uid="{00000000-0005-0000-0000-0000190C0000}"/>
    <cellStyle name="_【20090608】千里導入明細資料_２１年度分_ラック構成図（千里_営業店・新事務）_20090805_【20091225】千里導入明細資料_２２年度上期分_営業店DB 2" xfId="3164" xr:uid="{00000000-0005-0000-0000-00001A0C0000}"/>
    <cellStyle name="_【20090608】千里導入明細資料_２１年度分_ラック構成図（千里_営業店・新事務）_20090805_【20091225】千里導入明細資料_２２年度上期分_営業店DB_【調整中】千里導入明細資料_２２年度上期分_fj_20100127" xfId="3165" xr:uid="{00000000-0005-0000-0000-00001B0C0000}"/>
    <cellStyle name="_【20090608】千里導入明細資料_２１年度分_ラック構成図（千里_営業店・新事務）_20090805_【20091225】千里導入明細資料_２２年度上期分_営業店DB_【調整中】千里導入明細資料_２２年度上期分_fj_20100127 2" xfId="3166" xr:uid="{00000000-0005-0000-0000-00001C0C0000}"/>
    <cellStyle name="_【20090608】千里導入明細資料_２１年度分_ラック構成図（千里_営業店・新事務）_20090805_【20091225】千里導入明細資料_２２年度上期分_営業店DB_【調整中】千里導入明細資料_２２年度上期分_fj_20100127_Ⅹ_課題と対応策_20121211" xfId="3167" xr:uid="{00000000-0005-0000-0000-00001D0C0000}"/>
    <cellStyle name="_【20090608】千里導入明細資料_２１年度分_ラック構成図（千里_営業店・新事務）_20090805_【20091225】千里導入明細資料_２２年度上期分_営業店DB_【調整中】千里導入明細資料_２２年度上期分_fj_20100127_Ⅹ_課題と対応策_20121211 2" xfId="3168" xr:uid="{00000000-0005-0000-0000-00001E0C0000}"/>
    <cellStyle name="_【20090608】千里導入明細資料_２１年度分_ラック構成図（千里_営業店・新事務）_20090805_【20091225】千里導入明細資料_２２年度上期分_営業店DB_Ⅹ_課題と対応策_20121211" xfId="3169" xr:uid="{00000000-0005-0000-0000-00001F0C0000}"/>
    <cellStyle name="_【20090608】千里導入明細資料_２１年度分_ラック構成図（千里_営業店・新事務）_20090805_【20091225】千里導入明細資料_２２年度上期分_営業店DB_Ⅹ_課題と対応策_20121211 2" xfId="3170" xr:uid="{00000000-0005-0000-0000-0000200C0000}"/>
    <cellStyle name="_【20090608】千里導入明細資料_２１年度分_ラック構成図（千里_営業店・新事務）_20090805_【20091225】千里導入明細資料_２２年度上期分_連携DB" xfId="3171" xr:uid="{00000000-0005-0000-0000-0000210C0000}"/>
    <cellStyle name="_【20090608】千里導入明細資料_２１年度分_ラック構成図（千里_営業店・新事務）_20090805_【20091225】千里導入明細資料_２２年度上期分_連携DB 2" xfId="3172" xr:uid="{00000000-0005-0000-0000-0000220C0000}"/>
    <cellStyle name="_【20090608】千里導入明細資料_２１年度分_ラック構成図（千里_営業店・新事務）_20090805_【20091225】千里導入明細資料_２２年度上期分_連携DB_【調整中】千里導入明細資料_２２年度上期分_fj_20100127" xfId="3173" xr:uid="{00000000-0005-0000-0000-0000230C0000}"/>
    <cellStyle name="_【20090608】千里導入明細資料_２１年度分_ラック構成図（千里_営業店・新事務）_20090805_【20091225】千里導入明細資料_２２年度上期分_連携DB_【調整中】千里導入明細資料_２２年度上期分_fj_20100127 2" xfId="3174" xr:uid="{00000000-0005-0000-0000-0000240C0000}"/>
    <cellStyle name="_【20090608】千里導入明細資料_２１年度分_ラック構成図（千里_営業店・新事務）_20090805_【20091225】千里導入明細資料_２２年度上期分_連携DB_【調整中】千里導入明細資料_２２年度上期分_fj_20100127_Ⅹ_課題と対応策_20121211" xfId="3175" xr:uid="{00000000-0005-0000-0000-0000250C0000}"/>
    <cellStyle name="_【20090608】千里導入明細資料_２１年度分_ラック構成図（千里_営業店・新事務）_20090805_【20091225】千里導入明細資料_２２年度上期分_連携DB_【調整中】千里導入明細資料_２２年度上期分_fj_20100127_Ⅹ_課題と対応策_20121211 2" xfId="3176" xr:uid="{00000000-0005-0000-0000-0000260C0000}"/>
    <cellStyle name="_【20090608】千里導入明細資料_２１年度分_ラック構成図（千里_営業店・新事務）_20090805_【20091225】千里導入明細資料_２２年度上期分_連携DB_Ⅹ_課題と対応策_20121211" xfId="3177" xr:uid="{00000000-0005-0000-0000-0000270C0000}"/>
    <cellStyle name="_【20090608】千里導入明細資料_２１年度分_ラック構成図（千里_営業店・新事務）_20090805_【20091225】千里導入明細資料_２２年度上期分_連携DB_Ⅹ_課題と対応策_20121211 2" xfId="3178" xr:uid="{00000000-0005-0000-0000-0000280C0000}"/>
    <cellStyle name="_【20090608】千里導入明細資料_２１年度分_ラック構成図（千里_営業店・新事務）_20090805_【作成中】千里センター機器配置図（2010年対応分）_20091221" xfId="3179" xr:uid="{00000000-0005-0000-0000-0000290C0000}"/>
    <cellStyle name="_【20090608】千里導入明細資料_２１年度分_ラック構成図（千里_営業店・新事務）_20090805_【作成中】千里センター機器配置図（2010年対応分）_20091221 2" xfId="3180" xr:uid="{00000000-0005-0000-0000-00002A0C0000}"/>
    <cellStyle name="_【20090608】千里導入明細資料_２１年度分_ラック構成図（千里_営業店・新事務）_20090805_【作成中】千里センター機器配置図（2010年対応分）_20091221_【調整中】千里導入明細資料_２２年度上期分_fj_20100127" xfId="3181" xr:uid="{00000000-0005-0000-0000-00002B0C0000}"/>
    <cellStyle name="_【20090608】千里導入明細資料_２１年度分_ラック構成図（千里_営業店・新事務）_20090805_【作成中】千里センター機器配置図（2010年対応分）_20091221_【調整中】千里導入明細資料_２２年度上期分_fj_20100127 2" xfId="3182" xr:uid="{00000000-0005-0000-0000-00002C0C0000}"/>
    <cellStyle name="_【20090608】千里導入明細資料_２１年度分_ラック構成図（千里_営業店・新事務）_20090805_【作成中】千里センター機器配置図（2010年対応分）_20091221_【調整中】千里導入明細資料_２２年度上期分_fj_20100127_Ⅹ_課題と対応策_20121211" xfId="3183" xr:uid="{00000000-0005-0000-0000-00002D0C0000}"/>
    <cellStyle name="_【20090608】千里導入明細資料_２１年度分_ラック構成図（千里_営業店・新事務）_20090805_【作成中】千里センター機器配置図（2010年対応分）_20091221_【調整中】千里導入明細資料_２２年度上期分_fj_20100127_Ⅹ_課題と対応策_20121211 2" xfId="3184" xr:uid="{00000000-0005-0000-0000-00002E0C0000}"/>
    <cellStyle name="_【20090608】千里導入明細資料_２１年度分_ラック構成図（千里_営業店・新事務）_20090805_【作成中】千里センター機器配置図（2010年対応分）_20091221_Ⅹ_課題と対応策_20121211" xfId="3185" xr:uid="{00000000-0005-0000-0000-00002F0C0000}"/>
    <cellStyle name="_【20090608】千里導入明細資料_２１年度分_ラック構成図（千里_営業店・新事務）_20090805_【作成中】千里センター機器配置図（2010年対応分）_20091221_Ⅹ_課題と対応策_20121211 2" xfId="3186" xr:uid="{00000000-0005-0000-0000-0000300C0000}"/>
    <cellStyle name="_【20090608】千里導入明細資料_２１年度分_ラック構成図（千里_営業店・新事務）_20090805_Ⅹ_課題と対応策_20121211" xfId="3187" xr:uid="{00000000-0005-0000-0000-0000310C0000}"/>
    <cellStyle name="_【20090608】千里導入明細資料_２１年度分_ラック構成図（千里_営業店・新事務）_20090805_Ⅹ_課題と対応策_20121211 2" xfId="3188" xr:uid="{00000000-0005-0000-0000-0000320C0000}"/>
    <cellStyle name="_【20090608】千里導入明細資料_２１年度分_ラック構成図_Catalyst直付け（新事務処理）" xfId="3189" xr:uid="{00000000-0005-0000-0000-0000330C0000}"/>
    <cellStyle name="_【20090608】千里導入明細資料_２１年度分_ラック構成図_Catalyst直付け（新事務処理） 2" xfId="3190" xr:uid="{00000000-0005-0000-0000-0000340C0000}"/>
    <cellStyle name="_【20090608】千里導入明細資料_２１年度分_ラック構成図_Catalyst直付け（新事務処理）_【20091207】千里導入明細資料_２１年度分（ネットワーク敷設）" xfId="3191" xr:uid="{00000000-0005-0000-0000-0000350C0000}"/>
    <cellStyle name="_【20090608】千里導入明細資料_２１年度分_ラック構成図_Catalyst直付け（新事務処理）_【20091207】千里導入明細資料_２１年度分（ネットワーク敷設） 2" xfId="3192" xr:uid="{00000000-0005-0000-0000-0000360C0000}"/>
    <cellStyle name="_【20090608】千里導入明細資料_２１年度分_ラック構成図_Catalyst直付け（新事務処理）_【20091207】千里導入明細資料_２１年度分（ネットワーク敷設）_【20091218】千里導入明細資料_２１年度分（ネットワーク敷設）" xfId="3193" xr:uid="{00000000-0005-0000-0000-0000370C0000}"/>
    <cellStyle name="_【20090608】千里導入明細資料_２１年度分_ラック構成図_Catalyst直付け（新事務処理）_【20091207】千里導入明細資料_２１年度分（ネットワーク敷設）_【20091218】千里導入明細資料_２１年度分（ネットワーク敷設） 2" xfId="3194" xr:uid="{00000000-0005-0000-0000-0000380C0000}"/>
    <cellStyle name="_【20090608】千里導入明細資料_２１年度分_ラック構成図_Catalyst直付け（新事務処理）_【20091207】千里導入明細資料_２１年度分（ネットワーク敷設）_【20091218】千里導入明細資料_２１年度分（ネットワーク敷設）_Ⅹ_課題と対応策_20121211" xfId="3195" xr:uid="{00000000-0005-0000-0000-0000390C0000}"/>
    <cellStyle name="_【20090608】千里導入明細資料_２１年度分_ラック構成図_Catalyst直付け（新事務処理）_【20091207】千里導入明細資料_２１年度分（ネットワーク敷設）_【20091218】千里導入明細資料_２１年度分（ネットワーク敷設）_Ⅹ_課題と対応策_20121211 2" xfId="3196" xr:uid="{00000000-0005-0000-0000-00003A0C0000}"/>
    <cellStyle name="_【20090608】千里導入明細資料_２１年度分_ラック構成図_Catalyst直付け（新事務処理）_【20091207】千里導入明細資料_２１年度分（ネットワーク敷設）_Ⅹ_課題と対応策_20121211" xfId="3197" xr:uid="{00000000-0005-0000-0000-00003B0C0000}"/>
    <cellStyle name="_【20090608】千里導入明細資料_２１年度分_ラック構成図_Catalyst直付け（新事務処理）_【20091207】千里導入明細資料_２１年度分（ネットワーク敷設）_Ⅹ_課題と対応策_20121211 2" xfId="3198" xr:uid="{00000000-0005-0000-0000-00003C0C0000}"/>
    <cellStyle name="_【20090608】千里導入明細資料_２１年度分_ラック構成図_Catalyst直付け（新事務処理）_【20091207】千里導入明細資料_２１年度分（ネットワーク敷設）_千里導入明細資料_２２年度分（ネットワーク敷設）_fj" xfId="3199" xr:uid="{00000000-0005-0000-0000-00003D0C0000}"/>
    <cellStyle name="_【20090608】千里導入明細資料_２１年度分_ラック構成図_Catalyst直付け（新事務処理）_【20091207】千里導入明細資料_２１年度分（ネットワーク敷設）_千里導入明細資料_２２年度分（ネットワーク敷設）_fj 2" xfId="3200" xr:uid="{00000000-0005-0000-0000-00003E0C0000}"/>
    <cellStyle name="_【20090608】千里導入明細資料_２１年度分_ラック構成図_Catalyst直付け（新事務処理）_【20091207】千里導入明細資料_２１年度分（ネットワーク敷設）_千里導入明細資料_２２年度分（ネットワーク敷設）_fj_Ⅹ_課題と対応策_20121211" xfId="3201" xr:uid="{00000000-0005-0000-0000-00003F0C0000}"/>
    <cellStyle name="_【20090608】千里導入明細資料_２１年度分_ラック構成図_Catalyst直付け（新事務処理）_【20091207】千里導入明細資料_２１年度分（ネットワーク敷設）_千里導入明細資料_２２年度分（ネットワーク敷設）_fj_Ⅹ_課題と対応策_20121211 2" xfId="3202" xr:uid="{00000000-0005-0000-0000-0000400C0000}"/>
    <cellStyle name="_【20090608】千里導入明細資料_２１年度分_ラック構成図_Catalyst直付け（新事務処理）_【20091225】千里導入明細資料_２２年度上期分（営業店ＡＰ－ＤＢ）" xfId="3203" xr:uid="{00000000-0005-0000-0000-0000410C0000}"/>
    <cellStyle name="_【20090608】千里導入明細資料_２１年度分_ラック構成図_Catalyst直付け（新事務処理）_【20091225】千里導入明細資料_２２年度上期分（営業店ＡＰ－ＤＢ） 2" xfId="3204" xr:uid="{00000000-0005-0000-0000-0000420C0000}"/>
    <cellStyle name="_【20090608】千里導入明細資料_２１年度分_ラック構成図_Catalyst直付け（新事務処理）_【20091225】千里導入明細資料_２２年度上期分（営業店ＡＰ－ＤＢ）_【調整中】千里導入明細資料_２２年度上期分_fj_20100127" xfId="3205" xr:uid="{00000000-0005-0000-0000-0000430C0000}"/>
    <cellStyle name="_【20090608】千里導入明細資料_２１年度分_ラック構成図_Catalyst直付け（新事務処理）_【20091225】千里導入明細資料_２２年度上期分（営業店ＡＰ－ＤＢ）_【調整中】千里導入明細資料_２２年度上期分_fj_20100127 2" xfId="3206" xr:uid="{00000000-0005-0000-0000-0000440C0000}"/>
    <cellStyle name="_【20090608】千里導入明細資料_２１年度分_ラック構成図_Catalyst直付け（新事務処理）_【20091225】千里導入明細資料_２２年度上期分（営業店ＡＰ－ＤＢ）_【調整中】千里導入明細資料_２２年度上期分_fj_20100127_Ⅹ_課題と対応策_20121211" xfId="3207" xr:uid="{00000000-0005-0000-0000-0000450C0000}"/>
    <cellStyle name="_【20090608】千里導入明細資料_２１年度分_ラック構成図_Catalyst直付け（新事務処理）_【20091225】千里導入明細資料_２２年度上期分（営業店ＡＰ－ＤＢ）_【調整中】千里導入明細資料_２２年度上期分_fj_20100127_Ⅹ_課題と対応策_20121211 2" xfId="3208" xr:uid="{00000000-0005-0000-0000-0000460C0000}"/>
    <cellStyle name="_【20090608】千里導入明細資料_２１年度分_ラック構成図_Catalyst直付け（新事務処理）_【20091225】千里導入明細資料_２２年度上期分（営業店ＡＰ－ＤＢ）_Ⅹ_課題と対応策_20121211" xfId="3209" xr:uid="{00000000-0005-0000-0000-0000470C0000}"/>
    <cellStyle name="_【20090608】千里導入明細資料_２１年度分_ラック構成図_Catalyst直付け（新事務処理）_【20091225】千里導入明細資料_２２年度上期分（営業店ＡＰ－ＤＢ）_Ⅹ_課題と対応策_20121211 2" xfId="3210" xr:uid="{00000000-0005-0000-0000-0000480C0000}"/>
    <cellStyle name="_【20090608】千里導入明細資料_２１年度分_ラック構成図_Catalyst直付け（新事務処理）_【20091225】千里導入明細資料_２２年度上期分_営業店DB" xfId="3211" xr:uid="{00000000-0005-0000-0000-0000490C0000}"/>
    <cellStyle name="_【20090608】千里導入明細資料_２１年度分_ラック構成図_Catalyst直付け（新事務処理）_【20091225】千里導入明細資料_２２年度上期分_営業店DB 2" xfId="3212" xr:uid="{00000000-0005-0000-0000-00004A0C0000}"/>
    <cellStyle name="_【20090608】千里導入明細資料_２１年度分_ラック構成図_Catalyst直付け（新事務処理）_【20091225】千里導入明細資料_２２年度上期分_営業店DB_【調整中】千里導入明細資料_２２年度上期分_fj_20100127" xfId="3213" xr:uid="{00000000-0005-0000-0000-00004B0C0000}"/>
    <cellStyle name="_【20090608】千里導入明細資料_２１年度分_ラック構成図_Catalyst直付け（新事務処理）_【20091225】千里導入明細資料_２２年度上期分_営業店DB_【調整中】千里導入明細資料_２２年度上期分_fj_20100127 2" xfId="3214" xr:uid="{00000000-0005-0000-0000-00004C0C0000}"/>
    <cellStyle name="_【20090608】千里導入明細資料_２１年度分_ラック構成図_Catalyst直付け（新事務処理）_【20091225】千里導入明細資料_２２年度上期分_営業店DB_【調整中】千里導入明細資料_２２年度上期分_fj_20100127_Ⅹ_課題と対応策_20121211" xfId="3215" xr:uid="{00000000-0005-0000-0000-00004D0C0000}"/>
    <cellStyle name="_【20090608】千里導入明細資料_２１年度分_ラック構成図_Catalyst直付け（新事務処理）_【20091225】千里導入明細資料_２２年度上期分_営業店DB_【調整中】千里導入明細資料_２２年度上期分_fj_20100127_Ⅹ_課題と対応策_20121211 2" xfId="3216" xr:uid="{00000000-0005-0000-0000-00004E0C0000}"/>
    <cellStyle name="_【20090608】千里導入明細資料_２１年度分_ラック構成図_Catalyst直付け（新事務処理）_【20091225】千里導入明細資料_２２年度上期分_営業店DB_Ⅹ_課題と対応策_20121211" xfId="3217" xr:uid="{00000000-0005-0000-0000-00004F0C0000}"/>
    <cellStyle name="_【20090608】千里導入明細資料_２１年度分_ラック構成図_Catalyst直付け（新事務処理）_【20091225】千里導入明細資料_２２年度上期分_営業店DB_Ⅹ_課題と対応策_20121211 2" xfId="3218" xr:uid="{00000000-0005-0000-0000-0000500C0000}"/>
    <cellStyle name="_【20090608】千里導入明細資料_２１年度分_ラック構成図_Catalyst直付け（新事務処理）_【20091225】千里導入明細資料_２２年度上期分_連携DB" xfId="3219" xr:uid="{00000000-0005-0000-0000-0000510C0000}"/>
    <cellStyle name="_【20090608】千里導入明細資料_２１年度分_ラック構成図_Catalyst直付け（新事務処理）_【20091225】千里導入明細資料_２２年度上期分_連携DB 2" xfId="3220" xr:uid="{00000000-0005-0000-0000-0000520C0000}"/>
    <cellStyle name="_【20090608】千里導入明細資料_２１年度分_ラック構成図_Catalyst直付け（新事務処理）_【20091225】千里導入明細資料_２２年度上期分_連携DB_【調整中】千里導入明細資料_２２年度上期分_fj_20100127" xfId="3221" xr:uid="{00000000-0005-0000-0000-0000530C0000}"/>
    <cellStyle name="_【20090608】千里導入明細資料_２１年度分_ラック構成図_Catalyst直付け（新事務処理）_【20091225】千里導入明細資料_２２年度上期分_連携DB_【調整中】千里導入明細資料_２２年度上期分_fj_20100127 2" xfId="3222" xr:uid="{00000000-0005-0000-0000-0000540C0000}"/>
    <cellStyle name="_【20090608】千里導入明細資料_２１年度分_ラック構成図_Catalyst直付け（新事務処理）_【20091225】千里導入明細資料_２２年度上期分_連携DB_【調整中】千里導入明細資料_２２年度上期分_fj_20100127_Ⅹ_課題と対応策_20121211" xfId="3223" xr:uid="{00000000-0005-0000-0000-0000550C0000}"/>
    <cellStyle name="_【20090608】千里導入明細資料_２１年度分_ラック構成図_Catalyst直付け（新事務処理）_【20091225】千里導入明細資料_２２年度上期分_連携DB_【調整中】千里導入明細資料_２２年度上期分_fj_20100127_Ⅹ_課題と対応策_20121211 2" xfId="3224" xr:uid="{00000000-0005-0000-0000-0000560C0000}"/>
    <cellStyle name="_【20090608】千里導入明細資料_２１年度分_ラック構成図_Catalyst直付け（新事務処理）_【20091225】千里導入明細資料_２２年度上期分_連携DB_Ⅹ_課題と対応策_20121211" xfId="3225" xr:uid="{00000000-0005-0000-0000-0000570C0000}"/>
    <cellStyle name="_【20090608】千里導入明細資料_２１年度分_ラック構成図_Catalyst直付け（新事務処理）_【20091225】千里導入明細資料_２２年度上期分_連携DB_Ⅹ_課題と対応策_20121211 2" xfId="3226" xr:uid="{00000000-0005-0000-0000-0000580C0000}"/>
    <cellStyle name="_【20090608】千里導入明細資料_２１年度分_ラック構成図_Catalyst直付け（新事務処理）_【作成中】千里センター機器配置図（2010年対応分）_20091221" xfId="3227" xr:uid="{00000000-0005-0000-0000-0000590C0000}"/>
    <cellStyle name="_【20090608】千里導入明細資料_２１年度分_ラック構成図_Catalyst直付け（新事務処理）_【作成中】千里センター機器配置図（2010年対応分）_20091221 2" xfId="3228" xr:uid="{00000000-0005-0000-0000-00005A0C0000}"/>
    <cellStyle name="_【20090608】千里導入明細資料_２１年度分_ラック構成図_Catalyst直付け（新事務処理）_【作成中】千里センター機器配置図（2010年対応分）_20091221_【調整中】千里導入明細資料_２２年度上期分_fj_20100127" xfId="3229" xr:uid="{00000000-0005-0000-0000-00005B0C0000}"/>
    <cellStyle name="_【20090608】千里導入明細資料_２１年度分_ラック構成図_Catalyst直付け（新事務処理）_【作成中】千里センター機器配置図（2010年対応分）_20091221_【調整中】千里導入明細資料_２２年度上期分_fj_20100127 2" xfId="3230" xr:uid="{00000000-0005-0000-0000-00005C0C0000}"/>
    <cellStyle name="_【20090608】千里導入明細資料_２１年度分_ラック構成図_Catalyst直付け（新事務処理）_【作成中】千里センター機器配置図（2010年対応分）_20091221_【調整中】千里導入明細資料_２２年度上期分_fj_20100127_Ⅹ_課題と対応策_20121211" xfId="3231" xr:uid="{00000000-0005-0000-0000-00005D0C0000}"/>
    <cellStyle name="_【20090608】千里導入明細資料_２１年度分_ラック構成図_Catalyst直付け（新事務処理）_【作成中】千里センター機器配置図（2010年対応分）_20091221_【調整中】千里導入明細資料_２２年度上期分_fj_20100127_Ⅹ_課題と対応策_20121211 2" xfId="3232" xr:uid="{00000000-0005-0000-0000-00005E0C0000}"/>
    <cellStyle name="_【20090608】千里導入明細資料_２１年度分_ラック構成図_Catalyst直付け（新事務処理）_【作成中】千里センター機器配置図（2010年対応分）_20091221_Ⅹ_課題と対応策_20121211" xfId="3233" xr:uid="{00000000-0005-0000-0000-00005F0C0000}"/>
    <cellStyle name="_【20090608】千里導入明細資料_２１年度分_ラック構成図_Catalyst直付け（新事務処理）_【作成中】千里センター機器配置図（2010年対応分）_20091221_Ⅹ_課題と対応策_20121211 2" xfId="3234" xr:uid="{00000000-0005-0000-0000-0000600C0000}"/>
    <cellStyle name="_【20090608】千里導入明細資料_２１年度分_ラック構成図_Catalyst直付け（新事務処理）_Ⅹ_課題と対応策_20121211" xfId="3235" xr:uid="{00000000-0005-0000-0000-0000610C0000}"/>
    <cellStyle name="_【20090608】千里導入明細資料_２１年度分_ラック構成図_Catalyst直付け（新事務処理）_Ⅹ_課題と対応策_20121211 2" xfId="3236" xr:uid="{00000000-0005-0000-0000-0000620C0000}"/>
    <cellStyle name="_【20090608】千里導入明細資料_２１年度分_ラック構成図_RX100Si-R削除(新事務処理)" xfId="3237" xr:uid="{00000000-0005-0000-0000-0000630C0000}"/>
    <cellStyle name="_【20090608】千里導入明細資料_２１年度分_ラック構成図_RX100Si-R削除(新事務処理) 2" xfId="3238" xr:uid="{00000000-0005-0000-0000-0000640C0000}"/>
    <cellStyle name="_【20090608】千里導入明細資料_２１年度分_ラック構成図_RX100Si-R削除(新事務処理)_【20091207】千里導入明細資料_２１年度分（ネットワーク敷設）" xfId="3239" xr:uid="{00000000-0005-0000-0000-0000650C0000}"/>
    <cellStyle name="_【20090608】千里導入明細資料_２１年度分_ラック構成図_RX100Si-R削除(新事務処理)_【20091207】千里導入明細資料_２１年度分（ネットワーク敷設） 2" xfId="3240" xr:uid="{00000000-0005-0000-0000-0000660C0000}"/>
    <cellStyle name="_【20090608】千里導入明細資料_２１年度分_ラック構成図_RX100Si-R削除(新事務処理)_【20091207】千里導入明細資料_２１年度分（ネットワーク敷設）_【20091218】千里導入明細資料_２１年度分（ネットワーク敷設）" xfId="3241" xr:uid="{00000000-0005-0000-0000-0000670C0000}"/>
    <cellStyle name="_【20090608】千里導入明細資料_２１年度分_ラック構成図_RX100Si-R削除(新事務処理)_【20091207】千里導入明細資料_２１年度分（ネットワーク敷設）_【20091218】千里導入明細資料_２１年度分（ネットワーク敷設） 2" xfId="3242" xr:uid="{00000000-0005-0000-0000-0000680C0000}"/>
    <cellStyle name="_【20090608】千里導入明細資料_２１年度分_ラック構成図_RX100Si-R削除(新事務処理)_【20091207】千里導入明細資料_２１年度分（ネットワーク敷設）_【20091218】千里導入明細資料_２１年度分（ネットワーク敷設）_Ⅹ_課題と対応策_20121211" xfId="3243" xr:uid="{00000000-0005-0000-0000-0000690C0000}"/>
    <cellStyle name="_【20090608】千里導入明細資料_２１年度分_ラック構成図_RX100Si-R削除(新事務処理)_【20091207】千里導入明細資料_２１年度分（ネットワーク敷設）_【20091218】千里導入明細資料_２１年度分（ネットワーク敷設）_Ⅹ_課題と対応策_20121211 2" xfId="3244" xr:uid="{00000000-0005-0000-0000-00006A0C0000}"/>
    <cellStyle name="_【20090608】千里導入明細資料_２１年度分_ラック構成図_RX100Si-R削除(新事務処理)_【20091207】千里導入明細資料_２１年度分（ネットワーク敷設）_Ⅹ_課題と対応策_20121211" xfId="3245" xr:uid="{00000000-0005-0000-0000-00006B0C0000}"/>
    <cellStyle name="_【20090608】千里導入明細資料_２１年度分_ラック構成図_RX100Si-R削除(新事務処理)_【20091207】千里導入明細資料_２１年度分（ネットワーク敷設）_Ⅹ_課題と対応策_20121211 2" xfId="3246" xr:uid="{00000000-0005-0000-0000-00006C0C0000}"/>
    <cellStyle name="_【20090608】千里導入明細資料_２１年度分_ラック構成図_RX100Si-R削除(新事務処理)_【20091207】千里導入明細資料_２１年度分（ネットワーク敷設）_千里導入明細資料_２２年度分（ネットワーク敷設）_fj" xfId="3247" xr:uid="{00000000-0005-0000-0000-00006D0C0000}"/>
    <cellStyle name="_【20090608】千里導入明細資料_２１年度分_ラック構成図_RX100Si-R削除(新事務処理)_【20091207】千里導入明細資料_２１年度分（ネットワーク敷設）_千里導入明細資料_２２年度分（ネットワーク敷設）_fj 2" xfId="3248" xr:uid="{00000000-0005-0000-0000-00006E0C0000}"/>
    <cellStyle name="_【20090608】千里導入明細資料_２１年度分_ラック構成図_RX100Si-R削除(新事務処理)_【20091207】千里導入明細資料_２１年度分（ネットワーク敷設）_千里導入明細資料_２２年度分（ネットワーク敷設）_fj_Ⅹ_課題と対応策_20121211" xfId="3249" xr:uid="{00000000-0005-0000-0000-00006F0C0000}"/>
    <cellStyle name="_【20090608】千里導入明細資料_２１年度分_ラック構成図_RX100Si-R削除(新事務処理)_【20091207】千里導入明細資料_２１年度分（ネットワーク敷設）_千里導入明細資料_２２年度分（ネットワーク敷設）_fj_Ⅹ_課題と対応策_20121211 2" xfId="3250" xr:uid="{00000000-0005-0000-0000-0000700C0000}"/>
    <cellStyle name="_【20090608】千里導入明細資料_２１年度分_ラック構成図_RX100Si-R削除(新事務処理)_【20091225】千里導入明細資料_２２年度上期分（営業店ＡＰ－ＤＢ）" xfId="3251" xr:uid="{00000000-0005-0000-0000-0000710C0000}"/>
    <cellStyle name="_【20090608】千里導入明細資料_２１年度分_ラック構成図_RX100Si-R削除(新事務処理)_【20091225】千里導入明細資料_２２年度上期分（営業店ＡＰ－ＤＢ） 2" xfId="3252" xr:uid="{00000000-0005-0000-0000-0000720C0000}"/>
    <cellStyle name="_【20090608】千里導入明細資料_２１年度分_ラック構成図_RX100Si-R削除(新事務処理)_【20091225】千里導入明細資料_２２年度上期分（営業店ＡＰ－ＤＢ）_【調整中】千里導入明細資料_２２年度上期分_fj_20100127" xfId="3253" xr:uid="{00000000-0005-0000-0000-0000730C0000}"/>
    <cellStyle name="_【20090608】千里導入明細資料_２１年度分_ラック構成図_RX100Si-R削除(新事務処理)_【20091225】千里導入明細資料_２２年度上期分（営業店ＡＰ－ＤＢ）_【調整中】千里導入明細資料_２２年度上期分_fj_20100127 2" xfId="3254" xr:uid="{00000000-0005-0000-0000-0000740C0000}"/>
    <cellStyle name="_【20090608】千里導入明細資料_２１年度分_ラック構成図_RX100Si-R削除(新事務処理)_【20091225】千里導入明細資料_２２年度上期分（営業店ＡＰ－ＤＢ）_【調整中】千里導入明細資料_２２年度上期分_fj_20100127_Ⅹ_課題と対応策_20121211" xfId="3255" xr:uid="{00000000-0005-0000-0000-0000750C0000}"/>
    <cellStyle name="_【20090608】千里導入明細資料_２１年度分_ラック構成図_RX100Si-R削除(新事務処理)_【20091225】千里導入明細資料_２２年度上期分（営業店ＡＰ－ＤＢ）_【調整中】千里導入明細資料_２２年度上期分_fj_20100127_Ⅹ_課題と対応策_20121211 2" xfId="3256" xr:uid="{00000000-0005-0000-0000-0000760C0000}"/>
    <cellStyle name="_【20090608】千里導入明細資料_２１年度分_ラック構成図_RX100Si-R削除(新事務処理)_【20091225】千里導入明細資料_２２年度上期分（営業店ＡＰ－ＤＢ）_Ⅹ_課題と対応策_20121211" xfId="3257" xr:uid="{00000000-0005-0000-0000-0000770C0000}"/>
    <cellStyle name="_【20090608】千里導入明細資料_２１年度分_ラック構成図_RX100Si-R削除(新事務処理)_【20091225】千里導入明細資料_２２年度上期分（営業店ＡＰ－ＤＢ）_Ⅹ_課題と対応策_20121211 2" xfId="3258" xr:uid="{00000000-0005-0000-0000-0000780C0000}"/>
    <cellStyle name="_【20090608】千里導入明細資料_２１年度分_ラック構成図_RX100Si-R削除(新事務処理)_【20091225】千里導入明細資料_２２年度上期分_営業店DB" xfId="3259" xr:uid="{00000000-0005-0000-0000-0000790C0000}"/>
    <cellStyle name="_【20090608】千里導入明細資料_２１年度分_ラック構成図_RX100Si-R削除(新事務処理)_【20091225】千里導入明細資料_２２年度上期分_営業店DB 2" xfId="3260" xr:uid="{00000000-0005-0000-0000-00007A0C0000}"/>
    <cellStyle name="_【20090608】千里導入明細資料_２１年度分_ラック構成図_RX100Si-R削除(新事務処理)_【20091225】千里導入明細資料_２２年度上期分_営業店DB_【調整中】千里導入明細資料_２２年度上期分_fj_20100127" xfId="3261" xr:uid="{00000000-0005-0000-0000-00007B0C0000}"/>
    <cellStyle name="_【20090608】千里導入明細資料_２１年度分_ラック構成図_RX100Si-R削除(新事務処理)_【20091225】千里導入明細資料_２２年度上期分_営業店DB_【調整中】千里導入明細資料_２２年度上期分_fj_20100127 2" xfId="3262" xr:uid="{00000000-0005-0000-0000-00007C0C0000}"/>
    <cellStyle name="_【20090608】千里導入明細資料_２１年度分_ラック構成図_RX100Si-R削除(新事務処理)_【20091225】千里導入明細資料_２２年度上期分_営業店DB_【調整中】千里導入明細資料_２２年度上期分_fj_20100127_Ⅹ_課題と対応策_20121211" xfId="3263" xr:uid="{00000000-0005-0000-0000-00007D0C0000}"/>
    <cellStyle name="_【20090608】千里導入明細資料_２１年度分_ラック構成図_RX100Si-R削除(新事務処理)_【20091225】千里導入明細資料_２２年度上期分_営業店DB_【調整中】千里導入明細資料_２２年度上期分_fj_20100127_Ⅹ_課題と対応策_20121211 2" xfId="3264" xr:uid="{00000000-0005-0000-0000-00007E0C0000}"/>
    <cellStyle name="_【20090608】千里導入明細資料_２１年度分_ラック構成図_RX100Si-R削除(新事務処理)_【20091225】千里導入明細資料_２２年度上期分_営業店DB_Ⅹ_課題と対応策_20121211" xfId="3265" xr:uid="{00000000-0005-0000-0000-00007F0C0000}"/>
    <cellStyle name="_【20090608】千里導入明細資料_２１年度分_ラック構成図_RX100Si-R削除(新事務処理)_【20091225】千里導入明細資料_２２年度上期分_営業店DB_Ⅹ_課題と対応策_20121211 2" xfId="3266" xr:uid="{00000000-0005-0000-0000-0000800C0000}"/>
    <cellStyle name="_【20090608】千里導入明細資料_２１年度分_ラック構成図_RX100Si-R削除(新事務処理)_【20091225】千里導入明細資料_２２年度上期分_連携DB" xfId="3267" xr:uid="{00000000-0005-0000-0000-0000810C0000}"/>
    <cellStyle name="_【20090608】千里導入明細資料_２１年度分_ラック構成図_RX100Si-R削除(新事務処理)_【20091225】千里導入明細資料_２２年度上期分_連携DB 2" xfId="3268" xr:uid="{00000000-0005-0000-0000-0000820C0000}"/>
    <cellStyle name="_【20090608】千里導入明細資料_２１年度分_ラック構成図_RX100Si-R削除(新事務処理)_【20091225】千里導入明細資料_２２年度上期分_連携DB_【調整中】千里導入明細資料_２２年度上期分_fj_20100127" xfId="3269" xr:uid="{00000000-0005-0000-0000-0000830C0000}"/>
    <cellStyle name="_【20090608】千里導入明細資料_２１年度分_ラック構成図_RX100Si-R削除(新事務処理)_【20091225】千里導入明細資料_２２年度上期分_連携DB_【調整中】千里導入明細資料_２２年度上期分_fj_20100127 2" xfId="3270" xr:uid="{00000000-0005-0000-0000-0000840C0000}"/>
    <cellStyle name="_【20090608】千里導入明細資料_２１年度分_ラック構成図_RX100Si-R削除(新事務処理)_【20091225】千里導入明細資料_２２年度上期分_連携DB_【調整中】千里導入明細資料_２２年度上期分_fj_20100127_Ⅹ_課題と対応策_20121211" xfId="3271" xr:uid="{00000000-0005-0000-0000-0000850C0000}"/>
    <cellStyle name="_【20090608】千里導入明細資料_２１年度分_ラック構成図_RX100Si-R削除(新事務処理)_【20091225】千里導入明細資料_２２年度上期分_連携DB_【調整中】千里導入明細資料_２２年度上期分_fj_20100127_Ⅹ_課題と対応策_20121211 2" xfId="3272" xr:uid="{00000000-0005-0000-0000-0000860C0000}"/>
    <cellStyle name="_【20090608】千里導入明細資料_２１年度分_ラック構成図_RX100Si-R削除(新事務処理)_【20091225】千里導入明細資料_２２年度上期分_連携DB_Ⅹ_課題と対応策_20121211" xfId="3273" xr:uid="{00000000-0005-0000-0000-0000870C0000}"/>
    <cellStyle name="_【20090608】千里導入明細資料_２１年度分_ラック構成図_RX100Si-R削除(新事務処理)_【20091225】千里導入明細資料_２２年度上期分_連携DB_Ⅹ_課題と対応策_20121211 2" xfId="3274" xr:uid="{00000000-0005-0000-0000-0000880C0000}"/>
    <cellStyle name="_【20090608】千里導入明細資料_２１年度分_ラック構成図_RX100Si-R削除(新事務処理)_【作成中】千里センター機器配置図（2010年対応分）_20091221" xfId="3275" xr:uid="{00000000-0005-0000-0000-0000890C0000}"/>
    <cellStyle name="_【20090608】千里導入明細資料_２１年度分_ラック構成図_RX100Si-R削除(新事務処理)_【作成中】千里センター機器配置図（2010年対応分）_20091221 2" xfId="3276" xr:uid="{00000000-0005-0000-0000-00008A0C0000}"/>
    <cellStyle name="_【20090608】千里導入明細資料_２１年度分_ラック構成図_RX100Si-R削除(新事務処理)_【作成中】千里センター機器配置図（2010年対応分）_20091221_【調整中】千里導入明細資料_２２年度上期分_fj_20100127" xfId="3277" xr:uid="{00000000-0005-0000-0000-00008B0C0000}"/>
    <cellStyle name="_【20090608】千里導入明細資料_２１年度分_ラック構成図_RX100Si-R削除(新事務処理)_【作成中】千里センター機器配置図（2010年対応分）_20091221_【調整中】千里導入明細資料_２２年度上期分_fj_20100127 2" xfId="3278" xr:uid="{00000000-0005-0000-0000-00008C0C0000}"/>
    <cellStyle name="_【20090608】千里導入明細資料_２１年度分_ラック構成図_RX100Si-R削除(新事務処理)_【作成中】千里センター機器配置図（2010年対応分）_20091221_【調整中】千里導入明細資料_２２年度上期分_fj_20100127_Ⅹ_課題と対応策_20121211" xfId="3279" xr:uid="{00000000-0005-0000-0000-00008D0C0000}"/>
    <cellStyle name="_【20090608】千里導入明細資料_２１年度分_ラック構成図_RX100Si-R削除(新事務処理)_【作成中】千里センター機器配置図（2010年対応分）_20091221_【調整中】千里導入明細資料_２２年度上期分_fj_20100127_Ⅹ_課題と対応策_20121211 2" xfId="3280" xr:uid="{00000000-0005-0000-0000-00008E0C0000}"/>
    <cellStyle name="_【20090608】千里導入明細資料_２１年度分_ラック構成図_RX100Si-R削除(新事務処理)_【作成中】千里センター機器配置図（2010年対応分）_20091221_Ⅹ_課題と対応策_20121211" xfId="3281" xr:uid="{00000000-0005-0000-0000-00008F0C0000}"/>
    <cellStyle name="_【20090608】千里導入明細資料_２１年度分_ラック構成図_RX100Si-R削除(新事務処理)_【作成中】千里センター機器配置図（2010年対応分）_20091221_Ⅹ_課題と対応策_20121211 2" xfId="3282" xr:uid="{00000000-0005-0000-0000-0000900C0000}"/>
    <cellStyle name="_【20090608】千里導入明細資料_２１年度分_ラック構成図_RX100Si-R削除(新事務処理)_Ⅹ_課題と対応策_20121211" xfId="3283" xr:uid="{00000000-0005-0000-0000-0000910C0000}"/>
    <cellStyle name="_【20090608】千里導入明細資料_２１年度分_ラック構成図_RX100Si-R削除(新事務処理)_Ⅹ_課題と対応策_20121211 2" xfId="3284" xr:uid="{00000000-0005-0000-0000-0000920C0000}"/>
    <cellStyle name="_【20090608】千里導入明細資料_２１年度分_千里導入明細資料_２２年度分（ネットワーク敷設）_fj" xfId="3285" xr:uid="{00000000-0005-0000-0000-0000930C0000}"/>
    <cellStyle name="_【20090608】千里導入明細資料_２１年度分_千里導入明細資料_２２年度分（ネットワーク敷設）_fj 2" xfId="3286" xr:uid="{00000000-0005-0000-0000-0000940C0000}"/>
    <cellStyle name="_【20090608】千里導入明細資料_２１年度分_千里導入明細資料_２２年度分（ネットワーク敷設）_fj_Ⅹ_課題と対応策_20121211" xfId="3287" xr:uid="{00000000-0005-0000-0000-0000950C0000}"/>
    <cellStyle name="_【20090608】千里導入明細資料_２１年度分_千里導入明細資料_２２年度分（ネットワーク敷設）_fj_Ⅹ_課題と対応策_20121211 2" xfId="3288" xr:uid="{00000000-0005-0000-0000-0000960C0000}"/>
    <cellStyle name="_【20090717】千里導入明細資料_２１年度分（９月工事分）" xfId="3289" xr:uid="{00000000-0005-0000-0000-0000970C0000}"/>
    <cellStyle name="_【20090717】千里導入明細資料_２１年度分（９月工事分） 2" xfId="3290" xr:uid="{00000000-0005-0000-0000-0000980C0000}"/>
    <cellStyle name="_【20090717】千里導入明細資料_２１年度分（９月工事分）_【20091218】千里導入明細資料_２１年度分（ネットワーク敷設）" xfId="3291" xr:uid="{00000000-0005-0000-0000-0000990C0000}"/>
    <cellStyle name="_【20090717】千里導入明細資料_２１年度分（９月工事分）_【20091218】千里導入明細資料_２１年度分（ネットワーク敷設） 2" xfId="3292" xr:uid="{00000000-0005-0000-0000-00009A0C0000}"/>
    <cellStyle name="_【20090717】千里導入明細資料_２１年度分（９月工事分）_【20091218】千里導入明細資料_２１年度分（ネットワーク敷設）_Ⅹ_課題と対応策_20121211" xfId="3293" xr:uid="{00000000-0005-0000-0000-00009B0C0000}"/>
    <cellStyle name="_【20090717】千里導入明細資料_２１年度分（９月工事分）_【20091218】千里導入明細資料_２１年度分（ネットワーク敷設）_Ⅹ_課題と対応策_20121211 2" xfId="3294" xr:uid="{00000000-0005-0000-0000-00009C0C0000}"/>
    <cellStyle name="_【20090717】千里導入明細資料_２１年度分（９月工事分）_【20091224】千里導入明細資料_２２年度上期分_営業店DB" xfId="3295" xr:uid="{00000000-0005-0000-0000-00009D0C0000}"/>
    <cellStyle name="_【20090717】千里導入明細資料_２１年度分（９月工事分）_【20091224】千里導入明細資料_２２年度上期分_営業店DB 2" xfId="3296" xr:uid="{00000000-0005-0000-0000-00009E0C0000}"/>
    <cellStyle name="_【20090717】千里導入明細資料_２１年度分（９月工事分）_【20091224】千里導入明細資料_２２年度上期分_営業店DB_【20091225】千里導入明細資料_２２年度上期分（営業店ＡＰ－ＤＢ）" xfId="3297" xr:uid="{00000000-0005-0000-0000-00009F0C0000}"/>
    <cellStyle name="_【20090717】千里導入明細資料_２１年度分（９月工事分）_【20091224】千里導入明細資料_２２年度上期分_営業店DB_【20091225】千里導入明細資料_２２年度上期分（営業店ＡＰ－ＤＢ） 2" xfId="3298" xr:uid="{00000000-0005-0000-0000-0000A00C0000}"/>
    <cellStyle name="_【20090717】千里導入明細資料_２１年度分（９月工事分）_【20091224】千里導入明細資料_２２年度上期分_営業店DB_【20091225】千里導入明細資料_２２年度上期分（営業店ＡＰ－ＤＢ）_【調整中】千里導入明細資料_２２年度上期分_fj_20100127" xfId="3299" xr:uid="{00000000-0005-0000-0000-0000A10C0000}"/>
    <cellStyle name="_【20090717】千里導入明細資料_２１年度分（９月工事分）_【20091224】千里導入明細資料_２２年度上期分_営業店DB_【20091225】千里導入明細資料_２２年度上期分（営業店ＡＰ－ＤＢ）_【調整中】千里導入明細資料_２２年度上期分_fj_20100127 2" xfId="3300" xr:uid="{00000000-0005-0000-0000-0000A20C0000}"/>
    <cellStyle name="_【20090717】千里導入明細資料_２１年度分（９月工事分）_【20091224】千里導入明細資料_２２年度上期分_営業店DB_【20091225】千里導入明細資料_２２年度上期分（営業店ＡＰ－ＤＢ）_【調整中】千里導入明細資料_２２年度上期分_fj_20100127_Ⅹ_課題と対応策_20121211" xfId="3301" xr:uid="{00000000-0005-0000-0000-0000A30C0000}"/>
    <cellStyle name="_【20090717】千里導入明細資料_２１年度分（９月工事分）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3302" xr:uid="{00000000-0005-0000-0000-0000A40C0000}"/>
    <cellStyle name="_【20090717】千里導入明細資料_２１年度分（９月工事分）_【20091224】千里導入明細資料_２２年度上期分_営業店DB_【20091225】千里導入明細資料_２２年度上期分（営業店ＡＰ－ＤＢ）_Ⅹ_課題と対応策_20121211" xfId="3303" xr:uid="{00000000-0005-0000-0000-0000A50C0000}"/>
    <cellStyle name="_【20090717】千里導入明細資料_２１年度分（９月工事分）_【20091224】千里導入明細資料_２２年度上期分_営業店DB_【20091225】千里導入明細資料_２２年度上期分（営業店ＡＰ－ＤＢ）_Ⅹ_課題と対応策_20121211 2" xfId="3304" xr:uid="{00000000-0005-0000-0000-0000A60C0000}"/>
    <cellStyle name="_【20090717】千里導入明細資料_２１年度分（９月工事分）_【20091224】千里導入明細資料_２２年度上期分_営業店DB_【20091225】千里導入明細資料_２２年度上期分_営業店DB" xfId="3305" xr:uid="{00000000-0005-0000-0000-0000A70C0000}"/>
    <cellStyle name="_【20090717】千里導入明細資料_２１年度分（９月工事分）_【20091224】千里導入明細資料_２２年度上期分_営業店DB_【20091225】千里導入明細資料_２２年度上期分_営業店DB 2" xfId="3306" xr:uid="{00000000-0005-0000-0000-0000A80C0000}"/>
    <cellStyle name="_【20090717】千里導入明細資料_２１年度分（９月工事分）_【20091224】千里導入明細資料_２２年度上期分_営業店DB_【20091225】千里導入明細資料_２２年度上期分_営業店DB_【調整中】千里導入明細資料_２２年度上期分_fj_20100127" xfId="3307" xr:uid="{00000000-0005-0000-0000-0000A90C0000}"/>
    <cellStyle name="_【20090717】千里導入明細資料_２１年度分（９月工事分）_【20091224】千里導入明細資料_２２年度上期分_営業店DB_【20091225】千里導入明細資料_２２年度上期分_営業店DB_【調整中】千里導入明細資料_２２年度上期分_fj_20100127 2" xfId="3308" xr:uid="{00000000-0005-0000-0000-0000AA0C0000}"/>
    <cellStyle name="_【20090717】千里導入明細資料_２１年度分（９月工事分）_【20091224】千里導入明細資料_２２年度上期分_営業店DB_【20091225】千里導入明細資料_２２年度上期分_営業店DB_【調整中】千里導入明細資料_２２年度上期分_fj_20100127_Ⅹ_課題と対応策_20121211" xfId="3309" xr:uid="{00000000-0005-0000-0000-0000AB0C0000}"/>
    <cellStyle name="_【20090717】千里導入明細資料_２１年度分（９月工事分）_【20091224】千里導入明細資料_２２年度上期分_営業店DB_【20091225】千里導入明細資料_２２年度上期分_営業店DB_【調整中】千里導入明細資料_２２年度上期分_fj_20100127_Ⅹ_課題と対応策_20121211 2" xfId="3310" xr:uid="{00000000-0005-0000-0000-0000AC0C0000}"/>
    <cellStyle name="_【20090717】千里導入明細資料_２１年度分（９月工事分）_【20091224】千里導入明細資料_２２年度上期分_営業店DB_【20091225】千里導入明細資料_２２年度上期分_営業店DB_Ⅹ_課題と対応策_20121211" xfId="3311" xr:uid="{00000000-0005-0000-0000-0000AD0C0000}"/>
    <cellStyle name="_【20090717】千里導入明細資料_２１年度分（９月工事分）_【20091224】千里導入明細資料_２２年度上期分_営業店DB_【20091225】千里導入明細資料_２２年度上期分_営業店DB_Ⅹ_課題と対応策_20121211 2" xfId="3312" xr:uid="{00000000-0005-0000-0000-0000AE0C0000}"/>
    <cellStyle name="_【20090717】千里導入明細資料_２１年度分（９月工事分）_【20091224】千里導入明細資料_２２年度上期分_営業店DB_Ⅹ_課題と対応策_20121211" xfId="3313" xr:uid="{00000000-0005-0000-0000-0000AF0C0000}"/>
    <cellStyle name="_【20090717】千里導入明細資料_２１年度分（９月工事分）_【20091224】千里導入明細資料_２２年度上期分_営業店DB_Ⅹ_課題と対応策_20121211 2" xfId="3314" xr:uid="{00000000-0005-0000-0000-0000B00C0000}"/>
    <cellStyle name="_【20090717】千里導入明細資料_２１年度分（９月工事分）_【20091225】千里導入明細資料_２２年度上期分" xfId="3315" xr:uid="{00000000-0005-0000-0000-0000B10C0000}"/>
    <cellStyle name="_【20090717】千里導入明細資料_２１年度分（９月工事分）_【20091225】千里導入明細資料_２２年度上期分 2" xfId="3316" xr:uid="{00000000-0005-0000-0000-0000B20C0000}"/>
    <cellStyle name="_【20090717】千里導入明細資料_２１年度分（９月工事分）_【20091225】千里導入明細資料_２２年度上期分_Ⅹ_課題と対応策_20121211" xfId="3317" xr:uid="{00000000-0005-0000-0000-0000B30C0000}"/>
    <cellStyle name="_【20090717】千里導入明細資料_２１年度分（９月工事分）_【20091225】千里導入明細資料_２２年度上期分_Ⅹ_課題と対応策_20121211 2" xfId="3318" xr:uid="{00000000-0005-0000-0000-0000B40C0000}"/>
    <cellStyle name="_【20090717】千里導入明細資料_２１年度分（９月工事分）_【20091225】千里導入明細資料_２２年度上期分_営業店DB" xfId="3319" xr:uid="{00000000-0005-0000-0000-0000B50C0000}"/>
    <cellStyle name="_【20090717】千里導入明細資料_２１年度分（９月工事分）_【20091225】千里導入明細資料_２２年度上期分_営業店DB 2" xfId="3320" xr:uid="{00000000-0005-0000-0000-0000B60C0000}"/>
    <cellStyle name="_【20090717】千里導入明細資料_２１年度分（９月工事分）_【20091225】千里導入明細資料_２２年度上期分_営業店DB_Ⅹ_課題と対応策_20121211" xfId="3321" xr:uid="{00000000-0005-0000-0000-0000B70C0000}"/>
    <cellStyle name="_【20090717】千里導入明細資料_２１年度分（９月工事分）_【20091225】千里導入明細資料_２２年度上期分_営業店DB_Ⅹ_課題と対応策_20121211 2" xfId="3322" xr:uid="{00000000-0005-0000-0000-0000B80C0000}"/>
    <cellStyle name="_【20090717】千里導入明細資料_２１年度分（９月工事分）_【20091225】千里導入明細資料_２２年度上期分_連携DB" xfId="3323" xr:uid="{00000000-0005-0000-0000-0000B90C0000}"/>
    <cellStyle name="_【20090717】千里導入明細資料_２１年度分（９月工事分）_【20091225】千里導入明細資料_２２年度上期分_連携DB 2" xfId="3324" xr:uid="{00000000-0005-0000-0000-0000BA0C0000}"/>
    <cellStyle name="_【20090717】千里導入明細資料_２１年度分（９月工事分）_【20091225】千里導入明細資料_２２年度上期分_連携DB_Ⅹ_課題と対応策_20121211" xfId="3325" xr:uid="{00000000-0005-0000-0000-0000BB0C0000}"/>
    <cellStyle name="_【20090717】千里導入明細資料_２１年度分（９月工事分）_【20091225】千里導入明細資料_２２年度上期分_連携DB_Ⅹ_課題と対応策_20121211 2" xfId="3326" xr:uid="{00000000-0005-0000-0000-0000BC0C0000}"/>
    <cellStyle name="_【20090717】千里導入明細資料_２１年度分（９月工事分）_【200912xx】千里導入明細資料_２２年度上期分" xfId="3327" xr:uid="{00000000-0005-0000-0000-0000BD0C0000}"/>
    <cellStyle name="_【20090717】千里導入明細資料_２１年度分（９月工事分）_【200912xx】千里導入明細資料_２２年度上期分 2" xfId="3328" xr:uid="{00000000-0005-0000-0000-0000BE0C0000}"/>
    <cellStyle name="_【20090717】千里導入明細資料_２１年度分（９月工事分）_【200912xx】千里導入明細資料_２２年度上期分（為替分）" xfId="3329" xr:uid="{00000000-0005-0000-0000-0000BF0C0000}"/>
    <cellStyle name="_【20090717】千里導入明細資料_２１年度分（９月工事分）_【200912xx】千里導入明細資料_２２年度上期分（為替分） 2" xfId="3330" xr:uid="{00000000-0005-0000-0000-0000C00C0000}"/>
    <cellStyle name="_【20090717】千里導入明細資料_２１年度分（９月工事分）_【200912xx】千里導入明細資料_２２年度上期分（為替分）_Ⅹ_課題と対応策_20121211" xfId="3331" xr:uid="{00000000-0005-0000-0000-0000C10C0000}"/>
    <cellStyle name="_【20090717】千里導入明細資料_２１年度分（９月工事分）_【200912xx】千里導入明細資料_２２年度上期分（為替分）_Ⅹ_課題と対応策_20121211 2" xfId="3332" xr:uid="{00000000-0005-0000-0000-0000C20C0000}"/>
    <cellStyle name="_【20090717】千里導入明細資料_２１年度分（９月工事分）_【200912xx】千里導入明細資料_２２年度上期分_【20091225】千里導入明細資料_２２年度上期分（営業店ＡＰ－ＤＢ）" xfId="3333" xr:uid="{00000000-0005-0000-0000-0000C30C0000}"/>
    <cellStyle name="_【20090717】千里導入明細資料_２１年度分（９月工事分）_【200912xx】千里導入明細資料_２２年度上期分_【20091225】千里導入明細資料_２２年度上期分（営業店ＡＰ－ＤＢ） 2" xfId="3334" xr:uid="{00000000-0005-0000-0000-0000C40C0000}"/>
    <cellStyle name="_【20090717】千里導入明細資料_２１年度分（９月工事分）_【200912xx】千里導入明細資料_２２年度上期分_【20091225】千里導入明細資料_２２年度上期分（営業店ＡＰ－ＤＢ）_【調整中】千里導入明細資料_２２年度上期分_fj_20100127" xfId="3335" xr:uid="{00000000-0005-0000-0000-0000C50C0000}"/>
    <cellStyle name="_【20090717】千里導入明細資料_２１年度分（９月工事分）_【200912xx】千里導入明細資料_２２年度上期分_【20091225】千里導入明細資料_２２年度上期分（営業店ＡＰ－ＤＢ）_【調整中】千里導入明細資料_２２年度上期分_fj_20100127 2" xfId="3336" xr:uid="{00000000-0005-0000-0000-0000C60C0000}"/>
    <cellStyle name="_【20090717】千里導入明細資料_２１年度分（９月工事分）_【200912xx】千里導入明細資料_２２年度上期分_【20091225】千里導入明細資料_２２年度上期分（営業店ＡＰ－ＤＢ）_【調整中】千里導入明細資料_２２年度上期分_fj_20100127_Ⅹ_課題と対応策_20121211" xfId="3337" xr:uid="{00000000-0005-0000-0000-0000C70C0000}"/>
    <cellStyle name="_【20090717】千里導入明細資料_２１年度分（９月工事分）_【200912xx】千里導入明細資料_２２年度上期分_【20091225】千里導入明細資料_２２年度上期分（営業店ＡＰ－ＤＢ）_【調整中】千里導入明細資料_２２年度上期分_fj_20100127_Ⅹ_課題と対応策_20121211 2" xfId="3338" xr:uid="{00000000-0005-0000-0000-0000C80C0000}"/>
    <cellStyle name="_【20090717】千里導入明細資料_２１年度分（９月工事分）_【200912xx】千里導入明細資料_２２年度上期分_【20091225】千里導入明細資料_２２年度上期分（営業店ＡＰ－ＤＢ）_Ⅹ_課題と対応策_20121211" xfId="3339" xr:uid="{00000000-0005-0000-0000-0000C90C0000}"/>
    <cellStyle name="_【20090717】千里導入明細資料_２１年度分（９月工事分）_【200912xx】千里導入明細資料_２２年度上期分_【20091225】千里導入明細資料_２２年度上期分（営業店ＡＰ－ＤＢ）_Ⅹ_課題と対応策_20121211 2" xfId="3340" xr:uid="{00000000-0005-0000-0000-0000CA0C0000}"/>
    <cellStyle name="_【20090717】千里導入明細資料_２１年度分（９月工事分）_【200912xx】千里導入明細資料_２２年度上期分_【20091225】千里導入明細資料_２２年度上期分_営業店DB" xfId="3341" xr:uid="{00000000-0005-0000-0000-0000CB0C0000}"/>
    <cellStyle name="_【20090717】千里導入明細資料_２１年度分（９月工事分）_【200912xx】千里導入明細資料_２２年度上期分_【20091225】千里導入明細資料_２２年度上期分_営業店DB 2" xfId="3342" xr:uid="{00000000-0005-0000-0000-0000CC0C0000}"/>
    <cellStyle name="_【20090717】千里導入明細資料_２１年度分（９月工事分）_【200912xx】千里導入明細資料_２２年度上期分_【20091225】千里導入明細資料_２２年度上期分_営業店DB_【調整中】千里導入明細資料_２２年度上期分_fj_20100127" xfId="3343" xr:uid="{00000000-0005-0000-0000-0000CD0C0000}"/>
    <cellStyle name="_【20090717】千里導入明細資料_２１年度分（９月工事分）_【200912xx】千里導入明細資料_２２年度上期分_【20091225】千里導入明細資料_２２年度上期分_営業店DB_【調整中】千里導入明細資料_２２年度上期分_fj_20100127 2" xfId="3344" xr:uid="{00000000-0005-0000-0000-0000CE0C0000}"/>
    <cellStyle name="_【20090717】千里導入明細資料_２１年度分（９月工事分）_【200912xx】千里導入明細資料_２２年度上期分_【20091225】千里導入明細資料_２２年度上期分_営業店DB_【調整中】千里導入明細資料_２２年度上期分_fj_20100127_Ⅹ_課題と対応策_20121211" xfId="3345" xr:uid="{00000000-0005-0000-0000-0000CF0C0000}"/>
    <cellStyle name="_【20090717】千里導入明細資料_２１年度分（９月工事分）_【200912xx】千里導入明細資料_２２年度上期分_【20091225】千里導入明細資料_２２年度上期分_営業店DB_【調整中】千里導入明細資料_２２年度上期分_fj_20100127_Ⅹ_課題と対応策_20121211 2" xfId="3346" xr:uid="{00000000-0005-0000-0000-0000D00C0000}"/>
    <cellStyle name="_【20090717】千里導入明細資料_２１年度分（９月工事分）_【200912xx】千里導入明細資料_２２年度上期分_【20091225】千里導入明細資料_２２年度上期分_営業店DB_Ⅹ_課題と対応策_20121211" xfId="3347" xr:uid="{00000000-0005-0000-0000-0000D10C0000}"/>
    <cellStyle name="_【20090717】千里導入明細資料_２１年度分（９月工事分）_【200912xx】千里導入明細資料_２２年度上期分_【20091225】千里導入明細資料_２２年度上期分_営業店DB_Ⅹ_課題と対応策_20121211 2" xfId="3348" xr:uid="{00000000-0005-0000-0000-0000D20C0000}"/>
    <cellStyle name="_【20090717】千里導入明細資料_２１年度分（９月工事分）_【200912xx】千里導入明細資料_２２年度上期分_【20091225】千里導入明細資料_２２年度上期分_連携DB" xfId="3349" xr:uid="{00000000-0005-0000-0000-0000D30C0000}"/>
    <cellStyle name="_【20090717】千里導入明細資料_２１年度分（９月工事分）_【200912xx】千里導入明細資料_２２年度上期分_【20091225】千里導入明細資料_２２年度上期分_連携DB 2" xfId="3350" xr:uid="{00000000-0005-0000-0000-0000D40C0000}"/>
    <cellStyle name="_【20090717】千里導入明細資料_２１年度分（９月工事分）_【200912xx】千里導入明細資料_２２年度上期分_【20091225】千里導入明細資料_２２年度上期分_連携DB_【調整中】千里導入明細資料_２２年度上期分_fj_20100127" xfId="3351" xr:uid="{00000000-0005-0000-0000-0000D50C0000}"/>
    <cellStyle name="_【20090717】千里導入明細資料_２１年度分（９月工事分）_【200912xx】千里導入明細資料_２２年度上期分_【20091225】千里導入明細資料_２２年度上期分_連携DB_【調整中】千里導入明細資料_２２年度上期分_fj_20100127 2" xfId="3352" xr:uid="{00000000-0005-0000-0000-0000D60C0000}"/>
    <cellStyle name="_【20090717】千里導入明細資料_２１年度分（９月工事分）_【200912xx】千里導入明細資料_２２年度上期分_【20091225】千里導入明細資料_２２年度上期分_連携DB_【調整中】千里導入明細資料_２２年度上期分_fj_20100127_Ⅹ_課題と対応策_20121211" xfId="3353" xr:uid="{00000000-0005-0000-0000-0000D70C0000}"/>
    <cellStyle name="_【20090717】千里導入明細資料_２１年度分（９月工事分）_【200912xx】千里導入明細資料_２２年度上期分_【20091225】千里導入明細資料_２２年度上期分_連携DB_【調整中】千里導入明細資料_２２年度上期分_fj_20100127_Ⅹ_課題と対応策_20121211 2" xfId="3354" xr:uid="{00000000-0005-0000-0000-0000D80C0000}"/>
    <cellStyle name="_【20090717】千里導入明細資料_２１年度分（９月工事分）_【200912xx】千里導入明細資料_２２年度上期分_【20091225】千里導入明細資料_２２年度上期分_連携DB_Ⅹ_課題と対応策_20121211" xfId="3355" xr:uid="{00000000-0005-0000-0000-0000D90C0000}"/>
    <cellStyle name="_【20090717】千里導入明細資料_２１年度分（９月工事分）_【200912xx】千里導入明細資料_２２年度上期分_【20091225】千里導入明細資料_２２年度上期分_連携DB_Ⅹ_課題と対応策_20121211 2" xfId="3356" xr:uid="{00000000-0005-0000-0000-0000DA0C0000}"/>
    <cellStyle name="_【20090717】千里導入明細資料_２１年度分（９月工事分）_【200912xx】千里導入明細資料_２２年度上期分_Ⅹ_課題と対応策_20121211" xfId="3357" xr:uid="{00000000-0005-0000-0000-0000DB0C0000}"/>
    <cellStyle name="_【20090717】千里導入明細資料_２１年度分（９月工事分）_【200912xx】千里導入明細資料_２２年度上期分_Ⅹ_課題と対応策_20121211 2" xfId="3358" xr:uid="{00000000-0005-0000-0000-0000DC0C0000}"/>
    <cellStyle name="_【20090717】千里導入明細資料_２１年度分（９月工事分）_【調整中】千里導入明細資料_２２年度上期分_fj_20100127" xfId="3359" xr:uid="{00000000-0005-0000-0000-0000DD0C0000}"/>
    <cellStyle name="_【20090717】千里導入明細資料_２１年度分（９月工事分）_【調整中】千里導入明細資料_２２年度上期分_fj_20100127 2" xfId="3360" xr:uid="{00000000-0005-0000-0000-0000DE0C0000}"/>
    <cellStyle name="_【20090717】千里導入明細資料_２１年度分（９月工事分）_【調整中】千里導入明細資料_２２年度上期分_fj_20100127_Ⅹ_課題と対応策_20121211" xfId="3361" xr:uid="{00000000-0005-0000-0000-0000DF0C0000}"/>
    <cellStyle name="_【20090717】千里導入明細資料_２１年度分（９月工事分）_【調整中】千里導入明細資料_２２年度上期分_fj_20100127_Ⅹ_課題と対応策_20121211 2" xfId="3362" xr:uid="{00000000-0005-0000-0000-0000E00C0000}"/>
    <cellStyle name="_【20090717】千里導入明細資料_２１年度分（９月工事分）_①【20091225】千里導入明細資料_２２年度上期1分)" xfId="3363" xr:uid="{00000000-0005-0000-0000-0000E10C0000}"/>
    <cellStyle name="_【20090717】千里導入明細資料_２１年度分（９月工事分）_①【20091225】千里導入明細資料_２２年度上期1分) 2" xfId="3364" xr:uid="{00000000-0005-0000-0000-0000E20C0000}"/>
    <cellStyle name="_【20090717】千里導入明細資料_２１年度分（９月工事分）_①【20091225】千里導入明細資料_２２年度上期1分)_Ⅹ_課題と対応策_20121211" xfId="3365" xr:uid="{00000000-0005-0000-0000-0000E30C0000}"/>
    <cellStyle name="_【20090717】千里導入明細資料_２１年度分（９月工事分）_①【20091225】千里導入明細資料_２２年度上期1分)_Ⅹ_課題と対応策_20121211 2" xfId="3366" xr:uid="{00000000-0005-0000-0000-0000E40C0000}"/>
    <cellStyle name="_【20090717】千里導入明細資料_２１年度分（９月工事分）_Ⅹ_課題と対応策_20121211" xfId="3367" xr:uid="{00000000-0005-0000-0000-0000E50C0000}"/>
    <cellStyle name="_【20090717】千里導入明細資料_２１年度分（９月工事分）_Ⅹ_課題と対応策_20121211 2" xfId="3368" xr:uid="{00000000-0005-0000-0000-0000E60C0000}"/>
    <cellStyle name="_【20090717】千里導入明細資料_２１年度分（９月工事分）_千里導入明細資料_２２年度分（ネットワーク敷設）_fj" xfId="3369" xr:uid="{00000000-0005-0000-0000-0000E70C0000}"/>
    <cellStyle name="_【20090717】千里導入明細資料_２１年度分（９月工事分）_千里導入明細資料_２２年度分（ネットワーク敷設）_fj 2" xfId="3370" xr:uid="{00000000-0005-0000-0000-0000E80C0000}"/>
    <cellStyle name="_【20090717】千里導入明細資料_２１年度分（９月工事分）_千里導入明細資料_２２年度分（ネットワーク敷設）_fj_Ⅹ_課題と対応策_20121211" xfId="3371" xr:uid="{00000000-0005-0000-0000-0000E90C0000}"/>
    <cellStyle name="_【20090717】千里導入明細資料_２１年度分（９月工事分）_千里導入明細資料_２２年度分（ネットワーク敷設）_fj_Ⅹ_課題と対応策_20121211 2" xfId="3372" xr:uid="{00000000-0005-0000-0000-0000EA0C0000}"/>
    <cellStyle name="_【20090721】千里導入明細資料_２１年度分" xfId="3373" xr:uid="{00000000-0005-0000-0000-0000EB0C0000}"/>
    <cellStyle name="_【20090721】千里導入明細資料_２１年度分 2" xfId="3374" xr:uid="{00000000-0005-0000-0000-0000EC0C0000}"/>
    <cellStyle name="_【20090721】千里導入明細資料_２１年度分（９月工事分）_ETERNUS追加" xfId="3375" xr:uid="{00000000-0005-0000-0000-0000ED0C0000}"/>
    <cellStyle name="_【20090721】千里導入明細資料_２１年度分（９月工事分）_ETERNUS追加 2" xfId="3376" xr:uid="{00000000-0005-0000-0000-0000EE0C0000}"/>
    <cellStyle name="_【20090721】千里導入明細資料_２１年度分（９月工事分）_ETERNUS追加_【20090731】千里導入明細資料_２１年度分（９月工事分）" xfId="3377" xr:uid="{00000000-0005-0000-0000-0000EF0C0000}"/>
    <cellStyle name="_【20090721】千里導入明細資料_２１年度分（９月工事分）_ETERNUS追加_【20090731】千里導入明細資料_２１年度分（９月工事分） 2" xfId="3378" xr:uid="{00000000-0005-0000-0000-0000F00C0000}"/>
    <cellStyle name="_【20090721】千里導入明細資料_２１年度分（９月工事分）_ETERNUS追加_【20090731】千里導入明細資料_２１年度分（９月工事分）_【20090821】千里ラック搭載図（NW機器）" xfId="3379" xr:uid="{00000000-0005-0000-0000-0000F10C0000}"/>
    <cellStyle name="_【20090721】千里導入明細資料_２１年度分（９月工事分）_ETERNUS追加_【20090731】千里導入明細資料_２１年度分（９月工事分）_【20090821】千里ラック搭載図（NW機器） 2" xfId="3380" xr:uid="{00000000-0005-0000-0000-0000F20C0000}"/>
    <cellStyle name="_【20090721】千里導入明細資料_２１年度分（９月工事分）_ETERNUS追加_【20090731】千里導入明細資料_２１年度分（９月工事分）_【20090821】千里ラック搭載図（NW機器）_Ⅹ_課題と対応策_20121211" xfId="3381" xr:uid="{00000000-0005-0000-0000-0000F30C0000}"/>
    <cellStyle name="_【20090721】千里導入明細資料_２１年度分（９月工事分）_ETERNUS追加_【20090731】千里導入明細資料_２１年度分（９月工事分）_【20090821】千里ラック搭載図（NW機器）_Ⅹ_課題と対応策_20121211 2" xfId="3382" xr:uid="{00000000-0005-0000-0000-0000F40C0000}"/>
    <cellStyle name="_【20090721】千里導入明細資料_２１年度分（９月工事分）_ETERNUS追加_【20090731】千里導入明細資料_２１年度分（９月工事分）_Ⅹ_課題と対応策_20121211" xfId="3383" xr:uid="{00000000-0005-0000-0000-0000F50C0000}"/>
    <cellStyle name="_【20090721】千里導入明細資料_２１年度分（９月工事分）_ETERNUS追加_【20090731】千里導入明細資料_２１年度分（９月工事分）_Ⅹ_課題と対応策_20121211 2" xfId="3384" xr:uid="{00000000-0005-0000-0000-0000F60C0000}"/>
    <cellStyle name="_【20090721】千里導入明細資料_２１年度分（９月工事分）_ETERNUS追加_【20090821】千里ラック搭載図（NW機器）" xfId="3385" xr:uid="{00000000-0005-0000-0000-0000F70C0000}"/>
    <cellStyle name="_【20090721】千里導入明細資料_２１年度分（９月工事分）_ETERNUS追加_【20090821】千里ラック搭載図（NW機器） 2" xfId="3386" xr:uid="{00000000-0005-0000-0000-0000F80C0000}"/>
    <cellStyle name="_【20090721】千里導入明細資料_２１年度分（９月工事分）_ETERNUS追加_【20090821】千里ラック搭載図（NW機器）_Ⅹ_課題と対応策_20121211" xfId="3387" xr:uid="{00000000-0005-0000-0000-0000F90C0000}"/>
    <cellStyle name="_【20090721】千里導入明細資料_２１年度分（９月工事分）_ETERNUS追加_【20090821】千里ラック搭載図（NW機器）_Ⅹ_課題と対応策_20121211 2" xfId="3388" xr:uid="{00000000-0005-0000-0000-0000FA0C0000}"/>
    <cellStyle name="_【20090721】千里導入明細資料_２１年度分（９月工事分）_ETERNUS追加_【20091218】千里導入明細資料_２１年度分（ネットワーク敷設）" xfId="3389" xr:uid="{00000000-0005-0000-0000-0000FB0C0000}"/>
    <cellStyle name="_【20090721】千里導入明細資料_２１年度分（９月工事分）_ETERNUS追加_【20091218】千里導入明細資料_２１年度分（ネットワーク敷設） 2" xfId="3390" xr:uid="{00000000-0005-0000-0000-0000FC0C0000}"/>
    <cellStyle name="_【20090721】千里導入明細資料_２１年度分（９月工事分）_ETERNUS追加_【20091218】千里導入明細資料_２１年度分（ネットワーク敷設）_Ⅹ_課題と対応策_20121211" xfId="3391" xr:uid="{00000000-0005-0000-0000-0000FD0C0000}"/>
    <cellStyle name="_【20090721】千里導入明細資料_２１年度分（９月工事分）_ETERNUS追加_【20091218】千里導入明細資料_２１年度分（ネットワーク敷設）_Ⅹ_課題と対応策_20121211 2" xfId="3392" xr:uid="{00000000-0005-0000-0000-0000FE0C0000}"/>
    <cellStyle name="_【20090721】千里導入明細資料_２１年度分（９月工事分）_ETERNUS追加_【20091224】千里導入明細資料_２２年度上期分_営業店DB" xfId="3393" xr:uid="{00000000-0005-0000-0000-0000FF0C0000}"/>
    <cellStyle name="_【20090721】千里導入明細資料_２１年度分（９月工事分）_ETERNUS追加_【20091224】千里導入明細資料_２２年度上期分_営業店DB 2" xfId="3394" xr:uid="{00000000-0005-0000-0000-0000000D0000}"/>
    <cellStyle name="_【20090721】千里導入明細資料_２１年度分（９月工事分）_ETERNUS追加_【20091224】千里導入明細資料_２２年度上期分_営業店DB_【20091225】千里導入明細資料_２２年度上期分（営業店ＡＰ－ＤＢ）" xfId="3395" xr:uid="{00000000-0005-0000-0000-0000010D0000}"/>
    <cellStyle name="_【20090721】千里導入明細資料_２１年度分（９月工事分）_ETERNUS追加_【20091224】千里導入明細資料_２２年度上期分_営業店DB_【20091225】千里導入明細資料_２２年度上期分（営業店ＡＰ－ＤＢ） 2" xfId="3396" xr:uid="{00000000-0005-0000-0000-0000020D0000}"/>
    <cellStyle name="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" xfId="3397" xr:uid="{00000000-0005-0000-0000-0000030D0000}"/>
    <cellStyle name="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 2" xfId="3398" xr:uid="{00000000-0005-0000-0000-0000040D0000}"/>
    <cellStyle name="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_Ⅹ_課題と対応策_20121211" xfId="3399" xr:uid="{00000000-0005-0000-0000-0000050D0000}"/>
    <cellStyle name="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3400" xr:uid="{00000000-0005-0000-0000-0000060D0000}"/>
    <cellStyle name="_【20090721】千里導入明細資料_２１年度分（９月工事分）_ETERNUS追加_【20091224】千里導入明細資料_２２年度上期分_営業店DB_【20091225】千里導入明細資料_２２年度上期分（営業店ＡＰ－ＤＢ）_Ⅹ_課題と対応策_20121211" xfId="3401" xr:uid="{00000000-0005-0000-0000-0000070D0000}"/>
    <cellStyle name="_【20090721】千里導入明細資料_２１年度分（９月工事分）_ETERNUS追加_【20091224】千里導入明細資料_２２年度上期分_営業店DB_【20091225】千里導入明細資料_２２年度上期分（営業店ＡＰ－ＤＢ）_Ⅹ_課題と対応策_20121211 2" xfId="3402" xr:uid="{00000000-0005-0000-0000-0000080D0000}"/>
    <cellStyle name="_【20090721】千里導入明細資料_２１年度分（９月工事分）_ETERNUS追加_【20091224】千里導入明細資料_２２年度上期分_営業店DB_【20091225】千里導入明細資料_２２年度上期分_営業店DB" xfId="3403" xr:uid="{00000000-0005-0000-0000-0000090D0000}"/>
    <cellStyle name="_【20090721】千里導入明細資料_２１年度分（９月工事分）_ETERNUS追加_【20091224】千里導入明細資料_２２年度上期分_営業店DB_【20091225】千里導入明細資料_２２年度上期分_営業店DB 2" xfId="3404" xr:uid="{00000000-0005-0000-0000-00000A0D0000}"/>
    <cellStyle name="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" xfId="3405" xr:uid="{00000000-0005-0000-0000-00000B0D0000}"/>
    <cellStyle name="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 2" xfId="3406" xr:uid="{00000000-0005-0000-0000-00000C0D0000}"/>
    <cellStyle name="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_Ⅹ_課題と対応策_20121211" xfId="3407" xr:uid="{00000000-0005-0000-0000-00000D0D0000}"/>
    <cellStyle name="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_Ⅹ_課題と対応策_20121211 2" xfId="3408" xr:uid="{00000000-0005-0000-0000-00000E0D0000}"/>
    <cellStyle name="_【20090721】千里導入明細資料_２１年度分（９月工事分）_ETERNUS追加_【20091224】千里導入明細資料_２２年度上期分_営業店DB_【20091225】千里導入明細資料_２２年度上期分_営業店DB_Ⅹ_課題と対応策_20121211" xfId="3409" xr:uid="{00000000-0005-0000-0000-00000F0D0000}"/>
    <cellStyle name="_【20090721】千里導入明細資料_２１年度分（９月工事分）_ETERNUS追加_【20091224】千里導入明細資料_２２年度上期分_営業店DB_【20091225】千里導入明細資料_２２年度上期分_営業店DB_Ⅹ_課題と対応策_20121211 2" xfId="3410" xr:uid="{00000000-0005-0000-0000-0000100D0000}"/>
    <cellStyle name="_【20090721】千里導入明細資料_２１年度分（９月工事分）_ETERNUS追加_【20091224】千里導入明細資料_２２年度上期分_営業店DB_Ⅹ_課題と対応策_20121211" xfId="3411" xr:uid="{00000000-0005-0000-0000-0000110D0000}"/>
    <cellStyle name="_【20090721】千里導入明細資料_２１年度分（９月工事分）_ETERNUS追加_【20091224】千里導入明細資料_２２年度上期分_営業店DB_Ⅹ_課題と対応策_20121211 2" xfId="3412" xr:uid="{00000000-0005-0000-0000-0000120D0000}"/>
    <cellStyle name="_【20090721】千里導入明細資料_２１年度分（９月工事分）_ETERNUS追加_【20091225】千里導入明細資料_２２年度上期分" xfId="3413" xr:uid="{00000000-0005-0000-0000-0000130D0000}"/>
    <cellStyle name="_【20090721】千里導入明細資料_２１年度分（９月工事分）_ETERNUS追加_【20091225】千里導入明細資料_２２年度上期分 2" xfId="3414" xr:uid="{00000000-0005-0000-0000-0000140D0000}"/>
    <cellStyle name="_【20090721】千里導入明細資料_２１年度分（９月工事分）_ETERNUS追加_【20091225】千里導入明細資料_２２年度上期分_Ⅹ_課題と対応策_20121211" xfId="3415" xr:uid="{00000000-0005-0000-0000-0000150D0000}"/>
    <cellStyle name="_【20090721】千里導入明細資料_２１年度分（９月工事分）_ETERNUS追加_【20091225】千里導入明細資料_２２年度上期分_Ⅹ_課題と対応策_20121211 2" xfId="3416" xr:uid="{00000000-0005-0000-0000-0000160D0000}"/>
    <cellStyle name="_【20090721】千里導入明細資料_２１年度分（９月工事分）_ETERNUS追加_【20091225】千里導入明細資料_２２年度上期分_営業店DB" xfId="3417" xr:uid="{00000000-0005-0000-0000-0000170D0000}"/>
    <cellStyle name="_【20090721】千里導入明細資料_２１年度分（９月工事分）_ETERNUS追加_【20091225】千里導入明細資料_２２年度上期分_営業店DB 2" xfId="3418" xr:uid="{00000000-0005-0000-0000-0000180D0000}"/>
    <cellStyle name="_【20090721】千里導入明細資料_２１年度分（９月工事分）_ETERNUS追加_【20091225】千里導入明細資料_２２年度上期分_営業店DB_Ⅹ_課題と対応策_20121211" xfId="3419" xr:uid="{00000000-0005-0000-0000-0000190D0000}"/>
    <cellStyle name="_【20090721】千里導入明細資料_２１年度分（９月工事分）_ETERNUS追加_【20091225】千里導入明細資料_２２年度上期分_営業店DB_Ⅹ_課題と対応策_20121211 2" xfId="3420" xr:uid="{00000000-0005-0000-0000-00001A0D0000}"/>
    <cellStyle name="_【20090721】千里導入明細資料_２１年度分（９月工事分）_ETERNUS追加_【20091225】千里導入明細資料_２２年度上期分_連携DB" xfId="3421" xr:uid="{00000000-0005-0000-0000-00001B0D0000}"/>
    <cellStyle name="_【20090721】千里導入明細資料_２１年度分（９月工事分）_ETERNUS追加_【20091225】千里導入明細資料_２２年度上期分_連携DB 2" xfId="3422" xr:uid="{00000000-0005-0000-0000-00001C0D0000}"/>
    <cellStyle name="_【20090721】千里導入明細資料_２１年度分（９月工事分）_ETERNUS追加_【20091225】千里導入明細資料_２２年度上期分_連携DB_Ⅹ_課題と対応策_20121211" xfId="3423" xr:uid="{00000000-0005-0000-0000-00001D0D0000}"/>
    <cellStyle name="_【20090721】千里導入明細資料_２１年度分（９月工事分）_ETERNUS追加_【20091225】千里導入明細資料_２２年度上期分_連携DB_Ⅹ_課題と対応策_20121211 2" xfId="3424" xr:uid="{00000000-0005-0000-0000-00001E0D0000}"/>
    <cellStyle name="_【20090721】千里導入明細資料_２１年度分（９月工事分）_ETERNUS追加_【200912xx】千里導入明細資料_２２年度上期分" xfId="3425" xr:uid="{00000000-0005-0000-0000-00001F0D0000}"/>
    <cellStyle name="_【20090721】千里導入明細資料_２１年度分（９月工事分）_ETERNUS追加_【200912xx】千里導入明細資料_２２年度上期分 2" xfId="3426" xr:uid="{00000000-0005-0000-0000-0000200D0000}"/>
    <cellStyle name="_【20090721】千里導入明細資料_２１年度分（９月工事分）_ETERNUS追加_【200912xx】千里導入明細資料_２２年度上期分（為替分）" xfId="3427" xr:uid="{00000000-0005-0000-0000-0000210D0000}"/>
    <cellStyle name="_【20090721】千里導入明細資料_２１年度分（９月工事分）_ETERNUS追加_【200912xx】千里導入明細資料_２２年度上期分（為替分） 2" xfId="3428" xr:uid="{00000000-0005-0000-0000-0000220D0000}"/>
    <cellStyle name="_【20090721】千里導入明細資料_２１年度分（９月工事分）_ETERNUS追加_【200912xx】千里導入明細資料_２２年度上期分（為替分）_Ⅹ_課題と対応策_20121211" xfId="3429" xr:uid="{00000000-0005-0000-0000-0000230D0000}"/>
    <cellStyle name="_【20090721】千里導入明細資料_２１年度分（９月工事分）_ETERNUS追加_【200912xx】千里導入明細資料_２２年度上期分（為替分）_Ⅹ_課題と対応策_20121211 2" xfId="3430" xr:uid="{00000000-0005-0000-0000-0000240D0000}"/>
    <cellStyle name="_【20090721】千里導入明細資料_２１年度分（９月工事分）_ETERNUS追加_【200912xx】千里導入明細資料_２２年度上期分_【20091225】千里導入明細資料_２２年度上期分（営業店ＡＰ－ＤＢ）" xfId="3431" xr:uid="{00000000-0005-0000-0000-0000250D0000}"/>
    <cellStyle name="_【20090721】千里導入明細資料_２１年度分（９月工事分）_ETERNUS追加_【200912xx】千里導入明細資料_２２年度上期分_【20091225】千里導入明細資料_２２年度上期分（営業店ＡＰ－ＤＢ） 2" xfId="3432" xr:uid="{00000000-0005-0000-0000-0000260D0000}"/>
    <cellStyle name="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" xfId="3433" xr:uid="{00000000-0005-0000-0000-0000270D0000}"/>
    <cellStyle name="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 2" xfId="3434" xr:uid="{00000000-0005-0000-0000-0000280D0000}"/>
    <cellStyle name="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_Ⅹ_課題と対応策_20121211" xfId="3435" xr:uid="{00000000-0005-0000-0000-0000290D0000}"/>
    <cellStyle name="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_Ⅹ_課題と対応策_20121211 2" xfId="3436" xr:uid="{00000000-0005-0000-0000-00002A0D0000}"/>
    <cellStyle name="_【20090721】千里導入明細資料_２１年度分（９月工事分）_ETERNUS追加_【200912xx】千里導入明細資料_２２年度上期分_【20091225】千里導入明細資料_２２年度上期分（営業店ＡＰ－ＤＢ）_Ⅹ_課題と対応策_20121211" xfId="3437" xr:uid="{00000000-0005-0000-0000-00002B0D0000}"/>
    <cellStyle name="_【20090721】千里導入明細資料_２１年度分（９月工事分）_ETERNUS追加_【200912xx】千里導入明細資料_２２年度上期分_【20091225】千里導入明細資料_２２年度上期分（営業店ＡＰ－ＤＢ）_Ⅹ_課題と対応策_20121211 2" xfId="3438" xr:uid="{00000000-0005-0000-0000-00002C0D0000}"/>
    <cellStyle name="_【20090721】千里導入明細資料_２１年度分（９月工事分）_ETERNUS追加_【200912xx】千里導入明細資料_２２年度上期分_【20091225】千里導入明細資料_２２年度上期分_営業店DB" xfId="3439" xr:uid="{00000000-0005-0000-0000-00002D0D0000}"/>
    <cellStyle name="_【20090721】千里導入明細資料_２１年度分（９月工事分）_ETERNUS追加_【200912xx】千里導入明細資料_２２年度上期分_【20091225】千里導入明細資料_２２年度上期分_営業店DB 2" xfId="3440" xr:uid="{00000000-0005-0000-0000-00002E0D0000}"/>
    <cellStyle name="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" xfId="3441" xr:uid="{00000000-0005-0000-0000-00002F0D0000}"/>
    <cellStyle name="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 2" xfId="3442" xr:uid="{00000000-0005-0000-0000-0000300D0000}"/>
    <cellStyle name="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_Ⅹ_課題と対応策_20121211" xfId="3443" xr:uid="{00000000-0005-0000-0000-0000310D0000}"/>
    <cellStyle name="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_Ⅹ_課題と対応策_20121211 2" xfId="3444" xr:uid="{00000000-0005-0000-0000-0000320D0000}"/>
    <cellStyle name="_【20090721】千里導入明細資料_２１年度分（９月工事分）_ETERNUS追加_【200912xx】千里導入明細資料_２２年度上期分_【20091225】千里導入明細資料_２２年度上期分_営業店DB_Ⅹ_課題と対応策_20121211" xfId="3445" xr:uid="{00000000-0005-0000-0000-0000330D0000}"/>
    <cellStyle name="_【20090721】千里導入明細資料_２１年度分（９月工事分）_ETERNUS追加_【200912xx】千里導入明細資料_２２年度上期分_【20091225】千里導入明細資料_２２年度上期分_営業店DB_Ⅹ_課題と対応策_20121211 2" xfId="3446" xr:uid="{00000000-0005-0000-0000-0000340D0000}"/>
    <cellStyle name="_【20090721】千里導入明細資料_２１年度分（９月工事分）_ETERNUS追加_【200912xx】千里導入明細資料_２２年度上期分_【20091225】千里導入明細資料_２２年度上期分_連携DB" xfId="3447" xr:uid="{00000000-0005-0000-0000-0000350D0000}"/>
    <cellStyle name="_【20090721】千里導入明細資料_２１年度分（９月工事分）_ETERNUS追加_【200912xx】千里導入明細資料_２２年度上期分_【20091225】千里導入明細資料_２２年度上期分_連携DB 2" xfId="3448" xr:uid="{00000000-0005-0000-0000-0000360D0000}"/>
    <cellStyle name="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" xfId="3449" xr:uid="{00000000-0005-0000-0000-0000370D0000}"/>
    <cellStyle name="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 2" xfId="3450" xr:uid="{00000000-0005-0000-0000-0000380D0000}"/>
    <cellStyle name="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_Ⅹ_課題と対応策_20121211" xfId="3451" xr:uid="{00000000-0005-0000-0000-0000390D0000}"/>
    <cellStyle name="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_Ⅹ_課題と対応策_20121211 2" xfId="3452" xr:uid="{00000000-0005-0000-0000-00003A0D0000}"/>
    <cellStyle name="_【20090721】千里導入明細資料_２１年度分（９月工事分）_ETERNUS追加_【200912xx】千里導入明細資料_２２年度上期分_【20091225】千里導入明細資料_２２年度上期分_連携DB_Ⅹ_課題と対応策_20121211" xfId="3453" xr:uid="{00000000-0005-0000-0000-00003B0D0000}"/>
    <cellStyle name="_【20090721】千里導入明細資料_２１年度分（９月工事分）_ETERNUS追加_【200912xx】千里導入明細資料_２２年度上期分_【20091225】千里導入明細資料_２２年度上期分_連携DB_Ⅹ_課題と対応策_20121211 2" xfId="3454" xr:uid="{00000000-0005-0000-0000-00003C0D0000}"/>
    <cellStyle name="_【20090721】千里導入明細資料_２１年度分（９月工事分）_ETERNUS追加_【200912xx】千里導入明細資料_２２年度上期分_Ⅹ_課題と対応策_20121211" xfId="3455" xr:uid="{00000000-0005-0000-0000-00003D0D0000}"/>
    <cellStyle name="_【20090721】千里導入明細資料_２１年度分（９月工事分）_ETERNUS追加_【200912xx】千里導入明細資料_２２年度上期分_Ⅹ_課題と対応策_20121211 2" xfId="3456" xr:uid="{00000000-0005-0000-0000-00003E0D0000}"/>
    <cellStyle name="_【20090721】千里導入明細資料_２１年度分（９月工事分）_ETERNUS追加_【調整中】千里導入明細資料_２２年度上期分_fj_20100127" xfId="3457" xr:uid="{00000000-0005-0000-0000-00003F0D0000}"/>
    <cellStyle name="_【20090721】千里導入明細資料_２１年度分（９月工事分）_ETERNUS追加_【調整中】千里導入明細資料_２２年度上期分_fj_20100127 2" xfId="3458" xr:uid="{00000000-0005-0000-0000-0000400D0000}"/>
    <cellStyle name="_【20090721】千里導入明細資料_２１年度分（９月工事分）_ETERNUS追加_【調整中】千里導入明細資料_２２年度上期分_fj_20100127_Ⅹ_課題と対応策_20121211" xfId="3459" xr:uid="{00000000-0005-0000-0000-0000410D0000}"/>
    <cellStyle name="_【20090721】千里導入明細資料_２１年度分（９月工事分）_ETERNUS追加_【調整中】千里導入明細資料_２２年度上期分_fj_20100127_Ⅹ_課題と対応策_20121211 2" xfId="3460" xr:uid="{00000000-0005-0000-0000-0000420D0000}"/>
    <cellStyle name="_【20090721】千里導入明細資料_２１年度分（９月工事分）_ETERNUS追加_①【20091225】千里導入明細資料_２２年度上期1分)" xfId="3461" xr:uid="{00000000-0005-0000-0000-0000430D0000}"/>
    <cellStyle name="_【20090721】千里導入明細資料_２１年度分（９月工事分）_ETERNUS追加_①【20091225】千里導入明細資料_２２年度上期1分) 2" xfId="3462" xr:uid="{00000000-0005-0000-0000-0000440D0000}"/>
    <cellStyle name="_【20090721】千里導入明細資料_２１年度分（９月工事分）_ETERNUS追加_①【20091225】千里導入明細資料_２２年度上期1分)_Ⅹ_課題と対応策_20121211" xfId="3463" xr:uid="{00000000-0005-0000-0000-0000450D0000}"/>
    <cellStyle name="_【20090721】千里導入明細資料_２１年度分（９月工事分）_ETERNUS追加_①【20091225】千里導入明細資料_２２年度上期1分)_Ⅹ_課題と対応策_20121211 2" xfId="3464" xr:uid="{00000000-0005-0000-0000-0000460D0000}"/>
    <cellStyle name="_【20090721】千里導入明細資料_２１年度分（９月工事分）_ETERNUS追加_Ⅹ_課題と対応策_20121211" xfId="3465" xr:uid="{00000000-0005-0000-0000-0000470D0000}"/>
    <cellStyle name="_【20090721】千里導入明細資料_２１年度分（９月工事分）_ETERNUS追加_Ⅹ_課題と対応策_20121211 2" xfId="3466" xr:uid="{00000000-0005-0000-0000-0000480D0000}"/>
    <cellStyle name="_【20090721】千里導入明細資料_２１年度分（９月工事分）_ETERNUS追加_千里導入明細資料_２２年度分（ネットワーク敷設）_fj" xfId="3467" xr:uid="{00000000-0005-0000-0000-0000490D0000}"/>
    <cellStyle name="_【20090721】千里導入明細資料_２１年度分（９月工事分）_ETERNUS追加_千里導入明細資料_２２年度分（ネットワーク敷設）_fj 2" xfId="3468" xr:uid="{00000000-0005-0000-0000-00004A0D0000}"/>
    <cellStyle name="_【20090721】千里導入明細資料_２１年度分（９月工事分）_ETERNUS追加_千里導入明細資料_２２年度分（ネットワーク敷設）_fj_Ⅹ_課題と対応策_20121211" xfId="3469" xr:uid="{00000000-0005-0000-0000-00004B0D0000}"/>
    <cellStyle name="_【20090721】千里導入明細資料_２１年度分（９月工事分）_ETERNUS追加_千里導入明細資料_２２年度分（ネットワーク敷設）_fj_Ⅹ_課題と対応策_20121211 2" xfId="3470" xr:uid="{00000000-0005-0000-0000-00004C0D0000}"/>
    <cellStyle name="_【20090721】千里導入明細資料_２１年度分_【20091218】千里導入明細資料_２１年度分（ネットワーク敷設）" xfId="3471" xr:uid="{00000000-0005-0000-0000-00004D0D0000}"/>
    <cellStyle name="_【20090721】千里導入明細資料_２１年度分_【20091218】千里導入明細資料_２１年度分（ネットワーク敷設） 2" xfId="3472" xr:uid="{00000000-0005-0000-0000-00004E0D0000}"/>
    <cellStyle name="_【20090721】千里導入明細資料_２１年度分_【20091218】千里導入明細資料_２１年度分（ネットワーク敷設）_Ⅹ_課題と対応策_20121211" xfId="3473" xr:uid="{00000000-0005-0000-0000-00004F0D0000}"/>
    <cellStyle name="_【20090721】千里導入明細資料_２１年度分_【20091218】千里導入明細資料_２１年度分（ネットワーク敷設）_Ⅹ_課題と対応策_20121211 2" xfId="3474" xr:uid="{00000000-0005-0000-0000-0000500D0000}"/>
    <cellStyle name="_【20090721】千里導入明細資料_２１年度分_【20091224】千里導入明細資料_２２年度上期分_営業店DB" xfId="3475" xr:uid="{00000000-0005-0000-0000-0000510D0000}"/>
    <cellStyle name="_【20090721】千里導入明細資料_２１年度分_【20091224】千里導入明細資料_２２年度上期分_営業店DB 2" xfId="3476" xr:uid="{00000000-0005-0000-0000-0000520D0000}"/>
    <cellStyle name="_【20090721】千里導入明細資料_２１年度分_【20091224】千里導入明細資料_２２年度上期分_営業店DB_【20091225】千里導入明細資料_２２年度上期分（営業店ＡＰ－ＤＢ）" xfId="3477" xr:uid="{00000000-0005-0000-0000-0000530D0000}"/>
    <cellStyle name="_【20090721】千里導入明細資料_２１年度分_【20091224】千里導入明細資料_２２年度上期分_営業店DB_【20091225】千里導入明細資料_２２年度上期分（営業店ＡＰ－ＤＢ） 2" xfId="3478" xr:uid="{00000000-0005-0000-0000-0000540D0000}"/>
    <cellStyle name="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" xfId="3479" xr:uid="{00000000-0005-0000-0000-0000550D0000}"/>
    <cellStyle name="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 2" xfId="3480" xr:uid="{00000000-0005-0000-0000-0000560D0000}"/>
    <cellStyle name="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_Ⅹ_課題と対応策_20121211" xfId="3481" xr:uid="{00000000-0005-0000-0000-0000570D0000}"/>
    <cellStyle name="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3482" xr:uid="{00000000-0005-0000-0000-0000580D0000}"/>
    <cellStyle name="_【20090721】千里導入明細資料_２１年度分_【20091224】千里導入明細資料_２２年度上期分_営業店DB_【20091225】千里導入明細資料_２２年度上期分（営業店ＡＰ－ＤＢ）_Ⅹ_課題と対応策_20121211" xfId="3483" xr:uid="{00000000-0005-0000-0000-0000590D0000}"/>
    <cellStyle name="_【20090721】千里導入明細資料_２１年度分_【20091224】千里導入明細資料_２２年度上期分_営業店DB_【20091225】千里導入明細資料_２２年度上期分（営業店ＡＰ－ＤＢ）_Ⅹ_課題と対応策_20121211 2" xfId="3484" xr:uid="{00000000-0005-0000-0000-00005A0D0000}"/>
    <cellStyle name="_【20090721】千里導入明細資料_２１年度分_【20091224】千里導入明細資料_２２年度上期分_営業店DB_【20091225】千里導入明細資料_２２年度上期分_営業店DB" xfId="3485" xr:uid="{00000000-0005-0000-0000-00005B0D0000}"/>
    <cellStyle name="_【20090721】千里導入明細資料_２１年度分_【20091224】千里導入明細資料_２２年度上期分_営業店DB_【20091225】千里導入明細資料_２２年度上期分_営業店DB 2" xfId="3486" xr:uid="{00000000-0005-0000-0000-00005C0D0000}"/>
    <cellStyle name="_【20090721】千里導入明細資料_２１年度分_【20091224】千里導入明細資料_２２年度上期分_営業店DB_【20091225】千里導入明細資料_２２年度上期分_営業店DB_【調整中】千里導入明細資料_２２年度上期分_fj_20100127" xfId="3487" xr:uid="{00000000-0005-0000-0000-00005D0D0000}"/>
    <cellStyle name="_【20090721】千里導入明細資料_２１年度分_【20091224】千里導入明細資料_２２年度上期分_営業店DB_【20091225】千里導入明細資料_２２年度上期分_営業店DB_【調整中】千里導入明細資料_２２年度上期分_fj_20100127 2" xfId="3488" xr:uid="{00000000-0005-0000-0000-00005E0D0000}"/>
    <cellStyle name="_【20090721】千里導入明細資料_２１年度分_【20091224】千里導入明細資料_２２年度上期分_営業店DB_【20091225】千里導入明細資料_２２年度上期分_営業店DB_【調整中】千里導入明細資料_２２年度上期分_fj_20100127_Ⅹ_課題と対応策_20121211" xfId="3489" xr:uid="{00000000-0005-0000-0000-00005F0D0000}"/>
    <cellStyle name="_【20090721】千里導入明細資料_２１年度分_【20091224】千里導入明細資料_２２年度上期分_営業店DB_【20091225】千里導入明細資料_２２年度上期分_営業店DB_【調整中】千里導入明細資料_２２年度上期分_fj_20100127_Ⅹ_課題と対応策_20121211 2" xfId="3490" xr:uid="{00000000-0005-0000-0000-0000600D0000}"/>
    <cellStyle name="_【20090721】千里導入明細資料_２１年度分_【20091224】千里導入明細資料_２２年度上期分_営業店DB_【20091225】千里導入明細資料_２２年度上期分_営業店DB_Ⅹ_課題と対応策_20121211" xfId="3491" xr:uid="{00000000-0005-0000-0000-0000610D0000}"/>
    <cellStyle name="_【20090721】千里導入明細資料_２１年度分_【20091224】千里導入明細資料_２２年度上期分_営業店DB_【20091225】千里導入明細資料_２２年度上期分_営業店DB_Ⅹ_課題と対応策_20121211 2" xfId="3492" xr:uid="{00000000-0005-0000-0000-0000620D0000}"/>
    <cellStyle name="_【20090721】千里導入明細資料_２１年度分_【20091224】千里導入明細資料_２２年度上期分_営業店DB_Ⅹ_課題と対応策_20121211" xfId="3493" xr:uid="{00000000-0005-0000-0000-0000630D0000}"/>
    <cellStyle name="_【20090721】千里導入明細資料_２１年度分_【20091224】千里導入明細資料_２２年度上期分_営業店DB_Ⅹ_課題と対応策_20121211 2" xfId="3494" xr:uid="{00000000-0005-0000-0000-0000640D0000}"/>
    <cellStyle name="_【20090721】千里導入明細資料_２１年度分_【20091225】千里導入明細資料_２２年度上期分" xfId="3495" xr:uid="{00000000-0005-0000-0000-0000650D0000}"/>
    <cellStyle name="_【20090721】千里導入明細資料_２１年度分_【20091225】千里導入明細資料_２２年度上期分 2" xfId="3496" xr:uid="{00000000-0005-0000-0000-0000660D0000}"/>
    <cellStyle name="_【20090721】千里導入明細資料_２１年度分_【20091225】千里導入明細資料_２２年度上期分_Ⅹ_課題と対応策_20121211" xfId="3497" xr:uid="{00000000-0005-0000-0000-0000670D0000}"/>
    <cellStyle name="_【20090721】千里導入明細資料_２１年度分_【20091225】千里導入明細資料_２２年度上期分_Ⅹ_課題と対応策_20121211 2" xfId="3498" xr:uid="{00000000-0005-0000-0000-0000680D0000}"/>
    <cellStyle name="_【20090721】千里導入明細資料_２１年度分_【20091225】千里導入明細資料_２２年度上期分_営業店DB" xfId="3499" xr:uid="{00000000-0005-0000-0000-0000690D0000}"/>
    <cellStyle name="_【20090721】千里導入明細資料_２１年度分_【20091225】千里導入明細資料_２２年度上期分_営業店DB 2" xfId="3500" xr:uid="{00000000-0005-0000-0000-00006A0D0000}"/>
    <cellStyle name="_【20090721】千里導入明細資料_２１年度分_【20091225】千里導入明細資料_２２年度上期分_営業店DB_Ⅹ_課題と対応策_20121211" xfId="3501" xr:uid="{00000000-0005-0000-0000-00006B0D0000}"/>
    <cellStyle name="_【20090721】千里導入明細資料_２１年度分_【20091225】千里導入明細資料_２２年度上期分_営業店DB_Ⅹ_課題と対応策_20121211 2" xfId="3502" xr:uid="{00000000-0005-0000-0000-00006C0D0000}"/>
    <cellStyle name="_【20090721】千里導入明細資料_２１年度分_【20091225】千里導入明細資料_２２年度上期分_連携DB" xfId="3503" xr:uid="{00000000-0005-0000-0000-00006D0D0000}"/>
    <cellStyle name="_【20090721】千里導入明細資料_２１年度分_【20091225】千里導入明細資料_２２年度上期分_連携DB 2" xfId="3504" xr:uid="{00000000-0005-0000-0000-00006E0D0000}"/>
    <cellStyle name="_【20090721】千里導入明細資料_２１年度分_【20091225】千里導入明細資料_２２年度上期分_連携DB_Ⅹ_課題と対応策_20121211" xfId="3505" xr:uid="{00000000-0005-0000-0000-00006F0D0000}"/>
    <cellStyle name="_【20090721】千里導入明細資料_２１年度分_【20091225】千里導入明細資料_２２年度上期分_連携DB_Ⅹ_課題と対応策_20121211 2" xfId="3506" xr:uid="{00000000-0005-0000-0000-0000700D0000}"/>
    <cellStyle name="_【20090721】千里導入明細資料_２１年度分_【200912xx】千里導入明細資料_２２年度上期分" xfId="3507" xr:uid="{00000000-0005-0000-0000-0000710D0000}"/>
    <cellStyle name="_【20090721】千里導入明細資料_２１年度分_【200912xx】千里導入明細資料_２２年度上期分 2" xfId="3508" xr:uid="{00000000-0005-0000-0000-0000720D0000}"/>
    <cellStyle name="_【20090721】千里導入明細資料_２１年度分_【200912xx】千里導入明細資料_２２年度上期分（為替分）" xfId="3509" xr:uid="{00000000-0005-0000-0000-0000730D0000}"/>
    <cellStyle name="_【20090721】千里導入明細資料_２１年度分_【200912xx】千里導入明細資料_２２年度上期分（為替分） 2" xfId="3510" xr:uid="{00000000-0005-0000-0000-0000740D0000}"/>
    <cellStyle name="_【20090721】千里導入明細資料_２１年度分_【200912xx】千里導入明細資料_２２年度上期分（為替分）_Ⅹ_課題と対応策_20121211" xfId="3511" xr:uid="{00000000-0005-0000-0000-0000750D0000}"/>
    <cellStyle name="_【20090721】千里導入明細資料_２１年度分_【200912xx】千里導入明細資料_２２年度上期分（為替分）_Ⅹ_課題と対応策_20121211 2" xfId="3512" xr:uid="{00000000-0005-0000-0000-0000760D0000}"/>
    <cellStyle name="_【20090721】千里導入明細資料_２１年度分_【200912xx】千里導入明細資料_２２年度上期分_【20091225】千里導入明細資料_２２年度上期分（営業店ＡＰ－ＤＢ）" xfId="3513" xr:uid="{00000000-0005-0000-0000-0000770D0000}"/>
    <cellStyle name="_【20090721】千里導入明細資料_２１年度分_【200912xx】千里導入明細資料_２２年度上期分_【20091225】千里導入明細資料_２２年度上期分（営業店ＡＰ－ＤＢ） 2" xfId="3514" xr:uid="{00000000-0005-0000-0000-0000780D0000}"/>
    <cellStyle name="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" xfId="3515" xr:uid="{00000000-0005-0000-0000-0000790D0000}"/>
    <cellStyle name="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 2" xfId="3516" xr:uid="{00000000-0005-0000-0000-00007A0D0000}"/>
    <cellStyle name="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_Ⅹ_課題と対応策_20121211" xfId="3517" xr:uid="{00000000-0005-0000-0000-00007B0D0000}"/>
    <cellStyle name="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_Ⅹ_課題と対応策_20121211 2" xfId="3518" xr:uid="{00000000-0005-0000-0000-00007C0D0000}"/>
    <cellStyle name="_【20090721】千里導入明細資料_２１年度分_【200912xx】千里導入明細資料_２２年度上期分_【20091225】千里導入明細資料_２２年度上期分（営業店ＡＰ－ＤＢ）_Ⅹ_課題と対応策_20121211" xfId="3519" xr:uid="{00000000-0005-0000-0000-00007D0D0000}"/>
    <cellStyle name="_【20090721】千里導入明細資料_２１年度分_【200912xx】千里導入明細資料_２２年度上期分_【20091225】千里導入明細資料_２２年度上期分（営業店ＡＰ－ＤＢ）_Ⅹ_課題と対応策_20121211 2" xfId="3520" xr:uid="{00000000-0005-0000-0000-00007E0D0000}"/>
    <cellStyle name="_【20090721】千里導入明細資料_２１年度分_【200912xx】千里導入明細資料_２２年度上期分_【20091225】千里導入明細資料_２２年度上期分_営業店DB" xfId="3521" xr:uid="{00000000-0005-0000-0000-00007F0D0000}"/>
    <cellStyle name="_【20090721】千里導入明細資料_２１年度分_【200912xx】千里導入明細資料_２２年度上期分_【20091225】千里導入明細資料_２２年度上期分_営業店DB 2" xfId="3522" xr:uid="{00000000-0005-0000-0000-0000800D0000}"/>
    <cellStyle name="_【20090721】千里導入明細資料_２１年度分_【200912xx】千里導入明細資料_２２年度上期分_【20091225】千里導入明細資料_２２年度上期分_営業店DB_【調整中】千里導入明細資料_２２年度上期分_fj_20100127" xfId="3523" xr:uid="{00000000-0005-0000-0000-0000810D0000}"/>
    <cellStyle name="_【20090721】千里導入明細資料_２１年度分_【200912xx】千里導入明細資料_２２年度上期分_【20091225】千里導入明細資料_２２年度上期分_営業店DB_【調整中】千里導入明細資料_２２年度上期分_fj_20100127 2" xfId="3524" xr:uid="{00000000-0005-0000-0000-0000820D0000}"/>
    <cellStyle name="_【20090721】千里導入明細資料_２１年度分_【200912xx】千里導入明細資料_２２年度上期分_【20091225】千里導入明細資料_２２年度上期分_営業店DB_【調整中】千里導入明細資料_２２年度上期分_fj_20100127_Ⅹ_課題と対応策_20121211" xfId="3525" xr:uid="{00000000-0005-0000-0000-0000830D0000}"/>
    <cellStyle name="_【20090721】千里導入明細資料_２１年度分_【200912xx】千里導入明細資料_２２年度上期分_【20091225】千里導入明細資料_２２年度上期分_営業店DB_【調整中】千里導入明細資料_２２年度上期分_fj_20100127_Ⅹ_課題と対応策_20121211 2" xfId="3526" xr:uid="{00000000-0005-0000-0000-0000840D0000}"/>
    <cellStyle name="_【20090721】千里導入明細資料_２１年度分_【200912xx】千里導入明細資料_２２年度上期分_【20091225】千里導入明細資料_２２年度上期分_営業店DB_Ⅹ_課題と対応策_20121211" xfId="3527" xr:uid="{00000000-0005-0000-0000-0000850D0000}"/>
    <cellStyle name="_【20090721】千里導入明細資料_２１年度分_【200912xx】千里導入明細資料_２２年度上期分_【20091225】千里導入明細資料_２２年度上期分_営業店DB_Ⅹ_課題と対応策_20121211 2" xfId="3528" xr:uid="{00000000-0005-0000-0000-0000860D0000}"/>
    <cellStyle name="_【20090721】千里導入明細資料_２１年度分_【200912xx】千里導入明細資料_２２年度上期分_【20091225】千里導入明細資料_２２年度上期分_連携DB" xfId="3529" xr:uid="{00000000-0005-0000-0000-0000870D0000}"/>
    <cellStyle name="_【20090721】千里導入明細資料_２１年度分_【200912xx】千里導入明細資料_２２年度上期分_【20091225】千里導入明細資料_２２年度上期分_連携DB 2" xfId="3530" xr:uid="{00000000-0005-0000-0000-0000880D0000}"/>
    <cellStyle name="_【20090721】千里導入明細資料_２１年度分_【200912xx】千里導入明細資料_２２年度上期分_【20091225】千里導入明細資料_２２年度上期分_連携DB_【調整中】千里導入明細資料_２２年度上期分_fj_20100127" xfId="3531" xr:uid="{00000000-0005-0000-0000-0000890D0000}"/>
    <cellStyle name="_【20090721】千里導入明細資料_２１年度分_【200912xx】千里導入明細資料_２２年度上期分_【20091225】千里導入明細資料_２２年度上期分_連携DB_【調整中】千里導入明細資料_２２年度上期分_fj_20100127 2" xfId="3532" xr:uid="{00000000-0005-0000-0000-00008A0D0000}"/>
    <cellStyle name="_【20090721】千里導入明細資料_２１年度分_【200912xx】千里導入明細資料_２２年度上期分_【20091225】千里導入明細資料_２２年度上期分_連携DB_【調整中】千里導入明細資料_２２年度上期分_fj_20100127_Ⅹ_課題と対応策_20121211" xfId="3533" xr:uid="{00000000-0005-0000-0000-00008B0D0000}"/>
    <cellStyle name="_【20090721】千里導入明細資料_２１年度分_【200912xx】千里導入明細資料_２２年度上期分_【20091225】千里導入明細資料_２２年度上期分_連携DB_【調整中】千里導入明細資料_２２年度上期分_fj_20100127_Ⅹ_課題と対応策_20121211 2" xfId="3534" xr:uid="{00000000-0005-0000-0000-00008C0D0000}"/>
    <cellStyle name="_【20090721】千里導入明細資料_２１年度分_【200912xx】千里導入明細資料_２２年度上期分_【20091225】千里導入明細資料_２２年度上期分_連携DB_Ⅹ_課題と対応策_20121211" xfId="3535" xr:uid="{00000000-0005-0000-0000-00008D0D0000}"/>
    <cellStyle name="_【20090721】千里導入明細資料_２１年度分_【200912xx】千里導入明細資料_２２年度上期分_【20091225】千里導入明細資料_２２年度上期分_連携DB_Ⅹ_課題と対応策_20121211 2" xfId="3536" xr:uid="{00000000-0005-0000-0000-00008E0D0000}"/>
    <cellStyle name="_【20090721】千里導入明細資料_２１年度分_【200912xx】千里導入明細資料_２２年度上期分_Ⅹ_課題と対応策_20121211" xfId="3537" xr:uid="{00000000-0005-0000-0000-00008F0D0000}"/>
    <cellStyle name="_【20090721】千里導入明細資料_２１年度分_【200912xx】千里導入明細資料_２２年度上期分_Ⅹ_課題と対応策_20121211 2" xfId="3538" xr:uid="{00000000-0005-0000-0000-0000900D0000}"/>
    <cellStyle name="_【20090721】千里導入明細資料_２１年度分_【調整中】千里導入明細資料_２２年度上期分_fj_20100127" xfId="3539" xr:uid="{00000000-0005-0000-0000-0000910D0000}"/>
    <cellStyle name="_【20090721】千里導入明細資料_２１年度分_【調整中】千里導入明細資料_２２年度上期分_fj_20100127 2" xfId="3540" xr:uid="{00000000-0005-0000-0000-0000920D0000}"/>
    <cellStyle name="_【20090721】千里導入明細資料_２１年度分_【調整中】千里導入明細資料_２２年度上期分_fj_20100127_Ⅹ_課題と対応策_20121211" xfId="3541" xr:uid="{00000000-0005-0000-0000-0000930D0000}"/>
    <cellStyle name="_【20090721】千里導入明細資料_２１年度分_【調整中】千里導入明細資料_２２年度上期分_fj_20100127_Ⅹ_課題と対応策_20121211 2" xfId="3542" xr:uid="{00000000-0005-0000-0000-0000940D0000}"/>
    <cellStyle name="_【20090721】千里導入明細資料_２１年度分_①【20091225】千里導入明細資料_２２年度上期1分)" xfId="3543" xr:uid="{00000000-0005-0000-0000-0000950D0000}"/>
    <cellStyle name="_【20090721】千里導入明細資料_２１年度分_①【20091225】千里導入明細資料_２２年度上期1分) 2" xfId="3544" xr:uid="{00000000-0005-0000-0000-0000960D0000}"/>
    <cellStyle name="_【20090721】千里導入明細資料_２１年度分_①【20091225】千里導入明細資料_２２年度上期1分)_Ⅹ_課題と対応策_20121211" xfId="3545" xr:uid="{00000000-0005-0000-0000-0000970D0000}"/>
    <cellStyle name="_【20090721】千里導入明細資料_２１年度分_①【20091225】千里導入明細資料_２２年度上期1分)_Ⅹ_課題と対応策_20121211 2" xfId="3546" xr:uid="{00000000-0005-0000-0000-0000980D0000}"/>
    <cellStyle name="_【20090721】千里導入明細資料_２１年度分_Ⅹ_課題と対応策_20121211" xfId="3547" xr:uid="{00000000-0005-0000-0000-0000990D0000}"/>
    <cellStyle name="_【20090721】千里導入明細資料_２１年度分_Ⅹ_課題と対応策_20121211 2" xfId="3548" xr:uid="{00000000-0005-0000-0000-00009A0D0000}"/>
    <cellStyle name="_【20090721】千里導入明細資料_２１年度分_千里導入明細資料_２２年度分（ネットワーク敷設）_fj" xfId="3549" xr:uid="{00000000-0005-0000-0000-00009B0D0000}"/>
    <cellStyle name="_【20090721】千里導入明細資料_２１年度分_千里導入明細資料_２２年度分（ネットワーク敷設）_fj 2" xfId="3550" xr:uid="{00000000-0005-0000-0000-00009C0D0000}"/>
    <cellStyle name="_【20090721】千里導入明細資料_２１年度分_千里導入明細資料_２２年度分（ネットワーク敷設）_fj_Ⅹ_課題と対応策_20121211" xfId="3551" xr:uid="{00000000-0005-0000-0000-00009D0D0000}"/>
    <cellStyle name="_【20090721】千里導入明細資料_２１年度分_千里導入明細資料_２２年度分（ネットワーク敷設）_fj_Ⅹ_課題と対応策_20121211 2" xfId="3552" xr:uid="{00000000-0005-0000-0000-00009E0D0000}"/>
    <cellStyle name="_【20090821】千里ラック搭載図（NW機器）" xfId="3553" xr:uid="{00000000-0005-0000-0000-00009F0D0000}"/>
    <cellStyle name="_【20090821】千里ラック搭載図（NW機器） 2" xfId="3554" xr:uid="{00000000-0005-0000-0000-0000A00D0000}"/>
    <cellStyle name="_【20090821】千里ラック搭載図（NW機器）_Ⅹ_課題と対応策_20121211" xfId="3555" xr:uid="{00000000-0005-0000-0000-0000A10D0000}"/>
    <cellStyle name="_【20090821】千里ラック搭載図（NW機器）_Ⅹ_課題と対応策_20121211 2" xfId="3556" xr:uid="{00000000-0005-0000-0000-0000A20D0000}"/>
    <cellStyle name="_【200909】ラック単位の電源仕様_ご参考" xfId="3557" xr:uid="{00000000-0005-0000-0000-0000A30D0000}"/>
    <cellStyle name="_【200909】ラック単位の電源仕様_ご参考 2" xfId="3558" xr:uid="{00000000-0005-0000-0000-0000A40D0000}"/>
    <cellStyle name="_【200909】ラック単位の電源仕様_ご参考_【20090821】千里ラック搭載図（NW機器）" xfId="3559" xr:uid="{00000000-0005-0000-0000-0000A50D0000}"/>
    <cellStyle name="_【200909】ラック単位の電源仕様_ご参考_【20090821】千里ラック搭載図（NW機器） 2" xfId="3560" xr:uid="{00000000-0005-0000-0000-0000A60D0000}"/>
    <cellStyle name="_【200909】ラック単位の電源仕様_ご参考_【20090821】千里ラック搭載図（NW機器）_Ⅹ_課題と対応策_20121211" xfId="3561" xr:uid="{00000000-0005-0000-0000-0000A70D0000}"/>
    <cellStyle name="_【200909】ラック単位の電源仕様_ご参考_【20090821】千里ラック搭載図（NW機器）_Ⅹ_課題と対応策_20121211 2" xfId="3562" xr:uid="{00000000-0005-0000-0000-0000A80D0000}"/>
    <cellStyle name="_【200909】ラック単位の電源仕様_ご参考_Ⅹ_課題と対応策_20121211" xfId="3563" xr:uid="{00000000-0005-0000-0000-0000A90D0000}"/>
    <cellStyle name="_【200909】ラック単位の電源仕様_ご参考_Ⅹ_課題と対応策_20121211 2" xfId="3564" xr:uid="{00000000-0005-0000-0000-0000AA0D0000}"/>
    <cellStyle name="_【20091207】千里導入明細資料_２１年度分（ネットワーク敷設）" xfId="3565" xr:uid="{00000000-0005-0000-0000-0000AB0D0000}"/>
    <cellStyle name="_【20091207】千里導入明細資料_２１年度分（ネットワーク敷設） 2" xfId="3566" xr:uid="{00000000-0005-0000-0000-0000AC0D0000}"/>
    <cellStyle name="_【20091207】千里導入明細資料_２１年度分（ネットワーク敷設）_【20091218】千里導入明細資料_２１年度分（ネットワーク敷設）" xfId="3567" xr:uid="{00000000-0005-0000-0000-0000AD0D0000}"/>
    <cellStyle name="_【20091207】千里導入明細資料_２１年度分（ネットワーク敷設）_【20091218】千里導入明細資料_２１年度分（ネットワーク敷設） 2" xfId="3568" xr:uid="{00000000-0005-0000-0000-0000AE0D0000}"/>
    <cellStyle name="_【20091207】千里導入明細資料_２１年度分（ネットワーク敷設）_【20091218】千里導入明細資料_２１年度分（ネットワーク敷設）_Ⅹ_課題と対応策_20121211" xfId="3569" xr:uid="{00000000-0005-0000-0000-0000AF0D0000}"/>
    <cellStyle name="_【20091207】千里導入明細資料_２１年度分（ネットワーク敷設）_【20091218】千里導入明細資料_２１年度分（ネットワーク敷設）_Ⅹ_課題と対応策_20121211 2" xfId="3570" xr:uid="{00000000-0005-0000-0000-0000B00D0000}"/>
    <cellStyle name="_【20091207】千里導入明細資料_２１年度分（ネットワーク敷設）_Ⅹ_課題と対応策_20121211" xfId="3571" xr:uid="{00000000-0005-0000-0000-0000B10D0000}"/>
    <cellStyle name="_【20091207】千里導入明細資料_２１年度分（ネットワーク敷設）_Ⅹ_課題と対応策_20121211 2" xfId="3572" xr:uid="{00000000-0005-0000-0000-0000B20D0000}"/>
    <cellStyle name="_【20091207】千里導入明細資料_２１年度分（ネットワーク敷設）_千里導入明細資料_２２年度分（ネットワーク敷設）_fj" xfId="3573" xr:uid="{00000000-0005-0000-0000-0000B30D0000}"/>
    <cellStyle name="_【20091207】千里導入明細資料_２１年度分（ネットワーク敷設）_千里導入明細資料_２２年度分（ネットワーク敷設）_fj 2" xfId="3574" xr:uid="{00000000-0005-0000-0000-0000B40D0000}"/>
    <cellStyle name="_【20091207】千里導入明細資料_２１年度分（ネットワーク敷設）_千里導入明細資料_２２年度分（ネットワーク敷設）_fj_Ⅹ_課題と対応策_20121211" xfId="3575" xr:uid="{00000000-0005-0000-0000-0000B50D0000}"/>
    <cellStyle name="_【20091207】千里導入明細資料_２１年度分（ネットワーク敷設）_千里導入明細資料_２２年度分（ネットワーク敷設）_fj_Ⅹ_課題と対応策_20121211 2" xfId="3576" xr:uid="{00000000-0005-0000-0000-0000B60D0000}"/>
    <cellStyle name="_【20091225】千里導入明細資料_２２年度上期分（営業店ＡＰ－ＤＢ）" xfId="3577" xr:uid="{00000000-0005-0000-0000-0000B70D0000}"/>
    <cellStyle name="_【20091225】千里導入明細資料_２２年度上期分（営業店ＡＰ－ＤＢ） 2" xfId="3578" xr:uid="{00000000-0005-0000-0000-0000B80D0000}"/>
    <cellStyle name="_【20091225】千里導入明細資料_２２年度上期分（営業店ＡＰ－ＤＢ）_【調整中】千里導入明細資料_２２年度上期分_fj_20100127" xfId="3579" xr:uid="{00000000-0005-0000-0000-0000B90D0000}"/>
    <cellStyle name="_【20091225】千里導入明細資料_２２年度上期分（営業店ＡＰ－ＤＢ）_【調整中】千里導入明細資料_２２年度上期分_fj_20100127 2" xfId="3580" xr:uid="{00000000-0005-0000-0000-0000BA0D0000}"/>
    <cellStyle name="_【20091225】千里導入明細資料_２２年度上期分（営業店ＡＰ－ＤＢ）_【調整中】千里導入明細資料_２２年度上期分_fj_20100127_Ⅹ_課題と対応策_20121211" xfId="3581" xr:uid="{00000000-0005-0000-0000-0000BB0D0000}"/>
    <cellStyle name="_【20091225】千里導入明細資料_２２年度上期分（営業店ＡＰ－ＤＢ）_【調整中】千里導入明細資料_２２年度上期分_fj_20100127_Ⅹ_課題と対応策_20121211 2" xfId="3582" xr:uid="{00000000-0005-0000-0000-0000BC0D0000}"/>
    <cellStyle name="_【20091225】千里導入明細資料_２２年度上期分（営業店ＡＰ－ＤＢ）_Ⅹ_課題と対応策_20121211" xfId="3583" xr:uid="{00000000-0005-0000-0000-0000BD0D0000}"/>
    <cellStyle name="_【20091225】千里導入明細資料_２２年度上期分（営業店ＡＰ－ＤＢ）_Ⅹ_課題と対応策_20121211 2" xfId="3584" xr:uid="{00000000-0005-0000-0000-0000BE0D0000}"/>
    <cellStyle name="_【20091225】千里導入明細資料_２２年度上期分_営業店DB" xfId="3585" xr:uid="{00000000-0005-0000-0000-0000BF0D0000}"/>
    <cellStyle name="_【20091225】千里導入明細資料_２２年度上期分_営業店DB 2" xfId="3586" xr:uid="{00000000-0005-0000-0000-0000C00D0000}"/>
    <cellStyle name="_【20091225】千里導入明細資料_２２年度上期分_営業店DB_【調整中】千里導入明細資料_２２年度上期分_fj_20100127" xfId="3587" xr:uid="{00000000-0005-0000-0000-0000C10D0000}"/>
    <cellStyle name="_【20091225】千里導入明細資料_２２年度上期分_営業店DB_【調整中】千里導入明細資料_２２年度上期分_fj_20100127 2" xfId="3588" xr:uid="{00000000-0005-0000-0000-0000C20D0000}"/>
    <cellStyle name="_【20091225】千里導入明細資料_２２年度上期分_営業店DB_【調整中】千里導入明細資料_２２年度上期分_fj_20100127_Ⅹ_課題と対応策_20121211" xfId="3589" xr:uid="{00000000-0005-0000-0000-0000C30D0000}"/>
    <cellStyle name="_【20091225】千里導入明細資料_２２年度上期分_営業店DB_【調整中】千里導入明細資料_２２年度上期分_fj_20100127_Ⅹ_課題と対応策_20121211 2" xfId="3590" xr:uid="{00000000-0005-0000-0000-0000C40D0000}"/>
    <cellStyle name="_【20091225】千里導入明細資料_２２年度上期分_営業店DB_Ⅹ_課題と対応策_20121211" xfId="3591" xr:uid="{00000000-0005-0000-0000-0000C50D0000}"/>
    <cellStyle name="_【20091225】千里導入明細資料_２２年度上期分_営業店DB_Ⅹ_課題と対応策_20121211 2" xfId="3592" xr:uid="{00000000-0005-0000-0000-0000C60D0000}"/>
    <cellStyle name="_【20091225】千里導入明細資料_２２年度上期分_連携DB" xfId="3593" xr:uid="{00000000-0005-0000-0000-0000C70D0000}"/>
    <cellStyle name="_【20091225】千里導入明細資料_２２年度上期分_連携DB 2" xfId="3594" xr:uid="{00000000-0005-0000-0000-0000C80D0000}"/>
    <cellStyle name="_【20091225】千里導入明細資料_２２年度上期分_連携DB_【調整中】千里導入明細資料_２２年度上期分_fj_20100127" xfId="3595" xr:uid="{00000000-0005-0000-0000-0000C90D0000}"/>
    <cellStyle name="_【20091225】千里導入明細資料_２２年度上期分_連携DB_【調整中】千里導入明細資料_２２年度上期分_fj_20100127 2" xfId="3596" xr:uid="{00000000-0005-0000-0000-0000CA0D0000}"/>
    <cellStyle name="_【20091225】千里導入明細資料_２２年度上期分_連携DB_【調整中】千里導入明細資料_２２年度上期分_fj_20100127_Ⅹ_課題と対応策_20121211" xfId="3597" xr:uid="{00000000-0005-0000-0000-0000CB0D0000}"/>
    <cellStyle name="_【20091225】千里導入明細資料_２２年度上期分_連携DB_【調整中】千里導入明細資料_２２年度上期分_fj_20100127_Ⅹ_課題と対応策_20121211 2" xfId="3598" xr:uid="{00000000-0005-0000-0000-0000CC0D0000}"/>
    <cellStyle name="_【20091225】千里導入明細資料_２２年度上期分_連携DB_Ⅹ_課題と対応策_20121211" xfId="3599" xr:uid="{00000000-0005-0000-0000-0000CD0D0000}"/>
    <cellStyle name="_【20091225】千里導入明細資料_２２年度上期分_連携DB_Ⅹ_課題と対応策_20121211 2" xfId="3600" xr:uid="{00000000-0005-0000-0000-0000CE0D0000}"/>
    <cellStyle name="_【最新】導入明細表（自動機監視)(09.07.16)" xfId="3601" xr:uid="{00000000-0005-0000-0000-0000CF0D0000}"/>
    <cellStyle name="_【最新】導入明細表（自動機監視)(09.07.16) 2" xfId="3602" xr:uid="{00000000-0005-0000-0000-0000D00D0000}"/>
    <cellStyle name="_【最新】導入明細表（自動機監視)(09.07.16)_【20090724】千里導入明細資料_２１年度" xfId="3603" xr:uid="{00000000-0005-0000-0000-0000D10D0000}"/>
    <cellStyle name="_【最新】導入明細表（自動機監視)(09.07.16)_【20090724】千里導入明細資料_２１年度 2" xfId="3604" xr:uid="{00000000-0005-0000-0000-0000D20D0000}"/>
    <cellStyle name="_【最新】導入明細表（自動機監視)(09.07.16)_【20090724】千里導入明細資料_２１年度_【20091207】千里導入明細資料_２１年度分（ネットワーク敷設）" xfId="3605" xr:uid="{00000000-0005-0000-0000-0000D30D0000}"/>
    <cellStyle name="_【最新】導入明細表（自動機監視)(09.07.16)_【20090724】千里導入明細資料_２１年度_【20091207】千里導入明細資料_２１年度分（ネットワーク敷設） 2" xfId="3606" xr:uid="{00000000-0005-0000-0000-0000D40D0000}"/>
    <cellStyle name="_【最新】導入明細表（自動機監視)(09.07.16)_【20090724】千里導入明細資料_２１年度_【20091207】千里導入明細資料_２１年度分（ネットワーク敷設）_【20091218】千里導入明細資料_２１年度分（ネットワーク敷設）" xfId="3607" xr:uid="{00000000-0005-0000-0000-0000D50D0000}"/>
    <cellStyle name="_【最新】導入明細表（自動機監視)(09.07.16)_【20090724】千里導入明細資料_２１年度_【20091207】千里導入明細資料_２１年度分（ネットワーク敷設）_【20091218】千里導入明細資料_２１年度分（ネットワーク敷設） 2" xfId="3608" xr:uid="{00000000-0005-0000-0000-0000D60D0000}"/>
    <cellStyle name="_【最新】導入明細表（自動機監視)(09.07.16)_【20090724】千里導入明細資料_２１年度_【20091207】千里導入明細資料_２１年度分（ネットワーク敷設）_【20091218】千里導入明細資料_２１年度分（ネットワーク敷設）_Ⅹ_課題と対応策_20121211" xfId="3609" xr:uid="{00000000-0005-0000-0000-0000D70D0000}"/>
    <cellStyle name="_【最新】導入明細表（自動機監視)(09.07.16)_【20090724】千里導入明細資料_２１年度_【20091207】千里導入明細資料_２１年度分（ネットワーク敷設）_【20091218】千里導入明細資料_２１年度分（ネットワーク敷設）_Ⅹ_課題と対応策_20121211 2" xfId="3610" xr:uid="{00000000-0005-0000-0000-0000D80D0000}"/>
    <cellStyle name="_【最新】導入明細表（自動機監視)(09.07.16)_【20090724】千里導入明細資料_２１年度_【20091207】千里導入明細資料_２１年度分（ネットワーク敷設）_Ⅹ_課題と対応策_20121211" xfId="3611" xr:uid="{00000000-0005-0000-0000-0000D90D0000}"/>
    <cellStyle name="_【最新】導入明細表（自動機監視)(09.07.16)_【20090724】千里導入明細資料_２１年度_【20091207】千里導入明細資料_２１年度分（ネットワーク敷設）_Ⅹ_課題と対応策_20121211 2" xfId="3612" xr:uid="{00000000-0005-0000-0000-0000DA0D0000}"/>
    <cellStyle name="_【最新】導入明細表（自動機監視)(09.07.16)_【20090724】千里導入明細資料_２１年度_【20091207】千里導入明細資料_２１年度分（ネットワーク敷設）_千里導入明細資料_２２年度分（ネットワーク敷設）_fj" xfId="3613" xr:uid="{00000000-0005-0000-0000-0000DB0D0000}"/>
    <cellStyle name="_【最新】導入明細表（自動機監視)(09.07.16)_【20090724】千里導入明細資料_２１年度_【20091207】千里導入明細資料_２１年度分（ネットワーク敷設）_千里導入明細資料_２２年度分（ネットワーク敷設）_fj 2" xfId="3614" xr:uid="{00000000-0005-0000-0000-0000DC0D0000}"/>
    <cellStyle name="_【最新】導入明細表（自動機監視)(09.07.16)_【20090724】千里導入明細資料_２１年度_【20091207】千里導入明細資料_２１年度分（ネットワーク敷設）_千里導入明細資料_２２年度分（ネットワーク敷設）_fj_Ⅹ_課題と対応策_20121211" xfId="3615" xr:uid="{00000000-0005-0000-0000-0000DD0D0000}"/>
    <cellStyle name="_【最新】導入明細表（自動機監視)(09.07.16)_【20090724】千里導入明細資料_２１年度_【20091207】千里導入明細資料_２１年度分（ネットワーク敷設）_千里導入明細資料_２２年度分（ネットワーク敷設）_fj_Ⅹ_課題と対応策_20121211 2" xfId="3616" xr:uid="{00000000-0005-0000-0000-0000DE0D0000}"/>
    <cellStyle name="_【最新】導入明細表（自動機監視)(09.07.16)_【20090724】千里導入明細資料_２１年度_【20091225】千里導入明細資料_２２年度上期分（営業店ＡＰ－ＤＢ）" xfId="3617" xr:uid="{00000000-0005-0000-0000-0000DF0D0000}"/>
    <cellStyle name="_【最新】導入明細表（自動機監視)(09.07.16)_【20090724】千里導入明細資料_２１年度_【20091225】千里導入明細資料_２２年度上期分（営業店ＡＰ－ＤＢ） 2" xfId="3618" xr:uid="{00000000-0005-0000-0000-0000E00D0000}"/>
    <cellStyle name="_【最新】導入明細表（自動機監視)(09.07.16)_【20090724】千里導入明細資料_２１年度_【20091225】千里導入明細資料_２２年度上期分（営業店ＡＰ－ＤＢ）_【調整中】千里導入明細資料_２２年度上期分_fj_20100127" xfId="3619" xr:uid="{00000000-0005-0000-0000-0000E10D0000}"/>
    <cellStyle name="_【最新】導入明細表（自動機監視)(09.07.16)_【20090724】千里導入明細資料_２１年度_【20091225】千里導入明細資料_２２年度上期分（営業店ＡＰ－ＤＢ）_【調整中】千里導入明細資料_２２年度上期分_fj_20100127 2" xfId="3620" xr:uid="{00000000-0005-0000-0000-0000E20D0000}"/>
    <cellStyle name="_【最新】導入明細表（自動機監視)(09.07.16)_【20090724】千里導入明細資料_２１年度_【20091225】千里導入明細資料_２２年度上期分（営業店ＡＰ－ＤＢ）_【調整中】千里導入明細資料_２２年度上期分_fj_20100127_Ⅹ_課題と対応策_20121211" xfId="3621" xr:uid="{00000000-0005-0000-0000-0000E30D0000}"/>
    <cellStyle name="_【最新】導入明細表（自動機監視)(09.07.16)_【20090724】千里導入明細資料_２１年度_【20091225】千里導入明細資料_２２年度上期分（営業店ＡＰ－ＤＢ）_【調整中】千里導入明細資料_２２年度上期分_fj_20100127_Ⅹ_課題と対応策_20121211 2" xfId="3622" xr:uid="{00000000-0005-0000-0000-0000E40D0000}"/>
    <cellStyle name="_【最新】導入明細表（自動機監視)(09.07.16)_【20090724】千里導入明細資料_２１年度_【20091225】千里導入明細資料_２２年度上期分（営業店ＡＰ－ＤＢ）_Ⅹ_課題と対応策_20121211" xfId="3623" xr:uid="{00000000-0005-0000-0000-0000E50D0000}"/>
    <cellStyle name="_【最新】導入明細表（自動機監視)(09.07.16)_【20090724】千里導入明細資料_２１年度_【20091225】千里導入明細資料_２２年度上期分（営業店ＡＰ－ＤＢ）_Ⅹ_課題と対応策_20121211 2" xfId="3624" xr:uid="{00000000-0005-0000-0000-0000E60D0000}"/>
    <cellStyle name="_【最新】導入明細表（自動機監視)(09.07.16)_【20090724】千里導入明細資料_２１年度_【20091225】千里導入明細資料_２２年度上期分_営業店DB" xfId="3625" xr:uid="{00000000-0005-0000-0000-0000E70D0000}"/>
    <cellStyle name="_【最新】導入明細表（自動機監視)(09.07.16)_【20090724】千里導入明細資料_２１年度_【20091225】千里導入明細資料_２２年度上期分_営業店DB 2" xfId="3626" xr:uid="{00000000-0005-0000-0000-0000E80D0000}"/>
    <cellStyle name="_【最新】導入明細表（自動機監視)(09.07.16)_【20090724】千里導入明細資料_２１年度_【20091225】千里導入明細資料_２２年度上期分_営業店DB_【調整中】千里導入明細資料_２２年度上期分_fj_20100127" xfId="3627" xr:uid="{00000000-0005-0000-0000-0000E90D0000}"/>
    <cellStyle name="_【最新】導入明細表（自動機監視)(09.07.16)_【20090724】千里導入明細資料_２１年度_【20091225】千里導入明細資料_２２年度上期分_営業店DB_【調整中】千里導入明細資料_２２年度上期分_fj_20100127 2" xfId="3628" xr:uid="{00000000-0005-0000-0000-0000EA0D0000}"/>
    <cellStyle name="_【最新】導入明細表（自動機監視)(09.07.16)_【20090724】千里導入明細資料_２１年度_【20091225】千里導入明細資料_２２年度上期分_営業店DB_【調整中】千里導入明細資料_２２年度上期分_fj_20100127_Ⅹ_課題と対応策_20121211" xfId="3629" xr:uid="{00000000-0005-0000-0000-0000EB0D0000}"/>
    <cellStyle name="_【最新】導入明細表（自動機監視)(09.07.16)_【20090724】千里導入明細資料_２１年度_【20091225】千里導入明細資料_２２年度上期分_営業店DB_【調整中】千里導入明細資料_２２年度上期分_fj_20100127_Ⅹ_課題と対応策_20121211 2" xfId="3630" xr:uid="{00000000-0005-0000-0000-0000EC0D0000}"/>
    <cellStyle name="_【最新】導入明細表（自動機監視)(09.07.16)_【20090724】千里導入明細資料_２１年度_【20091225】千里導入明細資料_２２年度上期分_営業店DB_Ⅹ_課題と対応策_20121211" xfId="3631" xr:uid="{00000000-0005-0000-0000-0000ED0D0000}"/>
    <cellStyle name="_【最新】導入明細表（自動機監視)(09.07.16)_【20090724】千里導入明細資料_２１年度_【20091225】千里導入明細資料_２２年度上期分_営業店DB_Ⅹ_課題と対応策_20121211 2" xfId="3632" xr:uid="{00000000-0005-0000-0000-0000EE0D0000}"/>
    <cellStyle name="_【最新】導入明細表（自動機監視)(09.07.16)_【20090724】千里導入明細資料_２１年度_【20091225】千里導入明細資料_２２年度上期分_連携DB" xfId="3633" xr:uid="{00000000-0005-0000-0000-0000EF0D0000}"/>
    <cellStyle name="_【最新】導入明細表（自動機監視)(09.07.16)_【20090724】千里導入明細資料_２１年度_【20091225】千里導入明細資料_２２年度上期分_連携DB 2" xfId="3634" xr:uid="{00000000-0005-0000-0000-0000F00D0000}"/>
    <cellStyle name="_【最新】導入明細表（自動機監視)(09.07.16)_【20090724】千里導入明細資料_２１年度_【20091225】千里導入明細資料_２２年度上期分_連携DB_【調整中】千里導入明細資料_２２年度上期分_fj_20100127" xfId="3635" xr:uid="{00000000-0005-0000-0000-0000F10D0000}"/>
    <cellStyle name="_【最新】導入明細表（自動機監視)(09.07.16)_【20090724】千里導入明細資料_２１年度_【20091225】千里導入明細資料_２２年度上期分_連携DB_【調整中】千里導入明細資料_２２年度上期分_fj_20100127 2" xfId="3636" xr:uid="{00000000-0005-0000-0000-0000F20D0000}"/>
    <cellStyle name="_【最新】導入明細表（自動機監視)(09.07.16)_【20090724】千里導入明細資料_２１年度_【20091225】千里導入明細資料_２２年度上期分_連携DB_【調整中】千里導入明細資料_２２年度上期分_fj_20100127_Ⅹ_課題と対応策_20121211" xfId="3637" xr:uid="{00000000-0005-0000-0000-0000F30D0000}"/>
    <cellStyle name="_【最新】導入明細表（自動機監視)(09.07.16)_【20090724】千里導入明細資料_２１年度_【20091225】千里導入明細資料_２２年度上期分_連携DB_【調整中】千里導入明細資料_２２年度上期分_fj_20100127_Ⅹ_課題と対応策_20121211 2" xfId="3638" xr:uid="{00000000-0005-0000-0000-0000F40D0000}"/>
    <cellStyle name="_【最新】導入明細表（自動機監視)(09.07.16)_【20090724】千里導入明細資料_２１年度_【20091225】千里導入明細資料_２２年度上期分_連携DB_Ⅹ_課題と対応策_20121211" xfId="3639" xr:uid="{00000000-0005-0000-0000-0000F50D0000}"/>
    <cellStyle name="_【最新】導入明細表（自動機監視)(09.07.16)_【20090724】千里導入明細資料_２１年度_【20091225】千里導入明細資料_２２年度上期分_連携DB_Ⅹ_課題と対応策_20121211 2" xfId="3640" xr:uid="{00000000-0005-0000-0000-0000F60D0000}"/>
    <cellStyle name="_【最新】導入明細表（自動機監視)(09.07.16)_【20090724】千里導入明細資料_２１年度_【作成中】千里センター機器配置図（2010年対応分）_20091221" xfId="3641" xr:uid="{00000000-0005-0000-0000-0000F70D0000}"/>
    <cellStyle name="_【最新】導入明細表（自動機監視)(09.07.16)_【20090724】千里導入明細資料_２１年度_【作成中】千里センター機器配置図（2010年対応分）_20091221 2" xfId="3642" xr:uid="{00000000-0005-0000-0000-0000F80D0000}"/>
    <cellStyle name="_【最新】導入明細表（自動機監視)(09.07.16)_【20090724】千里導入明細資料_２１年度_【作成中】千里センター機器配置図（2010年対応分）_20091221_【調整中】千里導入明細資料_２２年度上期分_fj_20100127" xfId="3643" xr:uid="{00000000-0005-0000-0000-0000F90D0000}"/>
    <cellStyle name="_【最新】導入明細表（自動機監視)(09.07.16)_【20090724】千里導入明細資料_２１年度_【作成中】千里センター機器配置図（2010年対応分）_20091221_【調整中】千里導入明細資料_２２年度上期分_fj_20100127 2" xfId="3644" xr:uid="{00000000-0005-0000-0000-0000FA0D0000}"/>
    <cellStyle name="_【最新】導入明細表（自動機監視)(09.07.16)_【20090724】千里導入明細資料_２１年度_【作成中】千里センター機器配置図（2010年対応分）_20091221_【調整中】千里導入明細資料_２２年度上期分_fj_20100127_Ⅹ_課題と対応策_20121211" xfId="3645" xr:uid="{00000000-0005-0000-0000-0000FB0D0000}"/>
    <cellStyle name="_【最新】導入明細表（自動機監視)(09.07.16)_【20090724】千里導入明細資料_２１年度_【作成中】千里センター機器配置図（2010年対応分）_20091221_【調整中】千里導入明細資料_２２年度上期分_fj_20100127_Ⅹ_課題と対応策_20121211 2" xfId="3646" xr:uid="{00000000-0005-0000-0000-0000FC0D0000}"/>
    <cellStyle name="_【最新】導入明細表（自動機監視)(09.07.16)_【20090724】千里導入明細資料_２１年度_【作成中】千里センター機器配置図（2010年対応分）_20091221_Ⅹ_課題と対応策_20121211" xfId="3647" xr:uid="{00000000-0005-0000-0000-0000FD0D0000}"/>
    <cellStyle name="_【最新】導入明細表（自動機監視)(09.07.16)_【20090724】千里導入明細資料_２１年度_【作成中】千里センター機器配置図（2010年対応分）_20091221_Ⅹ_課題と対応策_20121211 2" xfId="3648" xr:uid="{00000000-0005-0000-0000-0000FE0D0000}"/>
    <cellStyle name="_【最新】導入明細表（自動機監視)(09.07.16)_【20090724】千里導入明細資料_２１年度_Ⅹ_課題と対応策_20121211" xfId="3649" xr:uid="{00000000-0005-0000-0000-0000FF0D0000}"/>
    <cellStyle name="_【最新】導入明細表（自動機監視)(09.07.16)_【20090724】千里導入明細資料_２１年度_Ⅹ_課題と対応策_20121211 2" xfId="3650" xr:uid="{00000000-0005-0000-0000-0000000E0000}"/>
    <cellStyle name="_【最新】導入明細表（自動機監視)(09.07.16)_【20090724】千里導入明細資料_２１年度分（９月工事分）" xfId="3651" xr:uid="{00000000-0005-0000-0000-0000010E0000}"/>
    <cellStyle name="_【最新】導入明細表（自動機監視)(09.07.16)_【20090724】千里導入明細資料_２１年度分（９月工事分） 2" xfId="3652" xr:uid="{00000000-0005-0000-0000-0000020E0000}"/>
    <cellStyle name="_【最新】導入明細表（自動機監視)(09.07.16)_【20090724】千里導入明細資料_２１年度分（９月工事分）_【20091207】千里導入明細資料_２１年度分（ネットワーク敷設）" xfId="3653" xr:uid="{00000000-0005-0000-0000-0000030E0000}"/>
    <cellStyle name="_【最新】導入明細表（自動機監視)(09.07.16)_【20090724】千里導入明細資料_２１年度分（９月工事分）_【20091207】千里導入明細資料_２１年度分（ネットワーク敷設） 2" xfId="3654" xr:uid="{00000000-0005-0000-0000-0000040E0000}"/>
    <cellStyle name="_【最新】導入明細表（自動機監視)(09.07.16)_【20090724】千里導入明細資料_２１年度分（９月工事分）_【20091207】千里導入明細資料_２１年度分（ネットワーク敷設）_【20091218】千里導入明細資料_２１年度分（ネットワーク敷設）" xfId="3655" xr:uid="{00000000-0005-0000-0000-0000050E0000}"/>
    <cellStyle name="_【最新】導入明細表（自動機監視)(09.07.16)_【20090724】千里導入明細資料_２１年度分（９月工事分）_【20091207】千里導入明細資料_２１年度分（ネットワーク敷設）_【20091218】千里導入明細資料_２１年度分（ネットワーク敷設） 2" xfId="3656" xr:uid="{00000000-0005-0000-0000-0000060E0000}"/>
    <cellStyle name="_【最新】導入明細表（自動機監視)(09.07.16)_【20090724】千里導入明細資料_２１年度分（９月工事分）_【20091207】千里導入明細資料_２１年度分（ネットワーク敷設）_【20091218】千里導入明細資料_２１年度分（ネットワーク敷設）_Ⅹ_課題と対応策_20121211" xfId="3657" xr:uid="{00000000-0005-0000-0000-0000070E0000}"/>
    <cellStyle name="_【最新】導入明細表（自動機監視)(09.07.16)_【20090724】千里導入明細資料_２１年度分（９月工事分）_【20091207】千里導入明細資料_２１年度分（ネットワーク敷設）_【20091218】千里導入明細資料_２１年度分（ネットワーク敷設）_Ⅹ_課題と対応策_20121211 2" xfId="3658" xr:uid="{00000000-0005-0000-0000-0000080E0000}"/>
    <cellStyle name="_【最新】導入明細表（自動機監視)(09.07.16)_【20090724】千里導入明細資料_２１年度分（９月工事分）_【20091207】千里導入明細資料_２１年度分（ネットワーク敷設）_Ⅹ_課題と対応策_20121211" xfId="3659" xr:uid="{00000000-0005-0000-0000-0000090E0000}"/>
    <cellStyle name="_【最新】導入明細表（自動機監視)(09.07.16)_【20090724】千里導入明細資料_２１年度分（９月工事分）_【20091207】千里導入明細資料_２１年度分（ネットワーク敷設）_Ⅹ_課題と対応策_20121211 2" xfId="3660" xr:uid="{00000000-0005-0000-0000-00000A0E0000}"/>
    <cellStyle name="_【最新】導入明細表（自動機監視)(09.07.16)_【20090724】千里導入明細資料_２１年度分（９月工事分）_【20091207】千里導入明細資料_２１年度分（ネットワーク敷設）_千里導入明細資料_２２年度分（ネットワーク敷設）_fj" xfId="3661" xr:uid="{00000000-0005-0000-0000-00000B0E0000}"/>
    <cellStyle name="_【最新】導入明細表（自動機監視)(09.07.16)_【20090724】千里導入明細資料_２１年度分（９月工事分）_【20091207】千里導入明細資料_２１年度分（ネットワーク敷設）_千里導入明細資料_２２年度分（ネットワーク敷設）_fj 2" xfId="3662" xr:uid="{00000000-0005-0000-0000-00000C0E0000}"/>
    <cellStyle name="_【最新】導入明細表（自動機監視)(09.07.16)_【20090724】千里導入明細資料_２１年度分（９月工事分）_【20091207】千里導入明細資料_２１年度分（ネットワーク敷設）_千里導入明細資料_２２年度分（ネットワーク敷設）_fj_Ⅹ_課題と対応策_20121211" xfId="3663" xr:uid="{00000000-0005-0000-0000-00000D0E0000}"/>
    <cellStyle name="_【最新】導入明細表（自動機監視)(09.07.16)_【20090724】千里導入明細資料_２１年度分（９月工事分）_【20091207】千里導入明細資料_２１年度分（ネットワーク敷設）_千里導入明細資料_２２年度分（ネットワーク敷設）_fj_Ⅹ_課題と対応策_20121211 2" xfId="3664" xr:uid="{00000000-0005-0000-0000-00000E0E0000}"/>
    <cellStyle name="_【最新】導入明細表（自動機監視)(09.07.16)_【20090724】千里導入明細資料_２１年度分（９月工事分）_【20091225】千里導入明細資料_２２年度上期分（営業店ＡＰ－ＤＢ）" xfId="3665" xr:uid="{00000000-0005-0000-0000-00000F0E0000}"/>
    <cellStyle name="_【最新】導入明細表（自動機監視)(09.07.16)_【20090724】千里導入明細資料_２１年度分（９月工事分）_【20091225】千里導入明細資料_２２年度上期分（営業店ＡＰ－ＤＢ） 2" xfId="3666" xr:uid="{00000000-0005-0000-0000-0000100E0000}"/>
    <cellStyle name="_【最新】導入明細表（自動機監視)(09.07.16)_【20090724】千里導入明細資料_２１年度分（９月工事分）_【20091225】千里導入明細資料_２２年度上期分（営業店ＡＰ－ＤＢ）_【調整中】千里導入明細資料_２２年度上期分_fj_20100127" xfId="3667" xr:uid="{00000000-0005-0000-0000-0000110E0000}"/>
    <cellStyle name="_【最新】導入明細表（自動機監視)(09.07.16)_【20090724】千里導入明細資料_２１年度分（９月工事分）_【20091225】千里導入明細資料_２２年度上期分（営業店ＡＰ－ＤＢ）_【調整中】千里導入明細資料_２２年度上期分_fj_20100127 2" xfId="3668" xr:uid="{00000000-0005-0000-0000-0000120E0000}"/>
    <cellStyle name="_【最新】導入明細表（自動機監視)(09.07.16)_【20090724】千里導入明細資料_２１年度分（９月工事分）_【20091225】千里導入明細資料_２２年度上期分（営業店ＡＰ－ＤＢ）_【調整中】千里導入明細資料_２２年度上期分_fj_20100127_Ⅹ_課題と対応策_20121211" xfId="3669" xr:uid="{00000000-0005-0000-0000-0000130E0000}"/>
    <cellStyle name="_【最新】導入明細表（自動機監視)(09.07.16)_【20090724】千里導入明細資料_２１年度分（９月工事分）_【20091225】千里導入明細資料_２２年度上期分（営業店ＡＰ－ＤＢ）_【調整中】千里導入明細資料_２２年度上期分_fj_20100127_Ⅹ_課題と対応策_20121211 2" xfId="3670" xr:uid="{00000000-0005-0000-0000-0000140E0000}"/>
    <cellStyle name="_【最新】導入明細表（自動機監視)(09.07.16)_【20090724】千里導入明細資料_２１年度分（９月工事分）_【20091225】千里導入明細資料_２２年度上期分（営業店ＡＰ－ＤＢ）_Ⅹ_課題と対応策_20121211" xfId="3671" xr:uid="{00000000-0005-0000-0000-0000150E0000}"/>
    <cellStyle name="_【最新】導入明細表（自動機監視)(09.07.16)_【20090724】千里導入明細資料_２１年度分（９月工事分）_【20091225】千里導入明細資料_２２年度上期分（営業店ＡＰ－ＤＢ）_Ⅹ_課題と対応策_20121211 2" xfId="3672" xr:uid="{00000000-0005-0000-0000-0000160E0000}"/>
    <cellStyle name="_【最新】導入明細表（自動機監視)(09.07.16)_【20090724】千里導入明細資料_２１年度分（９月工事分）_【20091225】千里導入明細資料_２２年度上期分_営業店DB" xfId="3673" xr:uid="{00000000-0005-0000-0000-0000170E0000}"/>
    <cellStyle name="_【最新】導入明細表（自動機監視)(09.07.16)_【20090724】千里導入明細資料_２１年度分（９月工事分）_【20091225】千里導入明細資料_２２年度上期分_営業店DB 2" xfId="3674" xr:uid="{00000000-0005-0000-0000-0000180E0000}"/>
    <cellStyle name="_【最新】導入明細表（自動機監視)(09.07.16)_【20090724】千里導入明細資料_２１年度分（９月工事分）_【20091225】千里導入明細資料_２２年度上期分_営業店DB_【調整中】千里導入明細資料_２２年度上期分_fj_20100127" xfId="3675" xr:uid="{00000000-0005-0000-0000-0000190E0000}"/>
    <cellStyle name="_【最新】導入明細表（自動機監視)(09.07.16)_【20090724】千里導入明細資料_２１年度分（９月工事分）_【20091225】千里導入明細資料_２２年度上期分_営業店DB_【調整中】千里導入明細資料_２２年度上期分_fj_20100127 2" xfId="3676" xr:uid="{00000000-0005-0000-0000-00001A0E0000}"/>
    <cellStyle name="_【最新】導入明細表（自動機監視)(09.07.16)_【20090724】千里導入明細資料_２１年度分（９月工事分）_【20091225】千里導入明細資料_２２年度上期分_営業店DB_【調整中】千里導入明細資料_２２年度上期分_fj_20100127_Ⅹ_課題と対応策_20121211" xfId="3677" xr:uid="{00000000-0005-0000-0000-00001B0E0000}"/>
    <cellStyle name="_【最新】導入明細表（自動機監視)(09.07.16)_【20090724】千里導入明細資料_２１年度分（９月工事分）_【20091225】千里導入明細資料_２２年度上期分_営業店DB_【調整中】千里導入明細資料_２２年度上期分_fj_20100127_Ⅹ_課題と対応策_20121211 2" xfId="3678" xr:uid="{00000000-0005-0000-0000-00001C0E0000}"/>
    <cellStyle name="_【最新】導入明細表（自動機監視)(09.07.16)_【20090724】千里導入明細資料_２１年度分（９月工事分）_【20091225】千里導入明細資料_２２年度上期分_営業店DB_Ⅹ_課題と対応策_20121211" xfId="3679" xr:uid="{00000000-0005-0000-0000-00001D0E0000}"/>
    <cellStyle name="_【最新】導入明細表（自動機監視)(09.07.16)_【20090724】千里導入明細資料_２１年度分（９月工事分）_【20091225】千里導入明細資料_２２年度上期分_営業店DB_Ⅹ_課題と対応策_20121211 2" xfId="3680" xr:uid="{00000000-0005-0000-0000-00001E0E0000}"/>
    <cellStyle name="_【最新】導入明細表（自動機監視)(09.07.16)_【20090724】千里導入明細資料_２１年度分（９月工事分）_【20091225】千里導入明細資料_２２年度上期分_連携DB" xfId="3681" xr:uid="{00000000-0005-0000-0000-00001F0E0000}"/>
    <cellStyle name="_【最新】導入明細表（自動機監視)(09.07.16)_【20090724】千里導入明細資料_２１年度分（９月工事分）_【20091225】千里導入明細資料_２２年度上期分_連携DB 2" xfId="3682" xr:uid="{00000000-0005-0000-0000-0000200E0000}"/>
    <cellStyle name="_【最新】導入明細表（自動機監視)(09.07.16)_【20090724】千里導入明細資料_２１年度分（９月工事分）_【20091225】千里導入明細資料_２２年度上期分_連携DB_【調整中】千里導入明細資料_２２年度上期分_fj_20100127" xfId="3683" xr:uid="{00000000-0005-0000-0000-0000210E0000}"/>
    <cellStyle name="_【最新】導入明細表（自動機監視)(09.07.16)_【20090724】千里導入明細資料_２１年度分（９月工事分）_【20091225】千里導入明細資料_２２年度上期分_連携DB_【調整中】千里導入明細資料_２２年度上期分_fj_20100127 2" xfId="3684" xr:uid="{00000000-0005-0000-0000-0000220E0000}"/>
    <cellStyle name="_【最新】導入明細表（自動機監視)(09.07.16)_【20090724】千里導入明細資料_２１年度分（９月工事分）_【20091225】千里導入明細資料_２２年度上期分_連携DB_【調整中】千里導入明細資料_２２年度上期分_fj_20100127_Ⅹ_課題と対応策_20121211" xfId="3685" xr:uid="{00000000-0005-0000-0000-0000230E0000}"/>
    <cellStyle name="_【最新】導入明細表（自動機監視)(09.07.16)_【20090724】千里導入明細資料_２１年度分（９月工事分）_【20091225】千里導入明細資料_２２年度上期分_連携DB_【調整中】千里導入明細資料_２２年度上期分_fj_20100127_Ⅹ_課題と対応策_20121211 2" xfId="3686" xr:uid="{00000000-0005-0000-0000-0000240E0000}"/>
    <cellStyle name="_【最新】導入明細表（自動機監視)(09.07.16)_【20090724】千里導入明細資料_２１年度分（９月工事分）_【20091225】千里導入明細資料_２２年度上期分_連携DB_Ⅹ_課題と対応策_20121211" xfId="3687" xr:uid="{00000000-0005-0000-0000-0000250E0000}"/>
    <cellStyle name="_【最新】導入明細表（自動機監視)(09.07.16)_【20090724】千里導入明細資料_２１年度分（９月工事分）_【20091225】千里導入明細資料_２２年度上期分_連携DB_Ⅹ_課題と対応策_20121211 2" xfId="3688" xr:uid="{00000000-0005-0000-0000-0000260E0000}"/>
    <cellStyle name="_【最新】導入明細表（自動機監視)(09.07.16)_【20090724】千里導入明細資料_２１年度分（９月工事分）_【作成中】千里センター機器配置図（2010年対応分）_20091221" xfId="3689" xr:uid="{00000000-0005-0000-0000-0000270E0000}"/>
    <cellStyle name="_【最新】導入明細表（自動機監視)(09.07.16)_【20090724】千里導入明細資料_２１年度分（９月工事分）_【作成中】千里センター機器配置図（2010年対応分）_20091221 2" xfId="3690" xr:uid="{00000000-0005-0000-0000-0000280E0000}"/>
    <cellStyle name="_【最新】導入明細表（自動機監視)(09.07.16)_【20090724】千里導入明細資料_２１年度分（９月工事分）_【作成中】千里センター機器配置図（2010年対応分）_20091221_【調整中】千里導入明細資料_２２年度上期分_fj_20100127" xfId="3691" xr:uid="{00000000-0005-0000-0000-0000290E0000}"/>
    <cellStyle name="_【最新】導入明細表（自動機監視)(09.07.16)_【20090724】千里導入明細資料_２１年度分（９月工事分）_【作成中】千里センター機器配置図（2010年対応分）_20091221_【調整中】千里導入明細資料_２２年度上期分_fj_20100127 2" xfId="3692" xr:uid="{00000000-0005-0000-0000-00002A0E0000}"/>
    <cellStyle name="_【最新】導入明細表（自動機監視)(09.07.16)_【20090724】千里導入明細資料_２１年度分（９月工事分）_【作成中】千里センター機器配置図（2010年対応分）_20091221_【調整中】千里導入明細資料_２２年度上期分_fj_20100127_Ⅹ_課題と対応策_20121211" xfId="3693" xr:uid="{00000000-0005-0000-0000-00002B0E0000}"/>
    <cellStyle name="_【最新】導入明細表（自動機監視)(09.07.16)_【20090724】千里導入明細資料_２１年度分（９月工事分）_【作成中】千里センター機器配置図（2010年対応分）_20091221_【調整中】千里導入明細資料_２２年度上期分_fj_20100127_Ⅹ_課題と対応策_20121211 2" xfId="3694" xr:uid="{00000000-0005-0000-0000-00002C0E0000}"/>
    <cellStyle name="_【最新】導入明細表（自動機監視)(09.07.16)_【20090724】千里導入明細資料_２１年度分（９月工事分）_【作成中】千里センター機器配置図（2010年対応分）_20091221_Ⅹ_課題と対応策_20121211" xfId="3695" xr:uid="{00000000-0005-0000-0000-00002D0E0000}"/>
    <cellStyle name="_【最新】導入明細表（自動機監視)(09.07.16)_【20090724】千里導入明細資料_２１年度分（９月工事分）_【作成中】千里センター機器配置図（2010年対応分）_20091221_Ⅹ_課題と対応策_20121211 2" xfId="3696" xr:uid="{00000000-0005-0000-0000-00002E0E0000}"/>
    <cellStyle name="_【最新】導入明細表（自動機監視)(09.07.16)_【20090724】千里導入明細資料_２１年度分（９月工事分）_Ⅹ_課題と対応策_20121211" xfId="3697" xr:uid="{00000000-0005-0000-0000-00002F0E0000}"/>
    <cellStyle name="_【最新】導入明細表（自動機監視)(09.07.16)_【20090724】千里導入明細資料_２１年度分（９月工事分）_Ⅹ_課題と対応策_20121211 2" xfId="3698" xr:uid="{00000000-0005-0000-0000-0000300E0000}"/>
    <cellStyle name="_【最新】導入明細表（自動機監視)(09.07.16)_【20090731】千里導入明細資料_２１年度分（９月工事分）" xfId="3699" xr:uid="{00000000-0005-0000-0000-0000310E0000}"/>
    <cellStyle name="_【最新】導入明細表（自動機監視)(09.07.16)_【20090731】千里導入明細資料_２１年度分（９月工事分） 2" xfId="3700" xr:uid="{00000000-0005-0000-0000-0000320E0000}"/>
    <cellStyle name="_【最新】導入明細表（自動機監視)(09.07.16)_【20090731】千里導入明細資料_２１年度分（９月工事分）_【20090821】千里ラック搭載図（NW機器）" xfId="3701" xr:uid="{00000000-0005-0000-0000-0000330E0000}"/>
    <cellStyle name="_【最新】導入明細表（自動機監視)(09.07.16)_【20090731】千里導入明細資料_２１年度分（９月工事分）_【20090821】千里ラック搭載図（NW機器） 2" xfId="3702" xr:uid="{00000000-0005-0000-0000-0000340E0000}"/>
    <cellStyle name="_【最新】導入明細表（自動機監視)(09.07.16)_【20090731】千里導入明細資料_２１年度分（９月工事分）_【20090821】千里ラック搭載図（NW機器）_Ⅹ_課題と対応策_20121211" xfId="3703" xr:uid="{00000000-0005-0000-0000-0000350E0000}"/>
    <cellStyle name="_【最新】導入明細表（自動機監視)(09.07.16)_【20090731】千里導入明細資料_２１年度分（９月工事分）_【20090821】千里ラック搭載図（NW機器）_Ⅹ_課題と対応策_20121211 2" xfId="3704" xr:uid="{00000000-0005-0000-0000-0000360E0000}"/>
    <cellStyle name="_【最新】導入明細表（自動機監視)(09.07.16)_【20090731】千里導入明細資料_２１年度分（９月工事分）_Ⅹ_課題と対応策_20121211" xfId="3705" xr:uid="{00000000-0005-0000-0000-0000370E0000}"/>
    <cellStyle name="_【最新】導入明細表（自動機監視)(09.07.16)_【20090731】千里導入明細資料_２１年度分（９月工事分）_Ⅹ_課題と対応策_20121211 2" xfId="3706" xr:uid="{00000000-0005-0000-0000-0000380E0000}"/>
    <cellStyle name="_【最新】導入明細表（自動機監視)(09.07.16)_【20090807】千里導入明細資料" xfId="3707" xr:uid="{00000000-0005-0000-0000-0000390E0000}"/>
    <cellStyle name="_【最新】導入明細表（自動機監視)(09.07.16)_【20090807】千里導入明細資料 2" xfId="3708" xr:uid="{00000000-0005-0000-0000-00003A0E0000}"/>
    <cellStyle name="_【最新】導入明細表（自動機監視)(09.07.16)_【20090807】千里導入明細資料_【20091207】千里導入明細資料_２１年度分（ネットワーク敷設）" xfId="3709" xr:uid="{00000000-0005-0000-0000-00003B0E0000}"/>
    <cellStyle name="_【最新】導入明細表（自動機監視)(09.07.16)_【20090807】千里導入明細資料_【20091207】千里導入明細資料_２１年度分（ネットワーク敷設） 2" xfId="3710" xr:uid="{00000000-0005-0000-0000-00003C0E0000}"/>
    <cellStyle name="_【最新】導入明細表（自動機監視)(09.07.16)_【20090807】千里導入明細資料_【20091207】千里導入明細資料_２１年度分（ネットワーク敷設）_【20091218】千里導入明細資料_２１年度分（ネットワーク敷設）" xfId="3711" xr:uid="{00000000-0005-0000-0000-00003D0E0000}"/>
    <cellStyle name="_【最新】導入明細表（自動機監視)(09.07.16)_【20090807】千里導入明細資料_【20091207】千里導入明細資料_２１年度分（ネットワーク敷設）_【20091218】千里導入明細資料_２１年度分（ネットワーク敷設） 2" xfId="3712" xr:uid="{00000000-0005-0000-0000-00003E0E0000}"/>
    <cellStyle name="_【最新】導入明細表（自動機監視)(09.07.16)_【20090807】千里導入明細資料_【20091207】千里導入明細資料_２１年度分（ネットワーク敷設）_【20091218】千里導入明細資料_２１年度分（ネットワーク敷設）_Ⅹ_課題と対応策_20121211" xfId="3713" xr:uid="{00000000-0005-0000-0000-00003F0E0000}"/>
    <cellStyle name="_【最新】導入明細表（自動機監視)(09.07.16)_【20090807】千里導入明細資料_【20091207】千里導入明細資料_２１年度分（ネットワーク敷設）_【20091218】千里導入明細資料_２１年度分（ネットワーク敷設）_Ⅹ_課題と対応策_20121211 2" xfId="3714" xr:uid="{00000000-0005-0000-0000-0000400E0000}"/>
    <cellStyle name="_【最新】導入明細表（自動機監視)(09.07.16)_【20090807】千里導入明細資料_【20091207】千里導入明細資料_２１年度分（ネットワーク敷設）_Ⅹ_課題と対応策_20121211" xfId="3715" xr:uid="{00000000-0005-0000-0000-0000410E0000}"/>
    <cellStyle name="_【最新】導入明細表（自動機監視)(09.07.16)_【20090807】千里導入明細資料_【20091207】千里導入明細資料_２１年度分（ネットワーク敷設）_Ⅹ_課題と対応策_20121211 2" xfId="3716" xr:uid="{00000000-0005-0000-0000-0000420E0000}"/>
    <cellStyle name="_【最新】導入明細表（自動機監視)(09.07.16)_【20090807】千里導入明細資料_【20091207】千里導入明細資料_２１年度分（ネットワーク敷設）_千里導入明細資料_２２年度分（ネットワーク敷設）_fj" xfId="3717" xr:uid="{00000000-0005-0000-0000-0000430E0000}"/>
    <cellStyle name="_【最新】導入明細表（自動機監視)(09.07.16)_【20090807】千里導入明細資料_【20091207】千里導入明細資料_２１年度分（ネットワーク敷設）_千里導入明細資料_２２年度分（ネットワーク敷設）_fj 2" xfId="3718" xr:uid="{00000000-0005-0000-0000-0000440E0000}"/>
    <cellStyle name="_【最新】導入明細表（自動機監視)(09.07.16)_【20090807】千里導入明細資料_【20091207】千里導入明細資料_２１年度分（ネットワーク敷設）_千里導入明細資料_２２年度分（ネットワーク敷設）_fj_Ⅹ_課題と対応策_20121211" xfId="3719" xr:uid="{00000000-0005-0000-0000-0000450E0000}"/>
    <cellStyle name="_【最新】導入明細表（自動機監視)(09.07.16)_【20090807】千里導入明細資料_【20091207】千里導入明細資料_２１年度分（ネットワーク敷設）_千里導入明細資料_２２年度分（ネットワーク敷設）_fj_Ⅹ_課題と対応策_20121211 2" xfId="3720" xr:uid="{00000000-0005-0000-0000-0000460E0000}"/>
    <cellStyle name="_【最新】導入明細表（自動機監視)(09.07.16)_【20090807】千里導入明細資料_【20091225】千里導入明細資料_２２年度上期分（営業店ＡＰ－ＤＢ）" xfId="3721" xr:uid="{00000000-0005-0000-0000-0000470E0000}"/>
    <cellStyle name="_【最新】導入明細表（自動機監視)(09.07.16)_【20090807】千里導入明細資料_【20091225】千里導入明細資料_２２年度上期分（営業店ＡＰ－ＤＢ） 2" xfId="3722" xr:uid="{00000000-0005-0000-0000-0000480E0000}"/>
    <cellStyle name="_【最新】導入明細表（自動機監視)(09.07.16)_【20090807】千里導入明細資料_【20091225】千里導入明細資料_２２年度上期分（営業店ＡＰ－ＤＢ）_【調整中】千里導入明細資料_２２年度上期分_fj_20100127" xfId="3723" xr:uid="{00000000-0005-0000-0000-0000490E0000}"/>
    <cellStyle name="_【最新】導入明細表（自動機監視)(09.07.16)_【20090807】千里導入明細資料_【20091225】千里導入明細資料_２２年度上期分（営業店ＡＰ－ＤＢ）_【調整中】千里導入明細資料_２２年度上期分_fj_20100127 2" xfId="3724" xr:uid="{00000000-0005-0000-0000-00004A0E0000}"/>
    <cellStyle name="_【最新】導入明細表（自動機監視)(09.07.16)_【20090807】千里導入明細資料_【20091225】千里導入明細資料_２２年度上期分（営業店ＡＰ－ＤＢ）_【調整中】千里導入明細資料_２２年度上期分_fj_20100127_Ⅹ_課題と対応策_20121211" xfId="3725" xr:uid="{00000000-0005-0000-0000-00004B0E0000}"/>
    <cellStyle name="_【最新】導入明細表（自動機監視)(09.07.16)_【20090807】千里導入明細資料_【20091225】千里導入明細資料_２２年度上期分（営業店ＡＰ－ＤＢ）_【調整中】千里導入明細資料_２２年度上期分_fj_20100127_Ⅹ_課題と対応策_20121211 2" xfId="3726" xr:uid="{00000000-0005-0000-0000-00004C0E0000}"/>
    <cellStyle name="_【最新】導入明細表（自動機監視)(09.07.16)_【20090807】千里導入明細資料_【20091225】千里導入明細資料_２２年度上期分（営業店ＡＰ－ＤＢ）_Ⅹ_課題と対応策_20121211" xfId="3727" xr:uid="{00000000-0005-0000-0000-00004D0E0000}"/>
    <cellStyle name="_【最新】導入明細表（自動機監視)(09.07.16)_【20090807】千里導入明細資料_【20091225】千里導入明細資料_２２年度上期分（営業店ＡＰ－ＤＢ）_Ⅹ_課題と対応策_20121211 2" xfId="3728" xr:uid="{00000000-0005-0000-0000-00004E0E0000}"/>
    <cellStyle name="_【最新】導入明細表（自動機監視)(09.07.16)_【20090807】千里導入明細資料_【20091225】千里導入明細資料_２２年度上期分_営業店DB" xfId="3729" xr:uid="{00000000-0005-0000-0000-00004F0E0000}"/>
    <cellStyle name="_【最新】導入明細表（自動機監視)(09.07.16)_【20090807】千里導入明細資料_【20091225】千里導入明細資料_２２年度上期分_営業店DB 2" xfId="3730" xr:uid="{00000000-0005-0000-0000-0000500E0000}"/>
    <cellStyle name="_【最新】導入明細表（自動機監視)(09.07.16)_【20090807】千里導入明細資料_【20091225】千里導入明細資料_２２年度上期分_営業店DB_【調整中】千里導入明細資料_２２年度上期分_fj_20100127" xfId="3731" xr:uid="{00000000-0005-0000-0000-0000510E0000}"/>
    <cellStyle name="_【最新】導入明細表（自動機監視)(09.07.16)_【20090807】千里導入明細資料_【20091225】千里導入明細資料_２２年度上期分_営業店DB_【調整中】千里導入明細資料_２２年度上期分_fj_20100127 2" xfId="3732" xr:uid="{00000000-0005-0000-0000-0000520E0000}"/>
    <cellStyle name="_【最新】導入明細表（自動機監視)(09.07.16)_【20090807】千里導入明細資料_【20091225】千里導入明細資料_２２年度上期分_営業店DB_【調整中】千里導入明細資料_２２年度上期分_fj_20100127_Ⅹ_課題と対応策_20121211" xfId="3733" xr:uid="{00000000-0005-0000-0000-0000530E0000}"/>
    <cellStyle name="_【最新】導入明細表（自動機監視)(09.07.16)_【20090807】千里導入明細資料_【20091225】千里導入明細資料_２２年度上期分_営業店DB_【調整中】千里導入明細資料_２２年度上期分_fj_20100127_Ⅹ_課題と対応策_20121211 2" xfId="3734" xr:uid="{00000000-0005-0000-0000-0000540E0000}"/>
    <cellStyle name="_【最新】導入明細表（自動機監視)(09.07.16)_【20090807】千里導入明細資料_【20091225】千里導入明細資料_２２年度上期分_営業店DB_Ⅹ_課題と対応策_20121211" xfId="3735" xr:uid="{00000000-0005-0000-0000-0000550E0000}"/>
    <cellStyle name="_【最新】導入明細表（自動機監視)(09.07.16)_【20090807】千里導入明細資料_【20091225】千里導入明細資料_２２年度上期分_営業店DB_Ⅹ_課題と対応策_20121211 2" xfId="3736" xr:uid="{00000000-0005-0000-0000-0000560E0000}"/>
    <cellStyle name="_【最新】導入明細表（自動機監視)(09.07.16)_【20090807】千里導入明細資料_【20091225】千里導入明細資料_２２年度上期分_連携DB" xfId="3737" xr:uid="{00000000-0005-0000-0000-0000570E0000}"/>
    <cellStyle name="_【最新】導入明細表（自動機監視)(09.07.16)_【20090807】千里導入明細資料_【20091225】千里導入明細資料_２２年度上期分_連携DB 2" xfId="3738" xr:uid="{00000000-0005-0000-0000-0000580E0000}"/>
    <cellStyle name="_【最新】導入明細表（自動機監視)(09.07.16)_【20090807】千里導入明細資料_【20091225】千里導入明細資料_２２年度上期分_連携DB_【調整中】千里導入明細資料_２２年度上期分_fj_20100127" xfId="3739" xr:uid="{00000000-0005-0000-0000-0000590E0000}"/>
    <cellStyle name="_【最新】導入明細表（自動機監視)(09.07.16)_【20090807】千里導入明細資料_【20091225】千里導入明細資料_２２年度上期分_連携DB_【調整中】千里導入明細資料_２２年度上期分_fj_20100127 2" xfId="3740" xr:uid="{00000000-0005-0000-0000-00005A0E0000}"/>
    <cellStyle name="_【最新】導入明細表（自動機監視)(09.07.16)_【20090807】千里導入明細資料_【20091225】千里導入明細資料_２２年度上期分_連携DB_【調整中】千里導入明細資料_２２年度上期分_fj_20100127_Ⅹ_課題と対応策_20121211" xfId="3741" xr:uid="{00000000-0005-0000-0000-00005B0E0000}"/>
    <cellStyle name="_【最新】導入明細表（自動機監視)(09.07.16)_【20090807】千里導入明細資料_【20091225】千里導入明細資料_２２年度上期分_連携DB_【調整中】千里導入明細資料_２２年度上期分_fj_20100127_Ⅹ_課題と対応策_20121211 2" xfId="3742" xr:uid="{00000000-0005-0000-0000-00005C0E0000}"/>
    <cellStyle name="_【最新】導入明細表（自動機監視)(09.07.16)_【20090807】千里導入明細資料_【20091225】千里導入明細資料_２２年度上期分_連携DB_Ⅹ_課題と対応策_20121211" xfId="3743" xr:uid="{00000000-0005-0000-0000-00005D0E0000}"/>
    <cellStyle name="_【最新】導入明細表（自動機監視)(09.07.16)_【20090807】千里導入明細資料_【20091225】千里導入明細資料_２２年度上期分_連携DB_Ⅹ_課題と対応策_20121211 2" xfId="3744" xr:uid="{00000000-0005-0000-0000-00005E0E0000}"/>
    <cellStyle name="_【最新】導入明細表（自動機監視)(09.07.16)_【20090807】千里導入明細資料_【作成中】千里センター機器配置図（2010年対応分）_20091221" xfId="3745" xr:uid="{00000000-0005-0000-0000-00005F0E0000}"/>
    <cellStyle name="_【最新】導入明細表（自動機監視)(09.07.16)_【20090807】千里導入明細資料_【作成中】千里センター機器配置図（2010年対応分）_20091221 2" xfId="3746" xr:uid="{00000000-0005-0000-0000-0000600E0000}"/>
    <cellStyle name="_【最新】導入明細表（自動機監視)(09.07.16)_【20090807】千里導入明細資料_【作成中】千里センター機器配置図（2010年対応分）_20091221_【調整中】千里導入明細資料_２２年度上期分_fj_20100127" xfId="3747" xr:uid="{00000000-0005-0000-0000-0000610E0000}"/>
    <cellStyle name="_【最新】導入明細表（自動機監視)(09.07.16)_【20090807】千里導入明細資料_【作成中】千里センター機器配置図（2010年対応分）_20091221_【調整中】千里導入明細資料_２２年度上期分_fj_20100127 2" xfId="3748" xr:uid="{00000000-0005-0000-0000-0000620E0000}"/>
    <cellStyle name="_【最新】導入明細表（自動機監視)(09.07.16)_【20090807】千里導入明細資料_【作成中】千里センター機器配置図（2010年対応分）_20091221_【調整中】千里導入明細資料_２２年度上期分_fj_20100127_Ⅹ_課題と対応策_20121211" xfId="3749" xr:uid="{00000000-0005-0000-0000-0000630E0000}"/>
    <cellStyle name="_【最新】導入明細表（自動機監視)(09.07.16)_【20090807】千里導入明細資料_【作成中】千里センター機器配置図（2010年対応分）_20091221_【調整中】千里導入明細資料_２２年度上期分_fj_20100127_Ⅹ_課題と対応策_20121211 2" xfId="3750" xr:uid="{00000000-0005-0000-0000-0000640E0000}"/>
    <cellStyle name="_【最新】導入明細表（自動機監視)(09.07.16)_【20090807】千里導入明細資料_【作成中】千里センター機器配置図（2010年対応分）_20091221_Ⅹ_課題と対応策_20121211" xfId="3751" xr:uid="{00000000-0005-0000-0000-0000650E0000}"/>
    <cellStyle name="_【最新】導入明細表（自動機監視)(09.07.16)_【20090807】千里導入明細資料_【作成中】千里センター機器配置図（2010年対応分）_20091221_Ⅹ_課題と対応策_20121211 2" xfId="3752" xr:uid="{00000000-0005-0000-0000-0000660E0000}"/>
    <cellStyle name="_【最新】導入明細表（自動機監視)(09.07.16)_【20090807】千里導入明細資料_Ⅹ_課題と対応策_20121211" xfId="3753" xr:uid="{00000000-0005-0000-0000-0000670E0000}"/>
    <cellStyle name="_【最新】導入明細表（自動機監視)(09.07.16)_【20090807】千里導入明細資料_Ⅹ_課題と対応策_20121211 2" xfId="3754" xr:uid="{00000000-0005-0000-0000-0000680E0000}"/>
    <cellStyle name="_【最新】導入明細表（自動機監視)(09.07.16)_【20090814】千里導入明細資料_SDB追加" xfId="3755" xr:uid="{00000000-0005-0000-0000-0000690E0000}"/>
    <cellStyle name="_【最新】導入明細表（自動機監視)(09.07.16)_【20090814】千里導入明細資料_SDB追加 2" xfId="3756" xr:uid="{00000000-0005-0000-0000-00006A0E0000}"/>
    <cellStyle name="_【最新】導入明細表（自動機監視)(09.07.16)_【20090814】千里導入明細資料_SDB追加_【20091207】千里導入明細資料_２１年度分（ネットワーク敷設）" xfId="3757" xr:uid="{00000000-0005-0000-0000-00006B0E0000}"/>
    <cellStyle name="_【最新】導入明細表（自動機監視)(09.07.16)_【20090814】千里導入明細資料_SDB追加_【20091207】千里導入明細資料_２１年度分（ネットワーク敷設） 2" xfId="3758" xr:uid="{00000000-0005-0000-0000-00006C0E0000}"/>
    <cellStyle name="_【最新】導入明細表（自動機監視)(09.07.16)_【20090814】千里導入明細資料_SDB追加_【20091207】千里導入明細資料_２１年度分（ネットワーク敷設）_【20091218】千里導入明細資料_２１年度分（ネットワーク敷設）" xfId="3759" xr:uid="{00000000-0005-0000-0000-00006D0E0000}"/>
    <cellStyle name="_【最新】導入明細表（自動機監視)(09.07.16)_【20090814】千里導入明細資料_SDB追加_【20091207】千里導入明細資料_２１年度分（ネットワーク敷設）_【20091218】千里導入明細資料_２１年度分（ネットワーク敷設） 2" xfId="3760" xr:uid="{00000000-0005-0000-0000-00006E0E0000}"/>
    <cellStyle name="_【最新】導入明細表（自動機監視)(09.07.16)_【20090814】千里導入明細資料_SDB追加_【20091207】千里導入明細資料_２１年度分（ネットワーク敷設）_【20091218】千里導入明細資料_２１年度分（ネットワーク敷設）_Ⅹ_課題と対応策_20121211" xfId="3761" xr:uid="{00000000-0005-0000-0000-00006F0E0000}"/>
    <cellStyle name="_【最新】導入明細表（自動機監視)(09.07.16)_【20090814】千里導入明細資料_SDB追加_【20091207】千里導入明細資料_２１年度分（ネットワーク敷設）_【20091218】千里導入明細資料_２１年度分（ネットワーク敷設）_Ⅹ_課題と対応策_20121211 2" xfId="3762" xr:uid="{00000000-0005-0000-0000-0000700E0000}"/>
    <cellStyle name="_【最新】導入明細表（自動機監視)(09.07.16)_【20090814】千里導入明細資料_SDB追加_【20091207】千里導入明細資料_２１年度分（ネットワーク敷設）_Ⅹ_課題と対応策_20121211" xfId="3763" xr:uid="{00000000-0005-0000-0000-0000710E0000}"/>
    <cellStyle name="_【最新】導入明細表（自動機監視)(09.07.16)_【20090814】千里導入明細資料_SDB追加_【20091207】千里導入明細資料_２１年度分（ネットワーク敷設）_Ⅹ_課題と対応策_20121211 2" xfId="3764" xr:uid="{00000000-0005-0000-0000-0000720E0000}"/>
    <cellStyle name="_【最新】導入明細表（自動機監視)(09.07.16)_【20090814】千里導入明細資料_SDB追加_【20091207】千里導入明細資料_２１年度分（ネットワーク敷設）_千里導入明細資料_２２年度分（ネットワーク敷設）_fj" xfId="3765" xr:uid="{00000000-0005-0000-0000-0000730E0000}"/>
    <cellStyle name="_【最新】導入明細表（自動機監視)(09.07.16)_【20090814】千里導入明細資料_SDB追加_【20091207】千里導入明細資料_２１年度分（ネットワーク敷設）_千里導入明細資料_２２年度分（ネットワーク敷設）_fj 2" xfId="3766" xr:uid="{00000000-0005-0000-0000-0000740E0000}"/>
    <cellStyle name="_【最新】導入明細表（自動機監視)(09.07.16)_【20090814】千里導入明細資料_SDB追加_【20091207】千里導入明細資料_２１年度分（ネットワーク敷設）_千里導入明細資料_２２年度分（ネットワーク敷設）_fj_Ⅹ_課題と対応策_20121211" xfId="3767" xr:uid="{00000000-0005-0000-0000-0000750E0000}"/>
    <cellStyle name="_【最新】導入明細表（自動機監視)(09.07.16)_【20090814】千里導入明細資料_SDB追加_【20091207】千里導入明細資料_２１年度分（ネットワーク敷設）_千里導入明細資料_２２年度分（ネットワーク敷設）_fj_Ⅹ_課題と対応策_20121211 2" xfId="3768" xr:uid="{00000000-0005-0000-0000-0000760E0000}"/>
    <cellStyle name="_【最新】導入明細表（自動機監視)(09.07.16)_【20090814】千里導入明細資料_SDB追加_【20091225】千里導入明細資料_２２年度上期分（営業店ＡＰ－ＤＢ）" xfId="3769" xr:uid="{00000000-0005-0000-0000-0000770E0000}"/>
    <cellStyle name="_【最新】導入明細表（自動機監視)(09.07.16)_【20090814】千里導入明細資料_SDB追加_【20091225】千里導入明細資料_２２年度上期分（営業店ＡＰ－ＤＢ） 2" xfId="3770" xr:uid="{00000000-0005-0000-0000-0000780E0000}"/>
    <cellStyle name="_【最新】導入明細表（自動機監視)(09.07.16)_【20090814】千里導入明細資料_SDB追加_【20091225】千里導入明細資料_２２年度上期分（営業店ＡＰ－ＤＢ）_【調整中】千里導入明細資料_２２年度上期分_fj_20100127" xfId="3771" xr:uid="{00000000-0005-0000-0000-0000790E0000}"/>
    <cellStyle name="_【最新】導入明細表（自動機監視)(09.07.16)_【20090814】千里導入明細資料_SDB追加_【20091225】千里導入明細資料_２２年度上期分（営業店ＡＰ－ＤＢ）_【調整中】千里導入明細資料_２２年度上期分_fj_20100127 2" xfId="3772" xr:uid="{00000000-0005-0000-0000-00007A0E0000}"/>
    <cellStyle name="_【最新】導入明細表（自動機監視)(09.07.16)_【20090814】千里導入明細資料_SDB追加_【20091225】千里導入明細資料_２２年度上期分（営業店ＡＰ－ＤＢ）_【調整中】千里導入明細資料_２２年度上期分_fj_20100127_Ⅹ_課題と対応策_20121211" xfId="3773" xr:uid="{00000000-0005-0000-0000-00007B0E0000}"/>
    <cellStyle name="_【最新】導入明細表（自動機監視)(09.07.16)_【20090814】千里導入明細資料_SDB追加_【20091225】千里導入明細資料_２２年度上期分（営業店ＡＰ－ＤＢ）_【調整中】千里導入明細資料_２２年度上期分_fj_20100127_Ⅹ_課題と対応策_20121211 2" xfId="3774" xr:uid="{00000000-0005-0000-0000-00007C0E0000}"/>
    <cellStyle name="_【最新】導入明細表（自動機監視)(09.07.16)_【20090814】千里導入明細資料_SDB追加_【20091225】千里導入明細資料_２２年度上期分（営業店ＡＰ－ＤＢ）_Ⅹ_課題と対応策_20121211" xfId="3775" xr:uid="{00000000-0005-0000-0000-00007D0E0000}"/>
    <cellStyle name="_【最新】導入明細表（自動機監視)(09.07.16)_【20090814】千里導入明細資料_SDB追加_【20091225】千里導入明細資料_２２年度上期分（営業店ＡＰ－ＤＢ）_Ⅹ_課題と対応策_20121211 2" xfId="3776" xr:uid="{00000000-0005-0000-0000-00007E0E0000}"/>
    <cellStyle name="_【最新】導入明細表（自動機監視)(09.07.16)_【20090814】千里導入明細資料_SDB追加_【20091225】千里導入明細資料_２２年度上期分_営業店DB" xfId="3777" xr:uid="{00000000-0005-0000-0000-00007F0E0000}"/>
    <cellStyle name="_【最新】導入明細表（自動機監視)(09.07.16)_【20090814】千里導入明細資料_SDB追加_【20091225】千里導入明細資料_２２年度上期分_営業店DB 2" xfId="3778" xr:uid="{00000000-0005-0000-0000-0000800E0000}"/>
    <cellStyle name="_【最新】導入明細表（自動機監視)(09.07.16)_【20090814】千里導入明細資料_SDB追加_【20091225】千里導入明細資料_２２年度上期分_営業店DB_【調整中】千里導入明細資料_２２年度上期分_fj_20100127" xfId="3779" xr:uid="{00000000-0005-0000-0000-0000810E0000}"/>
    <cellStyle name="_【最新】導入明細表（自動機監視)(09.07.16)_【20090814】千里導入明細資料_SDB追加_【20091225】千里導入明細資料_２２年度上期分_営業店DB_【調整中】千里導入明細資料_２２年度上期分_fj_20100127 2" xfId="3780" xr:uid="{00000000-0005-0000-0000-0000820E0000}"/>
    <cellStyle name="_【最新】導入明細表（自動機監視)(09.07.16)_【20090814】千里導入明細資料_SDB追加_【20091225】千里導入明細資料_２２年度上期分_営業店DB_【調整中】千里導入明細資料_２２年度上期分_fj_20100127_Ⅹ_課題と対応策_20121211" xfId="3781" xr:uid="{00000000-0005-0000-0000-0000830E0000}"/>
    <cellStyle name="_【最新】導入明細表（自動機監視)(09.07.16)_【20090814】千里導入明細資料_SDB追加_【20091225】千里導入明細資料_２２年度上期分_営業店DB_【調整中】千里導入明細資料_２２年度上期分_fj_20100127_Ⅹ_課題と対応策_20121211 2" xfId="3782" xr:uid="{00000000-0005-0000-0000-0000840E0000}"/>
    <cellStyle name="_【最新】導入明細表（自動機監視)(09.07.16)_【20090814】千里導入明細資料_SDB追加_【20091225】千里導入明細資料_２２年度上期分_営業店DB_Ⅹ_課題と対応策_20121211" xfId="3783" xr:uid="{00000000-0005-0000-0000-0000850E0000}"/>
    <cellStyle name="_【最新】導入明細表（自動機監視)(09.07.16)_【20090814】千里導入明細資料_SDB追加_【20091225】千里導入明細資料_２２年度上期分_営業店DB_Ⅹ_課題と対応策_20121211 2" xfId="3784" xr:uid="{00000000-0005-0000-0000-0000860E0000}"/>
    <cellStyle name="_【最新】導入明細表（自動機監視)(09.07.16)_【20090814】千里導入明細資料_SDB追加_【20091225】千里導入明細資料_２２年度上期分_連携DB" xfId="3785" xr:uid="{00000000-0005-0000-0000-0000870E0000}"/>
    <cellStyle name="_【最新】導入明細表（自動機監視)(09.07.16)_【20090814】千里導入明細資料_SDB追加_【20091225】千里導入明細資料_２２年度上期分_連携DB 2" xfId="3786" xr:uid="{00000000-0005-0000-0000-0000880E0000}"/>
    <cellStyle name="_【最新】導入明細表（自動機監視)(09.07.16)_【20090814】千里導入明細資料_SDB追加_【20091225】千里導入明細資料_２２年度上期分_連携DB_【調整中】千里導入明細資料_２２年度上期分_fj_20100127" xfId="3787" xr:uid="{00000000-0005-0000-0000-0000890E0000}"/>
    <cellStyle name="_【最新】導入明細表（自動機監視)(09.07.16)_【20090814】千里導入明細資料_SDB追加_【20091225】千里導入明細資料_２２年度上期分_連携DB_【調整中】千里導入明細資料_２２年度上期分_fj_20100127 2" xfId="3788" xr:uid="{00000000-0005-0000-0000-00008A0E0000}"/>
    <cellStyle name="_【最新】導入明細表（自動機監視)(09.07.16)_【20090814】千里導入明細資料_SDB追加_【20091225】千里導入明細資料_２２年度上期分_連携DB_【調整中】千里導入明細資料_２２年度上期分_fj_20100127_Ⅹ_課題と対応策_20121211" xfId="3789" xr:uid="{00000000-0005-0000-0000-00008B0E0000}"/>
    <cellStyle name="_【最新】導入明細表（自動機監視)(09.07.16)_【20090814】千里導入明細資料_SDB追加_【20091225】千里導入明細資料_２２年度上期分_連携DB_【調整中】千里導入明細資料_２２年度上期分_fj_20100127_Ⅹ_課題と対応策_20121211 2" xfId="3790" xr:uid="{00000000-0005-0000-0000-00008C0E0000}"/>
    <cellStyle name="_【最新】導入明細表（自動機監視)(09.07.16)_【20090814】千里導入明細資料_SDB追加_【20091225】千里導入明細資料_２２年度上期分_連携DB_Ⅹ_課題と対応策_20121211" xfId="3791" xr:uid="{00000000-0005-0000-0000-00008D0E0000}"/>
    <cellStyle name="_【最新】導入明細表（自動機監視)(09.07.16)_【20090814】千里導入明細資料_SDB追加_【20091225】千里導入明細資料_２２年度上期分_連携DB_Ⅹ_課題と対応策_20121211 2" xfId="3792" xr:uid="{00000000-0005-0000-0000-00008E0E0000}"/>
    <cellStyle name="_【最新】導入明細表（自動機監視)(09.07.16)_【20090814】千里導入明細資料_SDB追加_【作成中】千里センター機器配置図（2010年対応分）_20091221" xfId="3793" xr:uid="{00000000-0005-0000-0000-00008F0E0000}"/>
    <cellStyle name="_【最新】導入明細表（自動機監視)(09.07.16)_【20090814】千里導入明細資料_SDB追加_【作成中】千里センター機器配置図（2010年対応分）_20091221 2" xfId="3794" xr:uid="{00000000-0005-0000-0000-0000900E0000}"/>
    <cellStyle name="_【最新】導入明細表（自動機監視)(09.07.16)_【20090814】千里導入明細資料_SDB追加_【作成中】千里センター機器配置図（2010年対応分）_20091221_【調整中】千里導入明細資料_２２年度上期分_fj_20100127" xfId="3795" xr:uid="{00000000-0005-0000-0000-0000910E0000}"/>
    <cellStyle name="_【最新】導入明細表（自動機監視)(09.07.16)_【20090814】千里導入明細資料_SDB追加_【作成中】千里センター機器配置図（2010年対応分）_20091221_【調整中】千里導入明細資料_２２年度上期分_fj_20100127 2" xfId="3796" xr:uid="{00000000-0005-0000-0000-0000920E0000}"/>
    <cellStyle name="_【最新】導入明細表（自動機監視)(09.07.16)_【20090814】千里導入明細資料_SDB追加_【作成中】千里センター機器配置図（2010年対応分）_20091221_【調整中】千里導入明細資料_２２年度上期分_fj_20100127_Ⅹ_課題と対応策_20121211" xfId="3797" xr:uid="{00000000-0005-0000-0000-0000930E0000}"/>
    <cellStyle name="_【最新】導入明細表（自動機監視)(09.07.16)_【20090814】千里導入明細資料_SDB追加_【作成中】千里センター機器配置図（2010年対応分）_20091221_【調整中】千里導入明細資料_２２年度上期分_fj_20100127_Ⅹ_課題と対応策_20121211 2" xfId="3798" xr:uid="{00000000-0005-0000-0000-0000940E0000}"/>
    <cellStyle name="_【最新】導入明細表（自動機監視)(09.07.16)_【20090814】千里導入明細資料_SDB追加_【作成中】千里センター機器配置図（2010年対応分）_20091221_Ⅹ_課題と対応策_20121211" xfId="3799" xr:uid="{00000000-0005-0000-0000-0000950E0000}"/>
    <cellStyle name="_【最新】導入明細表（自動機監視)(09.07.16)_【20090814】千里導入明細資料_SDB追加_【作成中】千里センター機器配置図（2010年対応分）_20091221_Ⅹ_課題と対応策_20121211 2" xfId="3800" xr:uid="{00000000-0005-0000-0000-0000960E0000}"/>
    <cellStyle name="_【最新】導入明細表（自動機監視)(09.07.16)_【20090814】千里導入明細資料_SDB追加_Ⅹ_課題と対応策_20121211" xfId="3801" xr:uid="{00000000-0005-0000-0000-0000970E0000}"/>
    <cellStyle name="_【最新】導入明細表（自動機監視)(09.07.16)_【20090814】千里導入明細資料_SDB追加_Ⅹ_課題と対応策_20121211 2" xfId="3802" xr:uid="{00000000-0005-0000-0000-0000980E0000}"/>
    <cellStyle name="_【最新】導入明細表（自動機監視)(09.07.16)_【20090821】千里ラック搭載図（NW機器）" xfId="3803" xr:uid="{00000000-0005-0000-0000-0000990E0000}"/>
    <cellStyle name="_【最新】導入明細表（自動機監視)(09.07.16)_【20090821】千里ラック搭載図（NW機器） 2" xfId="3804" xr:uid="{00000000-0005-0000-0000-00009A0E0000}"/>
    <cellStyle name="_【最新】導入明細表（自動機監視)(09.07.16)_【20090821】千里ラック搭載図（NW機器）_Ⅹ_課題と対応策_20121211" xfId="3805" xr:uid="{00000000-0005-0000-0000-00009B0E0000}"/>
    <cellStyle name="_【最新】導入明細表（自動機監視)(09.07.16)_【20090821】千里ラック搭載図（NW機器）_Ⅹ_課題と対応策_20121211 2" xfId="3806" xr:uid="{00000000-0005-0000-0000-00009C0E0000}"/>
    <cellStyle name="_【最新】導入明細表（自動機監視)(09.07.16)_【20091218】千里導入明細資料_２１年度分（ネットワーク敷設）" xfId="3807" xr:uid="{00000000-0005-0000-0000-00009D0E0000}"/>
    <cellStyle name="_【最新】導入明細表（自動機監視)(09.07.16)_【20091218】千里導入明細資料_２１年度分（ネットワーク敷設） 2" xfId="3808" xr:uid="{00000000-0005-0000-0000-00009E0E0000}"/>
    <cellStyle name="_【最新】導入明細表（自動機監視)(09.07.16)_【20091218】千里導入明細資料_２１年度分（ネットワーク敷設）_Ⅹ_課題と対応策_20121211" xfId="3809" xr:uid="{00000000-0005-0000-0000-00009F0E0000}"/>
    <cellStyle name="_【最新】導入明細表（自動機監視)(09.07.16)_【20091218】千里導入明細資料_２１年度分（ネットワーク敷設）_Ⅹ_課題と対応策_20121211 2" xfId="3810" xr:uid="{00000000-0005-0000-0000-0000A00E0000}"/>
    <cellStyle name="_【最新】導入明細表（自動機監視)(09.07.16)_【20091224】千里導入明細資料_２２年度上期分_営業店DB" xfId="3811" xr:uid="{00000000-0005-0000-0000-0000A10E0000}"/>
    <cellStyle name="_【最新】導入明細表（自動機監視)(09.07.16)_【20091224】千里導入明細資料_２２年度上期分_営業店DB 2" xfId="3812" xr:uid="{00000000-0005-0000-0000-0000A20E0000}"/>
    <cellStyle name="_【最新】導入明細表（自動機監視)(09.07.16)_【20091224】千里導入明細資料_２２年度上期分_営業店DB_【20091225】千里導入明細資料_２２年度上期分（営業店ＡＰ－ＤＢ）" xfId="3813" xr:uid="{00000000-0005-0000-0000-0000A30E0000}"/>
    <cellStyle name="_【最新】導入明細表（自動機監視)(09.07.16)_【20091224】千里導入明細資料_２２年度上期分_営業店DB_【20091225】千里導入明細資料_２２年度上期分（営業店ＡＰ－ＤＢ） 2" xfId="3814" xr:uid="{00000000-0005-0000-0000-0000A40E0000}"/>
    <cellStyle name="_【最新】導入明細表（自動機監視)(09.07.16)_【20091224】千里導入明細資料_２２年度上期分_営業店DB_【20091225】千里導入明細資料_２２年度上期分（営業店ＡＰ－ＤＢ）_【調整中】千里導入明細資料_２２年度上期分_fj_20100127" xfId="3815" xr:uid="{00000000-0005-0000-0000-0000A50E0000}"/>
    <cellStyle name="_【最新】導入明細表（自動機監視)(09.07.16)_【20091224】千里導入明細資料_２２年度上期分_営業店DB_【20091225】千里導入明細資料_２２年度上期分（営業店ＡＰ－ＤＢ）_【調整中】千里導入明細資料_２２年度上期分_fj_20100127 2" xfId="3816" xr:uid="{00000000-0005-0000-0000-0000A60E0000}"/>
    <cellStyle name="_【最新】導入明細表（自動機監視)(09.07.16)_【20091224】千里導入明細資料_２２年度上期分_営業店DB_【20091225】千里導入明細資料_２２年度上期分（営業店ＡＰ－ＤＢ）_【調整中】千里導入明細資料_２２年度上期分_fj_20100127_Ⅹ_課題と対応策_20121211" xfId="3817" xr:uid="{00000000-0005-0000-0000-0000A70E0000}"/>
    <cellStyle name="_【最新】導入明細表（自動機監視)(09.07.16)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3818" xr:uid="{00000000-0005-0000-0000-0000A80E0000}"/>
    <cellStyle name="_【最新】導入明細表（自動機監視)(09.07.16)_【20091224】千里導入明細資料_２２年度上期分_営業店DB_【20091225】千里導入明細資料_２２年度上期分（営業店ＡＰ－ＤＢ）_Ⅹ_課題と対応策_20121211" xfId="3819" xr:uid="{00000000-0005-0000-0000-0000A90E0000}"/>
    <cellStyle name="_【最新】導入明細表（自動機監視)(09.07.16)_【20091224】千里導入明細資料_２２年度上期分_営業店DB_【20091225】千里導入明細資料_２２年度上期分（営業店ＡＰ－ＤＢ）_Ⅹ_課題と対応策_20121211 2" xfId="3820" xr:uid="{00000000-0005-0000-0000-0000AA0E0000}"/>
    <cellStyle name="_【最新】導入明細表（自動機監視)(09.07.16)_【20091224】千里導入明細資料_２２年度上期分_営業店DB_【20091225】千里導入明細資料_２２年度上期分_営業店DB" xfId="3821" xr:uid="{00000000-0005-0000-0000-0000AB0E0000}"/>
    <cellStyle name="_【最新】導入明細表（自動機監視)(09.07.16)_【20091224】千里導入明細資料_２２年度上期分_営業店DB_【20091225】千里導入明細資料_２２年度上期分_営業店DB 2" xfId="3822" xr:uid="{00000000-0005-0000-0000-0000AC0E0000}"/>
    <cellStyle name="_【最新】導入明細表（自動機監視)(09.07.16)_【20091224】千里導入明細資料_２２年度上期分_営業店DB_【20091225】千里導入明細資料_２２年度上期分_営業店DB_【調整中】千里導入明細資料_２２年度上期分_fj_20100127" xfId="3823" xr:uid="{00000000-0005-0000-0000-0000AD0E0000}"/>
    <cellStyle name="_【最新】導入明細表（自動機監視)(09.07.16)_【20091224】千里導入明細資料_２２年度上期分_営業店DB_【20091225】千里導入明細資料_２２年度上期分_営業店DB_【調整中】千里導入明細資料_２２年度上期分_fj_20100127 2" xfId="3824" xr:uid="{00000000-0005-0000-0000-0000AE0E0000}"/>
    <cellStyle name="_【最新】導入明細表（自動機監視)(09.07.16)_【20091224】千里導入明細資料_２２年度上期分_営業店DB_【20091225】千里導入明細資料_２２年度上期分_営業店DB_【調整中】千里導入明細資料_２２年度上期分_fj_20100127_Ⅹ_課題と対応策_20121211" xfId="3825" xr:uid="{00000000-0005-0000-0000-0000AF0E0000}"/>
    <cellStyle name="_【最新】導入明細表（自動機監視)(09.07.16)_【20091224】千里導入明細資料_２２年度上期分_営業店DB_【20091225】千里導入明細資料_２２年度上期分_営業店DB_【調整中】千里導入明細資料_２２年度上期分_fj_20100127_Ⅹ_課題と対応策_20121211 2" xfId="3826" xr:uid="{00000000-0005-0000-0000-0000B00E0000}"/>
    <cellStyle name="_【最新】導入明細表（自動機監視)(09.07.16)_【20091224】千里導入明細資料_２２年度上期分_営業店DB_【20091225】千里導入明細資料_２２年度上期分_営業店DB_Ⅹ_課題と対応策_20121211" xfId="3827" xr:uid="{00000000-0005-0000-0000-0000B10E0000}"/>
    <cellStyle name="_【最新】導入明細表（自動機監視)(09.07.16)_【20091224】千里導入明細資料_２２年度上期分_営業店DB_【20091225】千里導入明細資料_２２年度上期分_営業店DB_Ⅹ_課題と対応策_20121211 2" xfId="3828" xr:uid="{00000000-0005-0000-0000-0000B20E0000}"/>
    <cellStyle name="_【最新】導入明細表（自動機監視)(09.07.16)_【20091224】千里導入明細資料_２２年度上期分_営業店DB_Ⅹ_課題と対応策_20121211" xfId="3829" xr:uid="{00000000-0005-0000-0000-0000B30E0000}"/>
    <cellStyle name="_【最新】導入明細表（自動機監視)(09.07.16)_【20091224】千里導入明細資料_２２年度上期分_営業店DB_Ⅹ_課題と対応策_20121211 2" xfId="3830" xr:uid="{00000000-0005-0000-0000-0000B40E0000}"/>
    <cellStyle name="_【最新】導入明細表（自動機監視)(09.07.16)_【20091225】千里導入明細資料_２２年度上期分" xfId="3831" xr:uid="{00000000-0005-0000-0000-0000B50E0000}"/>
    <cellStyle name="_【最新】導入明細表（自動機監視)(09.07.16)_【20091225】千里導入明細資料_２２年度上期分 2" xfId="3832" xr:uid="{00000000-0005-0000-0000-0000B60E0000}"/>
    <cellStyle name="_【最新】導入明細表（自動機監視)(09.07.16)_【20091225】千里導入明細資料_２２年度上期分_Ⅹ_課題と対応策_20121211" xfId="3833" xr:uid="{00000000-0005-0000-0000-0000B70E0000}"/>
    <cellStyle name="_【最新】導入明細表（自動機監視)(09.07.16)_【20091225】千里導入明細資料_２２年度上期分_Ⅹ_課題と対応策_20121211 2" xfId="3834" xr:uid="{00000000-0005-0000-0000-0000B80E0000}"/>
    <cellStyle name="_【最新】導入明細表（自動機監視)(09.07.16)_【20091225】千里導入明細資料_２２年度上期分_営業店DB" xfId="3835" xr:uid="{00000000-0005-0000-0000-0000B90E0000}"/>
    <cellStyle name="_【最新】導入明細表（自動機監視)(09.07.16)_【20091225】千里導入明細資料_２２年度上期分_営業店DB 2" xfId="3836" xr:uid="{00000000-0005-0000-0000-0000BA0E0000}"/>
    <cellStyle name="_【最新】導入明細表（自動機監視)(09.07.16)_【20091225】千里導入明細資料_２２年度上期分_営業店DB_Ⅹ_課題と対応策_20121211" xfId="3837" xr:uid="{00000000-0005-0000-0000-0000BB0E0000}"/>
    <cellStyle name="_【最新】導入明細表（自動機監視)(09.07.16)_【20091225】千里導入明細資料_２２年度上期分_営業店DB_Ⅹ_課題と対応策_20121211 2" xfId="3838" xr:uid="{00000000-0005-0000-0000-0000BC0E0000}"/>
    <cellStyle name="_【最新】導入明細表（自動機監視)(09.07.16)_【20091225】千里導入明細資料_２２年度上期分_連携DB" xfId="3839" xr:uid="{00000000-0005-0000-0000-0000BD0E0000}"/>
    <cellStyle name="_【最新】導入明細表（自動機監視)(09.07.16)_【20091225】千里導入明細資料_２２年度上期分_連携DB 2" xfId="3840" xr:uid="{00000000-0005-0000-0000-0000BE0E0000}"/>
    <cellStyle name="_【最新】導入明細表（自動機監視)(09.07.16)_【20091225】千里導入明細資料_２２年度上期分_連携DB_Ⅹ_課題と対応策_20121211" xfId="3841" xr:uid="{00000000-0005-0000-0000-0000BF0E0000}"/>
    <cellStyle name="_【最新】導入明細表（自動機監視)(09.07.16)_【20091225】千里導入明細資料_２２年度上期分_連携DB_Ⅹ_課題と対応策_20121211 2" xfId="3842" xr:uid="{00000000-0005-0000-0000-0000C00E0000}"/>
    <cellStyle name="_【最新】導入明細表（自動機監視)(09.07.16)_【200912xx】千里導入明細資料_２２年度上期分" xfId="3843" xr:uid="{00000000-0005-0000-0000-0000C10E0000}"/>
    <cellStyle name="_【最新】導入明細表（自動機監視)(09.07.16)_【200912xx】千里導入明細資料_２２年度上期分 2" xfId="3844" xr:uid="{00000000-0005-0000-0000-0000C20E0000}"/>
    <cellStyle name="_【最新】導入明細表（自動機監視)(09.07.16)_【200912xx】千里導入明細資料_２２年度上期分（為替分）" xfId="3845" xr:uid="{00000000-0005-0000-0000-0000C30E0000}"/>
    <cellStyle name="_【最新】導入明細表（自動機監視)(09.07.16)_【200912xx】千里導入明細資料_２２年度上期分（為替分） 2" xfId="3846" xr:uid="{00000000-0005-0000-0000-0000C40E0000}"/>
    <cellStyle name="_【最新】導入明細表（自動機監視)(09.07.16)_【200912xx】千里導入明細資料_２２年度上期分（為替分）_Ⅹ_課題と対応策_20121211" xfId="3847" xr:uid="{00000000-0005-0000-0000-0000C50E0000}"/>
    <cellStyle name="_【最新】導入明細表（自動機監視)(09.07.16)_【200912xx】千里導入明細資料_２２年度上期分（為替分）_Ⅹ_課題と対応策_20121211 2" xfId="3848" xr:uid="{00000000-0005-0000-0000-0000C60E0000}"/>
    <cellStyle name="_【最新】導入明細表（自動機監視)(09.07.16)_【200912xx】千里導入明細資料_２２年度上期分_【20091225】千里導入明細資料_２２年度上期分（営業店ＡＰ－ＤＢ）" xfId="3849" xr:uid="{00000000-0005-0000-0000-0000C70E0000}"/>
    <cellStyle name="_【最新】導入明細表（自動機監視)(09.07.16)_【200912xx】千里導入明細資料_２２年度上期分_【20091225】千里導入明細資料_２２年度上期分（営業店ＡＰ－ＤＢ） 2" xfId="3850" xr:uid="{00000000-0005-0000-0000-0000C80E0000}"/>
    <cellStyle name="_【最新】導入明細表（自動機監視)(09.07.16)_【200912xx】千里導入明細資料_２２年度上期分_【20091225】千里導入明細資料_２２年度上期分（営業店ＡＰ－ＤＢ）_【調整中】千里導入明細資料_２２年度上期分_fj_20100127" xfId="3851" xr:uid="{00000000-0005-0000-0000-0000C90E0000}"/>
    <cellStyle name="_【最新】導入明細表（自動機監視)(09.07.16)_【200912xx】千里導入明細資料_２２年度上期分_【20091225】千里導入明細資料_２２年度上期分（営業店ＡＰ－ＤＢ）_【調整中】千里導入明細資料_２２年度上期分_fj_20100127 2" xfId="3852" xr:uid="{00000000-0005-0000-0000-0000CA0E0000}"/>
    <cellStyle name="_【最新】導入明細表（自動機監視)(09.07.16)_【200912xx】千里導入明細資料_２２年度上期分_【20091225】千里導入明細資料_２２年度上期分（営業店ＡＰ－ＤＢ）_【調整中】千里導入明細資料_２２年度上期分_fj_20100127_Ⅹ_課題と対応策_20121211" xfId="3853" xr:uid="{00000000-0005-0000-0000-0000CB0E0000}"/>
    <cellStyle name="_【最新】導入明細表（自動機監視)(09.07.16)_【200912xx】千里導入明細資料_２２年度上期分_【20091225】千里導入明細資料_２２年度上期分（営業店ＡＰ－ＤＢ）_【調整中】千里導入明細資料_２２年度上期分_fj_20100127_Ⅹ_課題と対応策_20121211 2" xfId="3854" xr:uid="{00000000-0005-0000-0000-0000CC0E0000}"/>
    <cellStyle name="_【最新】導入明細表（自動機監視)(09.07.16)_【200912xx】千里導入明細資料_２２年度上期分_【20091225】千里導入明細資料_２２年度上期分（営業店ＡＰ－ＤＢ）_Ⅹ_課題と対応策_20121211" xfId="3855" xr:uid="{00000000-0005-0000-0000-0000CD0E0000}"/>
    <cellStyle name="_【最新】導入明細表（自動機監視)(09.07.16)_【200912xx】千里導入明細資料_２２年度上期分_【20091225】千里導入明細資料_２２年度上期分（営業店ＡＰ－ＤＢ）_Ⅹ_課題と対応策_20121211 2" xfId="3856" xr:uid="{00000000-0005-0000-0000-0000CE0E0000}"/>
    <cellStyle name="_【最新】導入明細表（自動機監視)(09.07.16)_【200912xx】千里導入明細資料_２２年度上期分_【20091225】千里導入明細資料_２２年度上期分_営業店DB" xfId="3857" xr:uid="{00000000-0005-0000-0000-0000CF0E0000}"/>
    <cellStyle name="_【最新】導入明細表（自動機監視)(09.07.16)_【200912xx】千里導入明細資料_２２年度上期分_【20091225】千里導入明細資料_２２年度上期分_営業店DB 2" xfId="3858" xr:uid="{00000000-0005-0000-0000-0000D00E0000}"/>
    <cellStyle name="_【最新】導入明細表（自動機監視)(09.07.16)_【200912xx】千里導入明細資料_２２年度上期分_【20091225】千里導入明細資料_２２年度上期分_営業店DB_【調整中】千里導入明細資料_２２年度上期分_fj_20100127" xfId="3859" xr:uid="{00000000-0005-0000-0000-0000D10E0000}"/>
    <cellStyle name="_【最新】導入明細表（自動機監視)(09.07.16)_【200912xx】千里導入明細資料_２２年度上期分_【20091225】千里導入明細資料_２２年度上期分_営業店DB_【調整中】千里導入明細資料_２２年度上期分_fj_20100127 2" xfId="3860" xr:uid="{00000000-0005-0000-0000-0000D20E0000}"/>
    <cellStyle name="_【最新】導入明細表（自動機監視)(09.07.16)_【200912xx】千里導入明細資料_２２年度上期分_【20091225】千里導入明細資料_２２年度上期分_営業店DB_【調整中】千里導入明細資料_２２年度上期分_fj_20100127_Ⅹ_課題と対応策_20121211" xfId="3861" xr:uid="{00000000-0005-0000-0000-0000D30E0000}"/>
    <cellStyle name="_【最新】導入明細表（自動機監視)(09.07.16)_【200912xx】千里導入明細資料_２２年度上期分_【20091225】千里導入明細資料_２２年度上期分_営業店DB_【調整中】千里導入明細資料_２２年度上期分_fj_20100127_Ⅹ_課題と対応策_20121211 2" xfId="3862" xr:uid="{00000000-0005-0000-0000-0000D40E0000}"/>
    <cellStyle name="_【最新】導入明細表（自動機監視)(09.07.16)_【200912xx】千里導入明細資料_２２年度上期分_【20091225】千里導入明細資料_２２年度上期分_営業店DB_Ⅹ_課題と対応策_20121211" xfId="3863" xr:uid="{00000000-0005-0000-0000-0000D50E0000}"/>
    <cellStyle name="_【最新】導入明細表（自動機監視)(09.07.16)_【200912xx】千里導入明細資料_２２年度上期分_【20091225】千里導入明細資料_２２年度上期分_営業店DB_Ⅹ_課題と対応策_20121211 2" xfId="3864" xr:uid="{00000000-0005-0000-0000-0000D60E0000}"/>
    <cellStyle name="_【最新】導入明細表（自動機監視)(09.07.16)_【200912xx】千里導入明細資料_２２年度上期分_【20091225】千里導入明細資料_２２年度上期分_連携DB" xfId="3865" xr:uid="{00000000-0005-0000-0000-0000D70E0000}"/>
    <cellStyle name="_【最新】導入明細表（自動機監視)(09.07.16)_【200912xx】千里導入明細資料_２２年度上期分_【20091225】千里導入明細資料_２２年度上期分_連携DB 2" xfId="3866" xr:uid="{00000000-0005-0000-0000-0000D80E0000}"/>
    <cellStyle name="_【最新】導入明細表（自動機監視)(09.07.16)_【200912xx】千里導入明細資料_２２年度上期分_【20091225】千里導入明細資料_２２年度上期分_連携DB_【調整中】千里導入明細資料_２２年度上期分_fj_20100127" xfId="3867" xr:uid="{00000000-0005-0000-0000-0000D90E0000}"/>
    <cellStyle name="_【最新】導入明細表（自動機監視)(09.07.16)_【200912xx】千里導入明細資料_２２年度上期分_【20091225】千里導入明細資料_２２年度上期分_連携DB_【調整中】千里導入明細資料_２２年度上期分_fj_20100127 2" xfId="3868" xr:uid="{00000000-0005-0000-0000-0000DA0E0000}"/>
    <cellStyle name="_【最新】導入明細表（自動機監視)(09.07.16)_【200912xx】千里導入明細資料_２２年度上期分_【20091225】千里導入明細資料_２２年度上期分_連携DB_【調整中】千里導入明細資料_２２年度上期分_fj_20100127_Ⅹ_課題と対応策_20121211" xfId="3869" xr:uid="{00000000-0005-0000-0000-0000DB0E0000}"/>
    <cellStyle name="_【最新】導入明細表（自動機監視)(09.07.16)_【200912xx】千里導入明細資料_２２年度上期分_【20091225】千里導入明細資料_２２年度上期分_連携DB_【調整中】千里導入明細資料_２２年度上期分_fj_20100127_Ⅹ_課題と対応策_20121211 2" xfId="3870" xr:uid="{00000000-0005-0000-0000-0000DC0E0000}"/>
    <cellStyle name="_【最新】導入明細表（自動機監視)(09.07.16)_【200912xx】千里導入明細資料_２２年度上期分_【20091225】千里導入明細資料_２２年度上期分_連携DB_Ⅹ_課題と対応策_20121211" xfId="3871" xr:uid="{00000000-0005-0000-0000-0000DD0E0000}"/>
    <cellStyle name="_【最新】導入明細表（自動機監視)(09.07.16)_【200912xx】千里導入明細資料_２２年度上期分_【20091225】千里導入明細資料_２２年度上期分_連携DB_Ⅹ_課題と対応策_20121211 2" xfId="3872" xr:uid="{00000000-0005-0000-0000-0000DE0E0000}"/>
    <cellStyle name="_【最新】導入明細表（自動機監視)(09.07.16)_【200912xx】千里導入明細資料_２２年度上期分_Ⅹ_課題と対応策_20121211" xfId="3873" xr:uid="{00000000-0005-0000-0000-0000DF0E0000}"/>
    <cellStyle name="_【最新】導入明細表（自動機監視)(09.07.16)_【200912xx】千里導入明細資料_２２年度上期分_Ⅹ_課題と対応策_20121211 2" xfId="3874" xr:uid="{00000000-0005-0000-0000-0000E00E0000}"/>
    <cellStyle name="_【最新】導入明細表（自動機監視)(09.07.16)_【調整中】千里導入明細資料_２２年度上期分_fj_20100127" xfId="3875" xr:uid="{00000000-0005-0000-0000-0000E10E0000}"/>
    <cellStyle name="_【最新】導入明細表（自動機監視)(09.07.16)_【調整中】千里導入明細資料_２２年度上期分_fj_20100127 2" xfId="3876" xr:uid="{00000000-0005-0000-0000-0000E20E0000}"/>
    <cellStyle name="_【最新】導入明細表（自動機監視)(09.07.16)_【調整中】千里導入明細資料_２２年度上期分_fj_20100127_Ⅹ_課題と対応策_20121211" xfId="3877" xr:uid="{00000000-0005-0000-0000-0000E30E0000}"/>
    <cellStyle name="_【最新】導入明細表（自動機監視)(09.07.16)_【調整中】千里導入明細資料_２２年度上期分_fj_20100127_Ⅹ_課題と対応策_20121211 2" xfId="3878" xr:uid="{00000000-0005-0000-0000-0000E40E0000}"/>
    <cellStyle name="_【最新】導入明細表（自動機監視)(09.07.16)_①【20091225】千里導入明細資料_２２年度上期1分)" xfId="3879" xr:uid="{00000000-0005-0000-0000-0000E50E0000}"/>
    <cellStyle name="_【最新】導入明細表（自動機監視)(09.07.16)_①【20091225】千里導入明細資料_２２年度上期1分) 2" xfId="3880" xr:uid="{00000000-0005-0000-0000-0000E60E0000}"/>
    <cellStyle name="_【最新】導入明細表（自動機監視)(09.07.16)_①【20091225】千里導入明細資料_２２年度上期1分)_Ⅹ_課題と対応策_20121211" xfId="3881" xr:uid="{00000000-0005-0000-0000-0000E70E0000}"/>
    <cellStyle name="_【最新】導入明細表（自動機監視)(09.07.16)_①【20091225】千里導入明細資料_２２年度上期1分)_Ⅹ_課題と対応策_20121211 2" xfId="3882" xr:uid="{00000000-0005-0000-0000-0000E80E0000}"/>
    <cellStyle name="_【最新】導入明細表（自動機監視)(09.07.16)_Ⅹ_課題と対応策_20121211" xfId="3883" xr:uid="{00000000-0005-0000-0000-0000E90E0000}"/>
    <cellStyle name="_【最新】導入明細表（自動機監視)(09.07.16)_Ⅹ_課題と対応策_20121211 2" xfId="3884" xr:uid="{00000000-0005-0000-0000-0000EA0E0000}"/>
    <cellStyle name="_【最新】導入明細表（自動機監視)(09.07.16)_ラック構成図（千里_営業店・新事務）_20090805" xfId="3885" xr:uid="{00000000-0005-0000-0000-0000EB0E0000}"/>
    <cellStyle name="_【最新】導入明細表（自動機監視)(09.07.16)_ラック構成図（千里_営業店・新事務）_20090805 2" xfId="3886" xr:uid="{00000000-0005-0000-0000-0000EC0E0000}"/>
    <cellStyle name="_【最新】導入明細表（自動機監視)(09.07.16)_ラック構成図（千里_営業店・新事務）_20090805_【20091207】千里導入明細資料_２１年度分（ネットワーク敷設）" xfId="3887" xr:uid="{00000000-0005-0000-0000-0000ED0E0000}"/>
    <cellStyle name="_【最新】導入明細表（自動機監視)(09.07.16)_ラック構成図（千里_営業店・新事務）_20090805_【20091207】千里導入明細資料_２１年度分（ネットワーク敷設） 2" xfId="3888" xr:uid="{00000000-0005-0000-0000-0000EE0E0000}"/>
    <cellStyle name="_【最新】導入明細表（自動機監視)(09.07.16)_ラック構成図（千里_営業店・新事務）_20090805_【20091207】千里導入明細資料_２１年度分（ネットワーク敷設）_【20091218】千里導入明細資料_２１年度分（ネットワーク敷設）" xfId="3889" xr:uid="{00000000-0005-0000-0000-0000EF0E0000}"/>
    <cellStyle name="_【最新】導入明細表（自動機監視)(09.07.16)_ラック構成図（千里_営業店・新事務）_20090805_【20091207】千里導入明細資料_２１年度分（ネットワーク敷設）_【20091218】千里導入明細資料_２１年度分（ネットワーク敷設） 2" xfId="3890" xr:uid="{00000000-0005-0000-0000-0000F00E0000}"/>
    <cellStyle name="_【最新】導入明細表（自動機監視)(09.07.16)_ラック構成図（千里_営業店・新事務）_20090805_【20091207】千里導入明細資料_２１年度分（ネットワーク敷設）_【20091218】千里導入明細資料_２１年度分（ネットワーク敷設）_Ⅹ_課題と対応策_20121211" xfId="3891" xr:uid="{00000000-0005-0000-0000-0000F10E0000}"/>
    <cellStyle name="_【最新】導入明細表（自動機監視)(09.07.16)_ラック構成図（千里_営業店・新事務）_20090805_【20091207】千里導入明細資料_２１年度分（ネットワーク敷設）_【20091218】千里導入明細資料_２１年度分（ネットワーク敷設）_Ⅹ_課題と対応策_20121211 2" xfId="3892" xr:uid="{00000000-0005-0000-0000-0000F20E0000}"/>
    <cellStyle name="_【最新】導入明細表（自動機監視)(09.07.16)_ラック構成図（千里_営業店・新事務）_20090805_【20091207】千里導入明細資料_２１年度分（ネットワーク敷設）_Ⅹ_課題と対応策_20121211" xfId="3893" xr:uid="{00000000-0005-0000-0000-0000F30E0000}"/>
    <cellStyle name="_【最新】導入明細表（自動機監視)(09.07.16)_ラック構成図（千里_営業店・新事務）_20090805_【20091207】千里導入明細資料_２１年度分（ネットワーク敷設）_Ⅹ_課題と対応策_20121211 2" xfId="3894" xr:uid="{00000000-0005-0000-0000-0000F40E0000}"/>
    <cellStyle name="_【最新】導入明細表（自動機監視)(09.07.16)_ラック構成図（千里_営業店・新事務）_20090805_【20091207】千里導入明細資料_２１年度分（ネットワーク敷設）_千里導入明細資料_２２年度分（ネットワーク敷設）_fj" xfId="3895" xr:uid="{00000000-0005-0000-0000-0000F50E0000}"/>
    <cellStyle name="_【最新】導入明細表（自動機監視)(09.07.16)_ラック構成図（千里_営業店・新事務）_20090805_【20091207】千里導入明細資料_２１年度分（ネットワーク敷設）_千里導入明細資料_２２年度分（ネットワーク敷設）_fj 2" xfId="3896" xr:uid="{00000000-0005-0000-0000-0000F60E0000}"/>
    <cellStyle name="_【最新】導入明細表（自動機監視)(09.07.16)_ラック構成図（千里_営業店・新事務）_20090805_【20091207】千里導入明細資料_２１年度分（ネットワーク敷設）_千里導入明細資料_２２年度分（ネットワーク敷設）_fj_Ⅹ_課題と対応策_20121211" xfId="3897" xr:uid="{00000000-0005-0000-0000-0000F70E0000}"/>
    <cellStyle name="_【最新】導入明細表（自動機監視)(09.07.16)_ラック構成図（千里_営業店・新事務）_20090805_【20091207】千里導入明細資料_２１年度分（ネットワーク敷設）_千里導入明細資料_２２年度分（ネットワーク敷設）_fj_Ⅹ_課題と対応策_20121211 2" xfId="3898" xr:uid="{00000000-0005-0000-0000-0000F80E0000}"/>
    <cellStyle name="_【最新】導入明細表（自動機監視)(09.07.16)_ラック構成図（千里_営業店・新事務）_20090805_【20091225】千里導入明細資料_２２年度上期分（営業店ＡＰ－ＤＢ）" xfId="3899" xr:uid="{00000000-0005-0000-0000-0000F90E0000}"/>
    <cellStyle name="_【最新】導入明細表（自動機監視)(09.07.16)_ラック構成図（千里_営業店・新事務）_20090805_【20091225】千里導入明細資料_２２年度上期分（営業店ＡＰ－ＤＢ） 2" xfId="3900" xr:uid="{00000000-0005-0000-0000-0000FA0E0000}"/>
    <cellStyle name="_【最新】導入明細表（自動機監視)(09.07.16)_ラック構成図（千里_営業店・新事務）_20090805_【20091225】千里導入明細資料_２２年度上期分（営業店ＡＰ－ＤＢ）_【調整中】千里導入明細資料_２２年度上期分_fj_20100127" xfId="3901" xr:uid="{00000000-0005-0000-0000-0000FB0E0000}"/>
    <cellStyle name="_【最新】導入明細表（自動機監視)(09.07.16)_ラック構成図（千里_営業店・新事務）_20090805_【20091225】千里導入明細資料_２２年度上期分（営業店ＡＰ－ＤＢ）_【調整中】千里導入明細資料_２２年度上期分_fj_20100127 2" xfId="3902" xr:uid="{00000000-0005-0000-0000-0000FC0E0000}"/>
    <cellStyle name="_【最新】導入明細表（自動機監視)(09.07.16)_ラック構成図（千里_営業店・新事務）_20090805_【20091225】千里導入明細資料_２２年度上期分（営業店ＡＰ－ＤＢ）_【調整中】千里導入明細資料_２２年度上期分_fj_20100127_Ⅹ_課題と対応策_20121211" xfId="3903" xr:uid="{00000000-0005-0000-0000-0000FD0E0000}"/>
    <cellStyle name="_【最新】導入明細表（自動機監視)(09.07.16)_ラック構成図（千里_営業店・新事務）_20090805_【20091225】千里導入明細資料_２２年度上期分（営業店ＡＰ－ＤＢ）_【調整中】千里導入明細資料_２２年度上期分_fj_20100127_Ⅹ_課題と対応策_20121211 2" xfId="3904" xr:uid="{00000000-0005-0000-0000-0000FE0E0000}"/>
    <cellStyle name="_【最新】導入明細表（自動機監視)(09.07.16)_ラック構成図（千里_営業店・新事務）_20090805_【20091225】千里導入明細資料_２２年度上期分（営業店ＡＰ－ＤＢ）_Ⅹ_課題と対応策_20121211" xfId="3905" xr:uid="{00000000-0005-0000-0000-0000FF0E0000}"/>
    <cellStyle name="_【最新】導入明細表（自動機監視)(09.07.16)_ラック構成図（千里_営業店・新事務）_20090805_【20091225】千里導入明細資料_２２年度上期分（営業店ＡＰ－ＤＢ）_Ⅹ_課題と対応策_20121211 2" xfId="3906" xr:uid="{00000000-0005-0000-0000-0000000F0000}"/>
    <cellStyle name="_【最新】導入明細表（自動機監視)(09.07.16)_ラック構成図（千里_営業店・新事務）_20090805_【20091225】千里導入明細資料_２２年度上期分_営業店DB" xfId="3907" xr:uid="{00000000-0005-0000-0000-0000010F0000}"/>
    <cellStyle name="_【最新】導入明細表（自動機監視)(09.07.16)_ラック構成図（千里_営業店・新事務）_20090805_【20091225】千里導入明細資料_２２年度上期分_営業店DB 2" xfId="3908" xr:uid="{00000000-0005-0000-0000-0000020F0000}"/>
    <cellStyle name="_【最新】導入明細表（自動機監視)(09.07.16)_ラック構成図（千里_営業店・新事務）_20090805_【20091225】千里導入明細資料_２２年度上期分_営業店DB_【調整中】千里導入明細資料_２２年度上期分_fj_20100127" xfId="3909" xr:uid="{00000000-0005-0000-0000-0000030F0000}"/>
    <cellStyle name="_【最新】導入明細表（自動機監視)(09.07.16)_ラック構成図（千里_営業店・新事務）_20090805_【20091225】千里導入明細資料_２２年度上期分_営業店DB_【調整中】千里導入明細資料_２２年度上期分_fj_20100127 2" xfId="3910" xr:uid="{00000000-0005-0000-0000-0000040F0000}"/>
    <cellStyle name="_【最新】導入明細表（自動機監視)(09.07.16)_ラック構成図（千里_営業店・新事務）_20090805_【20091225】千里導入明細資料_２２年度上期分_営業店DB_【調整中】千里導入明細資料_２２年度上期分_fj_20100127_Ⅹ_課題と対応策_20121211" xfId="3911" xr:uid="{00000000-0005-0000-0000-0000050F0000}"/>
    <cellStyle name="_【最新】導入明細表（自動機監視)(09.07.16)_ラック構成図（千里_営業店・新事務）_20090805_【20091225】千里導入明細資料_２２年度上期分_営業店DB_【調整中】千里導入明細資料_２２年度上期分_fj_20100127_Ⅹ_課題と対応策_20121211 2" xfId="3912" xr:uid="{00000000-0005-0000-0000-0000060F0000}"/>
    <cellStyle name="_【最新】導入明細表（自動機監視)(09.07.16)_ラック構成図（千里_営業店・新事務）_20090805_【20091225】千里導入明細資料_２２年度上期分_営業店DB_Ⅹ_課題と対応策_20121211" xfId="3913" xr:uid="{00000000-0005-0000-0000-0000070F0000}"/>
    <cellStyle name="_【最新】導入明細表（自動機監視)(09.07.16)_ラック構成図（千里_営業店・新事務）_20090805_【20091225】千里導入明細資料_２２年度上期分_営業店DB_Ⅹ_課題と対応策_20121211 2" xfId="3914" xr:uid="{00000000-0005-0000-0000-0000080F0000}"/>
    <cellStyle name="_【最新】導入明細表（自動機監視)(09.07.16)_ラック構成図（千里_営業店・新事務）_20090805_【20091225】千里導入明細資料_２２年度上期分_連携DB" xfId="3915" xr:uid="{00000000-0005-0000-0000-0000090F0000}"/>
    <cellStyle name="_【最新】導入明細表（自動機監視)(09.07.16)_ラック構成図（千里_営業店・新事務）_20090805_【20091225】千里導入明細資料_２２年度上期分_連携DB 2" xfId="3916" xr:uid="{00000000-0005-0000-0000-00000A0F0000}"/>
    <cellStyle name="_【最新】導入明細表（自動機監視)(09.07.16)_ラック構成図（千里_営業店・新事務）_20090805_【20091225】千里導入明細資料_２２年度上期分_連携DB_【調整中】千里導入明細資料_２２年度上期分_fj_20100127" xfId="3917" xr:uid="{00000000-0005-0000-0000-00000B0F0000}"/>
    <cellStyle name="_【最新】導入明細表（自動機監視)(09.07.16)_ラック構成図（千里_営業店・新事務）_20090805_【20091225】千里導入明細資料_２２年度上期分_連携DB_【調整中】千里導入明細資料_２２年度上期分_fj_20100127 2" xfId="3918" xr:uid="{00000000-0005-0000-0000-00000C0F0000}"/>
    <cellStyle name="_【最新】導入明細表（自動機監視)(09.07.16)_ラック構成図（千里_営業店・新事務）_20090805_【20091225】千里導入明細資料_２２年度上期分_連携DB_【調整中】千里導入明細資料_２２年度上期分_fj_20100127_Ⅹ_課題と対応策_20121211" xfId="3919" xr:uid="{00000000-0005-0000-0000-00000D0F0000}"/>
    <cellStyle name="_【最新】導入明細表（自動機監視)(09.07.16)_ラック構成図（千里_営業店・新事務）_20090805_【20091225】千里導入明細資料_２２年度上期分_連携DB_【調整中】千里導入明細資料_２２年度上期分_fj_20100127_Ⅹ_課題と対応策_20121211 2" xfId="3920" xr:uid="{00000000-0005-0000-0000-00000E0F0000}"/>
    <cellStyle name="_【最新】導入明細表（自動機監視)(09.07.16)_ラック構成図（千里_営業店・新事務）_20090805_【20091225】千里導入明細資料_２２年度上期分_連携DB_Ⅹ_課題と対応策_20121211" xfId="3921" xr:uid="{00000000-0005-0000-0000-00000F0F0000}"/>
    <cellStyle name="_【最新】導入明細表（自動機監視)(09.07.16)_ラック構成図（千里_営業店・新事務）_20090805_【20091225】千里導入明細資料_２２年度上期分_連携DB_Ⅹ_課題と対応策_20121211 2" xfId="3922" xr:uid="{00000000-0005-0000-0000-0000100F0000}"/>
    <cellStyle name="_【最新】導入明細表（自動機監視)(09.07.16)_ラック構成図（千里_営業店・新事務）_20090805_【作成中】千里センター機器配置図（2010年対応分）_20091221" xfId="3923" xr:uid="{00000000-0005-0000-0000-0000110F0000}"/>
    <cellStyle name="_【最新】導入明細表（自動機監視)(09.07.16)_ラック構成図（千里_営業店・新事務）_20090805_【作成中】千里センター機器配置図（2010年対応分）_20091221 2" xfId="3924" xr:uid="{00000000-0005-0000-0000-0000120F0000}"/>
    <cellStyle name="_【最新】導入明細表（自動機監視)(09.07.16)_ラック構成図（千里_営業店・新事務）_20090805_【作成中】千里センター機器配置図（2010年対応分）_20091221_【調整中】千里導入明細資料_２２年度上期分_fj_20100127" xfId="3925" xr:uid="{00000000-0005-0000-0000-0000130F0000}"/>
    <cellStyle name="_【最新】導入明細表（自動機監視)(09.07.16)_ラック構成図（千里_営業店・新事務）_20090805_【作成中】千里センター機器配置図（2010年対応分）_20091221_【調整中】千里導入明細資料_２２年度上期分_fj_20100127 2" xfId="3926" xr:uid="{00000000-0005-0000-0000-0000140F0000}"/>
    <cellStyle name="_【最新】導入明細表（自動機監視)(09.07.16)_ラック構成図（千里_営業店・新事務）_20090805_【作成中】千里センター機器配置図（2010年対応分）_20091221_【調整中】千里導入明細資料_２２年度上期分_fj_20100127_Ⅹ_課題と対応策_20121211" xfId="3927" xr:uid="{00000000-0005-0000-0000-0000150F0000}"/>
    <cellStyle name="_【最新】導入明細表（自動機監視)(09.07.16)_ラック構成図（千里_営業店・新事務）_20090805_【作成中】千里センター機器配置図（2010年対応分）_20091221_【調整中】千里導入明細資料_２２年度上期分_fj_20100127_Ⅹ_課題と対応策_20121211 2" xfId="3928" xr:uid="{00000000-0005-0000-0000-0000160F0000}"/>
    <cellStyle name="_【最新】導入明細表（自動機監視)(09.07.16)_ラック構成図（千里_営業店・新事務）_20090805_【作成中】千里センター機器配置図（2010年対応分）_20091221_Ⅹ_課題と対応策_20121211" xfId="3929" xr:uid="{00000000-0005-0000-0000-0000170F0000}"/>
    <cellStyle name="_【最新】導入明細表（自動機監視)(09.07.16)_ラック構成図（千里_営業店・新事務）_20090805_【作成中】千里センター機器配置図（2010年対応分）_20091221_Ⅹ_課題と対応策_20121211 2" xfId="3930" xr:uid="{00000000-0005-0000-0000-0000180F0000}"/>
    <cellStyle name="_【最新】導入明細表（自動機監視)(09.07.16)_ラック構成図（千里_営業店・新事務）_20090805_Ⅹ_課題と対応策_20121211" xfId="3931" xr:uid="{00000000-0005-0000-0000-0000190F0000}"/>
    <cellStyle name="_【最新】導入明細表（自動機監視)(09.07.16)_ラック構成図（千里_営業店・新事務）_20090805_Ⅹ_課題と対応策_20121211 2" xfId="3932" xr:uid="{00000000-0005-0000-0000-00001A0F0000}"/>
    <cellStyle name="_【最新】導入明細表（自動機監視)(09.07.16)_ラック構成図_Catalyst直付け（新事務処理）" xfId="3933" xr:uid="{00000000-0005-0000-0000-00001B0F0000}"/>
    <cellStyle name="_【最新】導入明細表（自動機監視)(09.07.16)_ラック構成図_Catalyst直付け（新事務処理） 2" xfId="3934" xr:uid="{00000000-0005-0000-0000-00001C0F0000}"/>
    <cellStyle name="_【最新】導入明細表（自動機監視)(09.07.16)_ラック構成図_Catalyst直付け（新事務処理）_【20091207】千里導入明細資料_２１年度分（ネットワーク敷設）" xfId="3935" xr:uid="{00000000-0005-0000-0000-00001D0F0000}"/>
    <cellStyle name="_【最新】導入明細表（自動機監視)(09.07.16)_ラック構成図_Catalyst直付け（新事務処理）_【20091207】千里導入明細資料_２１年度分（ネットワーク敷設） 2" xfId="3936" xr:uid="{00000000-0005-0000-0000-00001E0F0000}"/>
    <cellStyle name="_【最新】導入明細表（自動機監視)(09.07.16)_ラック構成図_Catalyst直付け（新事務処理）_【20091207】千里導入明細資料_２１年度分（ネットワーク敷設）_【20091218】千里導入明細資料_２１年度分（ネットワーク敷設）" xfId="3937" xr:uid="{00000000-0005-0000-0000-00001F0F0000}"/>
    <cellStyle name="_【最新】導入明細表（自動機監視)(09.07.16)_ラック構成図_Catalyst直付け（新事務処理）_【20091207】千里導入明細資料_２１年度分（ネットワーク敷設）_【20091218】千里導入明細資料_２１年度分（ネットワーク敷設） 2" xfId="3938" xr:uid="{00000000-0005-0000-0000-0000200F0000}"/>
    <cellStyle name="_【最新】導入明細表（自動機監視)(09.07.16)_ラック構成図_Catalyst直付け（新事務処理）_【20091207】千里導入明細資料_２１年度分（ネットワーク敷設）_【20091218】千里導入明細資料_２１年度分（ネットワーク敷設）_Ⅹ_課題と対応策_20121211" xfId="3939" xr:uid="{00000000-0005-0000-0000-0000210F0000}"/>
    <cellStyle name="_【最新】導入明細表（自動機監視)(09.07.16)_ラック構成図_Catalyst直付け（新事務処理）_【20091207】千里導入明細資料_２１年度分（ネットワーク敷設）_【20091218】千里導入明細資料_２１年度分（ネットワーク敷設）_Ⅹ_課題と対応策_20121211 2" xfId="3940" xr:uid="{00000000-0005-0000-0000-0000220F0000}"/>
    <cellStyle name="_【最新】導入明細表（自動機監視)(09.07.16)_ラック構成図_Catalyst直付け（新事務処理）_【20091207】千里導入明細資料_２１年度分（ネットワーク敷設）_Ⅹ_課題と対応策_20121211" xfId="3941" xr:uid="{00000000-0005-0000-0000-0000230F0000}"/>
    <cellStyle name="_【最新】導入明細表（自動機監視)(09.07.16)_ラック構成図_Catalyst直付け（新事務処理）_【20091207】千里導入明細資料_２１年度分（ネットワーク敷設）_Ⅹ_課題と対応策_20121211 2" xfId="3942" xr:uid="{00000000-0005-0000-0000-0000240F0000}"/>
    <cellStyle name="_【最新】導入明細表（自動機監視)(09.07.16)_ラック構成図_Catalyst直付け（新事務処理）_【20091207】千里導入明細資料_２１年度分（ネットワーク敷設）_千里導入明細資料_２２年度分（ネットワーク敷設）_fj" xfId="3943" xr:uid="{00000000-0005-0000-0000-0000250F0000}"/>
    <cellStyle name="_【最新】導入明細表（自動機監視)(09.07.16)_ラック構成図_Catalyst直付け（新事務処理）_【20091207】千里導入明細資料_２１年度分（ネットワーク敷設）_千里導入明細資料_２２年度分（ネットワーク敷設）_fj 2" xfId="3944" xr:uid="{00000000-0005-0000-0000-0000260F0000}"/>
    <cellStyle name="_【最新】導入明細表（自動機監視)(09.07.16)_ラック構成図_Catalyst直付け（新事務処理）_【20091207】千里導入明細資料_２１年度分（ネットワーク敷設）_千里導入明細資料_２２年度分（ネットワーク敷設）_fj_Ⅹ_課題と対応策_20121211" xfId="3945" xr:uid="{00000000-0005-0000-0000-0000270F0000}"/>
    <cellStyle name="_【最新】導入明細表（自動機監視)(09.07.16)_ラック構成図_Catalyst直付け（新事務処理）_【20091207】千里導入明細資料_２１年度分（ネットワーク敷設）_千里導入明細資料_２２年度分（ネットワーク敷設）_fj_Ⅹ_課題と対応策_20121211 2" xfId="3946" xr:uid="{00000000-0005-0000-0000-0000280F0000}"/>
    <cellStyle name="_【最新】導入明細表（自動機監視)(09.07.16)_ラック構成図_Catalyst直付け（新事務処理）_【20091225】千里導入明細資料_２２年度上期分（営業店ＡＰ－ＤＢ）" xfId="3947" xr:uid="{00000000-0005-0000-0000-0000290F0000}"/>
    <cellStyle name="_【最新】導入明細表（自動機監視)(09.07.16)_ラック構成図_Catalyst直付け（新事務処理）_【20091225】千里導入明細資料_２２年度上期分（営業店ＡＰ－ＤＢ） 2" xfId="3948" xr:uid="{00000000-0005-0000-0000-00002A0F0000}"/>
    <cellStyle name="_【最新】導入明細表（自動機監視)(09.07.16)_ラック構成図_Catalyst直付け（新事務処理）_【20091225】千里導入明細資料_２２年度上期分（営業店ＡＰ－ＤＢ）_【調整中】千里導入明細資料_２２年度上期分_fj_20100127" xfId="3949" xr:uid="{00000000-0005-0000-0000-00002B0F0000}"/>
    <cellStyle name="_【最新】導入明細表（自動機監視)(09.07.16)_ラック構成図_Catalyst直付け（新事務処理）_【20091225】千里導入明細資料_２２年度上期分（営業店ＡＰ－ＤＢ）_【調整中】千里導入明細資料_２２年度上期分_fj_20100127 2" xfId="3950" xr:uid="{00000000-0005-0000-0000-00002C0F0000}"/>
    <cellStyle name="_【最新】導入明細表（自動機監視)(09.07.16)_ラック構成図_Catalyst直付け（新事務処理）_【20091225】千里導入明細資料_２２年度上期分（営業店ＡＰ－ＤＢ）_【調整中】千里導入明細資料_２２年度上期分_fj_20100127_Ⅹ_課題と対応策_20121211" xfId="3951" xr:uid="{00000000-0005-0000-0000-00002D0F0000}"/>
    <cellStyle name="_【最新】導入明細表（自動機監視)(09.07.16)_ラック構成図_Catalyst直付け（新事務処理）_【20091225】千里導入明細資料_２２年度上期分（営業店ＡＰ－ＤＢ）_【調整中】千里導入明細資料_２２年度上期分_fj_20100127_Ⅹ_課題と対応策_20121211 2" xfId="3952" xr:uid="{00000000-0005-0000-0000-00002E0F0000}"/>
    <cellStyle name="_【最新】導入明細表（自動機監視)(09.07.16)_ラック構成図_Catalyst直付け（新事務処理）_【20091225】千里導入明細資料_２２年度上期分（営業店ＡＰ－ＤＢ）_Ⅹ_課題と対応策_20121211" xfId="3953" xr:uid="{00000000-0005-0000-0000-00002F0F0000}"/>
    <cellStyle name="_【最新】導入明細表（自動機監視)(09.07.16)_ラック構成図_Catalyst直付け（新事務処理）_【20091225】千里導入明細資料_２２年度上期分（営業店ＡＰ－ＤＢ）_Ⅹ_課題と対応策_20121211 2" xfId="3954" xr:uid="{00000000-0005-0000-0000-0000300F0000}"/>
    <cellStyle name="_【最新】導入明細表（自動機監視)(09.07.16)_ラック構成図_Catalyst直付け（新事務処理）_【20091225】千里導入明細資料_２２年度上期分_営業店DB" xfId="3955" xr:uid="{00000000-0005-0000-0000-0000310F0000}"/>
    <cellStyle name="_【最新】導入明細表（自動機監視)(09.07.16)_ラック構成図_Catalyst直付け（新事務処理）_【20091225】千里導入明細資料_２２年度上期分_営業店DB 2" xfId="3956" xr:uid="{00000000-0005-0000-0000-0000320F0000}"/>
    <cellStyle name="_【最新】導入明細表（自動機監視)(09.07.16)_ラック構成図_Catalyst直付け（新事務処理）_【20091225】千里導入明細資料_２２年度上期分_営業店DB_【調整中】千里導入明細資料_２２年度上期分_fj_20100127" xfId="3957" xr:uid="{00000000-0005-0000-0000-0000330F0000}"/>
    <cellStyle name="_【最新】導入明細表（自動機監視)(09.07.16)_ラック構成図_Catalyst直付け（新事務処理）_【20091225】千里導入明細資料_２２年度上期分_営業店DB_【調整中】千里導入明細資料_２２年度上期分_fj_20100127 2" xfId="3958" xr:uid="{00000000-0005-0000-0000-0000340F0000}"/>
    <cellStyle name="_【最新】導入明細表（自動機監視)(09.07.16)_ラック構成図_Catalyst直付け（新事務処理）_【20091225】千里導入明細資料_２２年度上期分_営業店DB_【調整中】千里導入明細資料_２２年度上期分_fj_20100127_Ⅹ_課題と対応策_20121211" xfId="3959" xr:uid="{00000000-0005-0000-0000-0000350F0000}"/>
    <cellStyle name="_【最新】導入明細表（自動機監視)(09.07.16)_ラック構成図_Catalyst直付け（新事務処理）_【20091225】千里導入明細資料_２２年度上期分_営業店DB_【調整中】千里導入明細資料_２２年度上期分_fj_20100127_Ⅹ_課題と対応策_20121211 2" xfId="3960" xr:uid="{00000000-0005-0000-0000-0000360F0000}"/>
    <cellStyle name="_【最新】導入明細表（自動機監視)(09.07.16)_ラック構成図_Catalyst直付け（新事務処理）_【20091225】千里導入明細資料_２２年度上期分_営業店DB_Ⅹ_課題と対応策_20121211" xfId="3961" xr:uid="{00000000-0005-0000-0000-0000370F0000}"/>
    <cellStyle name="_【最新】導入明細表（自動機監視)(09.07.16)_ラック構成図_Catalyst直付け（新事務処理）_【20091225】千里導入明細資料_２２年度上期分_営業店DB_Ⅹ_課題と対応策_20121211 2" xfId="3962" xr:uid="{00000000-0005-0000-0000-0000380F0000}"/>
    <cellStyle name="_【最新】導入明細表（自動機監視)(09.07.16)_ラック構成図_Catalyst直付け（新事務処理）_【20091225】千里導入明細資料_２２年度上期分_連携DB" xfId="3963" xr:uid="{00000000-0005-0000-0000-0000390F0000}"/>
    <cellStyle name="_【最新】導入明細表（自動機監視)(09.07.16)_ラック構成図_Catalyst直付け（新事務処理）_【20091225】千里導入明細資料_２２年度上期分_連携DB 2" xfId="3964" xr:uid="{00000000-0005-0000-0000-00003A0F0000}"/>
    <cellStyle name="_【最新】導入明細表（自動機監視)(09.07.16)_ラック構成図_Catalyst直付け（新事務処理）_【20091225】千里導入明細資料_２２年度上期分_連携DB_【調整中】千里導入明細資料_２２年度上期分_fj_20100127" xfId="3965" xr:uid="{00000000-0005-0000-0000-00003B0F0000}"/>
    <cellStyle name="_【最新】導入明細表（自動機監視)(09.07.16)_ラック構成図_Catalyst直付け（新事務処理）_【20091225】千里導入明細資料_２２年度上期分_連携DB_【調整中】千里導入明細資料_２２年度上期分_fj_20100127 2" xfId="3966" xr:uid="{00000000-0005-0000-0000-00003C0F0000}"/>
    <cellStyle name="_【最新】導入明細表（自動機監視)(09.07.16)_ラック構成図_Catalyst直付け（新事務処理）_【20091225】千里導入明細資料_２２年度上期分_連携DB_【調整中】千里導入明細資料_２２年度上期分_fj_20100127_Ⅹ_課題と対応策_20121211" xfId="3967" xr:uid="{00000000-0005-0000-0000-00003D0F0000}"/>
    <cellStyle name="_【最新】導入明細表（自動機監視)(09.07.16)_ラック構成図_Catalyst直付け（新事務処理）_【20091225】千里導入明細資料_２２年度上期分_連携DB_【調整中】千里導入明細資料_２２年度上期分_fj_20100127_Ⅹ_課題と対応策_20121211 2" xfId="3968" xr:uid="{00000000-0005-0000-0000-00003E0F0000}"/>
    <cellStyle name="_【最新】導入明細表（自動機監視)(09.07.16)_ラック構成図_Catalyst直付け（新事務処理）_【20091225】千里導入明細資料_２２年度上期分_連携DB_Ⅹ_課題と対応策_20121211" xfId="3969" xr:uid="{00000000-0005-0000-0000-00003F0F0000}"/>
    <cellStyle name="_【最新】導入明細表（自動機監視)(09.07.16)_ラック構成図_Catalyst直付け（新事務処理）_【20091225】千里導入明細資料_２２年度上期分_連携DB_Ⅹ_課題と対応策_20121211 2" xfId="3970" xr:uid="{00000000-0005-0000-0000-0000400F0000}"/>
    <cellStyle name="_【最新】導入明細表（自動機監視)(09.07.16)_ラック構成図_Catalyst直付け（新事務処理）_【作成中】千里センター機器配置図（2010年対応分）_20091221" xfId="3971" xr:uid="{00000000-0005-0000-0000-0000410F0000}"/>
    <cellStyle name="_【最新】導入明細表（自動機監視)(09.07.16)_ラック構成図_Catalyst直付け（新事務処理）_【作成中】千里センター機器配置図（2010年対応分）_20091221 2" xfId="3972" xr:uid="{00000000-0005-0000-0000-0000420F0000}"/>
    <cellStyle name="_【最新】導入明細表（自動機監視)(09.07.16)_ラック構成図_Catalyst直付け（新事務処理）_【作成中】千里センター機器配置図（2010年対応分）_20091221_【調整中】千里導入明細資料_２２年度上期分_fj_20100127" xfId="3973" xr:uid="{00000000-0005-0000-0000-0000430F0000}"/>
    <cellStyle name="_【最新】導入明細表（自動機監視)(09.07.16)_ラック構成図_Catalyst直付け（新事務処理）_【作成中】千里センター機器配置図（2010年対応分）_20091221_【調整中】千里導入明細資料_２２年度上期分_fj_20100127 2" xfId="3974" xr:uid="{00000000-0005-0000-0000-0000440F0000}"/>
    <cellStyle name="_【最新】導入明細表（自動機監視)(09.07.16)_ラック構成図_Catalyst直付け（新事務処理）_【作成中】千里センター機器配置図（2010年対応分）_20091221_【調整中】千里導入明細資料_２２年度上期分_fj_20100127_Ⅹ_課題と対応策_20121211" xfId="3975" xr:uid="{00000000-0005-0000-0000-0000450F0000}"/>
    <cellStyle name="_【最新】導入明細表（自動機監視)(09.07.16)_ラック構成図_Catalyst直付け（新事務処理）_【作成中】千里センター機器配置図（2010年対応分）_20091221_【調整中】千里導入明細資料_２２年度上期分_fj_20100127_Ⅹ_課題と対応策_20121211 2" xfId="3976" xr:uid="{00000000-0005-0000-0000-0000460F0000}"/>
    <cellStyle name="_【最新】導入明細表（自動機監視)(09.07.16)_ラック構成図_Catalyst直付け（新事務処理）_【作成中】千里センター機器配置図（2010年対応分）_20091221_Ⅹ_課題と対応策_20121211" xfId="3977" xr:uid="{00000000-0005-0000-0000-0000470F0000}"/>
    <cellStyle name="_【最新】導入明細表（自動機監視)(09.07.16)_ラック構成図_Catalyst直付け（新事務処理）_【作成中】千里センター機器配置図（2010年対応分）_20091221_Ⅹ_課題と対応策_20121211 2" xfId="3978" xr:uid="{00000000-0005-0000-0000-0000480F0000}"/>
    <cellStyle name="_【最新】導入明細表（自動機監視)(09.07.16)_ラック構成図_Catalyst直付け（新事務処理）_Ⅹ_課題と対応策_20121211" xfId="3979" xr:uid="{00000000-0005-0000-0000-0000490F0000}"/>
    <cellStyle name="_【最新】導入明細表（自動機監視)(09.07.16)_ラック構成図_Catalyst直付け（新事務処理）_Ⅹ_課題と対応策_20121211 2" xfId="3980" xr:uid="{00000000-0005-0000-0000-00004A0F0000}"/>
    <cellStyle name="_【最新】導入明細表（自動機監視)(09.07.16)_ラック構成図_RX100Si-R削除(新事務処理)" xfId="3981" xr:uid="{00000000-0005-0000-0000-00004B0F0000}"/>
    <cellStyle name="_【最新】導入明細表（自動機監視)(09.07.16)_ラック構成図_RX100Si-R削除(新事務処理) 2" xfId="3982" xr:uid="{00000000-0005-0000-0000-00004C0F0000}"/>
    <cellStyle name="_【最新】導入明細表（自動機監視)(09.07.16)_ラック構成図_RX100Si-R削除(新事務処理)_【20091207】千里導入明細資料_２１年度分（ネットワーク敷設）" xfId="3983" xr:uid="{00000000-0005-0000-0000-00004D0F0000}"/>
    <cellStyle name="_【最新】導入明細表（自動機監視)(09.07.16)_ラック構成図_RX100Si-R削除(新事務処理)_【20091207】千里導入明細資料_２１年度分（ネットワーク敷設） 2" xfId="3984" xr:uid="{00000000-0005-0000-0000-00004E0F0000}"/>
    <cellStyle name="_【最新】導入明細表（自動機監視)(09.07.16)_ラック構成図_RX100Si-R削除(新事務処理)_【20091207】千里導入明細資料_２１年度分（ネットワーク敷設）_【20091218】千里導入明細資料_２１年度分（ネットワーク敷設）" xfId="3985" xr:uid="{00000000-0005-0000-0000-00004F0F0000}"/>
    <cellStyle name="_【最新】導入明細表（自動機監視)(09.07.16)_ラック構成図_RX100Si-R削除(新事務処理)_【20091207】千里導入明細資料_２１年度分（ネットワーク敷設）_【20091218】千里導入明細資料_２１年度分（ネットワーク敷設） 2" xfId="3986" xr:uid="{00000000-0005-0000-0000-0000500F0000}"/>
    <cellStyle name="_【最新】導入明細表（自動機監視)(09.07.16)_ラック構成図_RX100Si-R削除(新事務処理)_【20091207】千里導入明細資料_２１年度分（ネットワーク敷設）_【20091218】千里導入明細資料_２１年度分（ネットワーク敷設）_Ⅹ_課題と対応策_20121211" xfId="3987" xr:uid="{00000000-0005-0000-0000-0000510F0000}"/>
    <cellStyle name="_【最新】導入明細表（自動機監視)(09.07.16)_ラック構成図_RX100Si-R削除(新事務処理)_【20091207】千里導入明細資料_２１年度分（ネットワーク敷設）_【20091218】千里導入明細資料_２１年度分（ネットワーク敷設）_Ⅹ_課題と対応策_20121211 2" xfId="3988" xr:uid="{00000000-0005-0000-0000-0000520F0000}"/>
    <cellStyle name="_【最新】導入明細表（自動機監視)(09.07.16)_ラック構成図_RX100Si-R削除(新事務処理)_【20091207】千里導入明細資料_２１年度分（ネットワーク敷設）_Ⅹ_課題と対応策_20121211" xfId="3989" xr:uid="{00000000-0005-0000-0000-0000530F0000}"/>
    <cellStyle name="_【最新】導入明細表（自動機監視)(09.07.16)_ラック構成図_RX100Si-R削除(新事務処理)_【20091207】千里導入明細資料_２１年度分（ネットワーク敷設）_Ⅹ_課題と対応策_20121211 2" xfId="3990" xr:uid="{00000000-0005-0000-0000-0000540F0000}"/>
    <cellStyle name="_【最新】導入明細表（自動機監視)(09.07.16)_ラック構成図_RX100Si-R削除(新事務処理)_【20091207】千里導入明細資料_２１年度分（ネットワーク敷設）_千里導入明細資料_２２年度分（ネットワーク敷設）_fj" xfId="3991" xr:uid="{00000000-0005-0000-0000-0000550F0000}"/>
    <cellStyle name="_【最新】導入明細表（自動機監視)(09.07.16)_ラック構成図_RX100Si-R削除(新事務処理)_【20091207】千里導入明細資料_２１年度分（ネットワーク敷設）_千里導入明細資料_２２年度分（ネットワーク敷設）_fj 2" xfId="3992" xr:uid="{00000000-0005-0000-0000-0000560F0000}"/>
    <cellStyle name="_【最新】導入明細表（自動機監視)(09.07.16)_ラック構成図_RX100Si-R削除(新事務処理)_【20091207】千里導入明細資料_２１年度分（ネットワーク敷設）_千里導入明細資料_２２年度分（ネットワーク敷設）_fj_Ⅹ_課題と対応策_20121211" xfId="3993" xr:uid="{00000000-0005-0000-0000-0000570F0000}"/>
    <cellStyle name="_【最新】導入明細表（自動機監視)(09.07.16)_ラック構成図_RX100Si-R削除(新事務処理)_【20091207】千里導入明細資料_２１年度分（ネットワーク敷設）_千里導入明細資料_２２年度分（ネットワーク敷設）_fj_Ⅹ_課題と対応策_20121211 2" xfId="3994" xr:uid="{00000000-0005-0000-0000-0000580F0000}"/>
    <cellStyle name="_【最新】導入明細表（自動機監視)(09.07.16)_ラック構成図_RX100Si-R削除(新事務処理)_【20091225】千里導入明細資料_２２年度上期分（営業店ＡＰ－ＤＢ）" xfId="3995" xr:uid="{00000000-0005-0000-0000-0000590F0000}"/>
    <cellStyle name="_【最新】導入明細表（自動機監視)(09.07.16)_ラック構成図_RX100Si-R削除(新事務処理)_【20091225】千里導入明細資料_２２年度上期分（営業店ＡＰ－ＤＢ） 2" xfId="3996" xr:uid="{00000000-0005-0000-0000-00005A0F0000}"/>
    <cellStyle name="_【最新】導入明細表（自動機監視)(09.07.16)_ラック構成図_RX100Si-R削除(新事務処理)_【20091225】千里導入明細資料_２２年度上期分（営業店ＡＰ－ＤＢ）_【調整中】千里導入明細資料_２２年度上期分_fj_20100127" xfId="3997" xr:uid="{00000000-0005-0000-0000-00005B0F0000}"/>
    <cellStyle name="_【最新】導入明細表（自動機監視)(09.07.16)_ラック構成図_RX100Si-R削除(新事務処理)_【20091225】千里導入明細資料_２２年度上期分（営業店ＡＰ－ＤＢ）_【調整中】千里導入明細資料_２２年度上期分_fj_20100127 2" xfId="3998" xr:uid="{00000000-0005-0000-0000-00005C0F0000}"/>
    <cellStyle name="_【最新】導入明細表（自動機監視)(09.07.16)_ラック構成図_RX100Si-R削除(新事務処理)_【20091225】千里導入明細資料_２２年度上期分（営業店ＡＰ－ＤＢ）_【調整中】千里導入明細資料_２２年度上期分_fj_20100127_Ⅹ_課題と対応策_20121211" xfId="3999" xr:uid="{00000000-0005-0000-0000-00005D0F0000}"/>
    <cellStyle name="_【最新】導入明細表（自動機監視)(09.07.16)_ラック構成図_RX100Si-R削除(新事務処理)_【20091225】千里導入明細資料_２２年度上期分（営業店ＡＰ－ＤＢ）_【調整中】千里導入明細資料_２２年度上期分_fj_20100127_Ⅹ_課題と対応策_20121211 2" xfId="4000" xr:uid="{00000000-0005-0000-0000-00005E0F0000}"/>
    <cellStyle name="_【最新】導入明細表（自動機監視)(09.07.16)_ラック構成図_RX100Si-R削除(新事務処理)_【20091225】千里導入明細資料_２２年度上期分（営業店ＡＰ－ＤＢ）_Ⅹ_課題と対応策_20121211" xfId="4001" xr:uid="{00000000-0005-0000-0000-00005F0F0000}"/>
    <cellStyle name="_【最新】導入明細表（自動機監視)(09.07.16)_ラック構成図_RX100Si-R削除(新事務処理)_【20091225】千里導入明細資料_２２年度上期分（営業店ＡＰ－ＤＢ）_Ⅹ_課題と対応策_20121211 2" xfId="4002" xr:uid="{00000000-0005-0000-0000-0000600F0000}"/>
    <cellStyle name="_【最新】導入明細表（自動機監視)(09.07.16)_ラック構成図_RX100Si-R削除(新事務処理)_【20091225】千里導入明細資料_２２年度上期分_営業店DB" xfId="4003" xr:uid="{00000000-0005-0000-0000-0000610F0000}"/>
    <cellStyle name="_【最新】導入明細表（自動機監視)(09.07.16)_ラック構成図_RX100Si-R削除(新事務処理)_【20091225】千里導入明細資料_２２年度上期分_営業店DB 2" xfId="4004" xr:uid="{00000000-0005-0000-0000-0000620F0000}"/>
    <cellStyle name="_【最新】導入明細表（自動機監視)(09.07.16)_ラック構成図_RX100Si-R削除(新事務処理)_【20091225】千里導入明細資料_２２年度上期分_営業店DB_【調整中】千里導入明細資料_２２年度上期分_fj_20100127" xfId="4005" xr:uid="{00000000-0005-0000-0000-0000630F0000}"/>
    <cellStyle name="_【最新】導入明細表（自動機監視)(09.07.16)_ラック構成図_RX100Si-R削除(新事務処理)_【20091225】千里導入明細資料_２２年度上期分_営業店DB_【調整中】千里導入明細資料_２２年度上期分_fj_20100127 2" xfId="4006" xr:uid="{00000000-0005-0000-0000-0000640F0000}"/>
    <cellStyle name="_【最新】導入明細表（自動機監視)(09.07.16)_ラック構成図_RX100Si-R削除(新事務処理)_【20091225】千里導入明細資料_２２年度上期分_営業店DB_【調整中】千里導入明細資料_２２年度上期分_fj_20100127_Ⅹ_課題と対応策_20121211" xfId="4007" xr:uid="{00000000-0005-0000-0000-0000650F0000}"/>
    <cellStyle name="_【最新】導入明細表（自動機監視)(09.07.16)_ラック構成図_RX100Si-R削除(新事務処理)_【20091225】千里導入明細資料_２２年度上期分_営業店DB_【調整中】千里導入明細資料_２２年度上期分_fj_20100127_Ⅹ_課題と対応策_20121211 2" xfId="4008" xr:uid="{00000000-0005-0000-0000-0000660F0000}"/>
    <cellStyle name="_【最新】導入明細表（自動機監視)(09.07.16)_ラック構成図_RX100Si-R削除(新事務処理)_【20091225】千里導入明細資料_２２年度上期分_営業店DB_Ⅹ_課題と対応策_20121211" xfId="4009" xr:uid="{00000000-0005-0000-0000-0000670F0000}"/>
    <cellStyle name="_【最新】導入明細表（自動機監視)(09.07.16)_ラック構成図_RX100Si-R削除(新事務処理)_【20091225】千里導入明細資料_２２年度上期分_営業店DB_Ⅹ_課題と対応策_20121211 2" xfId="4010" xr:uid="{00000000-0005-0000-0000-0000680F0000}"/>
    <cellStyle name="_【最新】導入明細表（自動機監視)(09.07.16)_ラック構成図_RX100Si-R削除(新事務処理)_【20091225】千里導入明細資料_２２年度上期分_連携DB" xfId="4011" xr:uid="{00000000-0005-0000-0000-0000690F0000}"/>
    <cellStyle name="_【最新】導入明細表（自動機監視)(09.07.16)_ラック構成図_RX100Si-R削除(新事務処理)_【20091225】千里導入明細資料_２２年度上期分_連携DB 2" xfId="4012" xr:uid="{00000000-0005-0000-0000-00006A0F0000}"/>
    <cellStyle name="_【最新】導入明細表（自動機監視)(09.07.16)_ラック構成図_RX100Si-R削除(新事務処理)_【20091225】千里導入明細資料_２２年度上期分_連携DB_【調整中】千里導入明細資料_２２年度上期分_fj_20100127" xfId="4013" xr:uid="{00000000-0005-0000-0000-00006B0F0000}"/>
    <cellStyle name="_【最新】導入明細表（自動機監視)(09.07.16)_ラック構成図_RX100Si-R削除(新事務処理)_【20091225】千里導入明細資料_２２年度上期分_連携DB_【調整中】千里導入明細資料_２２年度上期分_fj_20100127 2" xfId="4014" xr:uid="{00000000-0005-0000-0000-00006C0F0000}"/>
    <cellStyle name="_【最新】導入明細表（自動機監視)(09.07.16)_ラック構成図_RX100Si-R削除(新事務処理)_【20091225】千里導入明細資料_２２年度上期分_連携DB_【調整中】千里導入明細資料_２２年度上期分_fj_20100127_Ⅹ_課題と対応策_20121211" xfId="4015" xr:uid="{00000000-0005-0000-0000-00006D0F0000}"/>
    <cellStyle name="_【最新】導入明細表（自動機監視)(09.07.16)_ラック構成図_RX100Si-R削除(新事務処理)_【20091225】千里導入明細資料_２２年度上期分_連携DB_【調整中】千里導入明細資料_２２年度上期分_fj_20100127_Ⅹ_課題と対応策_20121211 2" xfId="4016" xr:uid="{00000000-0005-0000-0000-00006E0F0000}"/>
    <cellStyle name="_【最新】導入明細表（自動機監視)(09.07.16)_ラック構成図_RX100Si-R削除(新事務処理)_【20091225】千里導入明細資料_２２年度上期分_連携DB_Ⅹ_課題と対応策_20121211" xfId="4017" xr:uid="{00000000-0005-0000-0000-00006F0F0000}"/>
    <cellStyle name="_【最新】導入明細表（自動機監視)(09.07.16)_ラック構成図_RX100Si-R削除(新事務処理)_【20091225】千里導入明細資料_２２年度上期分_連携DB_Ⅹ_課題と対応策_20121211 2" xfId="4018" xr:uid="{00000000-0005-0000-0000-0000700F0000}"/>
    <cellStyle name="_【最新】導入明細表（自動機監視)(09.07.16)_ラック構成図_RX100Si-R削除(新事務処理)_【作成中】千里センター機器配置図（2010年対応分）_20091221" xfId="4019" xr:uid="{00000000-0005-0000-0000-0000710F0000}"/>
    <cellStyle name="_【最新】導入明細表（自動機監視)(09.07.16)_ラック構成図_RX100Si-R削除(新事務処理)_【作成中】千里センター機器配置図（2010年対応分）_20091221 2" xfId="4020" xr:uid="{00000000-0005-0000-0000-0000720F0000}"/>
    <cellStyle name="_【最新】導入明細表（自動機監視)(09.07.16)_ラック構成図_RX100Si-R削除(新事務処理)_【作成中】千里センター機器配置図（2010年対応分）_20091221_【調整中】千里導入明細資料_２２年度上期分_fj_20100127" xfId="4021" xr:uid="{00000000-0005-0000-0000-0000730F0000}"/>
    <cellStyle name="_【最新】導入明細表（自動機監視)(09.07.16)_ラック構成図_RX100Si-R削除(新事務処理)_【作成中】千里センター機器配置図（2010年対応分）_20091221_【調整中】千里導入明細資料_２２年度上期分_fj_20100127 2" xfId="4022" xr:uid="{00000000-0005-0000-0000-0000740F0000}"/>
    <cellStyle name="_【最新】導入明細表（自動機監視)(09.07.16)_ラック構成図_RX100Si-R削除(新事務処理)_【作成中】千里センター機器配置図（2010年対応分）_20091221_【調整中】千里導入明細資料_２２年度上期分_fj_20100127_Ⅹ_課題と対応策_20121211" xfId="4023" xr:uid="{00000000-0005-0000-0000-0000750F0000}"/>
    <cellStyle name="_【最新】導入明細表（自動機監視)(09.07.16)_ラック構成図_RX100Si-R削除(新事務処理)_【作成中】千里センター機器配置図（2010年対応分）_20091221_【調整中】千里導入明細資料_２２年度上期分_fj_20100127_Ⅹ_課題と対応策_20121211 2" xfId="4024" xr:uid="{00000000-0005-0000-0000-0000760F0000}"/>
    <cellStyle name="_【最新】導入明細表（自動機監視)(09.07.16)_ラック構成図_RX100Si-R削除(新事務処理)_【作成中】千里センター機器配置図（2010年対応分）_20091221_Ⅹ_課題と対応策_20121211" xfId="4025" xr:uid="{00000000-0005-0000-0000-0000770F0000}"/>
    <cellStyle name="_【最新】導入明細表（自動機監視)(09.07.16)_ラック構成図_RX100Si-R削除(新事務処理)_【作成中】千里センター機器配置図（2010年対応分）_20091221_Ⅹ_課題と対応策_20121211 2" xfId="4026" xr:uid="{00000000-0005-0000-0000-0000780F0000}"/>
    <cellStyle name="_【最新】導入明細表（自動機監視)(09.07.16)_ラック構成図_RX100Si-R削除(新事務処理)_Ⅹ_課題と対応策_20121211" xfId="4027" xr:uid="{00000000-0005-0000-0000-0000790F0000}"/>
    <cellStyle name="_【最新】導入明細表（自動機監視)(09.07.16)_ラック構成図_RX100Si-R削除(新事務処理)_Ⅹ_課題と対応策_20121211 2" xfId="4028" xr:uid="{00000000-0005-0000-0000-00007A0F0000}"/>
    <cellStyle name="_【最新】導入明細表（自動機監視)(09.07.16)_千里導入明細資料_２２年度分（ネットワーク敷設）_fj" xfId="4029" xr:uid="{00000000-0005-0000-0000-00007B0F0000}"/>
    <cellStyle name="_【最新】導入明細表（自動機監視)(09.07.16)_千里導入明細資料_２２年度分（ネットワーク敷設）_fj 2" xfId="4030" xr:uid="{00000000-0005-0000-0000-00007C0F0000}"/>
    <cellStyle name="_【最新】導入明細表（自動機監視)(09.07.16)_千里導入明細資料_２２年度分（ネットワーク敷設）_fj_Ⅹ_課題と対応策_20121211" xfId="4031" xr:uid="{00000000-0005-0000-0000-00007D0F0000}"/>
    <cellStyle name="_【最新】導入明細表（自動機監視)(09.07.16)_千里導入明細資料_２２年度分（ネットワーク敷設）_fj_Ⅹ_課題と対応策_20121211 2" xfId="4032" xr:uid="{00000000-0005-0000-0000-00007E0F0000}"/>
    <cellStyle name="_【作成中】千里センター機器配置図（2010年対応分）_20091221" xfId="4033" xr:uid="{00000000-0005-0000-0000-00007F0F0000}"/>
    <cellStyle name="_【作成中】千里センター機器配置図（2010年対応分）_20091221 2" xfId="4034" xr:uid="{00000000-0005-0000-0000-0000800F0000}"/>
    <cellStyle name="_【作成中】千里センター機器配置図（2010年対応分）_20091221_【調整中】千里導入明細資料_２２年度上期分_fj_20100127" xfId="4035" xr:uid="{00000000-0005-0000-0000-0000810F0000}"/>
    <cellStyle name="_【作成中】千里センター機器配置図（2010年対応分）_20091221_【調整中】千里導入明細資料_２２年度上期分_fj_20100127 2" xfId="4036" xr:uid="{00000000-0005-0000-0000-0000820F0000}"/>
    <cellStyle name="_【作成中】千里センター機器配置図（2010年対応分）_20091221_【調整中】千里導入明細資料_２２年度上期分_fj_20100127_Ⅹ_課題と対応策_20121211" xfId="4037" xr:uid="{00000000-0005-0000-0000-0000830F0000}"/>
    <cellStyle name="_【作成中】千里センター機器配置図（2010年対応分）_20091221_【調整中】千里導入明細資料_２２年度上期分_fj_20100127_Ⅹ_課題と対応策_20121211 2" xfId="4038" xr:uid="{00000000-0005-0000-0000-0000840F0000}"/>
    <cellStyle name="_【作成中】千里センター機器配置図（2010年対応分）_20091221_Ⅹ_課題と対応策_20121211" xfId="4039" xr:uid="{00000000-0005-0000-0000-0000850F0000}"/>
    <cellStyle name="_【作成中】千里センター機器配置図（2010年対応分）_20091221_Ⅹ_課題と対応策_20121211 2" xfId="4040" xr:uid="{00000000-0005-0000-0000-0000860F0000}"/>
    <cellStyle name="_0016F760構成表_0130" xfId="4041" xr:uid="{00000000-0005-0000-0000-0000870F0000}"/>
    <cellStyle name="_00517389_xSeries構成表0306" xfId="4042" xr:uid="{00000000-0005-0000-0000-0000880F0000}"/>
    <cellStyle name="_016_ARCserve導入パラメータ070106" xfId="4043" xr:uid="{00000000-0005-0000-0000-0000890F0000}"/>
    <cellStyle name="_021_RHEL3導入パラメータ070106" xfId="4044" xr:uid="{00000000-0005-0000-0000-00008A0F0000}"/>
    <cellStyle name="_022_SLES9導入パラメータ070106" xfId="4045" xr:uid="{00000000-0005-0000-0000-00008B0F0000}"/>
    <cellStyle name="_024_DB2導入パラメータ_Linux_070106" xfId="4046" xr:uid="{00000000-0005-0000-0000-00008C0F0000}"/>
    <cellStyle name="_031_NetVault導入パラメータ070106" xfId="4047" xr:uid="{00000000-0005-0000-0000-00008D0F0000}"/>
    <cellStyle name="_12.17現調立会報告書(0712C01-0066)エヌ・ティ・ティ・データ(りそな銀行) りそな銀行第2野村ビル" xfId="4048" xr:uid="{00000000-0005-0000-0000-00008E0F0000}"/>
    <cellStyle name="_19インチラック実装図_深川090827【ソフィアサーバ加筆】.xls" xfId="4049" xr:uid="{00000000-0005-0000-0000-00008F0F0000}"/>
    <cellStyle name="_19インチラック実装図_深川090827【ソフィアサーバ加筆】.xls 2" xfId="4050" xr:uid="{00000000-0005-0000-0000-0000900F0000}"/>
    <cellStyle name="_19インチラック実装図_深川090827【ソフィアサーバ加筆】.xls_【深川ギャザリア】ラック搭載図_091218" xfId="4051" xr:uid="{00000000-0005-0000-0000-0000910F0000}"/>
    <cellStyle name="_19インチラック実装図_深川090827【ソフィアサーバ加筆】.xls_【深川ギャザリア】ラック搭載図_091218 2" xfId="4052" xr:uid="{00000000-0005-0000-0000-0000920F0000}"/>
    <cellStyle name="_19インチラック実装図_深川090827【ソフィアサーバ加筆】.xls_【深川ギャザリア】ラック搭載図_091218_Ⅹ_課題と対応策_20121211" xfId="4053" xr:uid="{00000000-0005-0000-0000-0000930F0000}"/>
    <cellStyle name="_19インチラック実装図_深川090827【ソフィアサーバ加筆】.xls_【深川ギャザリア】ラック搭載図_091218_Ⅹ_課題と対応策_20121211 2" xfId="4054" xr:uid="{00000000-0005-0000-0000-0000940F0000}"/>
    <cellStyle name="_19インチラック実装図_深川090827【ソフィアサーバ加筆】.xls_【東京本社】L2SW台数_ラックマウント_091203" xfId="4055" xr:uid="{00000000-0005-0000-0000-0000950F0000}"/>
    <cellStyle name="_19インチラック実装図_深川090827【ソフィアサーバ加筆】.xls_【東京本社】L2SW台数_ラックマウント_091203 2" xfId="4056" xr:uid="{00000000-0005-0000-0000-0000960F0000}"/>
    <cellStyle name="_19インチラック実装図_深川090827【ソフィアサーバ加筆】.xls_【東京本社】L2SW台数_ラックマウント_091203_Ⅹ_課題と対応策_20121211" xfId="4057" xr:uid="{00000000-0005-0000-0000-0000970F0000}"/>
    <cellStyle name="_19インチラック実装図_深川090827【ソフィアサーバ加筆】.xls_【東京本社】L2SW台数_ラックマウント_091203_Ⅹ_課題と対応策_20121211 2" xfId="4058" xr:uid="{00000000-0005-0000-0000-0000980F0000}"/>
    <cellStyle name="_19インチラック実装図_深川090827【ソフィアサーバ加筆】.xls_100223_全フロア記入19イン  チラック実装図_100108　修正" xfId="4059" xr:uid="{00000000-0005-0000-0000-0000990F0000}"/>
    <cellStyle name="_19インチラック実装図_深川090827【ソフィアサーバ加筆】.xls_100223_全フロア記入19イン  チラック実装図_100108　修正 2" xfId="4060" xr:uid="{00000000-0005-0000-0000-00009A0F0000}"/>
    <cellStyle name="_19インチラック実装図_深川090827【ソフィアサーバ加筆】.xls_100223_全フロア記入19イン  チラック実装図_100108　修正_Ⅹ_課題と対応策_20121211" xfId="4061" xr:uid="{00000000-0005-0000-0000-00009B0F0000}"/>
    <cellStyle name="_19インチラック実装図_深川090827【ソフィアサーバ加筆】.xls_100223_全フロア記入19イン  チラック実装図_100108　修正_Ⅹ_課題と対応策_20121211 2" xfId="4062" xr:uid="{00000000-0005-0000-0000-00009C0F0000}"/>
    <cellStyle name="_19インチラック実装図_深川090827【ソフィアサーバ加筆】.xls_100224_全フロア記入19インチラック実装図_1002_受領" xfId="4063" xr:uid="{00000000-0005-0000-0000-00009D0F0000}"/>
    <cellStyle name="_19インチラック実装図_深川090827【ソフィアサーバ加筆】.xls_100224_全フロア記入19インチラック実装図_1002_受領 2" xfId="4064" xr:uid="{00000000-0005-0000-0000-00009E0F0000}"/>
    <cellStyle name="_19インチラック実装図_深川090827【ソフィアサーバ加筆】.xls_100224_全フロア記入19インチラック実装図_1002_受領_Ⅹ_課題と対応策_20121211" xfId="4065" xr:uid="{00000000-0005-0000-0000-00009F0F0000}"/>
    <cellStyle name="_19インチラック実装図_深川090827【ソフィアサーバ加筆】.xls_100224_全フロア記入19インチラック実装図_1002_受領_Ⅹ_課題と対応策_20121211 2" xfId="4066" xr:uid="{00000000-0005-0000-0000-0000A00F0000}"/>
    <cellStyle name="_19インチラック実装図_深川090827【ソフィアサーバ加筆】.xls_19 インチラック実装図_深川090921" xfId="4067" xr:uid="{00000000-0005-0000-0000-0000A10F0000}"/>
    <cellStyle name="_19インチラック実装図_深川090827【ソフィアサーバ加筆】.xls_19 インチラック実装図_深川090921 2" xfId="4068" xr:uid="{00000000-0005-0000-0000-0000A20F0000}"/>
    <cellStyle name="_19インチラック実装図_深川090827【ソフィアサーバ加筆】.xls_19 インチラック実装図_深川090921_Ⅹ_課題と対応策_20121211" xfId="4069" xr:uid="{00000000-0005-0000-0000-0000A30F0000}"/>
    <cellStyle name="_19インチラック実装図_深川090827【ソフィアサーバ加筆】.xls_19 インチラック実装図_深川090921_Ⅹ_課題と対応策_20121211 2" xfId="4070" xr:uid="{00000000-0005-0000-0000-0000A40F0000}"/>
    <cellStyle name="_19インチラック実装図_深川090827【ソフィアサーバ加筆】.xls_19 インチラック実装図更新依頼" xfId="4071" xr:uid="{00000000-0005-0000-0000-0000A50F0000}"/>
    <cellStyle name="_19インチラック実装図_深川090827【ソフィアサーバ加筆】.xls_19 インチラック実装図更新依頼 2" xfId="4072" xr:uid="{00000000-0005-0000-0000-0000A60F0000}"/>
    <cellStyle name="_19インチラック実装図_深川090827【ソフィアサーバ加筆】.xls_19 インチラック実装図更新依頼_Ⅹ_課題と対応策_20121211" xfId="4073" xr:uid="{00000000-0005-0000-0000-0000A70F0000}"/>
    <cellStyle name="_19インチラック実装図_深川090827【ソフィアサーバ加筆】.xls_19 インチラック実装図更新依頼_Ⅹ_課題と対応策_20121211 2" xfId="4074" xr:uid="{00000000-0005-0000-0000-0000A80F0000}"/>
    <cellStyle name="_19インチラック実装図_深川090827【ソフィアサーバ加筆】.xls_19インチラック実装図_深川090921 (2)" xfId="4075" xr:uid="{00000000-0005-0000-0000-0000A90F0000}"/>
    <cellStyle name="_19インチラック実装図_深川090827【ソフィアサーバ加筆】.xls_19インチラック実装図_深川090921 (2) 2" xfId="4076" xr:uid="{00000000-0005-0000-0000-0000AA0F0000}"/>
    <cellStyle name="_19インチラック実装図_深川090827【ソフィアサーバ加筆】.xls_19インチラック実装図_深川090921 (2)_Ⅹ_課題と対応策_20121211" xfId="4077" xr:uid="{00000000-0005-0000-0000-0000AB0F0000}"/>
    <cellStyle name="_19インチラック実装図_深川090827【ソフィアサーバ加筆】.xls_19インチラック実装図_深川090921 (2)_Ⅹ_課題と対応策_20121211 2" xfId="4078" xr:uid="{00000000-0005-0000-0000-0000AC0F0000}"/>
    <cellStyle name="_19インチラック実装図_深川090827【ソフィアサーバ加筆】.xls_19インチラック実装図_深川090921R2(栗原作成中)" xfId="4079" xr:uid="{00000000-0005-0000-0000-0000AD0F0000}"/>
    <cellStyle name="_19インチラック実装図_深川090827【ソフィアサーバ加筆】.xls_19インチラック実装図_深川090921R2(栗原作成中) 2" xfId="4080" xr:uid="{00000000-0005-0000-0000-0000AE0F0000}"/>
    <cellStyle name="_19インチラック実装図_深川090827【ソフィアサーバ加筆】.xls_19インチラック実装図_深川090921R2(栗原作成中)_Ⅹ_課題と対応策_20121211" xfId="4081" xr:uid="{00000000-0005-0000-0000-0000AF0F0000}"/>
    <cellStyle name="_19インチラック実装図_深川090827【ソフィアサーバ加筆】.xls_19インチラック実装図_深川090921R2(栗原作成中)_Ⅹ_課題と対応策_20121211 2" xfId="4082" xr:uid="{00000000-0005-0000-0000-0000B00F0000}"/>
    <cellStyle name="_19インチラック実装図_深川090827【ソフィアサーバ加筆】.xls_2-5F記入19インチラック実装図_深川090924" xfId="4083" xr:uid="{00000000-0005-0000-0000-0000B10F0000}"/>
    <cellStyle name="_19インチラック実装図_深川090827【ソフィアサーバ加筆】.xls_2-5F記入19インチラック実装図_深川090924 2" xfId="4084" xr:uid="{00000000-0005-0000-0000-0000B20F0000}"/>
    <cellStyle name="_19インチラック実装図_深川090827【ソフィアサーバ加筆】.xls_2-5F記入19インチラック実装図_深川090924_Ⅹ_課題と対応策_20121211" xfId="4085" xr:uid="{00000000-0005-0000-0000-0000B30F0000}"/>
    <cellStyle name="_19インチラック実装図_深川090827【ソフィアサーバ加筆】.xls_2-5F記入19インチラック実装図_深川090924_Ⅹ_課題と対応策_20121211 2" xfId="4086" xr:uid="{00000000-0005-0000-0000-0000B40F0000}"/>
    <cellStyle name="_19インチラック実装図_深川090827【ソフィアサーバ加筆】.xls_2MRNW記入19インチラック実装図_深川091127" xfId="4087" xr:uid="{00000000-0005-0000-0000-0000B50F0000}"/>
    <cellStyle name="_19インチラック実装図_深川090827【ソフィアサーバ加筆】.xls_2MRNW記入19インチラック実装図_深川091127 2" xfId="4088" xr:uid="{00000000-0005-0000-0000-0000B60F0000}"/>
    <cellStyle name="_19インチラック実装図_深川090827【ソフィアサーバ加筆】.xls_2MRNW記入19インチラック実装図_深川091127_Ⅹ_課題と対応策_20121211" xfId="4089" xr:uid="{00000000-0005-0000-0000-0000B70F0000}"/>
    <cellStyle name="_19インチラック実装図_深川090827【ソフィアサーバ加筆】.xls_2MRNW記入19インチラック実装図_深川091127_Ⅹ_課題と対応策_20121211 2" xfId="4090" xr:uid="{00000000-0005-0000-0000-0000B80F0000}"/>
    <cellStyle name="_19インチラック実装図_深川090827【ソフィアサーバ加筆】.xls_3F_19インチラック実装図_深 川091225_ソフィア修正" xfId="4091" xr:uid="{00000000-0005-0000-0000-0000B90F0000}"/>
    <cellStyle name="_19インチラック実装図_深川090827【ソフィアサーバ加筆】.xls_3F_19インチラック実装図_深 川091225_ソフィア修正 2" xfId="4092" xr:uid="{00000000-0005-0000-0000-0000BA0F0000}"/>
    <cellStyle name="_19インチラック実装図_深川090827【ソフィアサーバ加筆】.xls_3F_19インチラック実装図_深 川091225_ソフィア修正_Ⅹ_課題と対応策_20121211" xfId="4093" xr:uid="{00000000-0005-0000-0000-0000BB0F0000}"/>
    <cellStyle name="_19インチラック実装図_深川090827【ソフィアサーバ加筆】.xls_3F_19インチラック実装図_深 川091225_ソフィア修正_Ⅹ_課題と対応策_20121211 2" xfId="4094" xr:uid="{00000000-0005-0000-0000-0000BC0F0000}"/>
    <cellStyle name="_19インチラック実装図_深川090827【ソフィアサーバ加筆】.xls_Ⅹ_課題と対応策_20121211" xfId="4095" xr:uid="{00000000-0005-0000-0000-0000BD0F0000}"/>
    <cellStyle name="_19インチラック実装図_深川090827【ソフィアサーバ加筆】.xls_Ⅹ_課題と対応策_20121211 2" xfId="4096" xr:uid="{00000000-0005-0000-0000-0000BE0F0000}"/>
    <cellStyle name="_19インチラック実装図_深川090827【ソフィアサーバ加筆】.xls_D&amp;I サーバ室配線（ラック実装図_深川より抜粋）" xfId="4097" xr:uid="{00000000-0005-0000-0000-0000BF0F0000}"/>
    <cellStyle name="_19インチラック実装図_深川090827【ソフィアサーバ加筆】.xls_D&amp;I サーバ室配線（ラック実装図_深川より抜粋） 2" xfId="4098" xr:uid="{00000000-0005-0000-0000-0000C00F0000}"/>
    <cellStyle name="_19インチラック実装図_深川090827【ソフィアサーバ加筆】.xls_D&amp;I サーバ室配線（ラック実装図_深川より抜粋）_Ⅹ_課題と対応策_20121211" xfId="4099" xr:uid="{00000000-0005-0000-0000-0000C10F0000}"/>
    <cellStyle name="_19インチラック実装図_深川090827【ソフィアサーバ加筆】.xls_D&amp;I サーバ室配線（ラック実装図_深川より抜粋）_Ⅹ_課題と対応策_20121211 2" xfId="4100" xr:uid="{00000000-0005-0000-0000-0000C20F0000}"/>
    <cellStyle name="_19インチラック実装図_深川090827【ソフィアサーバ加筆】.xls_MR_SV#B" xfId="4101" xr:uid="{00000000-0005-0000-0000-0000C30F0000}"/>
    <cellStyle name="_19インチラック実装図_深川090827【ソフィアサーバ加筆】.xls_MR_SV#B 2" xfId="4102" xr:uid="{00000000-0005-0000-0000-0000C40F0000}"/>
    <cellStyle name="_19インチラック実装図_深川090827【ソフィアサーバ加筆】.xls_MR_SV#B_Ⅹ_課題と対応策_20121211" xfId="4103" xr:uid="{00000000-0005-0000-0000-0000C50F0000}"/>
    <cellStyle name="_19インチラック実装図_深川090827【ソフィアサーバ加筆】.xls_MR_SV#B_Ⅹ_課題と対応策_20121211 2" xfId="4104" xr:uid="{00000000-0005-0000-0000-0000C60F0000}"/>
    <cellStyle name="_19インチラック実装図_深川090827【ソフィアサーバ加筆】.xls_MR内UTPﾊﾟｯﾁﾊﾟﾈﾙ物理構成図091218" xfId="4105" xr:uid="{00000000-0005-0000-0000-0000C70F0000}"/>
    <cellStyle name="_19インチラック実装図_深川090827【ソフィアサーバ加筆】.xls_MR内UTPﾊﾟｯﾁﾊﾟﾈﾙ物理構成図091218 2" xfId="4106" xr:uid="{00000000-0005-0000-0000-0000C80F0000}"/>
    <cellStyle name="_19インチラック実装図_深川090827【ソフィアサーバ加筆】.xls_MR内UTPﾊﾟｯﾁﾊﾟﾈﾙ物理構成図091218_Ⅹ_課題と対応策_20121211" xfId="4107" xr:uid="{00000000-0005-0000-0000-0000C90F0000}"/>
    <cellStyle name="_19インチラック実装図_深川090827【ソフィアサーバ加筆】.xls_MR内UTPﾊﾟｯﾁﾊﾟﾈﾙ物理構成図091218_Ⅹ_課題と対応策_20121211 2" xfId="4108" xr:uid="{00000000-0005-0000-0000-0000CA0F0000}"/>
    <cellStyle name="_19インチラック実装図_深川090827【ソフィアサーバ加筆】.xls_コピー全フロア記入19インチラック実装図_深川091210作成中" xfId="4109" xr:uid="{00000000-0005-0000-0000-0000CB0F0000}"/>
    <cellStyle name="_19インチラック実装図_深川090827【ソフィアサーバ加筆】.xls_コピー全フロア記入19インチラック実装図_深川091210作成中 2" xfId="4110" xr:uid="{00000000-0005-0000-0000-0000CC0F0000}"/>
    <cellStyle name="_19インチラック実装図_深川090827【ソフィアサーバ加筆】.xls_コピー全フロア記入19インチラック実装図_深川091210作成中_Ⅹ_課題と対応策_20121211" xfId="4111" xr:uid="{00000000-0005-0000-0000-0000CD0F0000}"/>
    <cellStyle name="_19インチラック実装図_深川090827【ソフィアサーバ加筆】.xls_コピー全フロア記入19インチラック実装図_深川091210作成中_Ⅹ_課題と対応策_20121211 2" xfId="4112" xr:uid="{00000000-0005-0000-0000-0000CE0F0000}"/>
    <cellStyle name="_19インチラック実装図_深川090827【ソフィアサーバ加筆】.xls_ラック実装2FMR_３～５F（ラック実装図_深川より抜粋）" xfId="4113" xr:uid="{00000000-0005-0000-0000-0000CF0F0000}"/>
    <cellStyle name="_19インチラック実装図_深川090827【ソフィアサーバ加筆】.xls_ラック実装2FMR_３～５F（ラック実装図_深川より抜粋） 2" xfId="4114" xr:uid="{00000000-0005-0000-0000-0000D00F0000}"/>
    <cellStyle name="_19インチラック実装図_深川090827【ソフィアサーバ加筆】.xls_ラック実装2FMR_３～５F（ラック実装図_深川より抜粋）_Ⅹ_課題と対応策_20121211" xfId="4115" xr:uid="{00000000-0005-0000-0000-0000D10F0000}"/>
    <cellStyle name="_19インチラック実装図_深川090827【ソフィアサーバ加筆】.xls_ラック実装2FMR_３～５F（ラック実装図_深川より抜粋）_Ⅹ_課題と対応策_20121211 2" xfId="4116" xr:uid="{00000000-0005-0000-0000-0000D20F0000}"/>
    <cellStyle name="_19インチラック実装図_深川090827【ソフィアサーバ加筆】.xls_深川DTSラックマウント" xfId="4117" xr:uid="{00000000-0005-0000-0000-0000D30F0000}"/>
    <cellStyle name="_19インチラック実装図_深川090827【ソフィアサーバ加筆】.xls_深川DTSラックマウント 2" xfId="4118" xr:uid="{00000000-0005-0000-0000-0000D40F0000}"/>
    <cellStyle name="_19インチラック実装図_深川090827【ソフィアサーバ加筆】.xls_深川DTSラックマウント_Ⅹ_課題と対応策_20121211" xfId="4119" xr:uid="{00000000-0005-0000-0000-0000D50F0000}"/>
    <cellStyle name="_19インチラック実装図_深川090827【ソフィアサーバ加筆】.xls_深川DTSラックマウント_Ⅹ_課題と対応策_20121211 2" xfId="4120" xr:uid="{00000000-0005-0000-0000-0000D60F0000}"/>
    <cellStyle name="_19インチラック実装図_深川090827【ソフィアサーバ加筆】.xls_深川TFX用FWラックマウント" xfId="4121" xr:uid="{00000000-0005-0000-0000-0000D70F0000}"/>
    <cellStyle name="_19インチラック実装図_深川090827【ソフィアサーバ加筆】.xls_深川TFX用FWラックマウント 2" xfId="4122" xr:uid="{00000000-0005-0000-0000-0000D80F0000}"/>
    <cellStyle name="_19インチラック実装図_深川090827【ソフィアサーバ加筆】.xls_深川TFX用FWラックマウント_Ⅹ_課題と対応策_20121211" xfId="4123" xr:uid="{00000000-0005-0000-0000-0000D90F0000}"/>
    <cellStyle name="_19インチラック実装図_深川090827【ソフィアサーバ加筆】.xls_深川TFX用FWラックマウント_Ⅹ_課題と対応策_20121211 2" xfId="4124" xr:uid="{00000000-0005-0000-0000-0000DA0F0000}"/>
    <cellStyle name="_19インチラック実装図_深川090827【ソフィアサーバ加筆】.xls_全フロア記入19イン  チラック実装図_100118　修正1" xfId="4125" xr:uid="{00000000-0005-0000-0000-0000DB0F0000}"/>
    <cellStyle name="_19インチラック実装図_深川090827【ソフィアサーバ加筆】.xls_全フロア記入19イン  チラック実装図_100118　修正1 2" xfId="4126" xr:uid="{00000000-0005-0000-0000-0000DC0F0000}"/>
    <cellStyle name="_19インチラック実装図_深川090827【ソフィアサーバ加筆】.xls_全フロア記入19イン  チラック実装図_100118　修正1_Ⅹ_課題と対応策_20121211" xfId="4127" xr:uid="{00000000-0005-0000-0000-0000DD0F0000}"/>
    <cellStyle name="_19インチラック実装図_深川090827【ソフィアサーバ加筆】.xls_全フロア記入19イン  チラック実装図_100118　修正1_Ⅹ_課題と対応策_20121211 2" xfId="4128" xr:uid="{00000000-0005-0000-0000-0000DE0F0000}"/>
    <cellStyle name="_19インチラック実装図_深川090827【ソフィアサーバ加筆】.xls_全フロア記入19イン  チラック実装図_深 川091224_ソフィア修正" xfId="4129" xr:uid="{00000000-0005-0000-0000-0000DF0F0000}"/>
    <cellStyle name="_19インチラック実装図_深川090827【ソフィアサーバ加筆】.xls_全フロア記入19イン  チラック実装図_深 川091224_ソフィア修正 2" xfId="4130" xr:uid="{00000000-0005-0000-0000-0000E00F0000}"/>
    <cellStyle name="_19インチラック実装図_深川090827【ソフィアサーバ加筆】.xls_全フロア記入19イン  チラック実装図_深 川091224_ソフィア修正_Ⅹ_課題と対応策_20121211" xfId="4131" xr:uid="{00000000-0005-0000-0000-0000E10F0000}"/>
    <cellStyle name="_19インチラック実装図_深川090827【ソフィアサーバ加筆】.xls_全フロア記入19イン  チラック実装図_深 川091224_ソフィア修正_Ⅹ_課題と対応策_20121211 2" xfId="4132" xr:uid="{00000000-0005-0000-0000-0000E20F0000}"/>
    <cellStyle name="_19インチラック実装図_深川090827【ソフィアサーバ加筆】.xls_全フロア記入19インチラック実装図_100120　修正 " xfId="4133" xr:uid="{00000000-0005-0000-0000-0000E30F0000}"/>
    <cellStyle name="_19インチラック実装図_深川090827【ソフィアサーバ加筆】.xls_全フロア記入19インチラック実装図_100120　修正  2" xfId="4134" xr:uid="{00000000-0005-0000-0000-0000E40F0000}"/>
    <cellStyle name="_19インチラック実装図_深川090827【ソフィアサーバ加筆】.xls_全フロア記入19インチラック実装図_100120　修正 _Ⅹ_課題と対応策_20121211" xfId="4135" xr:uid="{00000000-0005-0000-0000-0000E50F0000}"/>
    <cellStyle name="_19インチラック実装図_深川090827【ソフィアサーバ加筆】.xls_全フロア記入19インチラック実装図_100120　修正 _Ⅹ_課題と対応策_20121211 2" xfId="4136" xr:uid="{00000000-0005-0000-0000-0000E60F0000}"/>
    <cellStyle name="_19インチラック実装図_深川090827【ソフィアサーバ加筆】.xls_全フロア記入19インチラック実装図_100311修正" xfId="4137" xr:uid="{00000000-0005-0000-0000-0000E70F0000}"/>
    <cellStyle name="_19インチラック実装図_深川090827【ソフィアサーバ加筆】.xls_全フロア記入19インチラック実装図_100311修正 2" xfId="4138" xr:uid="{00000000-0005-0000-0000-0000E80F0000}"/>
    <cellStyle name="_19インチラック実装図_深川090827【ソフィアサーバ加筆】.xls_全フロア記入19インチラック実装図_100311修正_Ⅹ_課題と対応策_20121211" xfId="4139" xr:uid="{00000000-0005-0000-0000-0000E90F0000}"/>
    <cellStyle name="_19インチラック実装図_深川090827【ソフィアサーバ加筆】.xls_全フロア記入19インチラック実装図_100311修正_Ⅹ_課題と対応策_20121211 2" xfId="4140" xr:uid="{00000000-0005-0000-0000-0000EA0F0000}"/>
    <cellStyle name="_19インチラック実装図_深川090827【ソフィアサーバ加筆】.xls_全フロア記入19インチラック実装図_1003145NTTC" xfId="4141" xr:uid="{00000000-0005-0000-0000-0000EB0F0000}"/>
    <cellStyle name="_19インチラック実装図_深川090827【ソフィアサーバ加筆】.xls_全フロア記入19インチラック実装図_1003145NTTC 2" xfId="4142" xr:uid="{00000000-0005-0000-0000-0000EC0F0000}"/>
    <cellStyle name="_19インチラック実装図_深川090827【ソフィアサーバ加筆】.xls_全フロア記入19インチラック実装図_1003145NTTC_Ⅹ_課題と対応策_20121211" xfId="4143" xr:uid="{00000000-0005-0000-0000-0000ED0F0000}"/>
    <cellStyle name="_19インチラック実装図_深川090827【ソフィアサーバ加筆】.xls_全フロア記入19インチラック実装図_1003145NTTC_Ⅹ_課題と対応策_20121211 2" xfId="4144" xr:uid="{00000000-0005-0000-0000-0000EE0F0000}"/>
    <cellStyle name="_19インチラック実装図_深川090827【ソフィアサーバ加筆】.xls_全フロア記入19インチラック実装図_1003145NTTCom修正" xfId="4145" xr:uid="{00000000-0005-0000-0000-0000EF0F0000}"/>
    <cellStyle name="_19インチラック実装図_深川090827【ソフィアサーバ加筆】.xls_全フロア記入19インチラック実装図_1003145NTTCom修正 2" xfId="4146" xr:uid="{00000000-0005-0000-0000-0000F00F0000}"/>
    <cellStyle name="_19インチラック実装図_深川090827【ソフィアサーバ加筆】.xls_全フロア記入19インチラック実装図_1003145NTTCom修正_Ⅹ_課題と対応策_20121211" xfId="4147" xr:uid="{00000000-0005-0000-0000-0000F10F0000}"/>
    <cellStyle name="_19インチラック実装図_深川090827【ソフィアサーバ加筆】.xls_全フロア記入19インチラック実装図_1003145NTTCom修正_Ⅹ_課題と対応策_20121211 2" xfId="4148" xr:uid="{00000000-0005-0000-0000-0000F20F0000}"/>
    <cellStyle name="_19インチラック実装図_深川090827【ソフィアサーバ加筆】.xls_全フロア記入19インチラック実装図_100316 _修正" xfId="4149" xr:uid="{00000000-0005-0000-0000-0000F30F0000}"/>
    <cellStyle name="_19インチラック実装図_深川090827【ソフィアサーバ加筆】.xls_全フロア記入19インチラック実装図_100316 _修正 2" xfId="4150" xr:uid="{00000000-0005-0000-0000-0000F40F0000}"/>
    <cellStyle name="_19インチラック実装図_深川090827【ソフィアサーバ加筆】.xls_全フロア記入19インチラック実装図_100316 _修正_Ⅹ_課題と対応策_20121211" xfId="4151" xr:uid="{00000000-0005-0000-0000-0000F50F0000}"/>
    <cellStyle name="_19インチラック実装図_深川090827【ソフィアサーバ加筆】.xls_全フロア記入19インチラック実装図_100316 _修正_Ⅹ_課題と対応策_20121211 2" xfId="4152" xr:uid="{00000000-0005-0000-0000-0000F60F0000}"/>
    <cellStyle name="_19インチラック実装図_深川090827【ソフィアサーバ加筆】.xls_全フロア記入19インチラック実装図_100318_ソフィア修正" xfId="4153" xr:uid="{00000000-0005-0000-0000-0000F70F0000}"/>
    <cellStyle name="_19インチラック実装図_深川090827【ソフィアサーバ加筆】.xls_全フロア記入19インチラック実装図_100318_ソフィア修正 2" xfId="4154" xr:uid="{00000000-0005-0000-0000-0000F80F0000}"/>
    <cellStyle name="_19インチラック実装図_深川090827【ソフィアサーバ加筆】.xls_全フロア記入19インチラック実装図_100318_ソフィア修正_Ⅹ_課題と対応策_20121211" xfId="4155" xr:uid="{00000000-0005-0000-0000-0000F90F0000}"/>
    <cellStyle name="_19インチラック実装図_深川090827【ソフィアサーバ加筆】.xls_全フロア記入19インチラック実装図_100318_ソフィア修正_Ⅹ_課題と対応策_20121211 2" xfId="4156" xr:uid="{00000000-0005-0000-0000-0000FA0F0000}"/>
    <cellStyle name="_19インチラック実装図_深川090827【ソフィアサーバ加筆】.xls_全フロア記入19インチラック実装図_20100310_修正" xfId="4157" xr:uid="{00000000-0005-0000-0000-0000FB0F0000}"/>
    <cellStyle name="_19インチラック実装図_深川090827【ソフィアサーバ加筆】.xls_全フロア記入19インチラック実装図_20100310_修正 2" xfId="4158" xr:uid="{00000000-0005-0000-0000-0000FC0F0000}"/>
    <cellStyle name="_19インチラック実装図_深川090827【ソフィアサーバ加筆】.xls_全フロア記入19インチラック実装図_20100310_修正_Ⅹ_課題と対応策_20121211" xfId="4159" xr:uid="{00000000-0005-0000-0000-0000FD0F0000}"/>
    <cellStyle name="_19インチラック実装図_深川090827【ソフィアサーバ加筆】.xls_全フロア記入19インチラック実装図_20100310_修正_Ⅹ_課題と対応策_20121211 2" xfId="4160" xr:uid="{00000000-0005-0000-0000-0000FE0F0000}"/>
    <cellStyle name="_19インチラック実装図_深川090827【ソフィアサーバ加筆】.xls_全フロア記入19インチラック実装図_深川091210作成中(ソフィア修正) (1)" xfId="4161" xr:uid="{00000000-0005-0000-0000-0000FF0F0000}"/>
    <cellStyle name="_19インチラック実装図_深川090827【ソフィアサーバ加筆】.xls_全フロア記入19インチラック実装図_深川091210作成中(ソフィア修正) (1) 2" xfId="4162" xr:uid="{00000000-0005-0000-0000-000000100000}"/>
    <cellStyle name="_19インチラック実装図_深川090827【ソフィアサーバ加筆】.xls_全フロア記入19インチラック実装図_深川091210作成中(ソフィア修正) (1)_Ⅹ_課題と対応策_20121211" xfId="4163" xr:uid="{00000000-0005-0000-0000-000001100000}"/>
    <cellStyle name="_19インチラック実装図_深川090827【ソフィアサーバ加筆】.xls_全フロア記入19インチラック実装図_深川091210作成中(ソフィア修正) (1)_Ⅹ_課題と対応策_20121211 2" xfId="4164" xr:uid="{00000000-0005-0000-0000-000002100000}"/>
    <cellStyle name="_19インチラック実装図_深川090827【ソフィアサーバ加筆】.xls_全フロア記入19インチラック実装図_深川100311" xfId="4165" xr:uid="{00000000-0005-0000-0000-000003100000}"/>
    <cellStyle name="_19インチラック実装図_深川090827【ソフィアサーバ加筆】.xls_全フロア記入19インチラック実装図_深川100311 2" xfId="4166" xr:uid="{00000000-0005-0000-0000-000004100000}"/>
    <cellStyle name="_19インチラック実装図_深川090827【ソフィアサーバ加筆】.xls_全フロア記入19インチラック実装図_深川100311_Ⅹ_課題と対応策_20121211" xfId="4167" xr:uid="{00000000-0005-0000-0000-000005100000}"/>
    <cellStyle name="_19インチラック実装図_深川090827【ソフィアサーバ加筆】.xls_全フロア記入19インチラック実装図_深川100311_Ⅹ_課題と対応策_20121211 2" xfId="4168" xr:uid="{00000000-0005-0000-0000-000006100000}"/>
    <cellStyle name="_20101201変更依頼：千里構内回線敷設要望書（統合監視）" xfId="4169" xr:uid="{00000000-0005-0000-0000-000007100000}"/>
    <cellStyle name="_20101201変更依頼：千里構内回線敷設要望書（統合監視） 2" xfId="4170" xr:uid="{00000000-0005-0000-0000-000008100000}"/>
    <cellStyle name="_20101201変更依頼：千里構内回線敷設要望書（統合監視）_Ⅹ_課題と対応策_20121211" xfId="4171" xr:uid="{00000000-0005-0000-0000-000009100000}"/>
    <cellStyle name="_20101201変更依頼：千里構内回線敷設要望書（統合監視）_Ⅹ_課題と対応策_20121211 2" xfId="4172" xr:uid="{00000000-0005-0000-0000-00000A100000}"/>
    <cellStyle name="_4F設置場所" xfId="4173" xr:uid="{00000000-0005-0000-0000-00000B100000}"/>
    <cellStyle name="_4F設置場所 2" xfId="4174" xr:uid="{00000000-0005-0000-0000-00000C100000}"/>
    <cellStyle name="_4F設置場所_(自動機監視GW) 【20090602】千里導入明細資料_２１年度fj分" xfId="4175" xr:uid="{00000000-0005-0000-0000-00000D100000}"/>
    <cellStyle name="_4F設置場所_(自動機監視GW) 【20090602】千里導入明細資料_２１年度fj分 2" xfId="4176" xr:uid="{00000000-0005-0000-0000-00000E100000}"/>
    <cellStyle name="_4F設置場所_(自動機監視GW) 【20090602】千里導入明細資料_２１年度fj分_【20091218】千里導入明細資料_２１年度分（ネットワーク敷設）" xfId="4177" xr:uid="{00000000-0005-0000-0000-00000F100000}"/>
    <cellStyle name="_4F設置場所_(自動機監視GW) 【20090602】千里導入明細資料_２１年度fj分_【20091218】千里導入明細資料_２１年度分（ネットワーク敷設） 2" xfId="4178" xr:uid="{00000000-0005-0000-0000-000010100000}"/>
    <cellStyle name="_4F設置場所_(自動機監視GW) 【20090602】千里導入明細資料_２１年度fj分_【20091218】千里導入明細資料_２１年度分（ネットワーク敷設）_Ⅹ_課題と対応策_20121211" xfId="4179" xr:uid="{00000000-0005-0000-0000-000011100000}"/>
    <cellStyle name="_4F設置場所_(自動機監視GW) 【20090602】千里導入明細資料_２１年度fj分_【20091218】千里導入明細資料_２１年度分（ネットワーク敷設）_Ⅹ_課題と対応策_20121211 2" xfId="4180" xr:uid="{00000000-0005-0000-0000-000012100000}"/>
    <cellStyle name="_4F設置場所_(自動機監視GW) 【20090602】千里導入明細資料_２１年度fj分_Ⅹ_課題と対応策_20121211" xfId="4181" xr:uid="{00000000-0005-0000-0000-000013100000}"/>
    <cellStyle name="_4F設置場所_(自動機監視GW) 【20090602】千里導入明細資料_２１年度fj分_Ⅹ_課題と対応策_20121211 2" xfId="4182" xr:uid="{00000000-0005-0000-0000-000014100000}"/>
    <cellStyle name="_4F設置場所_(自動機監視GW) 【20090602】千里導入明細資料_２１年度fj分_千里導入明細資料_２２年度分（ネットワーク敷設）_fj" xfId="4183" xr:uid="{00000000-0005-0000-0000-000015100000}"/>
    <cellStyle name="_4F設置場所_(自動機監視GW) 【20090602】千里導入明細資料_２１年度fj分_千里導入明細資料_２２年度分（ネットワーク敷設）_fj 2" xfId="4184" xr:uid="{00000000-0005-0000-0000-000016100000}"/>
    <cellStyle name="_4F設置場所_(自動機監視GW) 【20090602】千里導入明細資料_２１年度fj分_千里導入明細資料_２２年度分（ネットワーク敷設）_fj_Ⅹ_課題と対応策_20121211" xfId="4185" xr:uid="{00000000-0005-0000-0000-000017100000}"/>
    <cellStyle name="_4F設置場所_(自動機監視GW) 【20090602】千里導入明細資料_２１年度fj分_千里導入明細資料_２２年度分（ネットワーク敷設）_fj_Ⅹ_課題と対応策_20121211 2" xfId="4186" xr:uid="{00000000-0005-0000-0000-000018100000}"/>
    <cellStyle name="_4F設置場所_【20090715】千里導入明細資料_２１年度分（９月工事分）_fj" xfId="4187" xr:uid="{00000000-0005-0000-0000-000019100000}"/>
    <cellStyle name="_4F設置場所_【20090715】千里導入明細資料_２１年度分（９月工事分）_fj 2" xfId="4188" xr:uid="{00000000-0005-0000-0000-00001A100000}"/>
    <cellStyle name="_4F設置場所_【20090715】千里導入明細資料_２１年度分（９月工事分）_fj_【20090721】千里導入明細資料_２１年度分" xfId="4189" xr:uid="{00000000-0005-0000-0000-00001B100000}"/>
    <cellStyle name="_4F設置場所_【20090715】千里導入明細資料_２１年度分（９月工事分）_fj_【20090721】千里導入明細資料_２１年度分 2" xfId="4190" xr:uid="{00000000-0005-0000-0000-00001C100000}"/>
    <cellStyle name="_4F設置場所_【20090715】千里導入明細資料_２１年度分（９月工事分）_fj_【20090721】千里導入明細資料_２１年度分（９月工事分）_ETERNUS追加" xfId="4191" xr:uid="{00000000-0005-0000-0000-00001D100000}"/>
    <cellStyle name="_4F設置場所_【20090715】千里導入明細資料_２１年度分（９月工事分）_fj_【20090721】千里導入明細資料_２１年度分（９月工事分）_ETERNUS追加 2" xfId="4192" xr:uid="{00000000-0005-0000-0000-00001E100000}"/>
    <cellStyle name="_4F設置場所_【20090715】千里導入明細資料_２１年度分（９月工事分）_fj_【20090721】千里導入明細資料_２１年度分（９月工事分）_ETERNUS追加_【20090731】千里導入明細資料_２１年度分（９月工事分）" xfId="4193" xr:uid="{00000000-0005-0000-0000-00001F100000}"/>
    <cellStyle name="_4F設置場所_【20090715】千里導入明細資料_２１年度分（９月工事分）_fj_【20090721】千里導入明細資料_２１年度分（９月工事分）_ETERNUS追加_【20090731】千里導入明細資料_２１年度分（９月工事分） 2" xfId="4194" xr:uid="{00000000-0005-0000-0000-000020100000}"/>
    <cellStyle name="_4F設置場所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" xfId="4195" xr:uid="{00000000-0005-0000-0000-000021100000}"/>
    <cellStyle name="_4F設置場所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 2" xfId="4196" xr:uid="{00000000-0005-0000-0000-000022100000}"/>
    <cellStyle name="_4F設置場所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_Ⅹ_課題と対応策_20121211" xfId="4197" xr:uid="{00000000-0005-0000-0000-000023100000}"/>
    <cellStyle name="_4F設置場所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_Ⅹ_課題と対応策_20121211 2" xfId="4198" xr:uid="{00000000-0005-0000-0000-000024100000}"/>
    <cellStyle name="_4F設置場所_【20090715】千里導入明細資料_２１年度分（９月工事分）_fj_【20090721】千里導入明細資料_２１年度分（９月工事分）_ETERNUS追加_【20090731】千里導入明細資料_２１年度分（９月工事分）_Ⅹ_課題と対応策_20121211" xfId="4199" xr:uid="{00000000-0005-0000-0000-000025100000}"/>
    <cellStyle name="_4F設置場所_【20090715】千里導入明細資料_２１年度分（９月工事分）_fj_【20090721】千里導入明細資料_２１年度分（９月工事分）_ETERNUS追加_【20090731】千里導入明細資料_２１年度分（９月工事分）_Ⅹ_課題と対応策_20121211 2" xfId="4200" xr:uid="{00000000-0005-0000-0000-000026100000}"/>
    <cellStyle name="_4F設置場所_【20090715】千里導入明細資料_２１年度分（９月工事分）_fj_【20090721】千里導入明細資料_２１年度分（９月工事分）_ETERNUS追加_【20090821】千里ラック搭載図（NW機器）" xfId="4201" xr:uid="{00000000-0005-0000-0000-000027100000}"/>
    <cellStyle name="_4F設置場所_【20090715】千里導入明細資料_２１年度分（９月工事分）_fj_【20090721】千里導入明細資料_２１年度分（９月工事分）_ETERNUS追加_【20090821】千里ラック搭載図（NW機器） 2" xfId="4202" xr:uid="{00000000-0005-0000-0000-000028100000}"/>
    <cellStyle name="_4F設置場所_【20090715】千里導入明細資料_２１年度分（９月工事分）_fj_【20090721】千里導入明細資料_２１年度分（９月工事分）_ETERNUS追加_【20090821】千里ラック搭載図（NW機器）_Ⅹ_課題と対応策_20121211" xfId="4203" xr:uid="{00000000-0005-0000-0000-000029100000}"/>
    <cellStyle name="_4F設置場所_【20090715】千里導入明細資料_２１年度分（９月工事分）_fj_【20090721】千里導入明細資料_２１年度分（９月工事分）_ETERNUS追加_【20090821】千里ラック搭載図（NW機器）_Ⅹ_課題と対応策_20121211 2" xfId="4204" xr:uid="{00000000-0005-0000-0000-00002A100000}"/>
    <cellStyle name="_4F設置場所_【20090715】千里導入明細資料_２１年度分（９月工事分）_fj_【20090721】千里導入明細資料_２１年度分（９月工事分）_ETERNUS追加_【20091218】千里導入明細資料_２１年度分（ネットワーク敷設）" xfId="4205" xr:uid="{00000000-0005-0000-0000-00002B100000}"/>
    <cellStyle name="_4F設置場所_【20090715】千里導入明細資料_２１年度分（９月工事分）_fj_【20090721】千里導入明細資料_２１年度分（９月工事分）_ETERNUS追加_【20091218】千里導入明細資料_２１年度分（ネットワーク敷設） 2" xfId="4206" xr:uid="{00000000-0005-0000-0000-00002C100000}"/>
    <cellStyle name="_4F設置場所_【20090715】千里導入明細資料_２１年度分（９月工事分）_fj_【20090721】千里導入明細資料_２１年度分（９月工事分）_ETERNUS追加_【20091218】千里導入明細資料_２１年度分（ネットワーク敷設）_Ⅹ_課題と対応策_20121211" xfId="4207" xr:uid="{00000000-0005-0000-0000-00002D100000}"/>
    <cellStyle name="_4F設置場所_【20090715】千里導入明細資料_２１年度分（９月工事分）_fj_【20090721】千里導入明細資料_２１年度分（９月工事分）_ETERNUS追加_【20091218】千里導入明細資料_２１年度分（ネットワーク敷設）_Ⅹ_課題と対応策_20121211 2" xfId="4208" xr:uid="{00000000-0005-0000-0000-00002E100000}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" xfId="4209" xr:uid="{00000000-0005-0000-0000-00002F100000}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 2" xfId="4210" xr:uid="{00000000-0005-0000-0000-000030100000}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" xfId="4211" xr:uid="{00000000-0005-0000-0000-000031100000}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 2" xfId="4212" xr:uid="{00000000-0005-0000-0000-000032100000}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" xfId="4213" xr:uid="{00000000-0005-0000-0000-000033100000}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 2" xfId="4214" xr:uid="{00000000-0005-0000-0000-000034100000}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_Ⅹ_課題と対応策_20121211" xfId="4215" xr:uid="{00000000-0005-0000-0000-000035100000}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4216" xr:uid="{00000000-0005-0000-0000-000036100000}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Ⅹ_課題と対応策_20121211" xfId="4217" xr:uid="{00000000-0005-0000-0000-000037100000}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Ⅹ_課題と対応策_20121211 2" xfId="4218" xr:uid="{00000000-0005-0000-0000-000038100000}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" xfId="4219" xr:uid="{00000000-0005-0000-0000-000039100000}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 2" xfId="4220" xr:uid="{00000000-0005-0000-0000-00003A100000}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" xfId="4221" xr:uid="{00000000-0005-0000-0000-00003B100000}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 2" xfId="4222" xr:uid="{00000000-0005-0000-0000-00003C100000}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_Ⅹ_課題と対応策_20121211" xfId="4223" xr:uid="{00000000-0005-0000-0000-00003D100000}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_Ⅹ_課題と対応策_20121211 2" xfId="4224" xr:uid="{00000000-0005-0000-0000-00003E100000}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Ⅹ_課題と対応策_20121211" xfId="4225" xr:uid="{00000000-0005-0000-0000-00003F100000}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Ⅹ_課題と対応策_20121211 2" xfId="4226" xr:uid="{00000000-0005-0000-0000-000040100000}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Ⅹ_課題と対応策_20121211" xfId="4227" xr:uid="{00000000-0005-0000-0000-000041100000}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Ⅹ_課題と対応策_20121211 2" xfId="4228" xr:uid="{00000000-0005-0000-0000-000042100000}"/>
    <cellStyle name="_4F設置場所_【20090715】千里導入明細資料_２１年度分（９月工事分）_fj_【20090721】千里導入明細資料_２１年度分（９月工事分）_ETERNUS追加_【20091225】千里導入明細資料_２２年度上期分" xfId="4229" xr:uid="{00000000-0005-0000-0000-000043100000}"/>
    <cellStyle name="_4F設置場所_【20090715】千里導入明細資料_２１年度分（９月工事分）_fj_【20090721】千里導入明細資料_２１年度分（９月工事分）_ETERNUS追加_【20091225】千里導入明細資料_２２年度上期分 2" xfId="4230" xr:uid="{00000000-0005-0000-0000-000044100000}"/>
    <cellStyle name="_4F設置場所_【20090715】千里導入明細資料_２１年度分（９月工事分）_fj_【20090721】千里導入明細資料_２１年度分（９月工事分）_ETERNUS追加_【20091225】千里導入明細資料_２２年度上期分_Ⅹ_課題と対応策_20121211" xfId="4231" xr:uid="{00000000-0005-0000-0000-000045100000}"/>
    <cellStyle name="_4F設置場所_【20090715】千里導入明細資料_２１年度分（９月工事分）_fj_【20090721】千里導入明細資料_２１年度分（９月工事分）_ETERNUS追加_【20091225】千里導入明細資料_２２年度上期分_Ⅹ_課題と対応策_20121211 2" xfId="4232" xr:uid="{00000000-0005-0000-0000-000046100000}"/>
    <cellStyle name="_4F設置場所_【20090715】千里導入明細資料_２１年度分（９月工事分）_fj_【20090721】千里導入明細資料_２１年度分（９月工事分）_ETERNUS追加_【20091225】千里導入明細資料_２２年度上期分_営業店DB" xfId="4233" xr:uid="{00000000-0005-0000-0000-000047100000}"/>
    <cellStyle name="_4F設置場所_【20090715】千里導入明細資料_２１年度分（９月工事分）_fj_【20090721】千里導入明細資料_２１年度分（９月工事分）_ETERNUS追加_【20091225】千里導入明細資料_２２年度上期分_営業店DB 2" xfId="4234" xr:uid="{00000000-0005-0000-0000-000048100000}"/>
    <cellStyle name="_4F設置場所_【20090715】千里導入明細資料_２１年度分（９月工事分）_fj_【20090721】千里導入明細資料_２１年度分（９月工事分）_ETERNUS追加_【20091225】千里導入明細資料_２２年度上期分_営業店DB_Ⅹ_課題と対応策_20121211" xfId="4235" xr:uid="{00000000-0005-0000-0000-000049100000}"/>
    <cellStyle name="_4F設置場所_【20090715】千里導入明細資料_２１年度分（９月工事分）_fj_【20090721】千里導入明細資料_２１年度分（９月工事分）_ETERNUS追加_【20091225】千里導入明細資料_２２年度上期分_営業店DB_Ⅹ_課題と対応策_20121211 2" xfId="4236" xr:uid="{00000000-0005-0000-0000-00004A100000}"/>
    <cellStyle name="_4F設置場所_【20090715】千里導入明細資料_２１年度分（９月工事分）_fj_【20090721】千里導入明細資料_２１年度分（９月工事分）_ETERNUS追加_【20091225】千里導入明細資料_２２年度上期分_連携DB" xfId="4237" xr:uid="{00000000-0005-0000-0000-00004B100000}"/>
    <cellStyle name="_4F設置場所_【20090715】千里導入明細資料_２１年度分（９月工事分）_fj_【20090721】千里導入明細資料_２１年度分（９月工事分）_ETERNUS追加_【20091225】千里導入明細資料_２２年度上期分_連携DB 2" xfId="4238" xr:uid="{00000000-0005-0000-0000-00004C100000}"/>
    <cellStyle name="_4F設置場所_【20090715】千里導入明細資料_２１年度分（９月工事分）_fj_【20090721】千里導入明細資料_２１年度分（９月工事分）_ETERNUS追加_【20091225】千里導入明細資料_２２年度上期分_連携DB_Ⅹ_課題と対応策_20121211" xfId="4239" xr:uid="{00000000-0005-0000-0000-00004D100000}"/>
    <cellStyle name="_4F設置場所_【20090715】千里導入明細資料_２１年度分（９月工事分）_fj_【20090721】千里導入明細資料_２１年度分（９月工事分）_ETERNUS追加_【20091225】千里導入明細資料_２２年度上期分_連携DB_Ⅹ_課題と対応策_20121211 2" xfId="4240" xr:uid="{00000000-0005-0000-0000-00004E100000}"/>
    <cellStyle name="_4F設置場所_【20090715】千里導入明細資料_２１年度分（９月工事分）_fj_【20090721】千里導入明細資料_２１年度分（９月工事分）_ETERNUS追加_【200912xx】千里導入明細資料_２２年度上期分" xfId="4241" xr:uid="{00000000-0005-0000-0000-00004F100000}"/>
    <cellStyle name="_4F設置場所_【20090715】千里導入明細資料_２１年度分（９月工事分）_fj_【20090721】千里導入明細資料_２１年度分（９月工事分）_ETERNUS追加_【200912xx】千里導入明細資料_２２年度上期分 2" xfId="4242" xr:uid="{00000000-0005-0000-0000-000050100000}"/>
    <cellStyle name="_4F設置場所_【20090715】千里導入明細資料_２１年度分（９月工事分）_fj_【20090721】千里導入明細資料_２１年度分（９月工事分）_ETERNUS追加_【200912xx】千里導入明細資料_２２年度上期分（為替分）" xfId="4243" xr:uid="{00000000-0005-0000-0000-000051100000}"/>
    <cellStyle name="_4F設置場所_【20090715】千里導入明細資料_２１年度分（９月工事分）_fj_【20090721】千里導入明細資料_２１年度分（９月工事分）_ETERNUS追加_【200912xx】千里導入明細資料_２２年度上期分（為替分） 2" xfId="4244" xr:uid="{00000000-0005-0000-0000-000052100000}"/>
    <cellStyle name="_4F設置場所_【20090715】千里導入明細資料_２１年度分（９月工事分）_fj_【20090721】千里導入明細資料_２１年度分（９月工事分）_ETERNUS追加_【200912xx】千里導入明細資料_２２年度上期分（為替分）_Ⅹ_課題と対応策_20121211" xfId="4245" xr:uid="{00000000-0005-0000-0000-000053100000}"/>
    <cellStyle name="_4F設置場所_【20090715】千里導入明細資料_２１年度分（９月工事分）_fj_【20090721】千里導入明細資料_２１年度分（９月工事分）_ETERNUS追加_【200912xx】千里導入明細資料_２２年度上期分（為替分）_Ⅹ_課題と対応策_20121211 2" xfId="4246" xr:uid="{00000000-0005-0000-0000-000054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" xfId="4247" xr:uid="{00000000-0005-0000-0000-000055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 2" xfId="4248" xr:uid="{00000000-0005-0000-0000-000056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" xfId="4249" xr:uid="{00000000-0005-0000-0000-000057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 2" xfId="4250" xr:uid="{00000000-0005-0000-0000-000058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_Ⅹ_課題と対応策_20121211" xfId="4251" xr:uid="{00000000-0005-0000-0000-000059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_Ⅹ_課題と対応策_20121211 2" xfId="4252" xr:uid="{00000000-0005-0000-0000-00005A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Ⅹ_課題と対応策_20121211" xfId="4253" xr:uid="{00000000-0005-0000-0000-00005B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Ⅹ_課題と対応策_20121211 2" xfId="4254" xr:uid="{00000000-0005-0000-0000-00005C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" xfId="4255" xr:uid="{00000000-0005-0000-0000-00005D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 2" xfId="4256" xr:uid="{00000000-0005-0000-0000-00005E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" xfId="4257" xr:uid="{00000000-0005-0000-0000-00005F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 2" xfId="4258" xr:uid="{00000000-0005-0000-0000-000060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_Ⅹ_課題と対応策_20121211" xfId="4259" xr:uid="{00000000-0005-0000-0000-000061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_Ⅹ_課題と対応策_20121211 2" xfId="4260" xr:uid="{00000000-0005-0000-0000-000062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Ⅹ_課題と対応策_20121211" xfId="4261" xr:uid="{00000000-0005-0000-0000-000063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Ⅹ_課題と対応策_20121211 2" xfId="4262" xr:uid="{00000000-0005-0000-0000-000064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" xfId="4263" xr:uid="{00000000-0005-0000-0000-000065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 2" xfId="4264" xr:uid="{00000000-0005-0000-0000-000066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" xfId="4265" xr:uid="{00000000-0005-0000-0000-000067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 2" xfId="4266" xr:uid="{00000000-0005-0000-0000-000068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_Ⅹ_課題と対応策_20121211" xfId="4267" xr:uid="{00000000-0005-0000-0000-000069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_Ⅹ_課題と対応策_20121211 2" xfId="4268" xr:uid="{00000000-0005-0000-0000-00006A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Ⅹ_課題と対応策_20121211" xfId="4269" xr:uid="{00000000-0005-0000-0000-00006B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Ⅹ_課題と対応策_20121211 2" xfId="4270" xr:uid="{00000000-0005-0000-0000-00006C100000}"/>
    <cellStyle name="_4F設置場所_【20090715】千里導入明細資料_２１年度分（９月工事分）_fj_【20090721】千里導入明細資料_２１年度分（９月工事分）_ETERNUS追加_【200912xx】千里導入明細資料_２２年度上期分_Ⅹ_課題と対応策_20121211" xfId="4271" xr:uid="{00000000-0005-0000-0000-00006D100000}"/>
    <cellStyle name="_4F設置場所_【20090715】千里導入明細資料_２１年度分（９月工事分）_fj_【20090721】千里導入明細資料_２１年度分（９月工事分）_ETERNUS追加_【200912xx】千里導入明細資料_２２年度上期分_Ⅹ_課題と対応策_20121211 2" xfId="4272" xr:uid="{00000000-0005-0000-0000-00006E100000}"/>
    <cellStyle name="_4F設置場所_【20090715】千里導入明細資料_２１年度分（９月工事分）_fj_【20090721】千里導入明細資料_２１年度分（９月工事分）_ETERNUS追加_【調整中】千里導入明細資料_２２年度上期分_fj_20100127" xfId="4273" xr:uid="{00000000-0005-0000-0000-00006F100000}"/>
    <cellStyle name="_4F設置場所_【20090715】千里導入明細資料_２１年度分（９月工事分）_fj_【20090721】千里導入明細資料_２１年度分（９月工事分）_ETERNUS追加_【調整中】千里導入明細資料_２２年度上期分_fj_20100127 2" xfId="4274" xr:uid="{00000000-0005-0000-0000-000070100000}"/>
    <cellStyle name="_4F設置場所_【20090715】千里導入明細資料_２１年度分（９月工事分）_fj_【20090721】千里導入明細資料_２１年度分（９月工事分）_ETERNUS追加_【調整中】千里導入明細資料_２２年度上期分_fj_20100127_Ⅹ_課題と対応策_20121211" xfId="4275" xr:uid="{00000000-0005-0000-0000-000071100000}"/>
    <cellStyle name="_4F設置場所_【20090715】千里導入明細資料_２１年度分（９月工事分）_fj_【20090721】千里導入明細資料_２１年度分（９月工事分）_ETERNUS追加_【調整中】千里導入明細資料_２２年度上期分_fj_20100127_Ⅹ_課題と対応策_20121211 2" xfId="4276" xr:uid="{00000000-0005-0000-0000-000072100000}"/>
    <cellStyle name="_4F設置場所_【20090715】千里導入明細資料_２１年度分（９月工事分）_fj_【20090721】千里導入明細資料_２１年度分（９月工事分）_ETERNUS追加_①【20091225】千里導入明細資料_２２年度上期1分)" xfId="4277" xr:uid="{00000000-0005-0000-0000-000073100000}"/>
    <cellStyle name="_4F設置場所_【20090715】千里導入明細資料_２１年度分（９月工事分）_fj_【20090721】千里導入明細資料_２１年度分（９月工事分）_ETERNUS追加_①【20091225】千里導入明細資料_２２年度上期1分) 2" xfId="4278" xr:uid="{00000000-0005-0000-0000-000074100000}"/>
    <cellStyle name="_4F設置場所_【20090715】千里導入明細資料_２１年度分（９月工事分）_fj_【20090721】千里導入明細資料_２１年度分（９月工事分）_ETERNUS追加_①【20091225】千里導入明細資料_２２年度上期1分)_Ⅹ_課題と対応策_20121211" xfId="4279" xr:uid="{00000000-0005-0000-0000-000075100000}"/>
    <cellStyle name="_4F設置場所_【20090715】千里導入明細資料_２１年度分（９月工事分）_fj_【20090721】千里導入明細資料_２１年度分（９月工事分）_ETERNUS追加_①【20091225】千里導入明細資料_２２年度上期1分)_Ⅹ_課題と対応策_20121211 2" xfId="4280" xr:uid="{00000000-0005-0000-0000-000076100000}"/>
    <cellStyle name="_4F設置場所_【20090715】千里導入明細資料_２１年度分（９月工事分）_fj_【20090721】千里導入明細資料_２１年度分（９月工事分）_ETERNUS追加_Ⅹ_課題と対応策_20121211" xfId="4281" xr:uid="{00000000-0005-0000-0000-000077100000}"/>
    <cellStyle name="_4F設置場所_【20090715】千里導入明細資料_２１年度分（９月工事分）_fj_【20090721】千里導入明細資料_２１年度分（９月工事分）_ETERNUS追加_Ⅹ_課題と対応策_20121211 2" xfId="4282" xr:uid="{00000000-0005-0000-0000-000078100000}"/>
    <cellStyle name="_4F設置場所_【20090715】千里導入明細資料_２１年度分（９月工事分）_fj_【20090721】千里導入明細資料_２１年度分（９月工事分）_ETERNUS追加_千里導入明細資料_２２年度分（ネットワーク敷設）_fj" xfId="4283" xr:uid="{00000000-0005-0000-0000-000079100000}"/>
    <cellStyle name="_4F設置場所_【20090715】千里導入明細資料_２１年度分（９月工事分）_fj_【20090721】千里導入明細資料_２１年度分（９月工事分）_ETERNUS追加_千里導入明細資料_２２年度分（ネットワーク敷設）_fj 2" xfId="4284" xr:uid="{00000000-0005-0000-0000-00007A100000}"/>
    <cellStyle name="_4F設置場所_【20090715】千里導入明細資料_２１年度分（９月工事分）_fj_【20090721】千里導入明細資料_２１年度分（９月工事分）_ETERNUS追加_千里導入明細資料_２２年度分（ネットワーク敷設）_fj_Ⅹ_課題と対応策_20121211" xfId="4285" xr:uid="{00000000-0005-0000-0000-00007B100000}"/>
    <cellStyle name="_4F設置場所_【20090715】千里導入明細資料_２１年度分（９月工事分）_fj_【20090721】千里導入明細資料_２１年度分（９月工事分）_ETERNUS追加_千里導入明細資料_２２年度分（ネットワーク敷設）_fj_Ⅹ_課題と対応策_20121211 2" xfId="4286" xr:uid="{00000000-0005-0000-0000-00007C100000}"/>
    <cellStyle name="_4F設置場所_【20090715】千里導入明細資料_２１年度分（９月工事分）_fj_【20090721】千里導入明細資料_２１年度分_【20091218】千里導入明細資料_２１年度分（ネットワーク敷設）" xfId="4287" xr:uid="{00000000-0005-0000-0000-00007D100000}"/>
    <cellStyle name="_4F設置場所_【20090715】千里導入明細資料_２１年度分（９月工事分）_fj_【20090721】千里導入明細資料_２１年度分_【20091218】千里導入明細資料_２１年度分（ネットワーク敷設） 2" xfId="4288" xr:uid="{00000000-0005-0000-0000-00007E100000}"/>
    <cellStyle name="_4F設置場所_【20090715】千里導入明細資料_２１年度分（９月工事分）_fj_【20090721】千里導入明細資料_２１年度分_【20091218】千里導入明細資料_２１年度分（ネットワーク敷設）_Ⅹ_課題と対応策_20121211" xfId="4289" xr:uid="{00000000-0005-0000-0000-00007F100000}"/>
    <cellStyle name="_4F設置場所_【20090715】千里導入明細資料_２１年度分（９月工事分）_fj_【20090721】千里導入明細資料_２１年度分_【20091218】千里導入明細資料_２１年度分（ネットワーク敷設）_Ⅹ_課題と対応策_20121211 2" xfId="4290" xr:uid="{00000000-0005-0000-0000-000080100000}"/>
    <cellStyle name="_4F設置場所_【20090715】千里導入明細資料_２１年度分（９月工事分）_fj_【20090721】千里導入明細資料_２１年度分_【20091224】千里導入明細資料_２２年度上期分_営業店DB" xfId="4291" xr:uid="{00000000-0005-0000-0000-000081100000}"/>
    <cellStyle name="_4F設置場所_【20090715】千里導入明細資料_２１年度分（９月工事分）_fj_【20090721】千里導入明細資料_２１年度分_【20091224】千里導入明細資料_２２年度上期分_営業店DB 2" xfId="4292" xr:uid="{00000000-0005-0000-0000-000082100000}"/>
    <cellStyle name="_4F設置場所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" xfId="4293" xr:uid="{00000000-0005-0000-0000-000083100000}"/>
    <cellStyle name="_4F設置場所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 2" xfId="4294" xr:uid="{00000000-0005-0000-0000-000084100000}"/>
    <cellStyle name="_4F設置場所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" xfId="4295" xr:uid="{00000000-0005-0000-0000-000085100000}"/>
    <cellStyle name="_4F設置場所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 2" xfId="4296" xr:uid="{00000000-0005-0000-0000-000086100000}"/>
    <cellStyle name="_4F設置場所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_Ⅹ_課題と対応策_20121211" xfId="4297" xr:uid="{00000000-0005-0000-0000-000087100000}"/>
    <cellStyle name="_4F設置場所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4298" xr:uid="{00000000-0005-0000-0000-000088100000}"/>
    <cellStyle name="_4F設置場所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Ⅹ_課題と対応策_20121211" xfId="4299" xr:uid="{00000000-0005-0000-0000-000089100000}"/>
    <cellStyle name="_4F設置場所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Ⅹ_課題と対応策_20121211 2" xfId="4300" xr:uid="{00000000-0005-0000-0000-00008A100000}"/>
    <cellStyle name="_4F設置場所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" xfId="4301" xr:uid="{00000000-0005-0000-0000-00008B100000}"/>
    <cellStyle name="_4F設置場所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 2" xfId="4302" xr:uid="{00000000-0005-0000-0000-00008C100000}"/>
    <cellStyle name="_4F設置場所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" xfId="4303" xr:uid="{00000000-0005-0000-0000-00008D100000}"/>
    <cellStyle name="_4F設置場所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 2" xfId="4304" xr:uid="{00000000-0005-0000-0000-00008E100000}"/>
    <cellStyle name="_4F設置場所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_Ⅹ_課題と対応策_20121211" xfId="4305" xr:uid="{00000000-0005-0000-0000-00008F100000}"/>
    <cellStyle name="_4F設置場所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_Ⅹ_課題と対応策_20121211 2" xfId="4306" xr:uid="{00000000-0005-0000-0000-000090100000}"/>
    <cellStyle name="_4F設置場所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Ⅹ_課題と対応策_20121211" xfId="4307" xr:uid="{00000000-0005-0000-0000-000091100000}"/>
    <cellStyle name="_4F設置場所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Ⅹ_課題と対応策_20121211 2" xfId="4308" xr:uid="{00000000-0005-0000-0000-000092100000}"/>
    <cellStyle name="_4F設置場所_【20090715】千里導入明細資料_２１年度分（９月工事分）_fj_【20090721】千里導入明細資料_２１年度分_【20091224】千里導入明細資料_２２年度上期分_営業店DB_Ⅹ_課題と対応策_20121211" xfId="4309" xr:uid="{00000000-0005-0000-0000-000093100000}"/>
    <cellStyle name="_4F設置場所_【20090715】千里導入明細資料_２１年度分（９月工事分）_fj_【20090721】千里導入明細資料_２１年度分_【20091224】千里導入明細資料_２２年度上期分_営業店DB_Ⅹ_課題と対応策_20121211 2" xfId="4310" xr:uid="{00000000-0005-0000-0000-000094100000}"/>
    <cellStyle name="_4F設置場所_【20090715】千里導入明細資料_２１年度分（９月工事分）_fj_【20090721】千里導入明細資料_２１年度分_【20091225】千里導入明細資料_２２年度上期分" xfId="4311" xr:uid="{00000000-0005-0000-0000-000095100000}"/>
    <cellStyle name="_4F設置場所_【20090715】千里導入明細資料_２１年度分（９月工事分）_fj_【20090721】千里導入明細資料_２１年度分_【20091225】千里導入明細資料_２２年度上期分 2" xfId="4312" xr:uid="{00000000-0005-0000-0000-000096100000}"/>
    <cellStyle name="_4F設置場所_【20090715】千里導入明細資料_２１年度分（９月工事分）_fj_【20090721】千里導入明細資料_２１年度分_【20091225】千里導入明細資料_２２年度上期分_Ⅹ_課題と対応策_20121211" xfId="4313" xr:uid="{00000000-0005-0000-0000-000097100000}"/>
    <cellStyle name="_4F設置場所_【20090715】千里導入明細資料_２１年度分（９月工事分）_fj_【20090721】千里導入明細資料_２１年度分_【20091225】千里導入明細資料_２２年度上期分_Ⅹ_課題と対応策_20121211 2" xfId="4314" xr:uid="{00000000-0005-0000-0000-000098100000}"/>
    <cellStyle name="_4F設置場所_【20090715】千里導入明細資料_２１年度分（９月工事分）_fj_【20090721】千里導入明細資料_２１年度分_【20091225】千里導入明細資料_２２年度上期分_営業店DB" xfId="4315" xr:uid="{00000000-0005-0000-0000-000099100000}"/>
    <cellStyle name="_4F設置場所_【20090715】千里導入明細資料_２１年度分（９月工事分）_fj_【20090721】千里導入明細資料_２１年度分_【20091225】千里導入明細資料_２２年度上期分_営業店DB 2" xfId="4316" xr:uid="{00000000-0005-0000-0000-00009A100000}"/>
    <cellStyle name="_4F設置場所_【20090715】千里導入明細資料_２１年度分（９月工事分）_fj_【20090721】千里導入明細資料_２１年度分_【20091225】千里導入明細資料_２２年度上期分_営業店DB_Ⅹ_課題と対応策_20121211" xfId="4317" xr:uid="{00000000-0005-0000-0000-00009B100000}"/>
    <cellStyle name="_4F設置場所_【20090715】千里導入明細資料_２１年度分（９月工事分）_fj_【20090721】千里導入明細資料_２１年度分_【20091225】千里導入明細資料_２２年度上期分_営業店DB_Ⅹ_課題と対応策_20121211 2" xfId="4318" xr:uid="{00000000-0005-0000-0000-00009C100000}"/>
    <cellStyle name="_4F設置場所_【20090715】千里導入明細資料_２１年度分（９月工事分）_fj_【20090721】千里導入明細資料_２１年度分_【20091225】千里導入明細資料_２２年度上期分_連携DB" xfId="4319" xr:uid="{00000000-0005-0000-0000-00009D100000}"/>
    <cellStyle name="_4F設置場所_【20090715】千里導入明細資料_２１年度分（９月工事分）_fj_【20090721】千里導入明細資料_２１年度分_【20091225】千里導入明細資料_２２年度上期分_連携DB 2" xfId="4320" xr:uid="{00000000-0005-0000-0000-00009E100000}"/>
    <cellStyle name="_4F設置場所_【20090715】千里導入明細資料_２１年度分（９月工事分）_fj_【20090721】千里導入明細資料_２１年度分_【20091225】千里導入明細資料_２２年度上期分_連携DB_Ⅹ_課題と対応策_20121211" xfId="4321" xr:uid="{00000000-0005-0000-0000-00009F100000}"/>
    <cellStyle name="_4F設置場所_【20090715】千里導入明細資料_２１年度分（９月工事分）_fj_【20090721】千里導入明細資料_２１年度分_【20091225】千里導入明細資料_２２年度上期分_連携DB_Ⅹ_課題と対応策_20121211 2" xfId="4322" xr:uid="{00000000-0005-0000-0000-0000A0100000}"/>
    <cellStyle name="_4F設置場所_【20090715】千里導入明細資料_２１年度分（９月工事分）_fj_【20090721】千里導入明細資料_２１年度分_【200912xx】千里導入明細資料_２２年度上期分" xfId="4323" xr:uid="{00000000-0005-0000-0000-0000A1100000}"/>
    <cellStyle name="_4F設置場所_【20090715】千里導入明細資料_２１年度分（９月工事分）_fj_【20090721】千里導入明細資料_２１年度分_【200912xx】千里導入明細資料_２２年度上期分 2" xfId="4324" xr:uid="{00000000-0005-0000-0000-0000A2100000}"/>
    <cellStyle name="_4F設置場所_【20090715】千里導入明細資料_２１年度分（９月工事分）_fj_【20090721】千里導入明細資料_２１年度分_【200912xx】千里導入明細資料_２２年度上期分（為替分）" xfId="4325" xr:uid="{00000000-0005-0000-0000-0000A3100000}"/>
    <cellStyle name="_4F設置場所_【20090715】千里導入明細資料_２１年度分（９月工事分）_fj_【20090721】千里導入明細資料_２１年度分_【200912xx】千里導入明細資料_２２年度上期分（為替分） 2" xfId="4326" xr:uid="{00000000-0005-0000-0000-0000A4100000}"/>
    <cellStyle name="_4F設置場所_【20090715】千里導入明細資料_２１年度分（９月工事分）_fj_【20090721】千里導入明細資料_２１年度分_【200912xx】千里導入明細資料_２２年度上期分（為替分）_Ⅹ_課題と対応策_20121211" xfId="4327" xr:uid="{00000000-0005-0000-0000-0000A5100000}"/>
    <cellStyle name="_4F設置場所_【20090715】千里導入明細資料_２１年度分（９月工事分）_fj_【20090721】千里導入明細資料_２１年度分_【200912xx】千里導入明細資料_２２年度上期分（為替分）_Ⅹ_課題と対応策_20121211 2" xfId="4328" xr:uid="{00000000-0005-0000-0000-0000A6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" xfId="4329" xr:uid="{00000000-0005-0000-0000-0000A7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 2" xfId="4330" xr:uid="{00000000-0005-0000-0000-0000A8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" xfId="4331" xr:uid="{00000000-0005-0000-0000-0000A9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 2" xfId="4332" xr:uid="{00000000-0005-0000-0000-0000AA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_Ⅹ_課題と対応策_20121211" xfId="4333" xr:uid="{00000000-0005-0000-0000-0000AB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_Ⅹ_課題と対応策_20121211 2" xfId="4334" xr:uid="{00000000-0005-0000-0000-0000AC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Ⅹ_課題と対応策_20121211" xfId="4335" xr:uid="{00000000-0005-0000-0000-0000AD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Ⅹ_課題と対応策_20121211 2" xfId="4336" xr:uid="{00000000-0005-0000-0000-0000AE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_営業店DB" xfId="4337" xr:uid="{00000000-0005-0000-0000-0000AF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_営業店DB 2" xfId="4338" xr:uid="{00000000-0005-0000-0000-0000B0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" xfId="4339" xr:uid="{00000000-0005-0000-0000-0000B1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 2" xfId="4340" xr:uid="{00000000-0005-0000-0000-0000B2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_Ⅹ_課題と対応策_20121211" xfId="4341" xr:uid="{00000000-0005-0000-0000-0000B3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_Ⅹ_課題と対応策_20121211 2" xfId="4342" xr:uid="{00000000-0005-0000-0000-0000B4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_営業店DB_Ⅹ_課題と対応策_20121211" xfId="4343" xr:uid="{00000000-0005-0000-0000-0000B5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_営業店DB_Ⅹ_課題と対応策_20121211 2" xfId="4344" xr:uid="{00000000-0005-0000-0000-0000B6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_連携DB" xfId="4345" xr:uid="{00000000-0005-0000-0000-0000B7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_連携DB 2" xfId="4346" xr:uid="{00000000-0005-0000-0000-0000B8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" xfId="4347" xr:uid="{00000000-0005-0000-0000-0000B9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 2" xfId="4348" xr:uid="{00000000-0005-0000-0000-0000BA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_Ⅹ_課題と対応策_20121211" xfId="4349" xr:uid="{00000000-0005-0000-0000-0000BB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_Ⅹ_課題と対応策_20121211 2" xfId="4350" xr:uid="{00000000-0005-0000-0000-0000BC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_連携DB_Ⅹ_課題と対応策_20121211" xfId="4351" xr:uid="{00000000-0005-0000-0000-0000BD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_連携DB_Ⅹ_課題と対応策_20121211 2" xfId="4352" xr:uid="{00000000-0005-0000-0000-0000BE100000}"/>
    <cellStyle name="_4F設置場所_【20090715】千里導入明細資料_２１年度分（９月工事分）_fj_【20090721】千里導入明細資料_２１年度分_【200912xx】千里導入明細資料_２２年度上期分_Ⅹ_課題と対応策_20121211" xfId="4353" xr:uid="{00000000-0005-0000-0000-0000BF100000}"/>
    <cellStyle name="_4F設置場所_【20090715】千里導入明細資料_２１年度分（９月工事分）_fj_【20090721】千里導入明細資料_２１年度分_【200912xx】千里導入明細資料_２２年度上期分_Ⅹ_課題と対応策_20121211 2" xfId="4354" xr:uid="{00000000-0005-0000-0000-0000C0100000}"/>
    <cellStyle name="_4F設置場所_【20090715】千里導入明細資料_２１年度分（９月工事分）_fj_【20090721】千里導入明細資料_２１年度分_【調整中】千里導入明細資料_２２年度上期分_fj_20100127" xfId="4355" xr:uid="{00000000-0005-0000-0000-0000C1100000}"/>
    <cellStyle name="_4F設置場所_【20090715】千里導入明細資料_２１年度分（９月工事分）_fj_【20090721】千里導入明細資料_２１年度分_【調整中】千里導入明細資料_２２年度上期分_fj_20100127 2" xfId="4356" xr:uid="{00000000-0005-0000-0000-0000C2100000}"/>
    <cellStyle name="_4F設置場所_【20090715】千里導入明細資料_２１年度分（９月工事分）_fj_【20090721】千里導入明細資料_２１年度分_【調整中】千里導入明細資料_２２年度上期分_fj_20100127_Ⅹ_課題と対応策_20121211" xfId="4357" xr:uid="{00000000-0005-0000-0000-0000C3100000}"/>
    <cellStyle name="_4F設置場所_【20090715】千里導入明細資料_２１年度分（９月工事分）_fj_【20090721】千里導入明細資料_２１年度分_【調整中】千里導入明細資料_２２年度上期分_fj_20100127_Ⅹ_課題と対応策_20121211 2" xfId="4358" xr:uid="{00000000-0005-0000-0000-0000C4100000}"/>
    <cellStyle name="_4F設置場所_【20090715】千里導入明細資料_２１年度分（９月工事分）_fj_【20090721】千里導入明細資料_２１年度分_①【20091225】千里導入明細資料_２２年度上期1分)" xfId="4359" xr:uid="{00000000-0005-0000-0000-0000C5100000}"/>
    <cellStyle name="_4F設置場所_【20090715】千里導入明細資料_２１年度分（９月工事分）_fj_【20090721】千里導入明細資料_２１年度分_①【20091225】千里導入明細資料_２２年度上期1分) 2" xfId="4360" xr:uid="{00000000-0005-0000-0000-0000C6100000}"/>
    <cellStyle name="_4F設置場所_【20090715】千里導入明細資料_２１年度分（９月工事分）_fj_【20090721】千里導入明細資料_２１年度分_①【20091225】千里導入明細資料_２２年度上期1分)_Ⅹ_課題と対応策_20121211" xfId="4361" xr:uid="{00000000-0005-0000-0000-0000C7100000}"/>
    <cellStyle name="_4F設置場所_【20090715】千里導入明細資料_２１年度分（９月工事分）_fj_【20090721】千里導入明細資料_２１年度分_①【20091225】千里導入明細資料_２２年度上期1分)_Ⅹ_課題と対応策_20121211 2" xfId="4362" xr:uid="{00000000-0005-0000-0000-0000C8100000}"/>
    <cellStyle name="_4F設置場所_【20090715】千里導入明細資料_２１年度分（９月工事分）_fj_【20090721】千里導入明細資料_２１年度分_Ⅹ_課題と対応策_20121211" xfId="4363" xr:uid="{00000000-0005-0000-0000-0000C9100000}"/>
    <cellStyle name="_4F設置場所_【20090715】千里導入明細資料_２１年度分（９月工事分）_fj_【20090721】千里導入明細資料_２１年度分_Ⅹ_課題と対応策_20121211 2" xfId="4364" xr:uid="{00000000-0005-0000-0000-0000CA100000}"/>
    <cellStyle name="_4F設置場所_【20090715】千里導入明細資料_２１年度分（９月工事分）_fj_【20090721】千里導入明細資料_２１年度分_千里導入明細資料_２２年度分（ネットワーク敷設）_fj" xfId="4365" xr:uid="{00000000-0005-0000-0000-0000CB100000}"/>
    <cellStyle name="_4F設置場所_【20090715】千里導入明細資料_２１年度分（９月工事分）_fj_【20090721】千里導入明細資料_２１年度分_千里導入明細資料_２２年度分（ネットワーク敷設）_fj 2" xfId="4366" xr:uid="{00000000-0005-0000-0000-0000CC100000}"/>
    <cellStyle name="_4F設置場所_【20090715】千里導入明細資料_２１年度分（９月工事分）_fj_【20090721】千里導入明細資料_２１年度分_千里導入明細資料_２２年度分（ネットワーク敷設）_fj_Ⅹ_課題と対応策_20121211" xfId="4367" xr:uid="{00000000-0005-0000-0000-0000CD100000}"/>
    <cellStyle name="_4F設置場所_【20090715】千里導入明細資料_２１年度分（９月工事分）_fj_【20090721】千里導入明細資料_２１年度分_千里導入明細資料_２２年度分（ネットワーク敷設）_fj_Ⅹ_課題と対応策_20121211 2" xfId="4368" xr:uid="{00000000-0005-0000-0000-0000CE100000}"/>
    <cellStyle name="_4F設置場所_【20090715】千里導入明細資料_２１年度分（９月工事分）_fj_【20090821】千里ラック搭載図（NW機器）" xfId="4369" xr:uid="{00000000-0005-0000-0000-0000CF100000}"/>
    <cellStyle name="_4F設置場所_【20090715】千里導入明細資料_２１年度分（９月工事分）_fj_【20090821】千里ラック搭載図（NW機器） 2" xfId="4370" xr:uid="{00000000-0005-0000-0000-0000D0100000}"/>
    <cellStyle name="_4F設置場所_【20090715】千里導入明細資料_２１年度分（９月工事分）_fj_【20090821】千里ラック搭載図（NW機器）_Ⅹ_課題と対応策_20121211" xfId="4371" xr:uid="{00000000-0005-0000-0000-0000D1100000}"/>
    <cellStyle name="_4F設置場所_【20090715】千里導入明細資料_２１年度分（９月工事分）_fj_【20090821】千里ラック搭載図（NW機器）_Ⅹ_課題と対応策_20121211 2" xfId="4372" xr:uid="{00000000-0005-0000-0000-0000D2100000}"/>
    <cellStyle name="_4F設置場所_【20090715】千里導入明細資料_２１年度分（９月工事分）_fj_【20091207】千里導入明細資料_２１年度分（ネットワーク敷設）" xfId="4373" xr:uid="{00000000-0005-0000-0000-0000D3100000}"/>
    <cellStyle name="_4F設置場所_【20090715】千里導入明細資料_２１年度分（９月工事分）_fj_【20091207】千里導入明細資料_２１年度分（ネットワーク敷設） 2" xfId="4374" xr:uid="{00000000-0005-0000-0000-0000D4100000}"/>
    <cellStyle name="_4F設置場所_【20090715】千里導入明細資料_２１年度分（９月工事分）_fj_【20091207】千里導入明細資料_２１年度分（ネットワーク敷設）_【20091218】千里導入明細資料_２１年度分（ネットワーク敷設）" xfId="4375" xr:uid="{00000000-0005-0000-0000-0000D5100000}"/>
    <cellStyle name="_4F設置場所_【20090715】千里導入明細資料_２１年度分（９月工事分）_fj_【20091207】千里導入明細資料_２１年度分（ネットワーク敷設）_【20091218】千里導入明細資料_２１年度分（ネットワーク敷設） 2" xfId="4376" xr:uid="{00000000-0005-0000-0000-0000D6100000}"/>
    <cellStyle name="_4F設置場所_【20090715】千里導入明細資料_２１年度分（９月工事分）_fj_【20091207】千里導入明細資料_２１年度分（ネットワーク敷設）_【20091218】千里導入明細資料_２１年度分（ネットワーク敷設）_Ⅹ_課題と対応策_20121211" xfId="4377" xr:uid="{00000000-0005-0000-0000-0000D7100000}"/>
    <cellStyle name="_4F設置場所_【20090715】千里導入明細資料_２１年度分（９月工事分）_fj_【20091207】千里導入明細資料_２１年度分（ネットワーク敷設）_【20091218】千里導入明細資料_２１年度分（ネットワーク敷設）_Ⅹ_課題と対応策_20121211 2" xfId="4378" xr:uid="{00000000-0005-0000-0000-0000D8100000}"/>
    <cellStyle name="_4F設置場所_【20090715】千里導入明細資料_２１年度分（９月工事分）_fj_【20091207】千里導入明細資料_２１年度分（ネットワーク敷設）_Ⅹ_課題と対応策_20121211" xfId="4379" xr:uid="{00000000-0005-0000-0000-0000D9100000}"/>
    <cellStyle name="_4F設置場所_【20090715】千里導入明細資料_２１年度分（９月工事分）_fj_【20091207】千里導入明細資料_２１年度分（ネットワーク敷設）_Ⅹ_課題と対応策_20121211 2" xfId="4380" xr:uid="{00000000-0005-0000-0000-0000DA100000}"/>
    <cellStyle name="_4F設置場所_【20090715】千里導入明細資料_２１年度分（９月工事分）_fj_【20091207】千里導入明細資料_２１年度分（ネットワーク敷設）_千里導入明細資料_２２年度分（ネットワーク敷設）_fj" xfId="4381" xr:uid="{00000000-0005-0000-0000-0000DB100000}"/>
    <cellStyle name="_4F設置場所_【20090715】千里導入明細資料_２１年度分（９月工事分）_fj_【20091207】千里導入明細資料_２１年度分（ネットワーク敷設）_千里導入明細資料_２２年度分（ネットワーク敷設）_fj 2" xfId="4382" xr:uid="{00000000-0005-0000-0000-0000DC100000}"/>
    <cellStyle name="_4F設置場所_【20090715】千里導入明細資料_２１年度分（９月工事分）_fj_【20091207】千里導入明細資料_２１年度分（ネットワーク敷設）_千里導入明細資料_２２年度分（ネットワーク敷設）_fj_Ⅹ_課題と対応策_20121211" xfId="4383" xr:uid="{00000000-0005-0000-0000-0000DD100000}"/>
    <cellStyle name="_4F設置場所_【20090715】千里導入明細資料_２１年度分（９月工事分）_fj_【20091207】千里導入明細資料_２１年度分（ネットワーク敷設）_千里導入明細資料_２２年度分（ネットワーク敷設）_fj_Ⅹ_課題と対応策_20121211 2" xfId="4384" xr:uid="{00000000-0005-0000-0000-0000DE100000}"/>
    <cellStyle name="_4F設置場所_【20090715】千里導入明細資料_２１年度分（９月工事分）_fj_【20091225】千里導入明細資料_２２年度上期分（営業店ＡＰ－ＤＢ）" xfId="4385" xr:uid="{00000000-0005-0000-0000-0000DF100000}"/>
    <cellStyle name="_4F設置場所_【20090715】千里導入明細資料_２１年度分（９月工事分）_fj_【20091225】千里導入明細資料_２２年度上期分（営業店ＡＰ－ＤＢ） 2" xfId="4386" xr:uid="{00000000-0005-0000-0000-0000E0100000}"/>
    <cellStyle name="_4F設置場所_【20090715】千里導入明細資料_２１年度分（９月工事分）_fj_【20091225】千里導入明細資料_２２年度上期分（営業店ＡＰ－ＤＢ）_【調整中】千里導入明細資料_２２年度上期分_fj_20100127" xfId="4387" xr:uid="{00000000-0005-0000-0000-0000E1100000}"/>
    <cellStyle name="_4F設置場所_【20090715】千里導入明細資料_２１年度分（９月工事分）_fj_【20091225】千里導入明細資料_２２年度上期分（営業店ＡＰ－ＤＢ）_【調整中】千里導入明細資料_２２年度上期分_fj_20100127 2" xfId="4388" xr:uid="{00000000-0005-0000-0000-0000E2100000}"/>
    <cellStyle name="_4F設置場所_【20090715】千里導入明細資料_２１年度分（９月工事分）_fj_【20091225】千里導入明細資料_２２年度上期分（営業店ＡＰ－ＤＢ）_【調整中】千里導入明細資料_２２年度上期分_fj_20100127_Ⅹ_課題と対応策_20121211" xfId="4389" xr:uid="{00000000-0005-0000-0000-0000E3100000}"/>
    <cellStyle name="_4F設置場所_【20090715】千里導入明細資料_２１年度分（９月工事分）_fj_【20091225】千里導入明細資料_２２年度上期分（営業店ＡＰ－ＤＢ）_【調整中】千里導入明細資料_２２年度上期分_fj_20100127_Ⅹ_課題と対応策_20121211 2" xfId="4390" xr:uid="{00000000-0005-0000-0000-0000E4100000}"/>
    <cellStyle name="_4F設置場所_【20090715】千里導入明細資料_２１年度分（９月工事分）_fj_【20091225】千里導入明細資料_２２年度上期分（営業店ＡＰ－ＤＢ）_Ⅹ_課題と対応策_20121211" xfId="4391" xr:uid="{00000000-0005-0000-0000-0000E5100000}"/>
    <cellStyle name="_4F設置場所_【20090715】千里導入明細資料_２１年度分（９月工事分）_fj_【20091225】千里導入明細資料_２２年度上期分（営業店ＡＰ－ＤＢ）_Ⅹ_課題と対応策_20121211 2" xfId="4392" xr:uid="{00000000-0005-0000-0000-0000E6100000}"/>
    <cellStyle name="_4F設置場所_【20090715】千里導入明細資料_２１年度分（９月工事分）_fj_【20091225】千里導入明細資料_２２年度上期分_営業店DB" xfId="4393" xr:uid="{00000000-0005-0000-0000-0000E7100000}"/>
    <cellStyle name="_4F設置場所_【20090715】千里導入明細資料_２１年度分（９月工事分）_fj_【20091225】千里導入明細資料_２２年度上期分_営業店DB 2" xfId="4394" xr:uid="{00000000-0005-0000-0000-0000E8100000}"/>
    <cellStyle name="_4F設置場所_【20090715】千里導入明細資料_２１年度分（９月工事分）_fj_【20091225】千里導入明細資料_２２年度上期分_営業店DB_【調整中】千里導入明細資料_２２年度上期分_fj_20100127" xfId="4395" xr:uid="{00000000-0005-0000-0000-0000E9100000}"/>
    <cellStyle name="_4F設置場所_【20090715】千里導入明細資料_２１年度分（９月工事分）_fj_【20091225】千里導入明細資料_２２年度上期分_営業店DB_【調整中】千里導入明細資料_２２年度上期分_fj_20100127 2" xfId="4396" xr:uid="{00000000-0005-0000-0000-0000EA100000}"/>
    <cellStyle name="_4F設置場所_【20090715】千里導入明細資料_２１年度分（９月工事分）_fj_【20091225】千里導入明細資料_２２年度上期分_営業店DB_【調整中】千里導入明細資料_２２年度上期分_fj_20100127_Ⅹ_課題と対応策_20121211" xfId="4397" xr:uid="{00000000-0005-0000-0000-0000EB100000}"/>
    <cellStyle name="_4F設置場所_【20090715】千里導入明細資料_２１年度分（９月工事分）_fj_【20091225】千里導入明細資料_２２年度上期分_営業店DB_【調整中】千里導入明細資料_２２年度上期分_fj_20100127_Ⅹ_課題と対応策_20121211 2" xfId="4398" xr:uid="{00000000-0005-0000-0000-0000EC100000}"/>
    <cellStyle name="_4F設置場所_【20090715】千里導入明細資料_２１年度分（９月工事分）_fj_【20091225】千里導入明細資料_２２年度上期分_営業店DB_Ⅹ_課題と対応策_20121211" xfId="4399" xr:uid="{00000000-0005-0000-0000-0000ED100000}"/>
    <cellStyle name="_4F設置場所_【20090715】千里導入明細資料_２１年度分（９月工事分）_fj_【20091225】千里導入明細資料_２２年度上期分_営業店DB_Ⅹ_課題と対応策_20121211 2" xfId="4400" xr:uid="{00000000-0005-0000-0000-0000EE100000}"/>
    <cellStyle name="_4F設置場所_【20090715】千里導入明細資料_２１年度分（９月工事分）_fj_【20091225】千里導入明細資料_２２年度上期分_連携DB" xfId="4401" xr:uid="{00000000-0005-0000-0000-0000EF100000}"/>
    <cellStyle name="_4F設置場所_【20090715】千里導入明細資料_２１年度分（９月工事分）_fj_【20091225】千里導入明細資料_２２年度上期分_連携DB 2" xfId="4402" xr:uid="{00000000-0005-0000-0000-0000F0100000}"/>
    <cellStyle name="_4F設置場所_【20090715】千里導入明細資料_２１年度分（９月工事分）_fj_【20091225】千里導入明細資料_２２年度上期分_連携DB_【調整中】千里導入明細資料_２２年度上期分_fj_20100127" xfId="4403" xr:uid="{00000000-0005-0000-0000-0000F1100000}"/>
    <cellStyle name="_4F設置場所_【20090715】千里導入明細資料_２１年度分（９月工事分）_fj_【20091225】千里導入明細資料_２２年度上期分_連携DB_【調整中】千里導入明細資料_２２年度上期分_fj_20100127 2" xfId="4404" xr:uid="{00000000-0005-0000-0000-0000F2100000}"/>
    <cellStyle name="_4F設置場所_【20090715】千里導入明細資料_２１年度分（９月工事分）_fj_【20091225】千里導入明細資料_２２年度上期分_連携DB_【調整中】千里導入明細資料_２２年度上期分_fj_20100127_Ⅹ_課題と対応策_20121211" xfId="4405" xr:uid="{00000000-0005-0000-0000-0000F3100000}"/>
    <cellStyle name="_4F設置場所_【20090715】千里導入明細資料_２１年度分（９月工事分）_fj_【20091225】千里導入明細資料_２２年度上期分_連携DB_【調整中】千里導入明細資料_２２年度上期分_fj_20100127_Ⅹ_課題と対応策_20121211 2" xfId="4406" xr:uid="{00000000-0005-0000-0000-0000F4100000}"/>
    <cellStyle name="_4F設置場所_【20090715】千里導入明細資料_２１年度分（９月工事分）_fj_【20091225】千里導入明細資料_２２年度上期分_連携DB_Ⅹ_課題と対応策_20121211" xfId="4407" xr:uid="{00000000-0005-0000-0000-0000F5100000}"/>
    <cellStyle name="_4F設置場所_【20090715】千里導入明細資料_２１年度分（９月工事分）_fj_【20091225】千里導入明細資料_２２年度上期分_連携DB_Ⅹ_課題と対応策_20121211 2" xfId="4408" xr:uid="{00000000-0005-0000-0000-0000F6100000}"/>
    <cellStyle name="_4F設置場所_【20090715】千里導入明細資料_２１年度分（９月工事分）_fj_【作成中】千里センター機器配置図（2010年対応分）_20091221" xfId="4409" xr:uid="{00000000-0005-0000-0000-0000F7100000}"/>
    <cellStyle name="_4F設置場所_【20090715】千里導入明細資料_２１年度分（９月工事分）_fj_【作成中】千里センター機器配置図（2010年対応分）_20091221 2" xfId="4410" xr:uid="{00000000-0005-0000-0000-0000F8100000}"/>
    <cellStyle name="_4F設置場所_【20090715】千里導入明細資料_２１年度分（９月工事分）_fj_【作成中】千里センター機器配置図（2010年対応分）_20091221_【調整中】千里導入明細資料_２２年度上期分_fj_20100127" xfId="4411" xr:uid="{00000000-0005-0000-0000-0000F9100000}"/>
    <cellStyle name="_4F設置場所_【20090715】千里導入明細資料_２１年度分（９月工事分）_fj_【作成中】千里センター機器配置図（2010年対応分）_20091221_【調整中】千里導入明細資料_２２年度上期分_fj_20100127 2" xfId="4412" xr:uid="{00000000-0005-0000-0000-0000FA100000}"/>
    <cellStyle name="_4F設置場所_【20090715】千里導入明細資料_２１年度分（９月工事分）_fj_【作成中】千里センター機器配置図（2010年対応分）_20091221_【調整中】千里導入明細資料_２２年度上期分_fj_20100127_Ⅹ_課題と対応策_20121211" xfId="4413" xr:uid="{00000000-0005-0000-0000-0000FB100000}"/>
    <cellStyle name="_4F設置場所_【20090715】千里導入明細資料_２１年度分（９月工事分）_fj_【作成中】千里センター機器配置図（2010年対応分）_20091221_【調整中】千里導入明細資料_２２年度上期分_fj_20100127_Ⅹ_課題と対応策_20121211 2" xfId="4414" xr:uid="{00000000-0005-0000-0000-0000FC100000}"/>
    <cellStyle name="_4F設置場所_【20090715】千里導入明細資料_２１年度分（９月工事分）_fj_【作成中】千里センター機器配置図（2010年対応分）_20091221_Ⅹ_課題と対応策_20121211" xfId="4415" xr:uid="{00000000-0005-0000-0000-0000FD100000}"/>
    <cellStyle name="_4F設置場所_【20090715】千里導入明細資料_２１年度分（９月工事分）_fj_【作成中】千里センター機器配置図（2010年対応分）_20091221_Ⅹ_課題と対応策_20121211 2" xfId="4416" xr:uid="{00000000-0005-0000-0000-0000FE100000}"/>
    <cellStyle name="_4F設置場所_【20090715】千里導入明細資料_２１年度分（９月工事分）_fj_Ⅹ_課題と対応策_20121211" xfId="4417" xr:uid="{00000000-0005-0000-0000-0000FF100000}"/>
    <cellStyle name="_4F設置場所_【20090715】千里導入明細資料_２１年度分（９月工事分）_fj_Ⅹ_課題と対応策_20121211 2" xfId="4418" xr:uid="{00000000-0005-0000-0000-000000110000}"/>
    <cellStyle name="_4F設置場所_【20090715】千里導入明細資料_２１年度分（９月工事分）_fj_千里センター機器構築スケジュール（８月分）_20090731" xfId="4419" xr:uid="{00000000-0005-0000-0000-000001110000}"/>
    <cellStyle name="_4F設置場所_【20090715】千里導入明細資料_２１年度分（９月工事分）_fj_千里センター機器構築スケジュール（８月分）_20090731 2" xfId="4420" xr:uid="{00000000-0005-0000-0000-000002110000}"/>
    <cellStyle name="_4F設置場所_【20090715】千里導入明細資料_２１年度分（９月工事分）_fj_千里センター機器構築スケジュール（８月分）_20090731_【20090731】千里導入明細資料_２１年度分（９月工事分）" xfId="4421" xr:uid="{00000000-0005-0000-0000-000003110000}"/>
    <cellStyle name="_4F設置場所_【20090715】千里導入明細資料_２１年度分（９月工事分）_fj_千里センター機器構築スケジュール（８月分）_20090731_【20090731】千里導入明細資料_２１年度分（９月工事分） 2" xfId="4422" xr:uid="{00000000-0005-0000-0000-000004110000}"/>
    <cellStyle name="_4F設置場所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" xfId="4423" xr:uid="{00000000-0005-0000-0000-000005110000}"/>
    <cellStyle name="_4F設置場所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 2" xfId="4424" xr:uid="{00000000-0005-0000-0000-000006110000}"/>
    <cellStyle name="_4F設置場所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_Ⅹ_課題と対応策_20121211" xfId="4425" xr:uid="{00000000-0005-0000-0000-000007110000}"/>
    <cellStyle name="_4F設置場所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_Ⅹ_課題と対応策_20121211 2" xfId="4426" xr:uid="{00000000-0005-0000-0000-000008110000}"/>
    <cellStyle name="_4F設置場所_【20090715】千里導入明細資料_２１年度分（９月工事分）_fj_千里センター機器構築スケジュール（８月分）_20090731_【20090731】千里導入明細資料_２１年度分（９月工事分）_Ⅹ_課題と対応策_20121211" xfId="4427" xr:uid="{00000000-0005-0000-0000-000009110000}"/>
    <cellStyle name="_4F設置場所_【20090715】千里導入明細資料_２１年度分（９月工事分）_fj_千里センター機器構築スケジュール（８月分）_20090731_【20090731】千里導入明細資料_２１年度分（９月工事分）_Ⅹ_課題と対応策_20121211 2" xfId="4428" xr:uid="{00000000-0005-0000-0000-00000A110000}"/>
    <cellStyle name="_4F設置場所_【20090715】千里導入明細資料_２１年度分（９月工事分）_fj_千里センター機器構築スケジュール（８月分）_20090731_【20090821】千里ラック搭載図（NW機器）" xfId="4429" xr:uid="{00000000-0005-0000-0000-00000B110000}"/>
    <cellStyle name="_4F設置場所_【20090715】千里導入明細資料_２１年度分（９月工事分）_fj_千里センター機器構築スケジュール（８月分）_20090731_【20090821】千里ラック搭載図（NW機器） 2" xfId="4430" xr:uid="{00000000-0005-0000-0000-00000C110000}"/>
    <cellStyle name="_4F設置場所_【20090715】千里導入明細資料_２１年度分（９月工事分）_fj_千里センター機器構築スケジュール（８月分）_20090731_【20090821】千里ラック搭載図（NW機器）_Ⅹ_課題と対応策_20121211" xfId="4431" xr:uid="{00000000-0005-0000-0000-00000D110000}"/>
    <cellStyle name="_4F設置場所_【20090715】千里導入明細資料_２１年度分（９月工事分）_fj_千里センター機器構築スケジュール（８月分）_20090731_【20090821】千里ラック搭載図（NW機器）_Ⅹ_課題と対応策_20121211 2" xfId="4432" xr:uid="{00000000-0005-0000-0000-00000E110000}"/>
    <cellStyle name="_4F設置場所_【20090715】千里導入明細資料_２１年度分（９月工事分）_fj_千里センター機器構築スケジュール（８月分）_20090731_【20091218】千里導入明細資料_２１年度分（ネットワーク敷設）" xfId="4433" xr:uid="{00000000-0005-0000-0000-00000F110000}"/>
    <cellStyle name="_4F設置場所_【20090715】千里導入明細資料_２１年度分（９月工事分）_fj_千里センター機器構築スケジュール（８月分）_20090731_【20091218】千里導入明細資料_２１年度分（ネットワーク敷設） 2" xfId="4434" xr:uid="{00000000-0005-0000-0000-000010110000}"/>
    <cellStyle name="_4F設置場所_【20090715】千里導入明細資料_２１年度分（９月工事分）_fj_千里センター機器構築スケジュール（８月分）_20090731_【20091218】千里導入明細資料_２１年度分（ネットワーク敷設）_Ⅹ_課題と対応策_20121211" xfId="4435" xr:uid="{00000000-0005-0000-0000-000011110000}"/>
    <cellStyle name="_4F設置場所_【20090715】千里導入明細資料_２１年度分（９月工事分）_fj_千里センター機器構築スケジュール（８月分）_20090731_【20091218】千里導入明細資料_２１年度分（ネットワーク敷設）_Ⅹ_課題と対応策_20121211 2" xfId="4436" xr:uid="{00000000-0005-0000-0000-000012110000}"/>
    <cellStyle name="_4F設置場所_【20090715】千里導入明細資料_２１年度分（９月工事分）_fj_千里センター機器構築スケジュール（８月分）_20090731_【20091224】千里導入明細資料_２２年度上期分_営業店DB" xfId="4437" xr:uid="{00000000-0005-0000-0000-000013110000}"/>
    <cellStyle name="_4F設置場所_【20090715】千里導入明細資料_２１年度分（９月工事分）_fj_千里センター機器構築スケジュール（８月分）_20090731_【20091224】千里導入明細資料_２２年度上期分_営業店DB 2" xfId="4438" xr:uid="{00000000-0005-0000-0000-000014110000}"/>
    <cellStyle name="_4F設置場所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" xfId="4439" xr:uid="{00000000-0005-0000-0000-000015110000}"/>
    <cellStyle name="_4F設置場所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 2" xfId="4440" xr:uid="{00000000-0005-0000-0000-000016110000}"/>
    <cellStyle name="_4F設置場所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" xfId="4441" xr:uid="{00000000-0005-0000-0000-000017110000}"/>
    <cellStyle name="_4F設置場所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 2" xfId="4442" xr:uid="{00000000-0005-0000-0000-000018110000}"/>
    <cellStyle name="_4F設置場所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_Ⅹ_課題と対応策_20121211" xfId="4443" xr:uid="{00000000-0005-0000-0000-000019110000}"/>
    <cellStyle name="_4F設置場所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4444" xr:uid="{00000000-0005-0000-0000-00001A110000}"/>
    <cellStyle name="_4F設置場所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Ⅹ_課題と対応策_20121211" xfId="4445" xr:uid="{00000000-0005-0000-0000-00001B110000}"/>
    <cellStyle name="_4F設置場所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Ⅹ_課題と対応策_20121211 2" xfId="4446" xr:uid="{00000000-0005-0000-0000-00001C110000}"/>
    <cellStyle name="_4F設置場所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" xfId="4447" xr:uid="{00000000-0005-0000-0000-00001D110000}"/>
    <cellStyle name="_4F設置場所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 2" xfId="4448" xr:uid="{00000000-0005-0000-0000-00001E110000}"/>
    <cellStyle name="_4F設置場所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" xfId="4449" xr:uid="{00000000-0005-0000-0000-00001F110000}"/>
    <cellStyle name="_4F設置場所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 2" xfId="4450" xr:uid="{00000000-0005-0000-0000-000020110000}"/>
    <cellStyle name="_4F設置場所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_Ⅹ_課題と対応策_20121211" xfId="4451" xr:uid="{00000000-0005-0000-0000-000021110000}"/>
    <cellStyle name="_4F設置場所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_Ⅹ_課題と対応策_20121211 2" xfId="4452" xr:uid="{00000000-0005-0000-0000-000022110000}"/>
    <cellStyle name="_4F設置場所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Ⅹ_課題と対応策_20121211" xfId="4453" xr:uid="{00000000-0005-0000-0000-000023110000}"/>
    <cellStyle name="_4F設置場所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Ⅹ_課題と対応策_20121211 2" xfId="4454" xr:uid="{00000000-0005-0000-0000-000024110000}"/>
    <cellStyle name="_4F設置場所_【20090715】千里導入明細資料_２１年度分（９月工事分）_fj_千里センター機器構築スケジュール（８月分）_20090731_【20091224】千里導入明細資料_２２年度上期分_営業店DB_Ⅹ_課題と対応策_20121211" xfId="4455" xr:uid="{00000000-0005-0000-0000-000025110000}"/>
    <cellStyle name="_4F設置場所_【20090715】千里導入明細資料_２１年度分（９月工事分）_fj_千里センター機器構築スケジュール（８月分）_20090731_【20091224】千里導入明細資料_２２年度上期分_営業店DB_Ⅹ_課題と対応策_20121211 2" xfId="4456" xr:uid="{00000000-0005-0000-0000-000026110000}"/>
    <cellStyle name="_4F設置場所_【20090715】千里導入明細資料_２１年度分（９月工事分）_fj_千里センター機器構築スケジュール（８月分）_20090731_【20091225】千里導入明細資料_２２年度上期分" xfId="4457" xr:uid="{00000000-0005-0000-0000-000027110000}"/>
    <cellStyle name="_4F設置場所_【20090715】千里導入明細資料_２１年度分（９月工事分）_fj_千里センター機器構築スケジュール（８月分）_20090731_【20091225】千里導入明細資料_２２年度上期分 2" xfId="4458" xr:uid="{00000000-0005-0000-0000-000028110000}"/>
    <cellStyle name="_4F設置場所_【20090715】千里導入明細資料_２１年度分（９月工事分）_fj_千里センター機器構築スケジュール（８月分）_20090731_【20091225】千里導入明細資料_２２年度上期分_Ⅹ_課題と対応策_20121211" xfId="4459" xr:uid="{00000000-0005-0000-0000-000029110000}"/>
    <cellStyle name="_4F設置場所_【20090715】千里導入明細資料_２１年度分（９月工事分）_fj_千里センター機器構築スケジュール（８月分）_20090731_【20091225】千里導入明細資料_２２年度上期分_Ⅹ_課題と対応策_20121211 2" xfId="4460" xr:uid="{00000000-0005-0000-0000-00002A110000}"/>
    <cellStyle name="_4F設置場所_【20090715】千里導入明細資料_２１年度分（９月工事分）_fj_千里センター機器構築スケジュール（８月分）_20090731_【20091225】千里導入明細資料_２２年度上期分_営業店DB" xfId="4461" xr:uid="{00000000-0005-0000-0000-00002B110000}"/>
    <cellStyle name="_4F設置場所_【20090715】千里導入明細資料_２１年度分（９月工事分）_fj_千里センター機器構築スケジュール（８月分）_20090731_【20091225】千里導入明細資料_２２年度上期分_営業店DB 2" xfId="4462" xr:uid="{00000000-0005-0000-0000-00002C110000}"/>
    <cellStyle name="_4F設置場所_【20090715】千里導入明細資料_２１年度分（９月工事分）_fj_千里センター機器構築スケジュール（８月分）_20090731_【20091225】千里導入明細資料_２２年度上期分_営業店DB_Ⅹ_課題と対応策_20121211" xfId="4463" xr:uid="{00000000-0005-0000-0000-00002D110000}"/>
    <cellStyle name="_4F設置場所_【20090715】千里導入明細資料_２１年度分（９月工事分）_fj_千里センター機器構築スケジュール（８月分）_20090731_【20091225】千里導入明細資料_２２年度上期分_営業店DB_Ⅹ_課題と対応策_20121211 2" xfId="4464" xr:uid="{00000000-0005-0000-0000-00002E110000}"/>
    <cellStyle name="_4F設置場所_【20090715】千里導入明細資料_２１年度分（９月工事分）_fj_千里センター機器構築スケジュール（８月分）_20090731_【20091225】千里導入明細資料_２２年度上期分_連携DB" xfId="4465" xr:uid="{00000000-0005-0000-0000-00002F110000}"/>
    <cellStyle name="_4F設置場所_【20090715】千里導入明細資料_２１年度分（９月工事分）_fj_千里センター機器構築スケジュール（８月分）_20090731_【20091225】千里導入明細資料_２２年度上期分_連携DB 2" xfId="4466" xr:uid="{00000000-0005-0000-0000-000030110000}"/>
    <cellStyle name="_4F設置場所_【20090715】千里導入明細資料_２１年度分（９月工事分）_fj_千里センター機器構築スケジュール（８月分）_20090731_【20091225】千里導入明細資料_２２年度上期分_連携DB_Ⅹ_課題と対応策_20121211" xfId="4467" xr:uid="{00000000-0005-0000-0000-000031110000}"/>
    <cellStyle name="_4F設置場所_【20090715】千里導入明細資料_２１年度分（９月工事分）_fj_千里センター機器構築スケジュール（８月分）_20090731_【20091225】千里導入明細資料_２２年度上期分_連携DB_Ⅹ_課題と対応策_20121211 2" xfId="4468" xr:uid="{00000000-0005-0000-0000-000032110000}"/>
    <cellStyle name="_4F設置場所_【20090715】千里導入明細資料_２１年度分（９月工事分）_fj_千里センター機器構築スケジュール（８月分）_20090731_【200912xx】千里導入明細資料_２２年度上期分" xfId="4469" xr:uid="{00000000-0005-0000-0000-000033110000}"/>
    <cellStyle name="_4F設置場所_【20090715】千里導入明細資料_２１年度分（９月工事分）_fj_千里センター機器構築スケジュール（８月分）_20090731_【200912xx】千里導入明細資料_２２年度上期分 2" xfId="4470" xr:uid="{00000000-0005-0000-0000-000034110000}"/>
    <cellStyle name="_4F設置場所_【20090715】千里導入明細資料_２１年度分（９月工事分）_fj_千里センター機器構築スケジュール（８月分）_20090731_【200912xx】千里導入明細資料_２２年度上期分（為替分）" xfId="4471" xr:uid="{00000000-0005-0000-0000-000035110000}"/>
    <cellStyle name="_4F設置場所_【20090715】千里導入明細資料_２１年度分（９月工事分）_fj_千里センター機器構築スケジュール（８月分）_20090731_【200912xx】千里導入明細資料_２２年度上期分（為替分） 2" xfId="4472" xr:uid="{00000000-0005-0000-0000-000036110000}"/>
    <cellStyle name="_4F設置場所_【20090715】千里導入明細資料_２１年度分（９月工事分）_fj_千里センター機器構築スケジュール（８月分）_20090731_【200912xx】千里導入明細資料_２２年度上期分（為替分）_Ⅹ_課題と対応策_20121211" xfId="4473" xr:uid="{00000000-0005-0000-0000-000037110000}"/>
    <cellStyle name="_4F設置場所_【20090715】千里導入明細資料_２１年度分（９月工事分）_fj_千里センター機器構築スケジュール（８月分）_20090731_【200912xx】千里導入明細資料_２２年度上期分（為替分）_Ⅹ_課題と対応策_20121211 2" xfId="4474" xr:uid="{00000000-0005-0000-0000-000038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" xfId="4475" xr:uid="{00000000-0005-0000-0000-000039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 2" xfId="4476" xr:uid="{00000000-0005-0000-0000-00003A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" xfId="4477" xr:uid="{00000000-0005-0000-0000-00003B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 2" xfId="4478" xr:uid="{00000000-0005-0000-0000-00003C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_Ⅹ_課題と対応策_20121211" xfId="4479" xr:uid="{00000000-0005-0000-0000-00003D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_Ⅹ_課題と対応策_20121211 2" xfId="4480" xr:uid="{00000000-0005-0000-0000-00003E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Ⅹ_課題と対応策_20121211" xfId="4481" xr:uid="{00000000-0005-0000-0000-00003F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Ⅹ_課題と対応策_20121211 2" xfId="4482" xr:uid="{00000000-0005-0000-0000-000040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" xfId="4483" xr:uid="{00000000-0005-0000-0000-000041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 2" xfId="4484" xr:uid="{00000000-0005-0000-0000-000042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" xfId="4485" xr:uid="{00000000-0005-0000-0000-000043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 2" xfId="4486" xr:uid="{00000000-0005-0000-0000-000044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_Ⅹ_課題と対応策_20121211" xfId="4487" xr:uid="{00000000-0005-0000-0000-000045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_Ⅹ_課題と対応策_20121211 2" xfId="4488" xr:uid="{00000000-0005-0000-0000-000046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Ⅹ_課題と対応策_20121211" xfId="4489" xr:uid="{00000000-0005-0000-0000-000047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Ⅹ_課題と対応策_20121211 2" xfId="4490" xr:uid="{00000000-0005-0000-0000-000048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" xfId="4491" xr:uid="{00000000-0005-0000-0000-000049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 2" xfId="4492" xr:uid="{00000000-0005-0000-0000-00004A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" xfId="4493" xr:uid="{00000000-0005-0000-0000-00004B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 2" xfId="4494" xr:uid="{00000000-0005-0000-0000-00004C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_Ⅹ_課題と対応策_20121211" xfId="4495" xr:uid="{00000000-0005-0000-0000-00004D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_Ⅹ_課題と対応策_20121211 2" xfId="4496" xr:uid="{00000000-0005-0000-0000-00004E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Ⅹ_課題と対応策_20121211" xfId="4497" xr:uid="{00000000-0005-0000-0000-00004F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Ⅹ_課題と対応策_20121211 2" xfId="4498" xr:uid="{00000000-0005-0000-0000-000050110000}"/>
    <cellStyle name="_4F設置場所_【20090715】千里導入明細資料_２１年度分（９月工事分）_fj_千里センター機器構築スケジュール（８月分）_20090731_【200912xx】千里導入明細資料_２２年度上期分_Ⅹ_課題と対応策_20121211" xfId="4499" xr:uid="{00000000-0005-0000-0000-000051110000}"/>
    <cellStyle name="_4F設置場所_【20090715】千里導入明細資料_２１年度分（９月工事分）_fj_千里センター機器構築スケジュール（８月分）_20090731_【200912xx】千里導入明細資料_２２年度上期分_Ⅹ_課題と対応策_20121211 2" xfId="4500" xr:uid="{00000000-0005-0000-0000-000052110000}"/>
    <cellStyle name="_4F設置場所_【20090715】千里導入明細資料_２１年度分（９月工事分）_fj_千里センター機器構築スケジュール（８月分）_20090731_【調整中】千里導入明細資料_２２年度上期分_fj_20100127" xfId="4501" xr:uid="{00000000-0005-0000-0000-000053110000}"/>
    <cellStyle name="_4F設置場所_【20090715】千里導入明細資料_２１年度分（９月工事分）_fj_千里センター機器構築スケジュール（８月分）_20090731_【調整中】千里導入明細資料_２２年度上期分_fj_20100127 2" xfId="4502" xr:uid="{00000000-0005-0000-0000-000054110000}"/>
    <cellStyle name="_4F設置場所_【20090715】千里導入明細資料_２１年度分（９月工事分）_fj_千里センター機器構築スケジュール（８月分）_20090731_【調整中】千里導入明細資料_２２年度上期分_fj_20100127_Ⅹ_課題と対応策_20121211" xfId="4503" xr:uid="{00000000-0005-0000-0000-000055110000}"/>
    <cellStyle name="_4F設置場所_【20090715】千里導入明細資料_２１年度分（９月工事分）_fj_千里センター機器構築スケジュール（８月分）_20090731_【調整中】千里導入明細資料_２２年度上期分_fj_20100127_Ⅹ_課題と対応策_20121211 2" xfId="4504" xr:uid="{00000000-0005-0000-0000-000056110000}"/>
    <cellStyle name="_4F設置場所_【20090715】千里導入明細資料_２１年度分（９月工事分）_fj_千里センター機器構築スケジュール（８月分）_20090731_①【20091225】千里導入明細資料_２２年度上期1分)" xfId="4505" xr:uid="{00000000-0005-0000-0000-000057110000}"/>
    <cellStyle name="_4F設置場所_【20090715】千里導入明細資料_２１年度分（９月工事分）_fj_千里センター機器構築スケジュール（８月分）_20090731_①【20091225】千里導入明細資料_２２年度上期1分) 2" xfId="4506" xr:uid="{00000000-0005-0000-0000-000058110000}"/>
    <cellStyle name="_4F設置場所_【20090715】千里導入明細資料_２１年度分（９月工事分）_fj_千里センター機器構築スケジュール（８月分）_20090731_①【20091225】千里導入明細資料_２２年度上期1分)_Ⅹ_課題と対応策_20121211" xfId="4507" xr:uid="{00000000-0005-0000-0000-000059110000}"/>
    <cellStyle name="_4F設置場所_【20090715】千里導入明細資料_２１年度分（９月工事分）_fj_千里センター機器構築スケジュール（８月分）_20090731_①【20091225】千里導入明細資料_２２年度上期1分)_Ⅹ_課題と対応策_20121211 2" xfId="4508" xr:uid="{00000000-0005-0000-0000-00005A110000}"/>
    <cellStyle name="_4F設置場所_【20090715】千里導入明細資料_２１年度分（９月工事分）_fj_千里センター機器構築スケジュール（８月分）_20090731_Ⅹ_課題と対応策_20121211" xfId="4509" xr:uid="{00000000-0005-0000-0000-00005B110000}"/>
    <cellStyle name="_4F設置場所_【20090715】千里導入明細資料_２１年度分（９月工事分）_fj_千里センター機器構築スケジュール（８月分）_20090731_Ⅹ_課題と対応策_20121211 2" xfId="4510" xr:uid="{00000000-0005-0000-0000-00005C110000}"/>
    <cellStyle name="_4F設置場所_【20090715】千里導入明細資料_２１年度分（９月工事分）_fj_千里センター機器構築スケジュール（８月分）_20090731_千里導入明細資料_２２年度分（ネットワーク敷設）_fj" xfId="4511" xr:uid="{00000000-0005-0000-0000-00005D110000}"/>
    <cellStyle name="_4F設置場所_【20090715】千里導入明細資料_２１年度分（９月工事分）_fj_千里センター機器構築スケジュール（８月分）_20090731_千里導入明細資料_２２年度分（ネットワーク敷設）_fj 2" xfId="4512" xr:uid="{00000000-0005-0000-0000-00005E110000}"/>
    <cellStyle name="_4F設置場所_【20090715】千里導入明細資料_２１年度分（９月工事分）_fj_千里センター機器構築スケジュール（８月分）_20090731_千里導入明細資料_２２年度分（ネットワーク敷設）_fj_Ⅹ_課題と対応策_20121211" xfId="4513" xr:uid="{00000000-0005-0000-0000-00005F110000}"/>
    <cellStyle name="_4F設置場所_【20090715】千里導入明細資料_２１年度分（９月工事分）_fj_千里センター機器構築スケジュール（８月分）_20090731_千里導入明細資料_２２年度分（ネットワーク敷設）_fj_Ⅹ_課題と対応策_20121211 2" xfId="4514" xr:uid="{00000000-0005-0000-0000-000060110000}"/>
    <cellStyle name="_4F設置場所_【20090724】千里導入明細資料_２１年度" xfId="4515" xr:uid="{00000000-0005-0000-0000-000061110000}"/>
    <cellStyle name="_4F設置場所_【20090724】千里導入明細資料_２１年度 2" xfId="4516" xr:uid="{00000000-0005-0000-0000-000062110000}"/>
    <cellStyle name="_4F設置場所_【20090724】千里導入明細資料_２１年度_【20091207】千里導入明細資料_２１年度分（ネットワーク敷設）" xfId="4517" xr:uid="{00000000-0005-0000-0000-000063110000}"/>
    <cellStyle name="_4F設置場所_【20090724】千里導入明細資料_２１年度_【20091207】千里導入明細資料_２１年度分（ネットワーク敷設） 2" xfId="4518" xr:uid="{00000000-0005-0000-0000-000064110000}"/>
    <cellStyle name="_4F設置場所_【20090724】千里導入明細資料_２１年度_【20091207】千里導入明細資料_２１年度分（ネットワーク敷設）_【20091218】千里導入明細資料_２１年度分（ネットワーク敷設）" xfId="4519" xr:uid="{00000000-0005-0000-0000-000065110000}"/>
    <cellStyle name="_4F設置場所_【20090724】千里導入明細資料_２１年度_【20091207】千里導入明細資料_２１年度分（ネットワーク敷設）_【20091218】千里導入明細資料_２１年度分（ネットワーク敷設） 2" xfId="4520" xr:uid="{00000000-0005-0000-0000-000066110000}"/>
    <cellStyle name="_4F設置場所_【20090724】千里導入明細資料_２１年度_【20091207】千里導入明細資料_２１年度分（ネットワーク敷設）_【20091218】千里導入明細資料_２１年度分（ネットワーク敷設）_Ⅹ_課題と対応策_20121211" xfId="4521" xr:uid="{00000000-0005-0000-0000-000067110000}"/>
    <cellStyle name="_4F設置場所_【20090724】千里導入明細資料_２１年度_【20091207】千里導入明細資料_２１年度分（ネットワーク敷設）_【20091218】千里導入明細資料_２１年度分（ネットワーク敷設）_Ⅹ_課題と対応策_20121211 2" xfId="4522" xr:uid="{00000000-0005-0000-0000-000068110000}"/>
    <cellStyle name="_4F設置場所_【20090724】千里導入明細資料_２１年度_【20091207】千里導入明細資料_２１年度分（ネットワーク敷設）_Ⅹ_課題と対応策_20121211" xfId="4523" xr:uid="{00000000-0005-0000-0000-000069110000}"/>
    <cellStyle name="_4F設置場所_【20090724】千里導入明細資料_２１年度_【20091207】千里導入明細資料_２１年度分（ネットワーク敷設）_Ⅹ_課題と対応策_20121211 2" xfId="4524" xr:uid="{00000000-0005-0000-0000-00006A110000}"/>
    <cellStyle name="_4F設置場所_【20090724】千里導入明細資料_２１年度_【20091207】千里導入明細資料_２１年度分（ネットワーク敷設）_千里導入明細資料_２２年度分（ネットワーク敷設）_fj" xfId="4525" xr:uid="{00000000-0005-0000-0000-00006B110000}"/>
    <cellStyle name="_4F設置場所_【20090724】千里導入明細資料_２１年度_【20091207】千里導入明細資料_２１年度分（ネットワーク敷設）_千里導入明細資料_２２年度分（ネットワーク敷設）_fj 2" xfId="4526" xr:uid="{00000000-0005-0000-0000-00006C110000}"/>
    <cellStyle name="_4F設置場所_【20090724】千里導入明細資料_２１年度_【20091207】千里導入明細資料_２１年度分（ネットワーク敷設）_千里導入明細資料_２２年度分（ネットワーク敷設）_fj_Ⅹ_課題と対応策_20121211" xfId="4527" xr:uid="{00000000-0005-0000-0000-00006D110000}"/>
    <cellStyle name="_4F設置場所_【20090724】千里導入明細資料_２１年度_【20091207】千里導入明細資料_２１年度分（ネットワーク敷設）_千里導入明細資料_２２年度分（ネットワーク敷設）_fj_Ⅹ_課題と対応策_20121211 2" xfId="4528" xr:uid="{00000000-0005-0000-0000-00006E110000}"/>
    <cellStyle name="_4F設置場所_【20090724】千里導入明細資料_２１年度_【20091225】千里導入明細資料_２２年度上期分（営業店ＡＰ－ＤＢ）" xfId="4529" xr:uid="{00000000-0005-0000-0000-00006F110000}"/>
    <cellStyle name="_4F設置場所_【20090724】千里導入明細資料_２１年度_【20091225】千里導入明細資料_２２年度上期分（営業店ＡＰ－ＤＢ） 2" xfId="4530" xr:uid="{00000000-0005-0000-0000-000070110000}"/>
    <cellStyle name="_4F設置場所_【20090724】千里導入明細資料_２１年度_【20091225】千里導入明細資料_２２年度上期分（営業店ＡＰ－ＤＢ）_【調整中】千里導入明細資料_２２年度上期分_fj_20100127" xfId="4531" xr:uid="{00000000-0005-0000-0000-000071110000}"/>
    <cellStyle name="_4F設置場所_【20090724】千里導入明細資料_２１年度_【20091225】千里導入明細資料_２２年度上期分（営業店ＡＰ－ＤＢ）_【調整中】千里導入明細資料_２２年度上期分_fj_20100127 2" xfId="4532" xr:uid="{00000000-0005-0000-0000-000072110000}"/>
    <cellStyle name="_4F設置場所_【20090724】千里導入明細資料_２１年度_【20091225】千里導入明細資料_２２年度上期分（営業店ＡＰ－ＤＢ）_【調整中】千里導入明細資料_２２年度上期分_fj_20100127_Ⅹ_課題と対応策_20121211" xfId="4533" xr:uid="{00000000-0005-0000-0000-000073110000}"/>
    <cellStyle name="_4F設置場所_【20090724】千里導入明細資料_２１年度_【20091225】千里導入明細資料_２２年度上期分（営業店ＡＰ－ＤＢ）_【調整中】千里導入明細資料_２２年度上期分_fj_20100127_Ⅹ_課題と対応策_20121211 2" xfId="4534" xr:uid="{00000000-0005-0000-0000-000074110000}"/>
    <cellStyle name="_4F設置場所_【20090724】千里導入明細資料_２１年度_【20091225】千里導入明細資料_２２年度上期分（営業店ＡＰ－ＤＢ）_Ⅹ_課題と対応策_20121211" xfId="4535" xr:uid="{00000000-0005-0000-0000-000075110000}"/>
    <cellStyle name="_4F設置場所_【20090724】千里導入明細資料_２１年度_【20091225】千里導入明細資料_２２年度上期分（営業店ＡＰ－ＤＢ）_Ⅹ_課題と対応策_20121211 2" xfId="4536" xr:uid="{00000000-0005-0000-0000-000076110000}"/>
    <cellStyle name="_4F設置場所_【20090724】千里導入明細資料_２１年度_【20091225】千里導入明細資料_２２年度上期分_営業店DB" xfId="4537" xr:uid="{00000000-0005-0000-0000-000077110000}"/>
    <cellStyle name="_4F設置場所_【20090724】千里導入明細資料_２１年度_【20091225】千里導入明細資料_２２年度上期分_営業店DB 2" xfId="4538" xr:uid="{00000000-0005-0000-0000-000078110000}"/>
    <cellStyle name="_4F設置場所_【20090724】千里導入明細資料_２１年度_【20091225】千里導入明細資料_２２年度上期分_営業店DB_【調整中】千里導入明細資料_２２年度上期分_fj_20100127" xfId="4539" xr:uid="{00000000-0005-0000-0000-000079110000}"/>
    <cellStyle name="_4F設置場所_【20090724】千里導入明細資料_２１年度_【20091225】千里導入明細資料_２２年度上期分_営業店DB_【調整中】千里導入明細資料_２２年度上期分_fj_20100127 2" xfId="4540" xr:uid="{00000000-0005-0000-0000-00007A110000}"/>
    <cellStyle name="_4F設置場所_【20090724】千里導入明細資料_２１年度_【20091225】千里導入明細資料_２２年度上期分_営業店DB_【調整中】千里導入明細資料_２２年度上期分_fj_20100127_Ⅹ_課題と対応策_20121211" xfId="4541" xr:uid="{00000000-0005-0000-0000-00007B110000}"/>
    <cellStyle name="_4F設置場所_【20090724】千里導入明細資料_２１年度_【20091225】千里導入明細資料_２２年度上期分_営業店DB_【調整中】千里導入明細資料_２２年度上期分_fj_20100127_Ⅹ_課題と対応策_20121211 2" xfId="4542" xr:uid="{00000000-0005-0000-0000-00007C110000}"/>
    <cellStyle name="_4F設置場所_【20090724】千里導入明細資料_２１年度_【20091225】千里導入明細資料_２２年度上期分_営業店DB_Ⅹ_課題と対応策_20121211" xfId="4543" xr:uid="{00000000-0005-0000-0000-00007D110000}"/>
    <cellStyle name="_4F設置場所_【20090724】千里導入明細資料_２１年度_【20091225】千里導入明細資料_２２年度上期分_営業店DB_Ⅹ_課題と対応策_20121211 2" xfId="4544" xr:uid="{00000000-0005-0000-0000-00007E110000}"/>
    <cellStyle name="_4F設置場所_【20090724】千里導入明細資料_２１年度_【20091225】千里導入明細資料_２２年度上期分_連携DB" xfId="4545" xr:uid="{00000000-0005-0000-0000-00007F110000}"/>
    <cellStyle name="_4F設置場所_【20090724】千里導入明細資料_２１年度_【20091225】千里導入明細資料_２２年度上期分_連携DB 2" xfId="4546" xr:uid="{00000000-0005-0000-0000-000080110000}"/>
    <cellStyle name="_4F設置場所_【20090724】千里導入明細資料_２１年度_【20091225】千里導入明細資料_２２年度上期分_連携DB_【調整中】千里導入明細資料_２２年度上期分_fj_20100127" xfId="4547" xr:uid="{00000000-0005-0000-0000-000081110000}"/>
    <cellStyle name="_4F設置場所_【20090724】千里導入明細資料_２１年度_【20091225】千里導入明細資料_２２年度上期分_連携DB_【調整中】千里導入明細資料_２２年度上期分_fj_20100127 2" xfId="4548" xr:uid="{00000000-0005-0000-0000-000082110000}"/>
    <cellStyle name="_4F設置場所_【20090724】千里導入明細資料_２１年度_【20091225】千里導入明細資料_２２年度上期分_連携DB_【調整中】千里導入明細資料_２２年度上期分_fj_20100127_Ⅹ_課題と対応策_20121211" xfId="4549" xr:uid="{00000000-0005-0000-0000-000083110000}"/>
    <cellStyle name="_4F設置場所_【20090724】千里導入明細資料_２１年度_【20091225】千里導入明細資料_２２年度上期分_連携DB_【調整中】千里導入明細資料_２２年度上期分_fj_20100127_Ⅹ_課題と対応策_20121211 2" xfId="4550" xr:uid="{00000000-0005-0000-0000-000084110000}"/>
    <cellStyle name="_4F設置場所_【20090724】千里導入明細資料_２１年度_【20091225】千里導入明細資料_２２年度上期分_連携DB_Ⅹ_課題と対応策_20121211" xfId="4551" xr:uid="{00000000-0005-0000-0000-000085110000}"/>
    <cellStyle name="_4F設置場所_【20090724】千里導入明細資料_２１年度_【20091225】千里導入明細資料_２２年度上期分_連携DB_Ⅹ_課題と対応策_20121211 2" xfId="4552" xr:uid="{00000000-0005-0000-0000-000086110000}"/>
    <cellStyle name="_4F設置場所_【20090724】千里導入明細資料_２１年度_【作成中】千里センター機器配置図（2010年対応分）_20091221" xfId="4553" xr:uid="{00000000-0005-0000-0000-000087110000}"/>
    <cellStyle name="_4F設置場所_【20090724】千里導入明細資料_２１年度_【作成中】千里センター機器配置図（2010年対応分）_20091221 2" xfId="4554" xr:uid="{00000000-0005-0000-0000-000088110000}"/>
    <cellStyle name="_4F設置場所_【20090724】千里導入明細資料_２１年度_【作成中】千里センター機器配置図（2010年対応分）_20091221_【調整中】千里導入明細資料_２２年度上期分_fj_20100127" xfId="4555" xr:uid="{00000000-0005-0000-0000-000089110000}"/>
    <cellStyle name="_4F設置場所_【20090724】千里導入明細資料_２１年度_【作成中】千里センター機器配置図（2010年対応分）_20091221_【調整中】千里導入明細資料_２２年度上期分_fj_20100127 2" xfId="4556" xr:uid="{00000000-0005-0000-0000-00008A110000}"/>
    <cellStyle name="_4F設置場所_【20090724】千里導入明細資料_２１年度_【作成中】千里センター機器配置図（2010年対応分）_20091221_【調整中】千里導入明細資料_２２年度上期分_fj_20100127_Ⅹ_課題と対応策_20121211" xfId="4557" xr:uid="{00000000-0005-0000-0000-00008B110000}"/>
    <cellStyle name="_4F設置場所_【20090724】千里導入明細資料_２１年度_【作成中】千里センター機器配置図（2010年対応分）_20091221_【調整中】千里導入明細資料_２２年度上期分_fj_20100127_Ⅹ_課題と対応策_20121211 2" xfId="4558" xr:uid="{00000000-0005-0000-0000-00008C110000}"/>
    <cellStyle name="_4F設置場所_【20090724】千里導入明細資料_２１年度_【作成中】千里センター機器配置図（2010年対応分）_20091221_Ⅹ_課題と対応策_20121211" xfId="4559" xr:uid="{00000000-0005-0000-0000-00008D110000}"/>
    <cellStyle name="_4F設置場所_【20090724】千里導入明細資料_２１年度_【作成中】千里センター機器配置図（2010年対応分）_20091221_Ⅹ_課題と対応策_20121211 2" xfId="4560" xr:uid="{00000000-0005-0000-0000-00008E110000}"/>
    <cellStyle name="_4F設置場所_【20090724】千里導入明細資料_２１年度_Ⅹ_課題と対応策_20121211" xfId="4561" xr:uid="{00000000-0005-0000-0000-00008F110000}"/>
    <cellStyle name="_4F設置場所_【20090724】千里導入明細資料_２１年度_Ⅹ_課題と対応策_20121211 2" xfId="4562" xr:uid="{00000000-0005-0000-0000-000090110000}"/>
    <cellStyle name="_4F設置場所_【20090724】千里導入明細資料_２１年度分（９月工事分）" xfId="4563" xr:uid="{00000000-0005-0000-0000-000091110000}"/>
    <cellStyle name="_4F設置場所_【20090724】千里導入明細資料_２１年度分（９月工事分） 2" xfId="4564" xr:uid="{00000000-0005-0000-0000-000092110000}"/>
    <cellStyle name="_4F設置場所_【20090724】千里導入明細資料_２１年度分（９月工事分）_【20091207】千里導入明細資料_２１年度分（ネットワーク敷設）" xfId="4565" xr:uid="{00000000-0005-0000-0000-000093110000}"/>
    <cellStyle name="_4F設置場所_【20090724】千里導入明細資料_２１年度分（９月工事分）_【20091207】千里導入明細資料_２１年度分（ネットワーク敷設） 2" xfId="4566" xr:uid="{00000000-0005-0000-0000-000094110000}"/>
    <cellStyle name="_4F設置場所_【20090724】千里導入明細資料_２１年度分（９月工事分）_【20091207】千里導入明細資料_２１年度分（ネットワーク敷設）_【20091218】千里導入明細資料_２１年度分（ネットワーク敷設）" xfId="4567" xr:uid="{00000000-0005-0000-0000-000095110000}"/>
    <cellStyle name="_4F設置場所_【20090724】千里導入明細資料_２１年度分（９月工事分）_【20091207】千里導入明細資料_２１年度分（ネットワーク敷設）_【20091218】千里導入明細資料_２１年度分（ネットワーク敷設） 2" xfId="4568" xr:uid="{00000000-0005-0000-0000-000096110000}"/>
    <cellStyle name="_4F設置場所_【20090724】千里導入明細資料_２１年度分（９月工事分）_【20091207】千里導入明細資料_２１年度分（ネットワーク敷設）_【20091218】千里導入明細資料_２１年度分（ネットワーク敷設）_Ⅹ_課題と対応策_20121211" xfId="4569" xr:uid="{00000000-0005-0000-0000-000097110000}"/>
    <cellStyle name="_4F設置場所_【20090724】千里導入明細資料_２１年度分（９月工事分）_【20091207】千里導入明細資料_２１年度分（ネットワーク敷設）_【20091218】千里導入明細資料_２１年度分（ネットワーク敷設）_Ⅹ_課題と対応策_20121211 2" xfId="4570" xr:uid="{00000000-0005-0000-0000-000098110000}"/>
    <cellStyle name="_4F設置場所_【20090724】千里導入明細資料_２１年度分（９月工事分）_【20091207】千里導入明細資料_２１年度分（ネットワーク敷設）_Ⅹ_課題と対応策_20121211" xfId="4571" xr:uid="{00000000-0005-0000-0000-000099110000}"/>
    <cellStyle name="_4F設置場所_【20090724】千里導入明細資料_２１年度分（９月工事分）_【20091207】千里導入明細資料_２１年度分（ネットワーク敷設）_Ⅹ_課題と対応策_20121211 2" xfId="4572" xr:uid="{00000000-0005-0000-0000-00009A110000}"/>
    <cellStyle name="_4F設置場所_【20090724】千里導入明細資料_２１年度分（９月工事分）_【20091207】千里導入明細資料_２１年度分（ネットワーク敷設）_千里導入明細資料_２２年度分（ネットワーク敷設）_fj" xfId="4573" xr:uid="{00000000-0005-0000-0000-00009B110000}"/>
    <cellStyle name="_4F設置場所_【20090724】千里導入明細資料_２１年度分（９月工事分）_【20091207】千里導入明細資料_２１年度分（ネットワーク敷設）_千里導入明細資料_２２年度分（ネットワーク敷設）_fj 2" xfId="4574" xr:uid="{00000000-0005-0000-0000-00009C110000}"/>
    <cellStyle name="_4F設置場所_【20090724】千里導入明細資料_２１年度分（９月工事分）_【20091207】千里導入明細資料_２１年度分（ネットワーク敷設）_千里導入明細資料_２２年度分（ネットワーク敷設）_fj_Ⅹ_課題と対応策_20121211" xfId="4575" xr:uid="{00000000-0005-0000-0000-00009D110000}"/>
    <cellStyle name="_4F設置場所_【20090724】千里導入明細資料_２１年度分（９月工事分）_【20091207】千里導入明細資料_２１年度分（ネットワーク敷設）_千里導入明細資料_２２年度分（ネットワーク敷設）_fj_Ⅹ_課題と対応策_20121211 2" xfId="4576" xr:uid="{00000000-0005-0000-0000-00009E110000}"/>
    <cellStyle name="_4F設置場所_【20090724】千里導入明細資料_２１年度分（９月工事分）_【20091225】千里導入明細資料_２２年度上期分（営業店ＡＰ－ＤＢ）" xfId="4577" xr:uid="{00000000-0005-0000-0000-00009F110000}"/>
    <cellStyle name="_4F設置場所_【20090724】千里導入明細資料_２１年度分（９月工事分）_【20091225】千里導入明細資料_２２年度上期分（営業店ＡＰ－ＤＢ） 2" xfId="4578" xr:uid="{00000000-0005-0000-0000-0000A0110000}"/>
    <cellStyle name="_4F設置場所_【20090724】千里導入明細資料_２１年度分（９月工事分）_【20091225】千里導入明細資料_２２年度上期分（営業店ＡＰ－ＤＢ）_【調整中】千里導入明細資料_２２年度上期分_fj_20100127" xfId="4579" xr:uid="{00000000-0005-0000-0000-0000A1110000}"/>
    <cellStyle name="_4F設置場所_【20090724】千里導入明細資料_２１年度分（９月工事分）_【20091225】千里導入明細資料_２２年度上期分（営業店ＡＰ－ＤＢ）_【調整中】千里導入明細資料_２２年度上期分_fj_20100127 2" xfId="4580" xr:uid="{00000000-0005-0000-0000-0000A2110000}"/>
    <cellStyle name="_4F設置場所_【20090724】千里導入明細資料_２１年度分（９月工事分）_【20091225】千里導入明細資料_２２年度上期分（営業店ＡＰ－ＤＢ）_【調整中】千里導入明細資料_２２年度上期分_fj_20100127_Ⅹ_課題と対応策_20121211" xfId="4581" xr:uid="{00000000-0005-0000-0000-0000A3110000}"/>
    <cellStyle name="_4F設置場所_【20090724】千里導入明細資料_２１年度分（９月工事分）_【20091225】千里導入明細資料_２２年度上期分（営業店ＡＰ－ＤＢ）_【調整中】千里導入明細資料_２２年度上期分_fj_20100127_Ⅹ_課題と対応策_20121211 2" xfId="4582" xr:uid="{00000000-0005-0000-0000-0000A4110000}"/>
    <cellStyle name="_4F設置場所_【20090724】千里導入明細資料_２１年度分（９月工事分）_【20091225】千里導入明細資料_２２年度上期分（営業店ＡＰ－ＤＢ）_Ⅹ_課題と対応策_20121211" xfId="4583" xr:uid="{00000000-0005-0000-0000-0000A5110000}"/>
    <cellStyle name="_4F設置場所_【20090724】千里導入明細資料_２１年度分（９月工事分）_【20091225】千里導入明細資料_２２年度上期分（営業店ＡＰ－ＤＢ）_Ⅹ_課題と対応策_20121211 2" xfId="4584" xr:uid="{00000000-0005-0000-0000-0000A6110000}"/>
    <cellStyle name="_4F設置場所_【20090724】千里導入明細資料_２１年度分（９月工事分）_【20091225】千里導入明細資料_２２年度上期分_営業店DB" xfId="4585" xr:uid="{00000000-0005-0000-0000-0000A7110000}"/>
    <cellStyle name="_4F設置場所_【20090724】千里導入明細資料_２１年度分（９月工事分）_【20091225】千里導入明細資料_２２年度上期分_営業店DB 2" xfId="4586" xr:uid="{00000000-0005-0000-0000-0000A8110000}"/>
    <cellStyle name="_4F設置場所_【20090724】千里導入明細資料_２１年度分（９月工事分）_【20091225】千里導入明細資料_２２年度上期分_営業店DB_【調整中】千里導入明細資料_２２年度上期分_fj_20100127" xfId="4587" xr:uid="{00000000-0005-0000-0000-0000A9110000}"/>
    <cellStyle name="_4F設置場所_【20090724】千里導入明細資料_２１年度分（９月工事分）_【20091225】千里導入明細資料_２２年度上期分_営業店DB_【調整中】千里導入明細資料_２２年度上期分_fj_20100127 2" xfId="4588" xr:uid="{00000000-0005-0000-0000-0000AA110000}"/>
    <cellStyle name="_4F設置場所_【20090724】千里導入明細資料_２１年度分（９月工事分）_【20091225】千里導入明細資料_２２年度上期分_営業店DB_【調整中】千里導入明細資料_２２年度上期分_fj_20100127_Ⅹ_課題と対応策_20121211" xfId="4589" xr:uid="{00000000-0005-0000-0000-0000AB110000}"/>
    <cellStyle name="_4F設置場所_【20090724】千里導入明細資料_２１年度分（９月工事分）_【20091225】千里導入明細資料_２２年度上期分_営業店DB_【調整中】千里導入明細資料_２２年度上期分_fj_20100127_Ⅹ_課題と対応策_20121211 2" xfId="4590" xr:uid="{00000000-0005-0000-0000-0000AC110000}"/>
    <cellStyle name="_4F設置場所_【20090724】千里導入明細資料_２１年度分（９月工事分）_【20091225】千里導入明細資料_２２年度上期分_営業店DB_Ⅹ_課題と対応策_20121211" xfId="4591" xr:uid="{00000000-0005-0000-0000-0000AD110000}"/>
    <cellStyle name="_4F設置場所_【20090724】千里導入明細資料_２１年度分（９月工事分）_【20091225】千里導入明細資料_２２年度上期分_営業店DB_Ⅹ_課題と対応策_20121211 2" xfId="4592" xr:uid="{00000000-0005-0000-0000-0000AE110000}"/>
    <cellStyle name="_4F設置場所_【20090724】千里導入明細資料_２１年度分（９月工事分）_【20091225】千里導入明細資料_２２年度上期分_連携DB" xfId="4593" xr:uid="{00000000-0005-0000-0000-0000AF110000}"/>
    <cellStyle name="_4F設置場所_【20090724】千里導入明細資料_２１年度分（９月工事分）_【20091225】千里導入明細資料_２２年度上期分_連携DB 2" xfId="4594" xr:uid="{00000000-0005-0000-0000-0000B0110000}"/>
    <cellStyle name="_4F設置場所_【20090724】千里導入明細資料_２１年度分（９月工事分）_【20091225】千里導入明細資料_２２年度上期分_連携DB_【調整中】千里導入明細資料_２２年度上期分_fj_20100127" xfId="4595" xr:uid="{00000000-0005-0000-0000-0000B1110000}"/>
    <cellStyle name="_4F設置場所_【20090724】千里導入明細資料_２１年度分（９月工事分）_【20091225】千里導入明細資料_２２年度上期分_連携DB_【調整中】千里導入明細資料_２２年度上期分_fj_20100127 2" xfId="4596" xr:uid="{00000000-0005-0000-0000-0000B2110000}"/>
    <cellStyle name="_4F設置場所_【20090724】千里導入明細資料_２１年度分（９月工事分）_【20091225】千里導入明細資料_２２年度上期分_連携DB_【調整中】千里導入明細資料_２２年度上期分_fj_20100127_Ⅹ_課題と対応策_20121211" xfId="4597" xr:uid="{00000000-0005-0000-0000-0000B3110000}"/>
    <cellStyle name="_4F設置場所_【20090724】千里導入明細資料_２１年度分（９月工事分）_【20091225】千里導入明細資料_２２年度上期分_連携DB_【調整中】千里導入明細資料_２２年度上期分_fj_20100127_Ⅹ_課題と対応策_20121211 2" xfId="4598" xr:uid="{00000000-0005-0000-0000-0000B4110000}"/>
    <cellStyle name="_4F設置場所_【20090724】千里導入明細資料_２１年度分（９月工事分）_【20091225】千里導入明細資料_２２年度上期分_連携DB_Ⅹ_課題と対応策_20121211" xfId="4599" xr:uid="{00000000-0005-0000-0000-0000B5110000}"/>
    <cellStyle name="_4F設置場所_【20090724】千里導入明細資料_２１年度分（９月工事分）_【20091225】千里導入明細資料_２２年度上期分_連携DB_Ⅹ_課題と対応策_20121211 2" xfId="4600" xr:uid="{00000000-0005-0000-0000-0000B6110000}"/>
    <cellStyle name="_4F設置場所_【20090724】千里導入明細資料_２１年度分（９月工事分）_【作成中】千里センター機器配置図（2010年対応分）_20091221" xfId="4601" xr:uid="{00000000-0005-0000-0000-0000B7110000}"/>
    <cellStyle name="_4F設置場所_【20090724】千里導入明細資料_２１年度分（９月工事分）_【作成中】千里センター機器配置図（2010年対応分）_20091221 2" xfId="4602" xr:uid="{00000000-0005-0000-0000-0000B8110000}"/>
    <cellStyle name="_4F設置場所_【20090724】千里導入明細資料_２１年度分（９月工事分）_【作成中】千里センター機器配置図（2010年対応分）_20091221_【調整中】千里導入明細資料_２２年度上期分_fj_20100127" xfId="4603" xr:uid="{00000000-0005-0000-0000-0000B9110000}"/>
    <cellStyle name="_4F設置場所_【20090724】千里導入明細資料_２１年度分（９月工事分）_【作成中】千里センター機器配置図（2010年対応分）_20091221_【調整中】千里導入明細資料_２２年度上期分_fj_20100127 2" xfId="4604" xr:uid="{00000000-0005-0000-0000-0000BA110000}"/>
    <cellStyle name="_4F設置場所_【20090724】千里導入明細資料_２１年度分（９月工事分）_【作成中】千里センター機器配置図（2010年対応分）_20091221_【調整中】千里導入明細資料_２２年度上期分_fj_20100127_Ⅹ_課題と対応策_20121211" xfId="4605" xr:uid="{00000000-0005-0000-0000-0000BB110000}"/>
    <cellStyle name="_4F設置場所_【20090724】千里導入明細資料_２１年度分（９月工事分）_【作成中】千里センター機器配置図（2010年対応分）_20091221_【調整中】千里導入明細資料_２２年度上期分_fj_20100127_Ⅹ_課題と対応策_20121211 2" xfId="4606" xr:uid="{00000000-0005-0000-0000-0000BC110000}"/>
    <cellStyle name="_4F設置場所_【20090724】千里導入明細資料_２１年度分（９月工事分）_【作成中】千里センター機器配置図（2010年対応分）_20091221_Ⅹ_課題と対応策_20121211" xfId="4607" xr:uid="{00000000-0005-0000-0000-0000BD110000}"/>
    <cellStyle name="_4F設置場所_【20090724】千里導入明細資料_２１年度分（９月工事分）_【作成中】千里センター機器配置図（2010年対応分）_20091221_Ⅹ_課題と対応策_20121211 2" xfId="4608" xr:uid="{00000000-0005-0000-0000-0000BE110000}"/>
    <cellStyle name="_4F設置場所_【20090724】千里導入明細資料_２１年度分（９月工事分）_Ⅹ_課題と対応策_20121211" xfId="4609" xr:uid="{00000000-0005-0000-0000-0000BF110000}"/>
    <cellStyle name="_4F設置場所_【20090724】千里導入明細資料_２１年度分（９月工事分）_Ⅹ_課題と対応策_20121211 2" xfId="4610" xr:uid="{00000000-0005-0000-0000-0000C0110000}"/>
    <cellStyle name="_4F設置場所_【20090731】千里導入明細資料_２１年度分（９月工事分）" xfId="4611" xr:uid="{00000000-0005-0000-0000-0000C1110000}"/>
    <cellStyle name="_4F設置場所_【20090731】千里導入明細資料_２１年度分（９月工事分） 2" xfId="4612" xr:uid="{00000000-0005-0000-0000-0000C2110000}"/>
    <cellStyle name="_4F設置場所_【20090731】千里導入明細資料_２１年度分（９月工事分）_【20090821】千里ラック搭載図（NW機器）" xfId="4613" xr:uid="{00000000-0005-0000-0000-0000C3110000}"/>
    <cellStyle name="_4F設置場所_【20090731】千里導入明細資料_２１年度分（９月工事分）_【20090821】千里ラック搭載図（NW機器） 2" xfId="4614" xr:uid="{00000000-0005-0000-0000-0000C4110000}"/>
    <cellStyle name="_4F設置場所_【20090731】千里導入明細資料_２１年度分（９月工事分）_【20090821】千里ラック搭載図（NW機器）_Ⅹ_課題と対応策_20121211" xfId="4615" xr:uid="{00000000-0005-0000-0000-0000C5110000}"/>
    <cellStyle name="_4F設置場所_【20090731】千里導入明細資料_２１年度分（９月工事分）_【20090821】千里ラック搭載図（NW機器）_Ⅹ_課題と対応策_20121211 2" xfId="4616" xr:uid="{00000000-0005-0000-0000-0000C6110000}"/>
    <cellStyle name="_4F設置場所_【20090731】千里導入明細資料_２１年度分（９月工事分）_Ⅹ_課題と対応策_20121211" xfId="4617" xr:uid="{00000000-0005-0000-0000-0000C7110000}"/>
    <cellStyle name="_4F設置場所_【20090731】千里導入明細資料_２１年度分（９月工事分）_Ⅹ_課題と対応策_20121211 2" xfId="4618" xr:uid="{00000000-0005-0000-0000-0000C8110000}"/>
    <cellStyle name="_4F設置場所_【20090807】千里導入明細資料" xfId="4619" xr:uid="{00000000-0005-0000-0000-0000C9110000}"/>
    <cellStyle name="_4F設置場所_【20090807】千里導入明細資料 2" xfId="4620" xr:uid="{00000000-0005-0000-0000-0000CA110000}"/>
    <cellStyle name="_4F設置場所_【20090807】千里導入明細資料_【20091207】千里導入明細資料_２１年度分（ネットワーク敷設）" xfId="4621" xr:uid="{00000000-0005-0000-0000-0000CB110000}"/>
    <cellStyle name="_4F設置場所_【20090807】千里導入明細資料_【20091207】千里導入明細資料_２１年度分（ネットワーク敷設） 2" xfId="4622" xr:uid="{00000000-0005-0000-0000-0000CC110000}"/>
    <cellStyle name="_4F設置場所_【20090807】千里導入明細資料_【20091207】千里導入明細資料_２１年度分（ネットワーク敷設）_【20091218】千里導入明細資料_２１年度分（ネットワーク敷設）" xfId="4623" xr:uid="{00000000-0005-0000-0000-0000CD110000}"/>
    <cellStyle name="_4F設置場所_【20090807】千里導入明細資料_【20091207】千里導入明細資料_２１年度分（ネットワーク敷設）_【20091218】千里導入明細資料_２１年度分（ネットワーク敷設） 2" xfId="4624" xr:uid="{00000000-0005-0000-0000-0000CE110000}"/>
    <cellStyle name="_4F設置場所_【20090807】千里導入明細資料_【20091207】千里導入明細資料_２１年度分（ネットワーク敷設）_【20091218】千里導入明細資料_２１年度分（ネットワーク敷設）_Ⅹ_課題と対応策_20121211" xfId="4625" xr:uid="{00000000-0005-0000-0000-0000CF110000}"/>
    <cellStyle name="_4F設置場所_【20090807】千里導入明細資料_【20091207】千里導入明細資料_２１年度分（ネットワーク敷設）_【20091218】千里導入明細資料_２１年度分（ネットワーク敷設）_Ⅹ_課題と対応策_20121211 2" xfId="4626" xr:uid="{00000000-0005-0000-0000-0000D0110000}"/>
    <cellStyle name="_4F設置場所_【20090807】千里導入明細資料_【20091207】千里導入明細資料_２１年度分（ネットワーク敷設）_Ⅹ_課題と対応策_20121211" xfId="4627" xr:uid="{00000000-0005-0000-0000-0000D1110000}"/>
    <cellStyle name="_4F設置場所_【20090807】千里導入明細資料_【20091207】千里導入明細資料_２１年度分（ネットワーク敷設）_Ⅹ_課題と対応策_20121211 2" xfId="4628" xr:uid="{00000000-0005-0000-0000-0000D2110000}"/>
    <cellStyle name="_4F設置場所_【20090807】千里導入明細資料_【20091207】千里導入明細資料_２１年度分（ネットワーク敷設）_千里導入明細資料_２２年度分（ネットワーク敷設）_fj" xfId="4629" xr:uid="{00000000-0005-0000-0000-0000D3110000}"/>
    <cellStyle name="_4F設置場所_【20090807】千里導入明細資料_【20091207】千里導入明細資料_２１年度分（ネットワーク敷設）_千里導入明細資料_２２年度分（ネットワーク敷設）_fj 2" xfId="4630" xr:uid="{00000000-0005-0000-0000-0000D4110000}"/>
    <cellStyle name="_4F設置場所_【20090807】千里導入明細資料_【20091207】千里導入明細資料_２１年度分（ネットワーク敷設）_千里導入明細資料_２２年度分（ネットワーク敷設）_fj_Ⅹ_課題と対応策_20121211" xfId="4631" xr:uid="{00000000-0005-0000-0000-0000D5110000}"/>
    <cellStyle name="_4F設置場所_【20090807】千里導入明細資料_【20091207】千里導入明細資料_２１年度分（ネットワーク敷設）_千里導入明細資料_２２年度分（ネットワーク敷設）_fj_Ⅹ_課題と対応策_20121211 2" xfId="4632" xr:uid="{00000000-0005-0000-0000-0000D6110000}"/>
    <cellStyle name="_4F設置場所_【20090807】千里導入明細資料_【20091225】千里導入明細資料_２２年度上期分（営業店ＡＰ－ＤＢ）" xfId="4633" xr:uid="{00000000-0005-0000-0000-0000D7110000}"/>
    <cellStyle name="_4F設置場所_【20090807】千里導入明細資料_【20091225】千里導入明細資料_２２年度上期分（営業店ＡＰ－ＤＢ） 2" xfId="4634" xr:uid="{00000000-0005-0000-0000-0000D8110000}"/>
    <cellStyle name="_4F設置場所_【20090807】千里導入明細資料_【20091225】千里導入明細資料_２２年度上期分（営業店ＡＰ－ＤＢ）_【調整中】千里導入明細資料_２２年度上期分_fj_20100127" xfId="4635" xr:uid="{00000000-0005-0000-0000-0000D9110000}"/>
    <cellStyle name="_4F設置場所_【20090807】千里導入明細資料_【20091225】千里導入明細資料_２２年度上期分（営業店ＡＰ－ＤＢ）_【調整中】千里導入明細資料_２２年度上期分_fj_20100127 2" xfId="4636" xr:uid="{00000000-0005-0000-0000-0000DA110000}"/>
    <cellStyle name="_4F設置場所_【20090807】千里導入明細資料_【20091225】千里導入明細資料_２２年度上期分（営業店ＡＰ－ＤＢ）_【調整中】千里導入明細資料_２２年度上期分_fj_20100127_Ⅹ_課題と対応策_20121211" xfId="4637" xr:uid="{00000000-0005-0000-0000-0000DB110000}"/>
    <cellStyle name="_4F設置場所_【20090807】千里導入明細資料_【20091225】千里導入明細資料_２２年度上期分（営業店ＡＰ－ＤＢ）_【調整中】千里導入明細資料_２２年度上期分_fj_20100127_Ⅹ_課題と対応策_20121211 2" xfId="4638" xr:uid="{00000000-0005-0000-0000-0000DC110000}"/>
    <cellStyle name="_4F設置場所_【20090807】千里導入明細資料_【20091225】千里導入明細資料_２２年度上期分（営業店ＡＰ－ＤＢ）_Ⅹ_課題と対応策_20121211" xfId="4639" xr:uid="{00000000-0005-0000-0000-0000DD110000}"/>
    <cellStyle name="_4F設置場所_【20090807】千里導入明細資料_【20091225】千里導入明細資料_２２年度上期分（営業店ＡＰ－ＤＢ）_Ⅹ_課題と対応策_20121211 2" xfId="4640" xr:uid="{00000000-0005-0000-0000-0000DE110000}"/>
    <cellStyle name="_4F設置場所_【20090807】千里導入明細資料_【20091225】千里導入明細資料_２２年度上期分_営業店DB" xfId="4641" xr:uid="{00000000-0005-0000-0000-0000DF110000}"/>
    <cellStyle name="_4F設置場所_【20090807】千里導入明細資料_【20091225】千里導入明細資料_２２年度上期分_営業店DB 2" xfId="4642" xr:uid="{00000000-0005-0000-0000-0000E0110000}"/>
    <cellStyle name="_4F設置場所_【20090807】千里導入明細資料_【20091225】千里導入明細資料_２２年度上期分_営業店DB_【調整中】千里導入明細資料_２２年度上期分_fj_20100127" xfId="4643" xr:uid="{00000000-0005-0000-0000-0000E1110000}"/>
    <cellStyle name="_4F設置場所_【20090807】千里導入明細資料_【20091225】千里導入明細資料_２２年度上期分_営業店DB_【調整中】千里導入明細資料_２２年度上期分_fj_20100127 2" xfId="4644" xr:uid="{00000000-0005-0000-0000-0000E2110000}"/>
    <cellStyle name="_4F設置場所_【20090807】千里導入明細資料_【20091225】千里導入明細資料_２２年度上期分_営業店DB_【調整中】千里導入明細資料_２２年度上期分_fj_20100127_Ⅹ_課題と対応策_20121211" xfId="4645" xr:uid="{00000000-0005-0000-0000-0000E3110000}"/>
    <cellStyle name="_4F設置場所_【20090807】千里導入明細資料_【20091225】千里導入明細資料_２２年度上期分_営業店DB_【調整中】千里導入明細資料_２２年度上期分_fj_20100127_Ⅹ_課題と対応策_20121211 2" xfId="4646" xr:uid="{00000000-0005-0000-0000-0000E4110000}"/>
    <cellStyle name="_4F設置場所_【20090807】千里導入明細資料_【20091225】千里導入明細資料_２２年度上期分_営業店DB_Ⅹ_課題と対応策_20121211" xfId="4647" xr:uid="{00000000-0005-0000-0000-0000E5110000}"/>
    <cellStyle name="_4F設置場所_【20090807】千里導入明細資料_【20091225】千里導入明細資料_２２年度上期分_営業店DB_Ⅹ_課題と対応策_20121211 2" xfId="4648" xr:uid="{00000000-0005-0000-0000-0000E6110000}"/>
    <cellStyle name="_4F設置場所_【20090807】千里導入明細資料_【20091225】千里導入明細資料_２２年度上期分_連携DB" xfId="4649" xr:uid="{00000000-0005-0000-0000-0000E7110000}"/>
    <cellStyle name="_4F設置場所_【20090807】千里導入明細資料_【20091225】千里導入明細資料_２２年度上期分_連携DB 2" xfId="4650" xr:uid="{00000000-0005-0000-0000-0000E8110000}"/>
    <cellStyle name="_4F設置場所_【20090807】千里導入明細資料_【20091225】千里導入明細資料_２２年度上期分_連携DB_【調整中】千里導入明細資料_２２年度上期分_fj_20100127" xfId="4651" xr:uid="{00000000-0005-0000-0000-0000E9110000}"/>
    <cellStyle name="_4F設置場所_【20090807】千里導入明細資料_【20091225】千里導入明細資料_２２年度上期分_連携DB_【調整中】千里導入明細資料_２２年度上期分_fj_20100127 2" xfId="4652" xr:uid="{00000000-0005-0000-0000-0000EA110000}"/>
    <cellStyle name="_4F設置場所_【20090807】千里導入明細資料_【20091225】千里導入明細資料_２２年度上期分_連携DB_【調整中】千里導入明細資料_２２年度上期分_fj_20100127_Ⅹ_課題と対応策_20121211" xfId="4653" xr:uid="{00000000-0005-0000-0000-0000EB110000}"/>
    <cellStyle name="_4F設置場所_【20090807】千里導入明細資料_【20091225】千里導入明細資料_２２年度上期分_連携DB_【調整中】千里導入明細資料_２２年度上期分_fj_20100127_Ⅹ_課題と対応策_20121211 2" xfId="4654" xr:uid="{00000000-0005-0000-0000-0000EC110000}"/>
    <cellStyle name="_4F設置場所_【20090807】千里導入明細資料_【20091225】千里導入明細資料_２２年度上期分_連携DB_Ⅹ_課題と対応策_20121211" xfId="4655" xr:uid="{00000000-0005-0000-0000-0000ED110000}"/>
    <cellStyle name="_4F設置場所_【20090807】千里導入明細資料_【20091225】千里導入明細資料_２２年度上期分_連携DB_Ⅹ_課題と対応策_20121211 2" xfId="4656" xr:uid="{00000000-0005-0000-0000-0000EE110000}"/>
    <cellStyle name="_4F設置場所_【20090807】千里導入明細資料_【作成中】千里センター機器配置図（2010年対応分）_20091221" xfId="4657" xr:uid="{00000000-0005-0000-0000-0000EF110000}"/>
    <cellStyle name="_4F設置場所_【20090807】千里導入明細資料_【作成中】千里センター機器配置図（2010年対応分）_20091221 2" xfId="4658" xr:uid="{00000000-0005-0000-0000-0000F0110000}"/>
    <cellStyle name="_4F設置場所_【20090807】千里導入明細資料_【作成中】千里センター機器配置図（2010年対応分）_20091221_【調整中】千里導入明細資料_２２年度上期分_fj_20100127" xfId="4659" xr:uid="{00000000-0005-0000-0000-0000F1110000}"/>
    <cellStyle name="_4F設置場所_【20090807】千里導入明細資料_【作成中】千里センター機器配置図（2010年対応分）_20091221_【調整中】千里導入明細資料_２２年度上期分_fj_20100127 2" xfId="4660" xr:uid="{00000000-0005-0000-0000-0000F2110000}"/>
    <cellStyle name="_4F設置場所_【20090807】千里導入明細資料_【作成中】千里センター機器配置図（2010年対応分）_20091221_【調整中】千里導入明細資料_２２年度上期分_fj_20100127_Ⅹ_課題と対応策_20121211" xfId="4661" xr:uid="{00000000-0005-0000-0000-0000F3110000}"/>
    <cellStyle name="_4F設置場所_【20090807】千里導入明細資料_【作成中】千里センター機器配置図（2010年対応分）_20091221_【調整中】千里導入明細資料_２２年度上期分_fj_20100127_Ⅹ_課題と対応策_20121211 2" xfId="4662" xr:uid="{00000000-0005-0000-0000-0000F4110000}"/>
    <cellStyle name="_4F設置場所_【20090807】千里導入明細資料_【作成中】千里センター機器配置図（2010年対応分）_20091221_Ⅹ_課題と対応策_20121211" xfId="4663" xr:uid="{00000000-0005-0000-0000-0000F5110000}"/>
    <cellStyle name="_4F設置場所_【20090807】千里導入明細資料_【作成中】千里センター機器配置図（2010年対応分）_20091221_Ⅹ_課題と対応策_20121211 2" xfId="4664" xr:uid="{00000000-0005-0000-0000-0000F6110000}"/>
    <cellStyle name="_4F設置場所_【20090807】千里導入明細資料_Ⅹ_課題と対応策_20121211" xfId="4665" xr:uid="{00000000-0005-0000-0000-0000F7110000}"/>
    <cellStyle name="_4F設置場所_【20090807】千里導入明細資料_Ⅹ_課題と対応策_20121211 2" xfId="4666" xr:uid="{00000000-0005-0000-0000-0000F8110000}"/>
    <cellStyle name="_4F設置場所_【20090814】千里導入明細資料_SDB追加" xfId="4667" xr:uid="{00000000-0005-0000-0000-0000F9110000}"/>
    <cellStyle name="_4F設置場所_【20090814】千里導入明細資料_SDB追加 2" xfId="4668" xr:uid="{00000000-0005-0000-0000-0000FA110000}"/>
    <cellStyle name="_4F設置場所_【20090814】千里導入明細資料_SDB追加_【20091207】千里導入明細資料_２１年度分（ネットワーク敷設）" xfId="4669" xr:uid="{00000000-0005-0000-0000-0000FB110000}"/>
    <cellStyle name="_4F設置場所_【20090814】千里導入明細資料_SDB追加_【20091207】千里導入明細資料_２１年度分（ネットワーク敷設） 2" xfId="4670" xr:uid="{00000000-0005-0000-0000-0000FC110000}"/>
    <cellStyle name="_4F設置場所_【20090814】千里導入明細資料_SDB追加_【20091207】千里導入明細資料_２１年度分（ネットワーク敷設）_【20091218】千里導入明細資料_２１年度分（ネットワーク敷設）" xfId="4671" xr:uid="{00000000-0005-0000-0000-0000FD110000}"/>
    <cellStyle name="_4F設置場所_【20090814】千里導入明細資料_SDB追加_【20091207】千里導入明細資料_２１年度分（ネットワーク敷設）_【20091218】千里導入明細資料_２１年度分（ネットワーク敷設） 2" xfId="4672" xr:uid="{00000000-0005-0000-0000-0000FE110000}"/>
    <cellStyle name="_4F設置場所_【20090814】千里導入明細資料_SDB追加_【20091207】千里導入明細資料_２１年度分（ネットワーク敷設）_【20091218】千里導入明細資料_２１年度分（ネットワーク敷設）_Ⅹ_課題と対応策_20121211" xfId="4673" xr:uid="{00000000-0005-0000-0000-0000FF110000}"/>
    <cellStyle name="_4F設置場所_【20090814】千里導入明細資料_SDB追加_【20091207】千里導入明細資料_２１年度分（ネットワーク敷設）_【20091218】千里導入明細資料_２１年度分（ネットワーク敷設）_Ⅹ_課題と対応策_20121211 2" xfId="4674" xr:uid="{00000000-0005-0000-0000-000000120000}"/>
    <cellStyle name="_4F設置場所_【20090814】千里導入明細資料_SDB追加_【20091207】千里導入明細資料_２１年度分（ネットワーク敷設）_Ⅹ_課題と対応策_20121211" xfId="4675" xr:uid="{00000000-0005-0000-0000-000001120000}"/>
    <cellStyle name="_4F設置場所_【20090814】千里導入明細資料_SDB追加_【20091207】千里導入明細資料_２１年度分（ネットワーク敷設）_Ⅹ_課題と対応策_20121211 2" xfId="4676" xr:uid="{00000000-0005-0000-0000-000002120000}"/>
    <cellStyle name="_4F設置場所_【20090814】千里導入明細資料_SDB追加_【20091207】千里導入明細資料_２１年度分（ネットワーク敷設）_千里導入明細資料_２２年度分（ネットワーク敷設）_fj" xfId="4677" xr:uid="{00000000-0005-0000-0000-000003120000}"/>
    <cellStyle name="_4F設置場所_【20090814】千里導入明細資料_SDB追加_【20091207】千里導入明細資料_２１年度分（ネットワーク敷設）_千里導入明細資料_２２年度分（ネットワーク敷設）_fj 2" xfId="4678" xr:uid="{00000000-0005-0000-0000-000004120000}"/>
    <cellStyle name="_4F設置場所_【20090814】千里導入明細資料_SDB追加_【20091207】千里導入明細資料_２１年度分（ネットワーク敷設）_千里導入明細資料_２２年度分（ネットワーク敷設）_fj_Ⅹ_課題と対応策_20121211" xfId="4679" xr:uid="{00000000-0005-0000-0000-000005120000}"/>
    <cellStyle name="_4F設置場所_【20090814】千里導入明細資料_SDB追加_【20091207】千里導入明細資料_２１年度分（ネットワーク敷設）_千里導入明細資料_２２年度分（ネットワーク敷設）_fj_Ⅹ_課題と対応策_20121211 2" xfId="4680" xr:uid="{00000000-0005-0000-0000-000006120000}"/>
    <cellStyle name="_4F設置場所_【20090814】千里導入明細資料_SDB追加_【20091225】千里導入明細資料_２２年度上期分（営業店ＡＰ－ＤＢ）" xfId="4681" xr:uid="{00000000-0005-0000-0000-000007120000}"/>
    <cellStyle name="_4F設置場所_【20090814】千里導入明細資料_SDB追加_【20091225】千里導入明細資料_２２年度上期分（営業店ＡＰ－ＤＢ） 2" xfId="4682" xr:uid="{00000000-0005-0000-0000-000008120000}"/>
    <cellStyle name="_4F設置場所_【20090814】千里導入明細資料_SDB追加_【20091225】千里導入明細資料_２２年度上期分（営業店ＡＰ－ＤＢ）_【調整中】千里導入明細資料_２２年度上期分_fj_20100127" xfId="4683" xr:uid="{00000000-0005-0000-0000-000009120000}"/>
    <cellStyle name="_4F設置場所_【20090814】千里導入明細資料_SDB追加_【20091225】千里導入明細資料_２２年度上期分（営業店ＡＰ－ＤＢ）_【調整中】千里導入明細資料_２２年度上期分_fj_20100127 2" xfId="4684" xr:uid="{00000000-0005-0000-0000-00000A120000}"/>
    <cellStyle name="_4F設置場所_【20090814】千里導入明細資料_SDB追加_【20091225】千里導入明細資料_２２年度上期分（営業店ＡＰ－ＤＢ）_【調整中】千里導入明細資料_２２年度上期分_fj_20100127_Ⅹ_課題と対応策_20121211" xfId="4685" xr:uid="{00000000-0005-0000-0000-00000B120000}"/>
    <cellStyle name="_4F設置場所_【20090814】千里導入明細資料_SDB追加_【20091225】千里導入明細資料_２２年度上期分（営業店ＡＰ－ＤＢ）_【調整中】千里導入明細資料_２２年度上期分_fj_20100127_Ⅹ_課題と対応策_20121211 2" xfId="4686" xr:uid="{00000000-0005-0000-0000-00000C120000}"/>
    <cellStyle name="_4F設置場所_【20090814】千里導入明細資料_SDB追加_【20091225】千里導入明細資料_２２年度上期分（営業店ＡＰ－ＤＢ）_Ⅹ_課題と対応策_20121211" xfId="4687" xr:uid="{00000000-0005-0000-0000-00000D120000}"/>
    <cellStyle name="_4F設置場所_【20090814】千里導入明細資料_SDB追加_【20091225】千里導入明細資料_２２年度上期分（営業店ＡＰ－ＤＢ）_Ⅹ_課題と対応策_20121211 2" xfId="4688" xr:uid="{00000000-0005-0000-0000-00000E120000}"/>
    <cellStyle name="_4F設置場所_【20090814】千里導入明細資料_SDB追加_【20091225】千里導入明細資料_２２年度上期分_営業店DB" xfId="4689" xr:uid="{00000000-0005-0000-0000-00000F120000}"/>
    <cellStyle name="_4F設置場所_【20090814】千里導入明細資料_SDB追加_【20091225】千里導入明細資料_２２年度上期分_営業店DB 2" xfId="4690" xr:uid="{00000000-0005-0000-0000-000010120000}"/>
    <cellStyle name="_4F設置場所_【20090814】千里導入明細資料_SDB追加_【20091225】千里導入明細資料_２２年度上期分_営業店DB_【調整中】千里導入明細資料_２２年度上期分_fj_20100127" xfId="4691" xr:uid="{00000000-0005-0000-0000-000011120000}"/>
    <cellStyle name="_4F設置場所_【20090814】千里導入明細資料_SDB追加_【20091225】千里導入明細資料_２２年度上期分_営業店DB_【調整中】千里導入明細資料_２２年度上期分_fj_20100127 2" xfId="4692" xr:uid="{00000000-0005-0000-0000-000012120000}"/>
    <cellStyle name="_4F設置場所_【20090814】千里導入明細資料_SDB追加_【20091225】千里導入明細資料_２２年度上期分_営業店DB_【調整中】千里導入明細資料_２２年度上期分_fj_20100127_Ⅹ_課題と対応策_20121211" xfId="4693" xr:uid="{00000000-0005-0000-0000-000013120000}"/>
    <cellStyle name="_4F設置場所_【20090814】千里導入明細資料_SDB追加_【20091225】千里導入明細資料_２２年度上期分_営業店DB_【調整中】千里導入明細資料_２２年度上期分_fj_20100127_Ⅹ_課題と対応策_20121211 2" xfId="4694" xr:uid="{00000000-0005-0000-0000-000014120000}"/>
    <cellStyle name="_4F設置場所_【20090814】千里導入明細資料_SDB追加_【20091225】千里導入明細資料_２２年度上期分_営業店DB_Ⅹ_課題と対応策_20121211" xfId="4695" xr:uid="{00000000-0005-0000-0000-000015120000}"/>
    <cellStyle name="_4F設置場所_【20090814】千里導入明細資料_SDB追加_【20091225】千里導入明細資料_２２年度上期分_営業店DB_Ⅹ_課題と対応策_20121211 2" xfId="4696" xr:uid="{00000000-0005-0000-0000-000016120000}"/>
    <cellStyle name="_4F設置場所_【20090814】千里導入明細資料_SDB追加_【20091225】千里導入明細資料_２２年度上期分_連携DB" xfId="4697" xr:uid="{00000000-0005-0000-0000-000017120000}"/>
    <cellStyle name="_4F設置場所_【20090814】千里導入明細資料_SDB追加_【20091225】千里導入明細資料_２２年度上期分_連携DB 2" xfId="4698" xr:uid="{00000000-0005-0000-0000-000018120000}"/>
    <cellStyle name="_4F設置場所_【20090814】千里導入明細資料_SDB追加_【20091225】千里導入明細資料_２２年度上期分_連携DB_【調整中】千里導入明細資料_２２年度上期分_fj_20100127" xfId="4699" xr:uid="{00000000-0005-0000-0000-000019120000}"/>
    <cellStyle name="_4F設置場所_【20090814】千里導入明細資料_SDB追加_【20091225】千里導入明細資料_２２年度上期分_連携DB_【調整中】千里導入明細資料_２２年度上期分_fj_20100127 2" xfId="4700" xr:uid="{00000000-0005-0000-0000-00001A120000}"/>
    <cellStyle name="_4F設置場所_【20090814】千里導入明細資料_SDB追加_【20091225】千里導入明細資料_２２年度上期分_連携DB_【調整中】千里導入明細資料_２２年度上期分_fj_20100127_Ⅹ_課題と対応策_20121211" xfId="4701" xr:uid="{00000000-0005-0000-0000-00001B120000}"/>
    <cellStyle name="_4F設置場所_【20090814】千里導入明細資料_SDB追加_【20091225】千里導入明細資料_２２年度上期分_連携DB_【調整中】千里導入明細資料_２２年度上期分_fj_20100127_Ⅹ_課題と対応策_20121211 2" xfId="4702" xr:uid="{00000000-0005-0000-0000-00001C120000}"/>
    <cellStyle name="_4F設置場所_【20090814】千里導入明細資料_SDB追加_【20091225】千里導入明細資料_２２年度上期分_連携DB_Ⅹ_課題と対応策_20121211" xfId="4703" xr:uid="{00000000-0005-0000-0000-00001D120000}"/>
    <cellStyle name="_4F設置場所_【20090814】千里導入明細資料_SDB追加_【20091225】千里導入明細資料_２２年度上期分_連携DB_Ⅹ_課題と対応策_20121211 2" xfId="4704" xr:uid="{00000000-0005-0000-0000-00001E120000}"/>
    <cellStyle name="_4F設置場所_【20090814】千里導入明細資料_SDB追加_【作成中】千里センター機器配置図（2010年対応分）_20091221" xfId="4705" xr:uid="{00000000-0005-0000-0000-00001F120000}"/>
    <cellStyle name="_4F設置場所_【20090814】千里導入明細資料_SDB追加_【作成中】千里センター機器配置図（2010年対応分）_20091221 2" xfId="4706" xr:uid="{00000000-0005-0000-0000-000020120000}"/>
    <cellStyle name="_4F設置場所_【20090814】千里導入明細資料_SDB追加_【作成中】千里センター機器配置図（2010年対応分）_20091221_【調整中】千里導入明細資料_２２年度上期分_fj_20100127" xfId="4707" xr:uid="{00000000-0005-0000-0000-000021120000}"/>
    <cellStyle name="_4F設置場所_【20090814】千里導入明細資料_SDB追加_【作成中】千里センター機器配置図（2010年対応分）_20091221_【調整中】千里導入明細資料_２２年度上期分_fj_20100127 2" xfId="4708" xr:uid="{00000000-0005-0000-0000-000022120000}"/>
    <cellStyle name="_4F設置場所_【20090814】千里導入明細資料_SDB追加_【作成中】千里センター機器配置図（2010年対応分）_20091221_【調整中】千里導入明細資料_２２年度上期分_fj_20100127_Ⅹ_課題と対応策_20121211" xfId="4709" xr:uid="{00000000-0005-0000-0000-000023120000}"/>
    <cellStyle name="_4F設置場所_【20090814】千里導入明細資料_SDB追加_【作成中】千里センター機器配置図（2010年対応分）_20091221_【調整中】千里導入明細資料_２２年度上期分_fj_20100127_Ⅹ_課題と対応策_20121211 2" xfId="4710" xr:uid="{00000000-0005-0000-0000-000024120000}"/>
    <cellStyle name="_4F設置場所_【20090814】千里導入明細資料_SDB追加_【作成中】千里センター機器配置図（2010年対応分）_20091221_Ⅹ_課題と対応策_20121211" xfId="4711" xr:uid="{00000000-0005-0000-0000-000025120000}"/>
    <cellStyle name="_4F設置場所_【20090814】千里導入明細資料_SDB追加_【作成中】千里センター機器配置図（2010年対応分）_20091221_Ⅹ_課題と対応策_20121211 2" xfId="4712" xr:uid="{00000000-0005-0000-0000-000026120000}"/>
    <cellStyle name="_4F設置場所_【20090814】千里導入明細資料_SDB追加_Ⅹ_課題と対応策_20121211" xfId="4713" xr:uid="{00000000-0005-0000-0000-000027120000}"/>
    <cellStyle name="_4F設置場所_【20090814】千里導入明細資料_SDB追加_Ⅹ_課題と対応策_20121211 2" xfId="4714" xr:uid="{00000000-0005-0000-0000-000028120000}"/>
    <cellStyle name="_4F設置場所_【20090821】千里ラック搭載図（NW機器）" xfId="4715" xr:uid="{00000000-0005-0000-0000-000029120000}"/>
    <cellStyle name="_4F設置場所_【20090821】千里ラック搭載図（NW機器） 2" xfId="4716" xr:uid="{00000000-0005-0000-0000-00002A120000}"/>
    <cellStyle name="_4F設置場所_【20090821】千里ラック搭載図（NW機器）_Ⅹ_課題と対応策_20121211" xfId="4717" xr:uid="{00000000-0005-0000-0000-00002B120000}"/>
    <cellStyle name="_4F設置場所_【20090821】千里ラック搭載図（NW機器）_Ⅹ_課題と対応策_20121211 2" xfId="4718" xr:uid="{00000000-0005-0000-0000-00002C120000}"/>
    <cellStyle name="_4F設置場所_【20091218】千里導入明細資料_２１年度分（ネットワーク敷設）" xfId="4719" xr:uid="{00000000-0005-0000-0000-00002D120000}"/>
    <cellStyle name="_4F設置場所_【20091218】千里導入明細資料_２１年度分（ネットワーク敷設） 2" xfId="4720" xr:uid="{00000000-0005-0000-0000-00002E120000}"/>
    <cellStyle name="_4F設置場所_【20091218】千里導入明細資料_２１年度分（ネットワーク敷設）_Ⅹ_課題と対応策_20121211" xfId="4721" xr:uid="{00000000-0005-0000-0000-00002F120000}"/>
    <cellStyle name="_4F設置場所_【20091218】千里導入明細資料_２１年度分（ネットワーク敷設）_Ⅹ_課題と対応策_20121211 2" xfId="4722" xr:uid="{00000000-0005-0000-0000-000030120000}"/>
    <cellStyle name="_4F設置場所_【20091224】千里導入明細資料_２２年度上期分_営業店DB" xfId="4723" xr:uid="{00000000-0005-0000-0000-000031120000}"/>
    <cellStyle name="_4F設置場所_【20091224】千里導入明細資料_２２年度上期分_営業店DB 2" xfId="4724" xr:uid="{00000000-0005-0000-0000-000032120000}"/>
    <cellStyle name="_4F設置場所_【20091224】千里導入明細資料_２２年度上期分_営業店DB_【20091225】千里導入明細資料_２２年度上期分（営業店ＡＰ－ＤＢ）" xfId="4725" xr:uid="{00000000-0005-0000-0000-000033120000}"/>
    <cellStyle name="_4F設置場所_【20091224】千里導入明細資料_２２年度上期分_営業店DB_【20091225】千里導入明細資料_２２年度上期分（営業店ＡＰ－ＤＢ） 2" xfId="4726" xr:uid="{00000000-0005-0000-0000-000034120000}"/>
    <cellStyle name="_4F設置場所_【20091224】千里導入明細資料_２２年度上期分_営業店DB_【20091225】千里導入明細資料_２２年度上期分（営業店ＡＰ－ＤＢ）_【調整中】千里導入明細資料_２２年度上期分_fj_20100127" xfId="4727" xr:uid="{00000000-0005-0000-0000-000035120000}"/>
    <cellStyle name="_4F設置場所_【20091224】千里導入明細資料_２２年度上期分_営業店DB_【20091225】千里導入明細資料_２２年度上期分（営業店ＡＰ－ＤＢ）_【調整中】千里導入明細資料_２２年度上期分_fj_20100127 2" xfId="4728" xr:uid="{00000000-0005-0000-0000-000036120000}"/>
    <cellStyle name="_4F設置場所_【20091224】千里導入明細資料_２２年度上期分_営業店DB_【20091225】千里導入明細資料_２２年度上期分（営業店ＡＰ－ＤＢ）_【調整中】千里導入明細資料_２２年度上期分_fj_20100127_Ⅹ_課題と対応策_20121211" xfId="4729" xr:uid="{00000000-0005-0000-0000-000037120000}"/>
    <cellStyle name="_4F設置場所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4730" xr:uid="{00000000-0005-0000-0000-000038120000}"/>
    <cellStyle name="_4F設置場所_【20091224】千里導入明細資料_２２年度上期分_営業店DB_【20091225】千里導入明細資料_２２年度上期分（営業店ＡＰ－ＤＢ）_Ⅹ_課題と対応策_20121211" xfId="4731" xr:uid="{00000000-0005-0000-0000-000039120000}"/>
    <cellStyle name="_4F設置場所_【20091224】千里導入明細資料_２２年度上期分_営業店DB_【20091225】千里導入明細資料_２２年度上期分（営業店ＡＰ－ＤＢ）_Ⅹ_課題と対応策_20121211 2" xfId="4732" xr:uid="{00000000-0005-0000-0000-00003A120000}"/>
    <cellStyle name="_4F設置場所_【20091224】千里導入明細資料_２２年度上期分_営業店DB_【20091225】千里導入明細資料_２２年度上期分_営業店DB" xfId="4733" xr:uid="{00000000-0005-0000-0000-00003B120000}"/>
    <cellStyle name="_4F設置場所_【20091224】千里導入明細資料_２２年度上期分_営業店DB_【20091225】千里導入明細資料_２２年度上期分_営業店DB 2" xfId="4734" xr:uid="{00000000-0005-0000-0000-00003C120000}"/>
    <cellStyle name="_4F設置場所_【20091224】千里導入明細資料_２２年度上期分_営業店DB_【20091225】千里導入明細資料_２２年度上期分_営業店DB_【調整中】千里導入明細資料_２２年度上期分_fj_20100127" xfId="4735" xr:uid="{00000000-0005-0000-0000-00003D120000}"/>
    <cellStyle name="_4F設置場所_【20091224】千里導入明細資料_２２年度上期分_営業店DB_【20091225】千里導入明細資料_２２年度上期分_営業店DB_【調整中】千里導入明細資料_２２年度上期分_fj_20100127 2" xfId="4736" xr:uid="{00000000-0005-0000-0000-00003E120000}"/>
    <cellStyle name="_4F設置場所_【20091224】千里導入明細資料_２２年度上期分_営業店DB_【20091225】千里導入明細資料_２２年度上期分_営業店DB_【調整中】千里導入明細資料_２２年度上期分_fj_20100127_Ⅹ_課題と対応策_20121211" xfId="4737" xr:uid="{00000000-0005-0000-0000-00003F120000}"/>
    <cellStyle name="_4F設置場所_【20091224】千里導入明細資料_２２年度上期分_営業店DB_【20091225】千里導入明細資料_２２年度上期分_営業店DB_【調整中】千里導入明細資料_２２年度上期分_fj_20100127_Ⅹ_課題と対応策_20121211 2" xfId="4738" xr:uid="{00000000-0005-0000-0000-000040120000}"/>
    <cellStyle name="_4F設置場所_【20091224】千里導入明細資料_２２年度上期分_営業店DB_【20091225】千里導入明細資料_２２年度上期分_営業店DB_Ⅹ_課題と対応策_20121211" xfId="4739" xr:uid="{00000000-0005-0000-0000-000041120000}"/>
    <cellStyle name="_4F設置場所_【20091224】千里導入明細資料_２２年度上期分_営業店DB_【20091225】千里導入明細資料_２２年度上期分_営業店DB_Ⅹ_課題と対応策_20121211 2" xfId="4740" xr:uid="{00000000-0005-0000-0000-000042120000}"/>
    <cellStyle name="_4F設置場所_【20091224】千里導入明細資料_２２年度上期分_営業店DB_Ⅹ_課題と対応策_20121211" xfId="4741" xr:uid="{00000000-0005-0000-0000-000043120000}"/>
    <cellStyle name="_4F設置場所_【20091224】千里導入明細資料_２２年度上期分_営業店DB_Ⅹ_課題と対応策_20121211 2" xfId="4742" xr:uid="{00000000-0005-0000-0000-000044120000}"/>
    <cellStyle name="_4F設置場所_【20091225】千里導入明細資料_２２年度上期分" xfId="4743" xr:uid="{00000000-0005-0000-0000-000045120000}"/>
    <cellStyle name="_4F設置場所_【20091225】千里導入明細資料_２２年度上期分 2" xfId="4744" xr:uid="{00000000-0005-0000-0000-000046120000}"/>
    <cellStyle name="_4F設置場所_【20091225】千里導入明細資料_２２年度上期分_Ⅹ_課題と対応策_20121211" xfId="4745" xr:uid="{00000000-0005-0000-0000-000047120000}"/>
    <cellStyle name="_4F設置場所_【20091225】千里導入明細資料_２２年度上期分_Ⅹ_課題と対応策_20121211 2" xfId="4746" xr:uid="{00000000-0005-0000-0000-000048120000}"/>
    <cellStyle name="_4F設置場所_【20091225】千里導入明細資料_２２年度上期分_営業店DB" xfId="4747" xr:uid="{00000000-0005-0000-0000-000049120000}"/>
    <cellStyle name="_4F設置場所_【20091225】千里導入明細資料_２２年度上期分_営業店DB 2" xfId="4748" xr:uid="{00000000-0005-0000-0000-00004A120000}"/>
    <cellStyle name="_4F設置場所_【20091225】千里導入明細資料_２２年度上期分_営業店DB_Ⅹ_課題と対応策_20121211" xfId="4749" xr:uid="{00000000-0005-0000-0000-00004B120000}"/>
    <cellStyle name="_4F設置場所_【20091225】千里導入明細資料_２２年度上期分_営業店DB_Ⅹ_課題と対応策_20121211 2" xfId="4750" xr:uid="{00000000-0005-0000-0000-00004C120000}"/>
    <cellStyle name="_4F設置場所_【20091225】千里導入明細資料_２２年度上期分_連携DB" xfId="4751" xr:uid="{00000000-0005-0000-0000-00004D120000}"/>
    <cellStyle name="_4F設置場所_【20091225】千里導入明細資料_２２年度上期分_連携DB 2" xfId="4752" xr:uid="{00000000-0005-0000-0000-00004E120000}"/>
    <cellStyle name="_4F設置場所_【20091225】千里導入明細資料_２２年度上期分_連携DB_Ⅹ_課題と対応策_20121211" xfId="4753" xr:uid="{00000000-0005-0000-0000-00004F120000}"/>
    <cellStyle name="_4F設置場所_【20091225】千里導入明細資料_２２年度上期分_連携DB_Ⅹ_課題と対応策_20121211 2" xfId="4754" xr:uid="{00000000-0005-0000-0000-000050120000}"/>
    <cellStyle name="_4F設置場所_【200912xx】千里導入明細資料_２２年度上期分" xfId="4755" xr:uid="{00000000-0005-0000-0000-000051120000}"/>
    <cellStyle name="_4F設置場所_【200912xx】千里導入明細資料_２２年度上期分 2" xfId="4756" xr:uid="{00000000-0005-0000-0000-000052120000}"/>
    <cellStyle name="_4F設置場所_【200912xx】千里導入明細資料_２２年度上期分（為替分）" xfId="4757" xr:uid="{00000000-0005-0000-0000-000053120000}"/>
    <cellStyle name="_4F設置場所_【200912xx】千里導入明細資料_２２年度上期分（為替分） 2" xfId="4758" xr:uid="{00000000-0005-0000-0000-000054120000}"/>
    <cellStyle name="_4F設置場所_【200912xx】千里導入明細資料_２２年度上期分（為替分）_Ⅹ_課題と対応策_20121211" xfId="4759" xr:uid="{00000000-0005-0000-0000-000055120000}"/>
    <cellStyle name="_4F設置場所_【200912xx】千里導入明細資料_２２年度上期分（為替分）_Ⅹ_課題と対応策_20121211 2" xfId="4760" xr:uid="{00000000-0005-0000-0000-000056120000}"/>
    <cellStyle name="_4F設置場所_【200912xx】千里導入明細資料_２２年度上期分_【20091225】千里導入明細資料_２２年度上期分（営業店ＡＰ－ＤＢ）" xfId="4761" xr:uid="{00000000-0005-0000-0000-000057120000}"/>
    <cellStyle name="_4F設置場所_【200912xx】千里導入明細資料_２２年度上期分_【20091225】千里導入明細資料_２２年度上期分（営業店ＡＰ－ＤＢ） 2" xfId="4762" xr:uid="{00000000-0005-0000-0000-000058120000}"/>
    <cellStyle name="_4F設置場所_【200912xx】千里導入明細資料_２２年度上期分_【20091225】千里導入明細資料_２２年度上期分（営業店ＡＰ－ＤＢ）_【調整中】千里導入明細資料_２２年度上期分_fj_20100127" xfId="4763" xr:uid="{00000000-0005-0000-0000-000059120000}"/>
    <cellStyle name="_4F設置場所_【200912xx】千里導入明細資料_２２年度上期分_【20091225】千里導入明細資料_２２年度上期分（営業店ＡＰ－ＤＢ）_【調整中】千里導入明細資料_２２年度上期分_fj_20100127 2" xfId="4764" xr:uid="{00000000-0005-0000-0000-00005A120000}"/>
    <cellStyle name="_4F設置場所_【200912xx】千里導入明細資料_２２年度上期分_【20091225】千里導入明細資料_２２年度上期分（営業店ＡＰ－ＤＢ）_【調整中】千里導入明細資料_２２年度上期分_fj_20100127_Ⅹ_課題と対応策_20121211" xfId="4765" xr:uid="{00000000-0005-0000-0000-00005B120000}"/>
    <cellStyle name="_4F設置場所_【200912xx】千里導入明細資料_２２年度上期分_【20091225】千里導入明細資料_２２年度上期分（営業店ＡＰ－ＤＢ）_【調整中】千里導入明細資料_２２年度上期分_fj_20100127_Ⅹ_課題と対応策_20121211 2" xfId="4766" xr:uid="{00000000-0005-0000-0000-00005C120000}"/>
    <cellStyle name="_4F設置場所_【200912xx】千里導入明細資料_２２年度上期分_【20091225】千里導入明細資料_２２年度上期分（営業店ＡＰ－ＤＢ）_Ⅹ_課題と対応策_20121211" xfId="4767" xr:uid="{00000000-0005-0000-0000-00005D120000}"/>
    <cellStyle name="_4F設置場所_【200912xx】千里導入明細資料_２２年度上期分_【20091225】千里導入明細資料_２２年度上期分（営業店ＡＰ－ＤＢ）_Ⅹ_課題と対応策_20121211 2" xfId="4768" xr:uid="{00000000-0005-0000-0000-00005E120000}"/>
    <cellStyle name="_4F設置場所_【200912xx】千里導入明細資料_２２年度上期分_【20091225】千里導入明細資料_２２年度上期分_営業店DB" xfId="4769" xr:uid="{00000000-0005-0000-0000-00005F120000}"/>
    <cellStyle name="_4F設置場所_【200912xx】千里導入明細資料_２２年度上期分_【20091225】千里導入明細資料_２２年度上期分_営業店DB 2" xfId="4770" xr:uid="{00000000-0005-0000-0000-000060120000}"/>
    <cellStyle name="_4F設置場所_【200912xx】千里導入明細資料_２２年度上期分_【20091225】千里導入明細資料_２２年度上期分_営業店DB_【調整中】千里導入明細資料_２２年度上期分_fj_20100127" xfId="4771" xr:uid="{00000000-0005-0000-0000-000061120000}"/>
    <cellStyle name="_4F設置場所_【200912xx】千里導入明細資料_２２年度上期分_【20091225】千里導入明細資料_２２年度上期分_営業店DB_【調整中】千里導入明細資料_２２年度上期分_fj_20100127 2" xfId="4772" xr:uid="{00000000-0005-0000-0000-000062120000}"/>
    <cellStyle name="_4F設置場所_【200912xx】千里導入明細資料_２２年度上期分_【20091225】千里導入明細資料_２２年度上期分_営業店DB_【調整中】千里導入明細資料_２２年度上期分_fj_20100127_Ⅹ_課題と対応策_20121211" xfId="4773" xr:uid="{00000000-0005-0000-0000-000063120000}"/>
    <cellStyle name="_4F設置場所_【200912xx】千里導入明細資料_２２年度上期分_【20091225】千里導入明細資料_２２年度上期分_営業店DB_【調整中】千里導入明細資料_２２年度上期分_fj_20100127_Ⅹ_課題と対応策_20121211 2" xfId="4774" xr:uid="{00000000-0005-0000-0000-000064120000}"/>
    <cellStyle name="_4F設置場所_【200912xx】千里導入明細資料_２２年度上期分_【20091225】千里導入明細資料_２２年度上期分_営業店DB_Ⅹ_課題と対応策_20121211" xfId="4775" xr:uid="{00000000-0005-0000-0000-000065120000}"/>
    <cellStyle name="_4F設置場所_【200912xx】千里導入明細資料_２２年度上期分_【20091225】千里導入明細資料_２２年度上期分_営業店DB_Ⅹ_課題と対応策_20121211 2" xfId="4776" xr:uid="{00000000-0005-0000-0000-000066120000}"/>
    <cellStyle name="_4F設置場所_【200912xx】千里導入明細資料_２２年度上期分_【20091225】千里導入明細資料_２２年度上期分_連携DB" xfId="4777" xr:uid="{00000000-0005-0000-0000-000067120000}"/>
    <cellStyle name="_4F設置場所_【200912xx】千里導入明細資料_２２年度上期分_【20091225】千里導入明細資料_２２年度上期分_連携DB 2" xfId="4778" xr:uid="{00000000-0005-0000-0000-000068120000}"/>
    <cellStyle name="_4F設置場所_【200912xx】千里導入明細資料_２２年度上期分_【20091225】千里導入明細資料_２２年度上期分_連携DB_【調整中】千里導入明細資料_２２年度上期分_fj_20100127" xfId="4779" xr:uid="{00000000-0005-0000-0000-000069120000}"/>
    <cellStyle name="_4F設置場所_【200912xx】千里導入明細資料_２２年度上期分_【20091225】千里導入明細資料_２２年度上期分_連携DB_【調整中】千里導入明細資料_２２年度上期分_fj_20100127 2" xfId="4780" xr:uid="{00000000-0005-0000-0000-00006A120000}"/>
    <cellStyle name="_4F設置場所_【200912xx】千里導入明細資料_２２年度上期分_【20091225】千里導入明細資料_２２年度上期分_連携DB_【調整中】千里導入明細資料_２２年度上期分_fj_20100127_Ⅹ_課題と対応策_20121211" xfId="4781" xr:uid="{00000000-0005-0000-0000-00006B120000}"/>
    <cellStyle name="_4F設置場所_【200912xx】千里導入明細資料_２２年度上期分_【20091225】千里導入明細資料_２２年度上期分_連携DB_【調整中】千里導入明細資料_２２年度上期分_fj_20100127_Ⅹ_課題と対応策_20121211 2" xfId="4782" xr:uid="{00000000-0005-0000-0000-00006C120000}"/>
    <cellStyle name="_4F設置場所_【200912xx】千里導入明細資料_２２年度上期分_【20091225】千里導入明細資料_２２年度上期分_連携DB_Ⅹ_課題と対応策_20121211" xfId="4783" xr:uid="{00000000-0005-0000-0000-00006D120000}"/>
    <cellStyle name="_4F設置場所_【200912xx】千里導入明細資料_２２年度上期分_【20091225】千里導入明細資料_２２年度上期分_連携DB_Ⅹ_課題と対応策_20121211 2" xfId="4784" xr:uid="{00000000-0005-0000-0000-00006E120000}"/>
    <cellStyle name="_4F設置場所_【200912xx】千里導入明細資料_２２年度上期分_Ⅹ_課題と対応策_20121211" xfId="4785" xr:uid="{00000000-0005-0000-0000-00006F120000}"/>
    <cellStyle name="_4F設置場所_【200912xx】千里導入明細資料_２２年度上期分_Ⅹ_課題と対応策_20121211 2" xfId="4786" xr:uid="{00000000-0005-0000-0000-000070120000}"/>
    <cellStyle name="_4F設置場所_【調整中】千里導入明細資料_２２年度上期分_fj_20100127" xfId="4787" xr:uid="{00000000-0005-0000-0000-000071120000}"/>
    <cellStyle name="_4F設置場所_【調整中】千里導入明細資料_２２年度上期分_fj_20100127 2" xfId="4788" xr:uid="{00000000-0005-0000-0000-000072120000}"/>
    <cellStyle name="_4F設置場所_【調整中】千里導入明細資料_２２年度上期分_fj_20100127_Ⅹ_課題と対応策_20121211" xfId="4789" xr:uid="{00000000-0005-0000-0000-000073120000}"/>
    <cellStyle name="_4F設置場所_【調整中】千里導入明細資料_２２年度上期分_fj_20100127_Ⅹ_課題と対応策_20121211 2" xfId="4790" xr:uid="{00000000-0005-0000-0000-000074120000}"/>
    <cellStyle name="_4F設置場所_①【20091225】千里導入明細資料_２２年度上期1分)" xfId="4791" xr:uid="{00000000-0005-0000-0000-000075120000}"/>
    <cellStyle name="_4F設置場所_①【20091225】千里導入明細資料_２２年度上期1分) 2" xfId="4792" xr:uid="{00000000-0005-0000-0000-000076120000}"/>
    <cellStyle name="_4F設置場所_①【20091225】千里導入明細資料_２２年度上期1分)_Ⅹ_課題と対応策_20121211" xfId="4793" xr:uid="{00000000-0005-0000-0000-000077120000}"/>
    <cellStyle name="_4F設置場所_①【20091225】千里導入明細資料_２２年度上期1分)_Ⅹ_課題と対応策_20121211 2" xfId="4794" xr:uid="{00000000-0005-0000-0000-000078120000}"/>
    <cellStyle name="_4F設置場所_Ⅹ_課題と対応策_20121211" xfId="4795" xr:uid="{00000000-0005-0000-0000-000079120000}"/>
    <cellStyle name="_4F設置場所_Ⅹ_課題と対応策_20121211 2" xfId="4796" xr:uid="{00000000-0005-0000-0000-00007A120000}"/>
    <cellStyle name="_4F設置場所_ラック構成図（千里_営業店・新事務）_20090805" xfId="4797" xr:uid="{00000000-0005-0000-0000-00007B120000}"/>
    <cellStyle name="_4F設置場所_ラック構成図（千里_営業店・新事務）_20090805 2" xfId="4798" xr:uid="{00000000-0005-0000-0000-00007C120000}"/>
    <cellStyle name="_4F設置場所_ラック構成図（千里_営業店・新事務）_20090805_【20091207】千里導入明細資料_２１年度分（ネットワーク敷設）" xfId="4799" xr:uid="{00000000-0005-0000-0000-00007D120000}"/>
    <cellStyle name="_4F設置場所_ラック構成図（千里_営業店・新事務）_20090805_【20091207】千里導入明細資料_２１年度分（ネットワーク敷設） 2" xfId="4800" xr:uid="{00000000-0005-0000-0000-00007E120000}"/>
    <cellStyle name="_4F設置場所_ラック構成図（千里_営業店・新事務）_20090805_【20091207】千里導入明細資料_２１年度分（ネットワーク敷設）_【20091218】千里導入明細資料_２１年度分（ネットワーク敷設）" xfId="4801" xr:uid="{00000000-0005-0000-0000-00007F120000}"/>
    <cellStyle name="_4F設置場所_ラック構成図（千里_営業店・新事務）_20090805_【20091207】千里導入明細資料_２１年度分（ネットワーク敷設）_【20091218】千里導入明細資料_２１年度分（ネットワーク敷設） 2" xfId="4802" xr:uid="{00000000-0005-0000-0000-000080120000}"/>
    <cellStyle name="_4F設置場所_ラック構成図（千里_営業店・新事務）_20090805_【20091207】千里導入明細資料_２１年度分（ネットワーク敷設）_【20091218】千里導入明細資料_２１年度分（ネットワーク敷設）_Ⅹ_課題と対応策_20121211" xfId="4803" xr:uid="{00000000-0005-0000-0000-000081120000}"/>
    <cellStyle name="_4F設置場所_ラック構成図（千里_営業店・新事務）_20090805_【20091207】千里導入明細資料_２１年度分（ネットワーク敷設）_【20091218】千里導入明細資料_２１年度分（ネットワーク敷設）_Ⅹ_課題と対応策_20121211 2" xfId="4804" xr:uid="{00000000-0005-0000-0000-000082120000}"/>
    <cellStyle name="_4F設置場所_ラック構成図（千里_営業店・新事務）_20090805_【20091207】千里導入明細資料_２１年度分（ネットワーク敷設）_Ⅹ_課題と対応策_20121211" xfId="4805" xr:uid="{00000000-0005-0000-0000-000083120000}"/>
    <cellStyle name="_4F設置場所_ラック構成図（千里_営業店・新事務）_20090805_【20091207】千里導入明細資料_２１年度分（ネットワーク敷設）_Ⅹ_課題と対応策_20121211 2" xfId="4806" xr:uid="{00000000-0005-0000-0000-000084120000}"/>
    <cellStyle name="_4F設置場所_ラック構成図（千里_営業店・新事務）_20090805_【20091207】千里導入明細資料_２１年度分（ネットワーク敷設）_千里導入明細資料_２２年度分（ネットワーク敷設）_fj" xfId="4807" xr:uid="{00000000-0005-0000-0000-000085120000}"/>
    <cellStyle name="_4F設置場所_ラック構成図（千里_営業店・新事務）_20090805_【20091207】千里導入明細資料_２１年度分（ネットワーク敷設）_千里導入明細資料_２２年度分（ネットワーク敷設）_fj 2" xfId="4808" xr:uid="{00000000-0005-0000-0000-000086120000}"/>
    <cellStyle name="_4F設置場所_ラック構成図（千里_営業店・新事務）_20090805_【20091207】千里導入明細資料_２１年度分（ネットワーク敷設）_千里導入明細資料_２２年度分（ネットワーク敷設）_fj_Ⅹ_課題と対応策_20121211" xfId="4809" xr:uid="{00000000-0005-0000-0000-000087120000}"/>
    <cellStyle name="_4F設置場所_ラック構成図（千里_営業店・新事務）_20090805_【20091207】千里導入明細資料_２１年度分（ネットワーク敷設）_千里導入明細資料_２２年度分（ネットワーク敷設）_fj_Ⅹ_課題と対応策_20121211 2" xfId="4810" xr:uid="{00000000-0005-0000-0000-000088120000}"/>
    <cellStyle name="_4F設置場所_ラック構成図（千里_営業店・新事務）_20090805_【20091225】千里導入明細資料_２２年度上期分（営業店ＡＰ－ＤＢ）" xfId="4811" xr:uid="{00000000-0005-0000-0000-000089120000}"/>
    <cellStyle name="_4F設置場所_ラック構成図（千里_営業店・新事務）_20090805_【20091225】千里導入明細資料_２２年度上期分（営業店ＡＰ－ＤＢ） 2" xfId="4812" xr:uid="{00000000-0005-0000-0000-00008A120000}"/>
    <cellStyle name="_4F設置場所_ラック構成図（千里_営業店・新事務）_20090805_【20091225】千里導入明細資料_２２年度上期分（営業店ＡＰ－ＤＢ）_【調整中】千里導入明細資料_２２年度上期分_fj_20100127" xfId="4813" xr:uid="{00000000-0005-0000-0000-00008B120000}"/>
    <cellStyle name="_4F設置場所_ラック構成図（千里_営業店・新事務）_20090805_【20091225】千里導入明細資料_２２年度上期分（営業店ＡＰ－ＤＢ）_【調整中】千里導入明細資料_２２年度上期分_fj_20100127 2" xfId="4814" xr:uid="{00000000-0005-0000-0000-00008C120000}"/>
    <cellStyle name="_4F設置場所_ラック構成図（千里_営業店・新事務）_20090805_【20091225】千里導入明細資料_２２年度上期分（営業店ＡＰ－ＤＢ）_【調整中】千里導入明細資料_２２年度上期分_fj_20100127_Ⅹ_課題と対応策_20121211" xfId="4815" xr:uid="{00000000-0005-0000-0000-00008D120000}"/>
    <cellStyle name="_4F設置場所_ラック構成図（千里_営業店・新事務）_20090805_【20091225】千里導入明細資料_２２年度上期分（営業店ＡＰ－ＤＢ）_【調整中】千里導入明細資料_２２年度上期分_fj_20100127_Ⅹ_課題と対応策_20121211 2" xfId="4816" xr:uid="{00000000-0005-0000-0000-00008E120000}"/>
    <cellStyle name="_4F設置場所_ラック構成図（千里_営業店・新事務）_20090805_【20091225】千里導入明細資料_２２年度上期分（営業店ＡＰ－ＤＢ）_Ⅹ_課題と対応策_20121211" xfId="4817" xr:uid="{00000000-0005-0000-0000-00008F120000}"/>
    <cellStyle name="_4F設置場所_ラック構成図（千里_営業店・新事務）_20090805_【20091225】千里導入明細資料_２２年度上期分（営業店ＡＰ－ＤＢ）_Ⅹ_課題と対応策_20121211 2" xfId="4818" xr:uid="{00000000-0005-0000-0000-000090120000}"/>
    <cellStyle name="_4F設置場所_ラック構成図（千里_営業店・新事務）_20090805_【20091225】千里導入明細資料_２２年度上期分_営業店DB" xfId="4819" xr:uid="{00000000-0005-0000-0000-000091120000}"/>
    <cellStyle name="_4F設置場所_ラック構成図（千里_営業店・新事務）_20090805_【20091225】千里導入明細資料_２２年度上期分_営業店DB 2" xfId="4820" xr:uid="{00000000-0005-0000-0000-000092120000}"/>
    <cellStyle name="_4F設置場所_ラック構成図（千里_営業店・新事務）_20090805_【20091225】千里導入明細資料_２２年度上期分_営業店DB_【調整中】千里導入明細資料_２２年度上期分_fj_20100127" xfId="4821" xr:uid="{00000000-0005-0000-0000-000093120000}"/>
    <cellStyle name="_4F設置場所_ラック構成図（千里_営業店・新事務）_20090805_【20091225】千里導入明細資料_２２年度上期分_営業店DB_【調整中】千里導入明細資料_２２年度上期分_fj_20100127 2" xfId="4822" xr:uid="{00000000-0005-0000-0000-000094120000}"/>
    <cellStyle name="_4F設置場所_ラック構成図（千里_営業店・新事務）_20090805_【20091225】千里導入明細資料_２２年度上期分_営業店DB_【調整中】千里導入明細資料_２２年度上期分_fj_20100127_Ⅹ_課題と対応策_20121211" xfId="4823" xr:uid="{00000000-0005-0000-0000-000095120000}"/>
    <cellStyle name="_4F設置場所_ラック構成図（千里_営業店・新事務）_20090805_【20091225】千里導入明細資料_２２年度上期分_営業店DB_【調整中】千里導入明細資料_２２年度上期分_fj_20100127_Ⅹ_課題と対応策_20121211 2" xfId="4824" xr:uid="{00000000-0005-0000-0000-000096120000}"/>
    <cellStyle name="_4F設置場所_ラック構成図（千里_営業店・新事務）_20090805_【20091225】千里導入明細資料_２２年度上期分_営業店DB_Ⅹ_課題と対応策_20121211" xfId="4825" xr:uid="{00000000-0005-0000-0000-000097120000}"/>
    <cellStyle name="_4F設置場所_ラック構成図（千里_営業店・新事務）_20090805_【20091225】千里導入明細資料_２２年度上期分_営業店DB_Ⅹ_課題と対応策_20121211 2" xfId="4826" xr:uid="{00000000-0005-0000-0000-000098120000}"/>
    <cellStyle name="_4F設置場所_ラック構成図（千里_営業店・新事務）_20090805_【20091225】千里導入明細資料_２２年度上期分_連携DB" xfId="4827" xr:uid="{00000000-0005-0000-0000-000099120000}"/>
    <cellStyle name="_4F設置場所_ラック構成図（千里_営業店・新事務）_20090805_【20091225】千里導入明細資料_２２年度上期分_連携DB 2" xfId="4828" xr:uid="{00000000-0005-0000-0000-00009A120000}"/>
    <cellStyle name="_4F設置場所_ラック構成図（千里_営業店・新事務）_20090805_【20091225】千里導入明細資料_２２年度上期分_連携DB_【調整中】千里導入明細資料_２２年度上期分_fj_20100127" xfId="4829" xr:uid="{00000000-0005-0000-0000-00009B120000}"/>
    <cellStyle name="_4F設置場所_ラック構成図（千里_営業店・新事務）_20090805_【20091225】千里導入明細資料_２２年度上期分_連携DB_【調整中】千里導入明細資料_２２年度上期分_fj_20100127 2" xfId="4830" xr:uid="{00000000-0005-0000-0000-00009C120000}"/>
    <cellStyle name="_4F設置場所_ラック構成図（千里_営業店・新事務）_20090805_【20091225】千里導入明細資料_２２年度上期分_連携DB_【調整中】千里導入明細資料_２２年度上期分_fj_20100127_Ⅹ_課題と対応策_20121211" xfId="4831" xr:uid="{00000000-0005-0000-0000-00009D120000}"/>
    <cellStyle name="_4F設置場所_ラック構成図（千里_営業店・新事務）_20090805_【20091225】千里導入明細資料_２２年度上期分_連携DB_【調整中】千里導入明細資料_２２年度上期分_fj_20100127_Ⅹ_課題と対応策_20121211 2" xfId="4832" xr:uid="{00000000-0005-0000-0000-00009E120000}"/>
    <cellStyle name="_4F設置場所_ラック構成図（千里_営業店・新事務）_20090805_【20091225】千里導入明細資料_２２年度上期分_連携DB_Ⅹ_課題と対応策_20121211" xfId="4833" xr:uid="{00000000-0005-0000-0000-00009F120000}"/>
    <cellStyle name="_4F設置場所_ラック構成図（千里_営業店・新事務）_20090805_【20091225】千里導入明細資料_２２年度上期分_連携DB_Ⅹ_課題と対応策_20121211 2" xfId="4834" xr:uid="{00000000-0005-0000-0000-0000A0120000}"/>
    <cellStyle name="_4F設置場所_ラック構成図（千里_営業店・新事務）_20090805_【作成中】千里センター機器配置図（2010年対応分）_20091221" xfId="4835" xr:uid="{00000000-0005-0000-0000-0000A1120000}"/>
    <cellStyle name="_4F設置場所_ラック構成図（千里_営業店・新事務）_20090805_【作成中】千里センター機器配置図（2010年対応分）_20091221 2" xfId="4836" xr:uid="{00000000-0005-0000-0000-0000A2120000}"/>
    <cellStyle name="_4F設置場所_ラック構成図（千里_営業店・新事務）_20090805_【作成中】千里センター機器配置図（2010年対応分）_20091221_【調整中】千里導入明細資料_２２年度上期分_fj_20100127" xfId="4837" xr:uid="{00000000-0005-0000-0000-0000A3120000}"/>
    <cellStyle name="_4F設置場所_ラック構成図（千里_営業店・新事務）_20090805_【作成中】千里センター機器配置図（2010年対応分）_20091221_【調整中】千里導入明細資料_２２年度上期分_fj_20100127 2" xfId="4838" xr:uid="{00000000-0005-0000-0000-0000A4120000}"/>
    <cellStyle name="_4F設置場所_ラック構成図（千里_営業店・新事務）_20090805_【作成中】千里センター機器配置図（2010年対応分）_20091221_【調整中】千里導入明細資料_２２年度上期分_fj_20100127_Ⅹ_課題と対応策_20121211" xfId="4839" xr:uid="{00000000-0005-0000-0000-0000A5120000}"/>
    <cellStyle name="_4F設置場所_ラック構成図（千里_営業店・新事務）_20090805_【作成中】千里センター機器配置図（2010年対応分）_20091221_【調整中】千里導入明細資料_２２年度上期分_fj_20100127_Ⅹ_課題と対応策_20121211 2" xfId="4840" xr:uid="{00000000-0005-0000-0000-0000A6120000}"/>
    <cellStyle name="_4F設置場所_ラック構成図（千里_営業店・新事務）_20090805_【作成中】千里センター機器配置図（2010年対応分）_20091221_Ⅹ_課題と対応策_20121211" xfId="4841" xr:uid="{00000000-0005-0000-0000-0000A7120000}"/>
    <cellStyle name="_4F設置場所_ラック構成図（千里_営業店・新事務）_20090805_【作成中】千里センター機器配置図（2010年対応分）_20091221_Ⅹ_課題と対応策_20121211 2" xfId="4842" xr:uid="{00000000-0005-0000-0000-0000A8120000}"/>
    <cellStyle name="_4F設置場所_ラック構成図（千里_営業店・新事務）_20090805_Ⅹ_課題と対応策_20121211" xfId="4843" xr:uid="{00000000-0005-0000-0000-0000A9120000}"/>
    <cellStyle name="_4F設置場所_ラック構成図（千里_営業店・新事務）_20090805_Ⅹ_課題と対応策_20121211 2" xfId="4844" xr:uid="{00000000-0005-0000-0000-0000AA120000}"/>
    <cellStyle name="_4F設置場所_ラック構成図_Catalyst直付け（新事務処理）" xfId="4845" xr:uid="{00000000-0005-0000-0000-0000AB120000}"/>
    <cellStyle name="_4F設置場所_ラック構成図_Catalyst直付け（新事務処理） 2" xfId="4846" xr:uid="{00000000-0005-0000-0000-0000AC120000}"/>
    <cellStyle name="_4F設置場所_ラック構成図_Catalyst直付け（新事務処理）_【20091207】千里導入明細資料_２１年度分（ネットワーク敷設）" xfId="4847" xr:uid="{00000000-0005-0000-0000-0000AD120000}"/>
    <cellStyle name="_4F設置場所_ラック構成図_Catalyst直付け（新事務処理）_【20091207】千里導入明細資料_２１年度分（ネットワーク敷設） 2" xfId="4848" xr:uid="{00000000-0005-0000-0000-0000AE120000}"/>
    <cellStyle name="_4F設置場所_ラック構成図_Catalyst直付け（新事務処理）_【20091207】千里導入明細資料_２１年度分（ネットワーク敷設）_【20091218】千里導入明細資料_２１年度分（ネットワーク敷設）" xfId="4849" xr:uid="{00000000-0005-0000-0000-0000AF120000}"/>
    <cellStyle name="_4F設置場所_ラック構成図_Catalyst直付け（新事務処理）_【20091207】千里導入明細資料_２１年度分（ネットワーク敷設）_【20091218】千里導入明細資料_２１年度分（ネットワーク敷設） 2" xfId="4850" xr:uid="{00000000-0005-0000-0000-0000B0120000}"/>
    <cellStyle name="_4F設置場所_ラック構成図_Catalyst直付け（新事務処理）_【20091207】千里導入明細資料_２１年度分（ネットワーク敷設）_【20091218】千里導入明細資料_２１年度分（ネットワーク敷設）_Ⅹ_課題と対応策_20121211" xfId="4851" xr:uid="{00000000-0005-0000-0000-0000B1120000}"/>
    <cellStyle name="_4F設置場所_ラック構成図_Catalyst直付け（新事務処理）_【20091207】千里導入明細資料_２１年度分（ネットワーク敷設）_【20091218】千里導入明細資料_２１年度分（ネットワーク敷設）_Ⅹ_課題と対応策_20121211 2" xfId="4852" xr:uid="{00000000-0005-0000-0000-0000B2120000}"/>
    <cellStyle name="_4F設置場所_ラック構成図_Catalyst直付け（新事務処理）_【20091207】千里導入明細資料_２１年度分（ネットワーク敷設）_Ⅹ_課題と対応策_20121211" xfId="4853" xr:uid="{00000000-0005-0000-0000-0000B3120000}"/>
    <cellStyle name="_4F設置場所_ラック構成図_Catalyst直付け（新事務処理）_【20091207】千里導入明細資料_２１年度分（ネットワーク敷設）_Ⅹ_課題と対応策_20121211 2" xfId="4854" xr:uid="{00000000-0005-0000-0000-0000B4120000}"/>
    <cellStyle name="_4F設置場所_ラック構成図_Catalyst直付け（新事務処理）_【20091207】千里導入明細資料_２１年度分（ネットワーク敷設）_千里導入明細資料_２２年度分（ネットワーク敷設）_fj" xfId="4855" xr:uid="{00000000-0005-0000-0000-0000B5120000}"/>
    <cellStyle name="_4F設置場所_ラック構成図_Catalyst直付け（新事務処理）_【20091207】千里導入明細資料_２１年度分（ネットワーク敷設）_千里導入明細資料_２２年度分（ネットワーク敷設）_fj 2" xfId="4856" xr:uid="{00000000-0005-0000-0000-0000B6120000}"/>
    <cellStyle name="_4F設置場所_ラック構成図_Catalyst直付け（新事務処理）_【20091207】千里導入明細資料_２１年度分（ネットワーク敷設）_千里導入明細資料_２２年度分（ネットワーク敷設）_fj_Ⅹ_課題と対応策_20121211" xfId="4857" xr:uid="{00000000-0005-0000-0000-0000B7120000}"/>
    <cellStyle name="_4F設置場所_ラック構成図_Catalyst直付け（新事務処理）_【20091207】千里導入明細資料_２１年度分（ネットワーク敷設）_千里導入明細資料_２２年度分（ネットワーク敷設）_fj_Ⅹ_課題と対応策_20121211 2" xfId="4858" xr:uid="{00000000-0005-0000-0000-0000B8120000}"/>
    <cellStyle name="_4F設置場所_ラック構成図_Catalyst直付け（新事務処理）_【20091225】千里導入明細資料_２２年度上期分（営業店ＡＰ－ＤＢ）" xfId="4859" xr:uid="{00000000-0005-0000-0000-0000B9120000}"/>
    <cellStyle name="_4F設置場所_ラック構成図_Catalyst直付け（新事務処理）_【20091225】千里導入明細資料_２２年度上期分（営業店ＡＰ－ＤＢ） 2" xfId="4860" xr:uid="{00000000-0005-0000-0000-0000BA120000}"/>
    <cellStyle name="_4F設置場所_ラック構成図_Catalyst直付け（新事務処理）_【20091225】千里導入明細資料_２２年度上期分（営業店ＡＰ－ＤＢ）_【調整中】千里導入明細資料_２２年度上期分_fj_20100127" xfId="4861" xr:uid="{00000000-0005-0000-0000-0000BB120000}"/>
    <cellStyle name="_4F設置場所_ラック構成図_Catalyst直付け（新事務処理）_【20091225】千里導入明細資料_２２年度上期分（営業店ＡＰ－ＤＢ）_【調整中】千里導入明細資料_２２年度上期分_fj_20100127 2" xfId="4862" xr:uid="{00000000-0005-0000-0000-0000BC120000}"/>
    <cellStyle name="_4F設置場所_ラック構成図_Catalyst直付け（新事務処理）_【20091225】千里導入明細資料_２２年度上期分（営業店ＡＰ－ＤＢ）_【調整中】千里導入明細資料_２２年度上期分_fj_20100127_Ⅹ_課題と対応策_20121211" xfId="4863" xr:uid="{00000000-0005-0000-0000-0000BD120000}"/>
    <cellStyle name="_4F設置場所_ラック構成図_Catalyst直付け（新事務処理）_【20091225】千里導入明細資料_２２年度上期分（営業店ＡＰ－ＤＢ）_【調整中】千里導入明細資料_２２年度上期分_fj_20100127_Ⅹ_課題と対応策_20121211 2" xfId="4864" xr:uid="{00000000-0005-0000-0000-0000BE120000}"/>
    <cellStyle name="_4F設置場所_ラック構成図_Catalyst直付け（新事務処理）_【20091225】千里導入明細資料_２２年度上期分（営業店ＡＰ－ＤＢ）_Ⅹ_課題と対応策_20121211" xfId="4865" xr:uid="{00000000-0005-0000-0000-0000BF120000}"/>
    <cellStyle name="_4F設置場所_ラック構成図_Catalyst直付け（新事務処理）_【20091225】千里導入明細資料_２２年度上期分（営業店ＡＰ－ＤＢ）_Ⅹ_課題と対応策_20121211 2" xfId="4866" xr:uid="{00000000-0005-0000-0000-0000C0120000}"/>
    <cellStyle name="_4F設置場所_ラック構成図_Catalyst直付け（新事務処理）_【20091225】千里導入明細資料_２２年度上期分_営業店DB" xfId="4867" xr:uid="{00000000-0005-0000-0000-0000C1120000}"/>
    <cellStyle name="_4F設置場所_ラック構成図_Catalyst直付け（新事務処理）_【20091225】千里導入明細資料_２２年度上期分_営業店DB 2" xfId="4868" xr:uid="{00000000-0005-0000-0000-0000C2120000}"/>
    <cellStyle name="_4F設置場所_ラック構成図_Catalyst直付け（新事務処理）_【20091225】千里導入明細資料_２２年度上期分_営業店DB_【調整中】千里導入明細資料_２２年度上期分_fj_20100127" xfId="4869" xr:uid="{00000000-0005-0000-0000-0000C3120000}"/>
    <cellStyle name="_4F設置場所_ラック構成図_Catalyst直付け（新事務処理）_【20091225】千里導入明細資料_２２年度上期分_営業店DB_【調整中】千里導入明細資料_２２年度上期分_fj_20100127 2" xfId="4870" xr:uid="{00000000-0005-0000-0000-0000C4120000}"/>
    <cellStyle name="_4F設置場所_ラック構成図_Catalyst直付け（新事務処理）_【20091225】千里導入明細資料_２２年度上期分_営業店DB_【調整中】千里導入明細資料_２２年度上期分_fj_20100127_Ⅹ_課題と対応策_20121211" xfId="4871" xr:uid="{00000000-0005-0000-0000-0000C5120000}"/>
    <cellStyle name="_4F設置場所_ラック構成図_Catalyst直付け（新事務処理）_【20091225】千里導入明細資料_２２年度上期分_営業店DB_【調整中】千里導入明細資料_２２年度上期分_fj_20100127_Ⅹ_課題と対応策_20121211 2" xfId="4872" xr:uid="{00000000-0005-0000-0000-0000C6120000}"/>
    <cellStyle name="_4F設置場所_ラック構成図_Catalyst直付け（新事務処理）_【20091225】千里導入明細資料_２２年度上期分_営業店DB_Ⅹ_課題と対応策_20121211" xfId="4873" xr:uid="{00000000-0005-0000-0000-0000C7120000}"/>
    <cellStyle name="_4F設置場所_ラック構成図_Catalyst直付け（新事務処理）_【20091225】千里導入明細資料_２２年度上期分_営業店DB_Ⅹ_課題と対応策_20121211 2" xfId="4874" xr:uid="{00000000-0005-0000-0000-0000C8120000}"/>
    <cellStyle name="_4F設置場所_ラック構成図_Catalyst直付け（新事務処理）_【20091225】千里導入明細資料_２２年度上期分_連携DB" xfId="4875" xr:uid="{00000000-0005-0000-0000-0000C9120000}"/>
    <cellStyle name="_4F設置場所_ラック構成図_Catalyst直付け（新事務処理）_【20091225】千里導入明細資料_２２年度上期分_連携DB 2" xfId="4876" xr:uid="{00000000-0005-0000-0000-0000CA120000}"/>
    <cellStyle name="_4F設置場所_ラック構成図_Catalyst直付け（新事務処理）_【20091225】千里導入明細資料_２２年度上期分_連携DB_【調整中】千里導入明細資料_２２年度上期分_fj_20100127" xfId="4877" xr:uid="{00000000-0005-0000-0000-0000CB120000}"/>
    <cellStyle name="_4F設置場所_ラック構成図_Catalyst直付け（新事務処理）_【20091225】千里導入明細資料_２２年度上期分_連携DB_【調整中】千里導入明細資料_２２年度上期分_fj_20100127 2" xfId="4878" xr:uid="{00000000-0005-0000-0000-0000CC120000}"/>
    <cellStyle name="_4F設置場所_ラック構成図_Catalyst直付け（新事務処理）_【20091225】千里導入明細資料_２２年度上期分_連携DB_【調整中】千里導入明細資料_２２年度上期分_fj_20100127_Ⅹ_課題と対応策_20121211" xfId="4879" xr:uid="{00000000-0005-0000-0000-0000CD120000}"/>
    <cellStyle name="_4F設置場所_ラック構成図_Catalyst直付け（新事務処理）_【20091225】千里導入明細資料_２２年度上期分_連携DB_【調整中】千里導入明細資料_２２年度上期分_fj_20100127_Ⅹ_課題と対応策_20121211 2" xfId="4880" xr:uid="{00000000-0005-0000-0000-0000CE120000}"/>
    <cellStyle name="_4F設置場所_ラック構成図_Catalyst直付け（新事務処理）_【20091225】千里導入明細資料_２２年度上期分_連携DB_Ⅹ_課題と対応策_20121211" xfId="4881" xr:uid="{00000000-0005-0000-0000-0000CF120000}"/>
    <cellStyle name="_4F設置場所_ラック構成図_Catalyst直付け（新事務処理）_【20091225】千里導入明細資料_２２年度上期分_連携DB_Ⅹ_課題と対応策_20121211 2" xfId="4882" xr:uid="{00000000-0005-0000-0000-0000D0120000}"/>
    <cellStyle name="_4F設置場所_ラック構成図_Catalyst直付け（新事務処理）_【作成中】千里センター機器配置図（2010年対応分）_20091221" xfId="4883" xr:uid="{00000000-0005-0000-0000-0000D1120000}"/>
    <cellStyle name="_4F設置場所_ラック構成図_Catalyst直付け（新事務処理）_【作成中】千里センター機器配置図（2010年対応分）_20091221 2" xfId="4884" xr:uid="{00000000-0005-0000-0000-0000D2120000}"/>
    <cellStyle name="_4F設置場所_ラック構成図_Catalyst直付け（新事務処理）_【作成中】千里センター機器配置図（2010年対応分）_20091221_【調整中】千里導入明細資料_２２年度上期分_fj_20100127" xfId="4885" xr:uid="{00000000-0005-0000-0000-0000D3120000}"/>
    <cellStyle name="_4F設置場所_ラック構成図_Catalyst直付け（新事務処理）_【作成中】千里センター機器配置図（2010年対応分）_20091221_【調整中】千里導入明細資料_２２年度上期分_fj_20100127 2" xfId="4886" xr:uid="{00000000-0005-0000-0000-0000D4120000}"/>
    <cellStyle name="_4F設置場所_ラック構成図_Catalyst直付け（新事務処理）_【作成中】千里センター機器配置図（2010年対応分）_20091221_【調整中】千里導入明細資料_２２年度上期分_fj_20100127_Ⅹ_課題と対応策_20121211" xfId="4887" xr:uid="{00000000-0005-0000-0000-0000D5120000}"/>
    <cellStyle name="_4F設置場所_ラック構成図_Catalyst直付け（新事務処理）_【作成中】千里センター機器配置図（2010年対応分）_20091221_【調整中】千里導入明細資料_２２年度上期分_fj_20100127_Ⅹ_課題と対応策_20121211 2" xfId="4888" xr:uid="{00000000-0005-0000-0000-0000D6120000}"/>
    <cellStyle name="_4F設置場所_ラック構成図_Catalyst直付け（新事務処理）_【作成中】千里センター機器配置図（2010年対応分）_20091221_Ⅹ_課題と対応策_20121211" xfId="4889" xr:uid="{00000000-0005-0000-0000-0000D7120000}"/>
    <cellStyle name="_4F設置場所_ラック構成図_Catalyst直付け（新事務処理）_【作成中】千里センター機器配置図（2010年対応分）_20091221_Ⅹ_課題と対応策_20121211 2" xfId="4890" xr:uid="{00000000-0005-0000-0000-0000D8120000}"/>
    <cellStyle name="_4F設置場所_ラック構成図_Catalyst直付け（新事務処理）_Ⅹ_課題と対応策_20121211" xfId="4891" xr:uid="{00000000-0005-0000-0000-0000D9120000}"/>
    <cellStyle name="_4F設置場所_ラック構成図_Catalyst直付け（新事務処理）_Ⅹ_課題と対応策_20121211 2" xfId="4892" xr:uid="{00000000-0005-0000-0000-0000DA120000}"/>
    <cellStyle name="_4F設置場所_ラック構成図_RX100Si-R削除(新事務処理)" xfId="4893" xr:uid="{00000000-0005-0000-0000-0000DB120000}"/>
    <cellStyle name="_4F設置場所_ラック構成図_RX100Si-R削除(新事務処理) 2" xfId="4894" xr:uid="{00000000-0005-0000-0000-0000DC120000}"/>
    <cellStyle name="_4F設置場所_ラック構成図_RX100Si-R削除(新事務処理)_【20091207】千里導入明細資料_２１年度分（ネットワーク敷設）" xfId="4895" xr:uid="{00000000-0005-0000-0000-0000DD120000}"/>
    <cellStyle name="_4F設置場所_ラック構成図_RX100Si-R削除(新事務処理)_【20091207】千里導入明細資料_２１年度分（ネットワーク敷設） 2" xfId="4896" xr:uid="{00000000-0005-0000-0000-0000DE120000}"/>
    <cellStyle name="_4F設置場所_ラック構成図_RX100Si-R削除(新事務処理)_【20091207】千里導入明細資料_２１年度分（ネットワーク敷設）_【20091218】千里導入明細資料_２１年度分（ネットワーク敷設）" xfId="4897" xr:uid="{00000000-0005-0000-0000-0000DF120000}"/>
    <cellStyle name="_4F設置場所_ラック構成図_RX100Si-R削除(新事務処理)_【20091207】千里導入明細資料_２１年度分（ネットワーク敷設）_【20091218】千里導入明細資料_２１年度分（ネットワーク敷設） 2" xfId="4898" xr:uid="{00000000-0005-0000-0000-0000E0120000}"/>
    <cellStyle name="_4F設置場所_ラック構成図_RX100Si-R削除(新事務処理)_【20091207】千里導入明細資料_２１年度分（ネットワーク敷設）_【20091218】千里導入明細資料_２１年度分（ネットワーク敷設）_Ⅹ_課題と対応策_20121211" xfId="4899" xr:uid="{00000000-0005-0000-0000-0000E1120000}"/>
    <cellStyle name="_4F設置場所_ラック構成図_RX100Si-R削除(新事務処理)_【20091207】千里導入明細資料_２１年度分（ネットワーク敷設）_【20091218】千里導入明細資料_２１年度分（ネットワーク敷設）_Ⅹ_課題と対応策_20121211 2" xfId="4900" xr:uid="{00000000-0005-0000-0000-0000E2120000}"/>
    <cellStyle name="_4F設置場所_ラック構成図_RX100Si-R削除(新事務処理)_【20091207】千里導入明細資料_２１年度分（ネットワーク敷設）_Ⅹ_課題と対応策_20121211" xfId="4901" xr:uid="{00000000-0005-0000-0000-0000E3120000}"/>
    <cellStyle name="_4F設置場所_ラック構成図_RX100Si-R削除(新事務処理)_【20091207】千里導入明細資料_２１年度分（ネットワーク敷設）_Ⅹ_課題と対応策_20121211 2" xfId="4902" xr:uid="{00000000-0005-0000-0000-0000E4120000}"/>
    <cellStyle name="_4F設置場所_ラック構成図_RX100Si-R削除(新事務処理)_【20091207】千里導入明細資料_２１年度分（ネットワーク敷設）_千里導入明細資料_２２年度分（ネットワーク敷設）_fj" xfId="4903" xr:uid="{00000000-0005-0000-0000-0000E5120000}"/>
    <cellStyle name="_4F設置場所_ラック構成図_RX100Si-R削除(新事務処理)_【20091207】千里導入明細資料_２１年度分（ネットワーク敷設）_千里導入明細資料_２２年度分（ネットワーク敷設）_fj 2" xfId="4904" xr:uid="{00000000-0005-0000-0000-0000E6120000}"/>
    <cellStyle name="_4F設置場所_ラック構成図_RX100Si-R削除(新事務処理)_【20091207】千里導入明細資料_２１年度分（ネットワーク敷設）_千里導入明細資料_２２年度分（ネットワーク敷設）_fj_Ⅹ_課題と対応策_20121211" xfId="4905" xr:uid="{00000000-0005-0000-0000-0000E7120000}"/>
    <cellStyle name="_4F設置場所_ラック構成図_RX100Si-R削除(新事務処理)_【20091207】千里導入明細資料_２１年度分（ネットワーク敷設）_千里導入明細資料_２２年度分（ネットワーク敷設）_fj_Ⅹ_課題と対応策_20121211 2" xfId="4906" xr:uid="{00000000-0005-0000-0000-0000E8120000}"/>
    <cellStyle name="_4F設置場所_ラック構成図_RX100Si-R削除(新事務処理)_【20091225】千里導入明細資料_２２年度上期分（営業店ＡＰ－ＤＢ）" xfId="4907" xr:uid="{00000000-0005-0000-0000-0000E9120000}"/>
    <cellStyle name="_4F設置場所_ラック構成図_RX100Si-R削除(新事務処理)_【20091225】千里導入明細資料_２２年度上期分（営業店ＡＰ－ＤＢ） 2" xfId="4908" xr:uid="{00000000-0005-0000-0000-0000EA120000}"/>
    <cellStyle name="_4F設置場所_ラック構成図_RX100Si-R削除(新事務処理)_【20091225】千里導入明細資料_２２年度上期分（営業店ＡＰ－ＤＢ）_【調整中】千里導入明細資料_２２年度上期分_fj_20100127" xfId="4909" xr:uid="{00000000-0005-0000-0000-0000EB120000}"/>
    <cellStyle name="_4F設置場所_ラック構成図_RX100Si-R削除(新事務処理)_【20091225】千里導入明細資料_２２年度上期分（営業店ＡＰ－ＤＢ）_【調整中】千里導入明細資料_２２年度上期分_fj_20100127 2" xfId="4910" xr:uid="{00000000-0005-0000-0000-0000EC120000}"/>
    <cellStyle name="_4F設置場所_ラック構成図_RX100Si-R削除(新事務処理)_【20091225】千里導入明細資料_２２年度上期分（営業店ＡＰ－ＤＢ）_【調整中】千里導入明細資料_２２年度上期分_fj_20100127_Ⅹ_課題と対応策_20121211" xfId="4911" xr:uid="{00000000-0005-0000-0000-0000ED120000}"/>
    <cellStyle name="_4F設置場所_ラック構成図_RX100Si-R削除(新事務処理)_【20091225】千里導入明細資料_２２年度上期分（営業店ＡＰ－ＤＢ）_【調整中】千里導入明細資料_２２年度上期分_fj_20100127_Ⅹ_課題と対応策_20121211 2" xfId="4912" xr:uid="{00000000-0005-0000-0000-0000EE120000}"/>
    <cellStyle name="_4F設置場所_ラック構成図_RX100Si-R削除(新事務処理)_【20091225】千里導入明細資料_２２年度上期分（営業店ＡＰ－ＤＢ）_Ⅹ_課題と対応策_20121211" xfId="4913" xr:uid="{00000000-0005-0000-0000-0000EF120000}"/>
    <cellStyle name="_4F設置場所_ラック構成図_RX100Si-R削除(新事務処理)_【20091225】千里導入明細資料_２２年度上期分（営業店ＡＰ－ＤＢ）_Ⅹ_課題と対応策_20121211 2" xfId="4914" xr:uid="{00000000-0005-0000-0000-0000F0120000}"/>
    <cellStyle name="_4F設置場所_ラック構成図_RX100Si-R削除(新事務処理)_【20091225】千里導入明細資料_２２年度上期分_営業店DB" xfId="4915" xr:uid="{00000000-0005-0000-0000-0000F1120000}"/>
    <cellStyle name="_4F設置場所_ラック構成図_RX100Si-R削除(新事務処理)_【20091225】千里導入明細資料_２２年度上期分_営業店DB 2" xfId="4916" xr:uid="{00000000-0005-0000-0000-0000F2120000}"/>
    <cellStyle name="_4F設置場所_ラック構成図_RX100Si-R削除(新事務処理)_【20091225】千里導入明細資料_２２年度上期分_営業店DB_【調整中】千里導入明細資料_２２年度上期分_fj_20100127" xfId="4917" xr:uid="{00000000-0005-0000-0000-0000F3120000}"/>
    <cellStyle name="_4F設置場所_ラック構成図_RX100Si-R削除(新事務処理)_【20091225】千里導入明細資料_２２年度上期分_営業店DB_【調整中】千里導入明細資料_２２年度上期分_fj_20100127 2" xfId="4918" xr:uid="{00000000-0005-0000-0000-0000F4120000}"/>
    <cellStyle name="_4F設置場所_ラック構成図_RX100Si-R削除(新事務処理)_【20091225】千里導入明細資料_２２年度上期分_営業店DB_【調整中】千里導入明細資料_２２年度上期分_fj_20100127_Ⅹ_課題と対応策_20121211" xfId="4919" xr:uid="{00000000-0005-0000-0000-0000F5120000}"/>
    <cellStyle name="_4F設置場所_ラック構成図_RX100Si-R削除(新事務処理)_【20091225】千里導入明細資料_２２年度上期分_営業店DB_【調整中】千里導入明細資料_２２年度上期分_fj_20100127_Ⅹ_課題と対応策_20121211 2" xfId="4920" xr:uid="{00000000-0005-0000-0000-0000F6120000}"/>
    <cellStyle name="_4F設置場所_ラック構成図_RX100Si-R削除(新事務処理)_【20091225】千里導入明細資料_２２年度上期分_営業店DB_Ⅹ_課題と対応策_20121211" xfId="4921" xr:uid="{00000000-0005-0000-0000-0000F7120000}"/>
    <cellStyle name="_4F設置場所_ラック構成図_RX100Si-R削除(新事務処理)_【20091225】千里導入明細資料_２２年度上期分_営業店DB_Ⅹ_課題と対応策_20121211 2" xfId="4922" xr:uid="{00000000-0005-0000-0000-0000F8120000}"/>
    <cellStyle name="_4F設置場所_ラック構成図_RX100Si-R削除(新事務処理)_【20091225】千里導入明細資料_２２年度上期分_連携DB" xfId="4923" xr:uid="{00000000-0005-0000-0000-0000F9120000}"/>
    <cellStyle name="_4F設置場所_ラック構成図_RX100Si-R削除(新事務処理)_【20091225】千里導入明細資料_２２年度上期分_連携DB 2" xfId="4924" xr:uid="{00000000-0005-0000-0000-0000FA120000}"/>
    <cellStyle name="_4F設置場所_ラック構成図_RX100Si-R削除(新事務処理)_【20091225】千里導入明細資料_２２年度上期分_連携DB_【調整中】千里導入明細資料_２２年度上期分_fj_20100127" xfId="4925" xr:uid="{00000000-0005-0000-0000-0000FB120000}"/>
    <cellStyle name="_4F設置場所_ラック構成図_RX100Si-R削除(新事務処理)_【20091225】千里導入明細資料_２２年度上期分_連携DB_【調整中】千里導入明細資料_２２年度上期分_fj_20100127 2" xfId="4926" xr:uid="{00000000-0005-0000-0000-0000FC120000}"/>
    <cellStyle name="_4F設置場所_ラック構成図_RX100Si-R削除(新事務処理)_【20091225】千里導入明細資料_２２年度上期分_連携DB_【調整中】千里導入明細資料_２２年度上期分_fj_20100127_Ⅹ_課題と対応策_20121211" xfId="4927" xr:uid="{00000000-0005-0000-0000-0000FD120000}"/>
    <cellStyle name="_4F設置場所_ラック構成図_RX100Si-R削除(新事務処理)_【20091225】千里導入明細資料_２２年度上期分_連携DB_【調整中】千里導入明細資料_２２年度上期分_fj_20100127_Ⅹ_課題と対応策_20121211 2" xfId="4928" xr:uid="{00000000-0005-0000-0000-0000FE120000}"/>
    <cellStyle name="_4F設置場所_ラック構成図_RX100Si-R削除(新事務処理)_【20091225】千里導入明細資料_２２年度上期分_連携DB_Ⅹ_課題と対応策_20121211" xfId="4929" xr:uid="{00000000-0005-0000-0000-0000FF120000}"/>
    <cellStyle name="_4F設置場所_ラック構成図_RX100Si-R削除(新事務処理)_【20091225】千里導入明細資料_２２年度上期分_連携DB_Ⅹ_課題と対応策_20121211 2" xfId="4930" xr:uid="{00000000-0005-0000-0000-000000130000}"/>
    <cellStyle name="_4F設置場所_ラック構成図_RX100Si-R削除(新事務処理)_【作成中】千里センター機器配置図（2010年対応分）_20091221" xfId="4931" xr:uid="{00000000-0005-0000-0000-000001130000}"/>
    <cellStyle name="_4F設置場所_ラック構成図_RX100Si-R削除(新事務処理)_【作成中】千里センター機器配置図（2010年対応分）_20091221 2" xfId="4932" xr:uid="{00000000-0005-0000-0000-000002130000}"/>
    <cellStyle name="_4F設置場所_ラック構成図_RX100Si-R削除(新事務処理)_【作成中】千里センター機器配置図（2010年対応分）_20091221_【調整中】千里導入明細資料_２２年度上期分_fj_20100127" xfId="4933" xr:uid="{00000000-0005-0000-0000-000003130000}"/>
    <cellStyle name="_4F設置場所_ラック構成図_RX100Si-R削除(新事務処理)_【作成中】千里センター機器配置図（2010年対応分）_20091221_【調整中】千里導入明細資料_２２年度上期分_fj_20100127 2" xfId="4934" xr:uid="{00000000-0005-0000-0000-000004130000}"/>
    <cellStyle name="_4F設置場所_ラック構成図_RX100Si-R削除(新事務処理)_【作成中】千里センター機器配置図（2010年対応分）_20091221_【調整中】千里導入明細資料_２２年度上期分_fj_20100127_Ⅹ_課題と対応策_20121211" xfId="4935" xr:uid="{00000000-0005-0000-0000-000005130000}"/>
    <cellStyle name="_4F設置場所_ラック構成図_RX100Si-R削除(新事務処理)_【作成中】千里センター機器配置図（2010年対応分）_20091221_【調整中】千里導入明細資料_２２年度上期分_fj_20100127_Ⅹ_課題と対応策_20121211 2" xfId="4936" xr:uid="{00000000-0005-0000-0000-000006130000}"/>
    <cellStyle name="_4F設置場所_ラック構成図_RX100Si-R削除(新事務処理)_【作成中】千里センター機器配置図（2010年対応分）_20091221_Ⅹ_課題と対応策_20121211" xfId="4937" xr:uid="{00000000-0005-0000-0000-000007130000}"/>
    <cellStyle name="_4F設置場所_ラック構成図_RX100Si-R削除(新事務処理)_【作成中】千里センター機器配置図（2010年対応分）_20091221_Ⅹ_課題と対応策_20121211 2" xfId="4938" xr:uid="{00000000-0005-0000-0000-000008130000}"/>
    <cellStyle name="_4F設置場所_ラック構成図_RX100Si-R削除(新事務処理)_Ⅹ_課題と対応策_20121211" xfId="4939" xr:uid="{00000000-0005-0000-0000-000009130000}"/>
    <cellStyle name="_4F設置場所_ラック構成図_RX100Si-R削除(新事務処理)_Ⅹ_課題と対応策_20121211 2" xfId="4940" xr:uid="{00000000-0005-0000-0000-00000A130000}"/>
    <cellStyle name="_4F設置場所_千里導入明細資料_２２年度分（ネットワーク敷設）_fj" xfId="4941" xr:uid="{00000000-0005-0000-0000-00000B130000}"/>
    <cellStyle name="_4F設置場所_千里導入明細資料_２２年度分（ネットワーク敷設）_fj 2" xfId="4942" xr:uid="{00000000-0005-0000-0000-00000C130000}"/>
    <cellStyle name="_4F設置場所_千里導入明細資料_２２年度分（ネットワーク敷設）_fj_Ⅹ_課題と対応策_20121211" xfId="4943" xr:uid="{00000000-0005-0000-0000-00000D130000}"/>
    <cellStyle name="_4F設置場所_千里導入明細資料_２２年度分（ネットワーク敷設）_fj_Ⅹ_課題と対応策_20121211 2" xfId="4944" xr:uid="{00000000-0005-0000-0000-00000E130000}"/>
    <cellStyle name="_BestwayKO見積り依頼書(フル構成)" xfId="4945" xr:uid="{00000000-0005-0000-0000-00000F130000}"/>
    <cellStyle name="_Bestway信託見積もり依頼書_再見積り" xfId="4946" xr:uid="{00000000-0005-0000-0000-000010130000}"/>
    <cellStyle name="_FACTSETシステム更改_要件定義兼外部設計_20100816_01版" xfId="4947" xr:uid="{00000000-0005-0000-0000-000011130000}"/>
    <cellStyle name="_FACTSETシステム更改_要件定義兼外部設計_20100816_01版 2" xfId="4948" xr:uid="{00000000-0005-0000-0000-000012130000}"/>
    <cellStyle name="_FACTSETシステム更改_要件定義兼外部設計_20100816_01版_Ⅹ_課題と対応策_20121211" xfId="4949" xr:uid="{00000000-0005-0000-0000-000013130000}"/>
    <cellStyle name="_FACTSETシステム更改_要件定義兼外部設計_20100816_01版_Ⅹ_課題と対応策_20121211 2" xfId="4950" xr:uid="{00000000-0005-0000-0000-000014130000}"/>
    <cellStyle name="_w2k3ヒアリングシート_20060519" xfId="4951" xr:uid="{00000000-0005-0000-0000-000015130000}"/>
    <cellStyle name="_基盤設計書_tmp（根岸編集） 20060519" xfId="4952" xr:uid="{00000000-0005-0000-0000-000016130000}"/>
    <cellStyle name="_三菱UFJ信託銀行様お見積り20071214" xfId="4953" xr:uid="{00000000-0005-0000-0000-000017130000}"/>
    <cellStyle name="_資源配付更改費用サマリ_20090311b" xfId="4954" xr:uid="{00000000-0005-0000-0000-000018130000}"/>
    <cellStyle name="_千里センター機器構築スケジュール（８月分）_20090731" xfId="4955" xr:uid="{00000000-0005-0000-0000-000019130000}"/>
    <cellStyle name="_千里センター機器構築スケジュール（８月分）_20090731 2" xfId="4956" xr:uid="{00000000-0005-0000-0000-00001A130000}"/>
    <cellStyle name="_千里センター機器構築スケジュール（８月分）_20090731_【20090731】千里導入明細資料_２１年度分（９月工事分）" xfId="4957" xr:uid="{00000000-0005-0000-0000-00001B130000}"/>
    <cellStyle name="_千里センター機器構築スケジュール（８月分）_20090731_【20090731】千里導入明細資料_２１年度分（９月工事分） 2" xfId="4958" xr:uid="{00000000-0005-0000-0000-00001C130000}"/>
    <cellStyle name="_千里センター機器構築スケジュール（８月分）_20090731_【20090731】千里導入明細資料_２１年度分（９月工事分）_【20090821】千里ラック搭載図（NW機器）" xfId="4959" xr:uid="{00000000-0005-0000-0000-00001D130000}"/>
    <cellStyle name="_千里センター機器構築スケジュール（８月分）_20090731_【20090731】千里導入明細資料_２１年度分（９月工事分）_【20090821】千里ラック搭載図（NW機器） 2" xfId="4960" xr:uid="{00000000-0005-0000-0000-00001E130000}"/>
    <cellStyle name="_千里センター機器構築スケジュール（８月分）_20090731_【20090731】千里導入明細資料_２１年度分（９月工事分）_【20090821】千里ラック搭載図（NW機器）_Ⅹ_課題と対応策_20121211" xfId="4961" xr:uid="{00000000-0005-0000-0000-00001F130000}"/>
    <cellStyle name="_千里センター機器構築スケジュール（８月分）_20090731_【20090731】千里導入明細資料_２１年度分（９月工事分）_【20090821】千里ラック搭載図（NW機器）_Ⅹ_課題と対応策_20121211 2" xfId="4962" xr:uid="{00000000-0005-0000-0000-000020130000}"/>
    <cellStyle name="_千里センター機器構築スケジュール（８月分）_20090731_【20090731】千里導入明細資料_２１年度分（９月工事分）_Ⅹ_課題と対応策_20121211" xfId="4963" xr:uid="{00000000-0005-0000-0000-000021130000}"/>
    <cellStyle name="_千里センター機器構築スケジュール（８月分）_20090731_【20090731】千里導入明細資料_２１年度分（９月工事分）_Ⅹ_課題と対応策_20121211 2" xfId="4964" xr:uid="{00000000-0005-0000-0000-000022130000}"/>
    <cellStyle name="_千里センター機器構築スケジュール（８月分）_20090731_【20090821】千里ラック搭載図（NW機器）" xfId="4965" xr:uid="{00000000-0005-0000-0000-000023130000}"/>
    <cellStyle name="_千里センター機器構築スケジュール（８月分）_20090731_【20090821】千里ラック搭載図（NW機器） 2" xfId="4966" xr:uid="{00000000-0005-0000-0000-000024130000}"/>
    <cellStyle name="_千里センター機器構築スケジュール（８月分）_20090731_【20090821】千里ラック搭載図（NW機器）_Ⅹ_課題と対応策_20121211" xfId="4967" xr:uid="{00000000-0005-0000-0000-000025130000}"/>
    <cellStyle name="_千里センター機器構築スケジュール（８月分）_20090731_【20090821】千里ラック搭載図（NW機器）_Ⅹ_課題と対応策_20121211 2" xfId="4968" xr:uid="{00000000-0005-0000-0000-000026130000}"/>
    <cellStyle name="_千里センター機器構築スケジュール（８月分）_20090731_【20091218】千里導入明細資料_２１年度分（ネットワーク敷設）" xfId="4969" xr:uid="{00000000-0005-0000-0000-000027130000}"/>
    <cellStyle name="_千里センター機器構築スケジュール（８月分）_20090731_【20091218】千里導入明細資料_２１年度分（ネットワーク敷設） 2" xfId="4970" xr:uid="{00000000-0005-0000-0000-000028130000}"/>
    <cellStyle name="_千里センター機器構築スケジュール（８月分）_20090731_【20091218】千里導入明細資料_２１年度分（ネットワーク敷設）_Ⅹ_課題と対応策_20121211" xfId="4971" xr:uid="{00000000-0005-0000-0000-000029130000}"/>
    <cellStyle name="_千里センター機器構築スケジュール（８月分）_20090731_【20091218】千里導入明細資料_２１年度分（ネットワーク敷設）_Ⅹ_課題と対応策_20121211 2" xfId="4972" xr:uid="{00000000-0005-0000-0000-00002A130000}"/>
    <cellStyle name="_千里センター機器構築スケジュール（８月分）_20090731_【20091224】千里導入明細資料_２２年度上期分_営業店DB" xfId="4973" xr:uid="{00000000-0005-0000-0000-00002B130000}"/>
    <cellStyle name="_千里センター機器構築スケジュール（８月分）_20090731_【20091224】千里導入明細資料_２２年度上期分_営業店DB 2" xfId="4974" xr:uid="{00000000-0005-0000-0000-00002C130000}"/>
    <cellStyle name="_千里センター機器構築スケジュール（８月分）_20090731_【20091224】千里導入明細資料_２２年度上期分_営業店DB_【20091225】千里導入明細資料_２２年度上期分（営業店ＡＰ－ＤＢ）" xfId="4975" xr:uid="{00000000-0005-0000-0000-00002D130000}"/>
    <cellStyle name="_千里センター機器構築スケジュール（８月分）_20090731_【20091224】千里導入明細資料_２２年度上期分_営業店DB_【20091225】千里導入明細資料_２２年度上期分（営業店ＡＰ－ＤＢ） 2" xfId="4976" xr:uid="{00000000-0005-0000-0000-00002E130000}"/>
    <cellStyle name="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" xfId="4977" xr:uid="{00000000-0005-0000-0000-00002F130000}"/>
    <cellStyle name="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 2" xfId="4978" xr:uid="{00000000-0005-0000-0000-000030130000}"/>
    <cellStyle name="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_Ⅹ_課題と対応策_20121211" xfId="4979" xr:uid="{00000000-0005-0000-0000-000031130000}"/>
    <cellStyle name="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4980" xr:uid="{00000000-0005-0000-0000-000032130000}"/>
    <cellStyle name="_千里センター機器構築スケジュール（８月分）_20090731_【20091224】千里導入明細資料_２２年度上期分_営業店DB_【20091225】千里導入明細資料_２２年度上期分（営業店ＡＰ－ＤＢ）_Ⅹ_課題と対応策_20121211" xfId="4981" xr:uid="{00000000-0005-0000-0000-000033130000}"/>
    <cellStyle name="_千里センター機器構築スケジュール（８月分）_20090731_【20091224】千里導入明細資料_２２年度上期分_営業店DB_【20091225】千里導入明細資料_２２年度上期分（営業店ＡＰ－ＤＢ）_Ⅹ_課題と対応策_20121211 2" xfId="4982" xr:uid="{00000000-0005-0000-0000-000034130000}"/>
    <cellStyle name="_千里センター機器構築スケジュール（８月分）_20090731_【20091224】千里導入明細資料_２２年度上期分_営業店DB_【20091225】千里導入明細資料_２２年度上期分_営業店DB" xfId="4983" xr:uid="{00000000-0005-0000-0000-000035130000}"/>
    <cellStyle name="_千里センター機器構築スケジュール（８月分）_20090731_【20091224】千里導入明細資料_２２年度上期分_営業店DB_【20091225】千里導入明細資料_２２年度上期分_営業店DB 2" xfId="4984" xr:uid="{00000000-0005-0000-0000-000036130000}"/>
    <cellStyle name="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" xfId="4985" xr:uid="{00000000-0005-0000-0000-000037130000}"/>
    <cellStyle name="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 2" xfId="4986" xr:uid="{00000000-0005-0000-0000-000038130000}"/>
    <cellStyle name="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_Ⅹ_課題と対応策_20121211" xfId="4987" xr:uid="{00000000-0005-0000-0000-000039130000}"/>
    <cellStyle name="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_Ⅹ_課題と対応策_20121211 2" xfId="4988" xr:uid="{00000000-0005-0000-0000-00003A130000}"/>
    <cellStyle name="_千里センター機器構築スケジュール（８月分）_20090731_【20091224】千里導入明細資料_２２年度上期分_営業店DB_【20091225】千里導入明細資料_２２年度上期分_営業店DB_Ⅹ_課題と対応策_20121211" xfId="4989" xr:uid="{00000000-0005-0000-0000-00003B130000}"/>
    <cellStyle name="_千里センター機器構築スケジュール（８月分）_20090731_【20091224】千里導入明細資料_２２年度上期分_営業店DB_【20091225】千里導入明細資料_２２年度上期分_営業店DB_Ⅹ_課題と対応策_20121211 2" xfId="4990" xr:uid="{00000000-0005-0000-0000-00003C130000}"/>
    <cellStyle name="_千里センター機器構築スケジュール（８月分）_20090731_【20091224】千里導入明細資料_２２年度上期分_営業店DB_Ⅹ_課題と対応策_20121211" xfId="4991" xr:uid="{00000000-0005-0000-0000-00003D130000}"/>
    <cellStyle name="_千里センター機器構築スケジュール（８月分）_20090731_【20091224】千里導入明細資料_２２年度上期分_営業店DB_Ⅹ_課題と対応策_20121211 2" xfId="4992" xr:uid="{00000000-0005-0000-0000-00003E130000}"/>
    <cellStyle name="_千里センター機器構築スケジュール（８月分）_20090731_【20091225】千里導入明細資料_２２年度上期分" xfId="4993" xr:uid="{00000000-0005-0000-0000-00003F130000}"/>
    <cellStyle name="_千里センター機器構築スケジュール（８月分）_20090731_【20091225】千里導入明細資料_２２年度上期分 2" xfId="4994" xr:uid="{00000000-0005-0000-0000-000040130000}"/>
    <cellStyle name="_千里センター機器構築スケジュール（８月分）_20090731_【20091225】千里導入明細資料_２２年度上期分_Ⅹ_課題と対応策_20121211" xfId="4995" xr:uid="{00000000-0005-0000-0000-000041130000}"/>
    <cellStyle name="_千里センター機器構築スケジュール（８月分）_20090731_【20091225】千里導入明細資料_２２年度上期分_Ⅹ_課題と対応策_20121211 2" xfId="4996" xr:uid="{00000000-0005-0000-0000-000042130000}"/>
    <cellStyle name="_千里センター機器構築スケジュール（８月分）_20090731_【20091225】千里導入明細資料_２２年度上期分_営業店DB" xfId="4997" xr:uid="{00000000-0005-0000-0000-000043130000}"/>
    <cellStyle name="_千里センター機器構築スケジュール（８月分）_20090731_【20091225】千里導入明細資料_２２年度上期分_営業店DB 2" xfId="4998" xr:uid="{00000000-0005-0000-0000-000044130000}"/>
    <cellStyle name="_千里センター機器構築スケジュール（８月分）_20090731_【20091225】千里導入明細資料_２２年度上期分_営業店DB_Ⅹ_課題と対応策_20121211" xfId="4999" xr:uid="{00000000-0005-0000-0000-000045130000}"/>
    <cellStyle name="_千里センター機器構築スケジュール（８月分）_20090731_【20091225】千里導入明細資料_２２年度上期分_営業店DB_Ⅹ_課題と対応策_20121211 2" xfId="5000" xr:uid="{00000000-0005-0000-0000-000046130000}"/>
    <cellStyle name="_千里センター機器構築スケジュール（８月分）_20090731_【20091225】千里導入明細資料_２２年度上期分_連携DB" xfId="5001" xr:uid="{00000000-0005-0000-0000-000047130000}"/>
    <cellStyle name="_千里センター機器構築スケジュール（８月分）_20090731_【20091225】千里導入明細資料_２２年度上期分_連携DB 2" xfId="5002" xr:uid="{00000000-0005-0000-0000-000048130000}"/>
    <cellStyle name="_千里センター機器構築スケジュール（８月分）_20090731_【20091225】千里導入明細資料_２２年度上期分_連携DB_Ⅹ_課題と対応策_20121211" xfId="5003" xr:uid="{00000000-0005-0000-0000-000049130000}"/>
    <cellStyle name="_千里センター機器構築スケジュール（８月分）_20090731_【20091225】千里導入明細資料_２２年度上期分_連携DB_Ⅹ_課題と対応策_20121211 2" xfId="5004" xr:uid="{00000000-0005-0000-0000-00004A130000}"/>
    <cellStyle name="_千里センター機器構築スケジュール（８月分）_20090731_【200912xx】千里導入明細資料_２２年度上期分" xfId="5005" xr:uid="{00000000-0005-0000-0000-00004B130000}"/>
    <cellStyle name="_千里センター機器構築スケジュール（８月分）_20090731_【200912xx】千里導入明細資料_２２年度上期分 2" xfId="5006" xr:uid="{00000000-0005-0000-0000-00004C130000}"/>
    <cellStyle name="_千里センター機器構築スケジュール（８月分）_20090731_【200912xx】千里導入明細資料_２２年度上期分（為替分）" xfId="5007" xr:uid="{00000000-0005-0000-0000-00004D130000}"/>
    <cellStyle name="_千里センター機器構築スケジュール（８月分）_20090731_【200912xx】千里導入明細資料_２２年度上期分（為替分） 2" xfId="5008" xr:uid="{00000000-0005-0000-0000-00004E130000}"/>
    <cellStyle name="_千里センター機器構築スケジュール（８月分）_20090731_【200912xx】千里導入明細資料_２２年度上期分（為替分）_Ⅹ_課題と対応策_20121211" xfId="5009" xr:uid="{00000000-0005-0000-0000-00004F130000}"/>
    <cellStyle name="_千里センター機器構築スケジュール（８月分）_20090731_【200912xx】千里導入明細資料_２２年度上期分（為替分）_Ⅹ_課題と対応策_20121211 2" xfId="5010" xr:uid="{00000000-0005-0000-0000-000050130000}"/>
    <cellStyle name="_千里センター機器構築スケジュール（８月分）_20090731_【200912xx】千里導入明細資料_２２年度上期分_【20091225】千里導入明細資料_２２年度上期分（営業店ＡＰ－ＤＢ）" xfId="5011" xr:uid="{00000000-0005-0000-0000-000051130000}"/>
    <cellStyle name="_千里センター機器構築スケジュール（８月分）_20090731_【200912xx】千里導入明細資料_２２年度上期分_【20091225】千里導入明細資料_２２年度上期分（営業店ＡＰ－ＤＢ） 2" xfId="5012" xr:uid="{00000000-0005-0000-0000-000052130000}"/>
    <cellStyle name="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" xfId="5013" xr:uid="{00000000-0005-0000-0000-000053130000}"/>
    <cellStyle name="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 2" xfId="5014" xr:uid="{00000000-0005-0000-0000-000054130000}"/>
    <cellStyle name="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_Ⅹ_課題と対応策_20121211" xfId="5015" xr:uid="{00000000-0005-0000-0000-000055130000}"/>
    <cellStyle name="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_Ⅹ_課題と対応策_20121211 2" xfId="5016" xr:uid="{00000000-0005-0000-0000-000056130000}"/>
    <cellStyle name="_千里センター機器構築スケジュール（８月分）_20090731_【200912xx】千里導入明細資料_２２年度上期分_【20091225】千里導入明細資料_２２年度上期分（営業店ＡＰ－ＤＢ）_Ⅹ_課題と対応策_20121211" xfId="5017" xr:uid="{00000000-0005-0000-0000-000057130000}"/>
    <cellStyle name="_千里センター機器構築スケジュール（８月分）_20090731_【200912xx】千里導入明細資料_２２年度上期分_【20091225】千里導入明細資料_２２年度上期分（営業店ＡＰ－ＤＢ）_Ⅹ_課題と対応策_20121211 2" xfId="5018" xr:uid="{00000000-0005-0000-0000-000058130000}"/>
    <cellStyle name="_千里センター機器構築スケジュール（８月分）_20090731_【200912xx】千里導入明細資料_２２年度上期分_【20091225】千里導入明細資料_２２年度上期分_営業店DB" xfId="5019" xr:uid="{00000000-0005-0000-0000-000059130000}"/>
    <cellStyle name="_千里センター機器構築スケジュール（８月分）_20090731_【200912xx】千里導入明細資料_２２年度上期分_【20091225】千里導入明細資料_２２年度上期分_営業店DB 2" xfId="5020" xr:uid="{00000000-0005-0000-0000-00005A130000}"/>
    <cellStyle name="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" xfId="5021" xr:uid="{00000000-0005-0000-0000-00005B130000}"/>
    <cellStyle name="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 2" xfId="5022" xr:uid="{00000000-0005-0000-0000-00005C130000}"/>
    <cellStyle name="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_Ⅹ_課題と対応策_20121211" xfId="5023" xr:uid="{00000000-0005-0000-0000-00005D130000}"/>
    <cellStyle name="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_Ⅹ_課題と対応策_20121211 2" xfId="5024" xr:uid="{00000000-0005-0000-0000-00005E130000}"/>
    <cellStyle name="_千里センター機器構築スケジュール（８月分）_20090731_【200912xx】千里導入明細資料_２２年度上期分_【20091225】千里導入明細資料_２２年度上期分_営業店DB_Ⅹ_課題と対応策_20121211" xfId="5025" xr:uid="{00000000-0005-0000-0000-00005F130000}"/>
    <cellStyle name="_千里センター機器構築スケジュール（８月分）_20090731_【200912xx】千里導入明細資料_２２年度上期分_【20091225】千里導入明細資料_２２年度上期分_営業店DB_Ⅹ_課題と対応策_20121211 2" xfId="5026" xr:uid="{00000000-0005-0000-0000-000060130000}"/>
    <cellStyle name="_千里センター機器構築スケジュール（８月分）_20090731_【200912xx】千里導入明細資料_２２年度上期分_【20091225】千里導入明細資料_２２年度上期分_連携DB" xfId="5027" xr:uid="{00000000-0005-0000-0000-000061130000}"/>
    <cellStyle name="_千里センター機器構築スケジュール（８月分）_20090731_【200912xx】千里導入明細資料_２２年度上期分_【20091225】千里導入明細資料_２２年度上期分_連携DB 2" xfId="5028" xr:uid="{00000000-0005-0000-0000-000062130000}"/>
    <cellStyle name="_千里センター機器構築スケジュール（８月分）_20090731_【200912xx】千里導入明細資料_２２年度上期分_【20091225】千里導入明細資料_２２年度上期分_連携DB_【調整中】千里導入明細資料_２２年度上期分_fj_20100127" xfId="5029" xr:uid="{00000000-0005-0000-0000-000063130000}"/>
    <cellStyle name="_千里センター機器構築スケジュール（８月分）_20090731_【200912xx】千里導入明細資料_２２年度上期分_【20091225】千里導入明細資料_２２年度上期分_連携DB_【調整中】千里導入明細資料_２２年度上期分_fj_20100127 2" xfId="5030" xr:uid="{00000000-0005-0000-0000-000064130000}"/>
    <cellStyle name="_千里センター機器構築スケジュール（８月分）_20090731_【200912xx】千里導入明細資料_２２年度上期分_【20091225】千里導入明細資料_２２年度上期分_連携DB_【調整中】千里導入明細資料_２２年度上期分_fj_20100127_Ⅹ_課題と対応策_20121211" xfId="5031" xr:uid="{00000000-0005-0000-0000-000065130000}"/>
    <cellStyle name="_千里センター機器構築スケジュール（８月分）_20090731_【200912xx】千里導入明細資料_２２年度上期分_【20091225】千里導入明細資料_２２年度上期分_連携DB_【調整中】千里導入明細資料_２２年度上期分_fj_20100127_Ⅹ_課題と対応策_20121211 2" xfId="5032" xr:uid="{00000000-0005-0000-0000-000066130000}"/>
    <cellStyle name="_千里センター機器構築スケジュール（８月分）_20090731_【200912xx】千里導入明細資料_２２年度上期分_【20091225】千里導入明細資料_２２年度上期分_連携DB_Ⅹ_課題と対応策_20121211" xfId="5033" xr:uid="{00000000-0005-0000-0000-000067130000}"/>
    <cellStyle name="_千里センター機器構築スケジュール（８月分）_20090731_【200912xx】千里導入明細資料_２２年度上期分_【20091225】千里導入明細資料_２２年度上期分_連携DB_Ⅹ_課題と対応策_20121211 2" xfId="5034" xr:uid="{00000000-0005-0000-0000-000068130000}"/>
    <cellStyle name="_千里センター機器構築スケジュール（８月分）_20090731_【200912xx】千里導入明細資料_２２年度上期分_Ⅹ_課題と対応策_20121211" xfId="5035" xr:uid="{00000000-0005-0000-0000-000069130000}"/>
    <cellStyle name="_千里センター機器構築スケジュール（８月分）_20090731_【200912xx】千里導入明細資料_２２年度上期分_Ⅹ_課題と対応策_20121211 2" xfId="5036" xr:uid="{00000000-0005-0000-0000-00006A130000}"/>
    <cellStyle name="_千里センター機器構築スケジュール（８月分）_20090731_【調整中】千里導入明細資料_２２年度上期分_fj_20100127" xfId="5037" xr:uid="{00000000-0005-0000-0000-00006B130000}"/>
    <cellStyle name="_千里センター機器構築スケジュール（８月分）_20090731_【調整中】千里導入明細資料_２２年度上期分_fj_20100127 2" xfId="5038" xr:uid="{00000000-0005-0000-0000-00006C130000}"/>
    <cellStyle name="_千里センター機器構築スケジュール（８月分）_20090731_【調整中】千里導入明細資料_２２年度上期分_fj_20100127_Ⅹ_課題と対応策_20121211" xfId="5039" xr:uid="{00000000-0005-0000-0000-00006D130000}"/>
    <cellStyle name="_千里センター機器構築スケジュール（８月分）_20090731_【調整中】千里導入明細資料_２２年度上期分_fj_20100127_Ⅹ_課題と対応策_20121211 2" xfId="5040" xr:uid="{00000000-0005-0000-0000-00006E130000}"/>
    <cellStyle name="_千里センター機器構築スケジュール（８月分）_20090731_①【20091225】千里導入明細資料_２２年度上期1分)" xfId="5041" xr:uid="{00000000-0005-0000-0000-00006F130000}"/>
    <cellStyle name="_千里センター機器構築スケジュール（８月分）_20090731_①【20091225】千里導入明細資料_２２年度上期1分) 2" xfId="5042" xr:uid="{00000000-0005-0000-0000-000070130000}"/>
    <cellStyle name="_千里センター機器構築スケジュール（８月分）_20090731_①【20091225】千里導入明細資料_２２年度上期1分)_Ⅹ_課題と対応策_20121211" xfId="5043" xr:uid="{00000000-0005-0000-0000-000071130000}"/>
    <cellStyle name="_千里センター機器構築スケジュール（８月分）_20090731_①【20091225】千里導入明細資料_２２年度上期1分)_Ⅹ_課題と対応策_20121211 2" xfId="5044" xr:uid="{00000000-0005-0000-0000-000072130000}"/>
    <cellStyle name="_千里センター機器構築スケジュール（８月分）_20090731_Ⅹ_課題と対応策_20121211" xfId="5045" xr:uid="{00000000-0005-0000-0000-000073130000}"/>
    <cellStyle name="_千里センター機器構築スケジュール（８月分）_20090731_Ⅹ_課題と対応策_20121211 2" xfId="5046" xr:uid="{00000000-0005-0000-0000-000074130000}"/>
    <cellStyle name="_千里センター機器構築スケジュール（８月分）_20090731_千里導入明細資料_２２年度分（ネットワーク敷設）_fj" xfId="5047" xr:uid="{00000000-0005-0000-0000-000075130000}"/>
    <cellStyle name="_千里センター機器構築スケジュール（８月分）_20090731_千里導入明細資料_２２年度分（ネットワーク敷設）_fj 2" xfId="5048" xr:uid="{00000000-0005-0000-0000-000076130000}"/>
    <cellStyle name="_千里センター機器構築スケジュール（８月分）_20090731_千里導入明細資料_２２年度分（ネットワーク敷設）_fj_Ⅹ_課題と対応策_20121211" xfId="5049" xr:uid="{00000000-0005-0000-0000-000077130000}"/>
    <cellStyle name="_千里センター機器構築スケジュール（８月分）_20090731_千里導入明細資料_２２年度分（ネットワーク敷設）_fj_Ⅹ_課題と対応策_20121211 2" xfId="5050" xr:uid="{00000000-0005-0000-0000-000078130000}"/>
    <cellStyle name="_他社ｿﾌﾄｳｪｱ使用条件確認依頼書ﾌﾞﾗﾝｸ(購買）" xfId="5051" xr:uid="{00000000-0005-0000-0000-000079130000}"/>
    <cellStyle name="_電源" xfId="5052" xr:uid="{00000000-0005-0000-0000-00007A130000}"/>
    <cellStyle name="_与信審査支援システム再見積依頼書一式" xfId="5053" xr:uid="{00000000-0005-0000-0000-00007B130000}"/>
    <cellStyle name="_与信審査支援システム再見積依頼書一式_2" xfId="5054" xr:uid="{00000000-0005-0000-0000-00007C130000}"/>
    <cellStyle name="_与信審査支援システム再見積依頼書一式_KO_20070323_disk2t" xfId="5055" xr:uid="{00000000-0005-0000-0000-00007D130000}"/>
    <cellStyle name="_与信審査支援システム再見積依頼書一式_KO_20070516" xfId="5056" xr:uid="{00000000-0005-0000-0000-00007E130000}"/>
    <cellStyle name="_与信審査支援システム発注依頼書一式_4" xfId="5057" xr:uid="{00000000-0005-0000-0000-00007F130000}"/>
    <cellStyle name="&lt;H&gt;罫無" xfId="5058" xr:uid="{00000000-0005-0000-0000-000080130000}"/>
    <cellStyle name="&lt;H&gt;罫有" xfId="5059" xr:uid="{00000000-0005-0000-0000-000081130000}"/>
    <cellStyle name="•W?_Ach-0020.XLS" xfId="5060" xr:uid="{00000000-0005-0000-0000-000082130000}"/>
    <cellStyle name="•W€_?–?”•\" xfId="5061" xr:uid="{00000000-0005-0000-0000-000083130000}"/>
    <cellStyle name="\|IEEnCp[N" xfId="5062" xr:uid="{00000000-0005-0000-0000-000084130000}"/>
    <cellStyle name="\¦ÏÝÌnCp[N" xfId="5063" xr:uid="{00000000-0005-0000-0000-000085130000}"/>
    <cellStyle name="nCp[N" xfId="5064" xr:uid="{00000000-0005-0000-0000-000086130000}"/>
    <cellStyle name="W_il®j" xfId="5065" xr:uid="{00000000-0005-0000-0000-000087130000}"/>
    <cellStyle name="Wdl" xfId="5066" xr:uid="{00000000-0005-0000-0000-000088130000}"/>
    <cellStyle name="0" xfId="5067" xr:uid="{00000000-0005-0000-0000-000089130000}"/>
    <cellStyle name="0 2" xfId="5068" xr:uid="{00000000-0005-0000-0000-00008A130000}"/>
    <cellStyle name="0 3" xfId="5069" xr:uid="{00000000-0005-0000-0000-00008B130000}"/>
    <cellStyle name="0%" xfId="5070" xr:uid="{00000000-0005-0000-0000-00008C130000}"/>
    <cellStyle name="0,0_x000d__x000a_NA_x000d__x000a_" xfId="2" xr:uid="{00000000-0005-0000-0000-00008D130000}"/>
    <cellStyle name="0,0_x000d__x000a_NA_x000d__x000a_ 2" xfId="5071" xr:uid="{00000000-0005-0000-0000-00008E130000}"/>
    <cellStyle name="0,0_x000d__x000a_NA_x000d__x000a_ 2 2" xfId="5072" xr:uid="{00000000-0005-0000-0000-00008F130000}"/>
    <cellStyle name="0,0_x000d__x000a_NA_x000d__x000a_ 3" xfId="5073" xr:uid="{00000000-0005-0000-0000-000090130000}"/>
    <cellStyle name="0,0_x000d__x000a_NA_x000d__x000a_ 4" xfId="5074" xr:uid="{00000000-0005-0000-0000-000091130000}"/>
    <cellStyle name="0.0" xfId="5075" xr:uid="{00000000-0005-0000-0000-000092130000}"/>
    <cellStyle name="0.0%" xfId="5076" xr:uid="{00000000-0005-0000-0000-000093130000}"/>
    <cellStyle name="0.00%" xfId="5077" xr:uid="{00000000-0005-0000-0000-000094130000}"/>
    <cellStyle name="00" xfId="5078" xr:uid="{00000000-0005-0000-0000-000095130000}"/>
    <cellStyle name="0000" xfId="3" xr:uid="{00000000-0005-0000-0000-000096130000}"/>
    <cellStyle name="１" xfId="5079" xr:uid="{00000000-0005-0000-0000-000097130000}"/>
    <cellStyle name="１_PJ管理フォームテンプレート" xfId="5080" xr:uid="{00000000-0005-0000-0000-000098130000}"/>
    <cellStyle name="10p,表組,m" xfId="5081" xr:uid="{00000000-0005-0000-0000-000099130000}"/>
    <cellStyle name="10p,表組,m 2" xfId="5082" xr:uid="{00000000-0005-0000-0000-00009A130000}"/>
    <cellStyle name="10p,表組,m 2 2" xfId="5083" xr:uid="{00000000-0005-0000-0000-00009B130000}"/>
    <cellStyle name="10p,表組,m 2 3" xfId="5084" xr:uid="{00000000-0005-0000-0000-00009C130000}"/>
    <cellStyle name="10p,表組,m 2 4" xfId="5085" xr:uid="{00000000-0005-0000-0000-00009D130000}"/>
    <cellStyle name="10p,表組,m 3" xfId="5086" xr:uid="{00000000-0005-0000-0000-00009E130000}"/>
    <cellStyle name="10p,表組,m 4" xfId="5087" xr:uid="{00000000-0005-0000-0000-00009F130000}"/>
    <cellStyle name="10p,表組,m 5" xfId="5088" xr:uid="{00000000-0005-0000-0000-0000A0130000}"/>
    <cellStyle name="11.5" xfId="5089" xr:uid="{00000000-0005-0000-0000-0000A1130000}"/>
    <cellStyle name="11.5 2" xfId="5090" xr:uid="{00000000-0005-0000-0000-0000A2130000}"/>
    <cellStyle name="11.5 2 2" xfId="5091" xr:uid="{00000000-0005-0000-0000-0000A3130000}"/>
    <cellStyle name="11.5 2 3" xfId="5092" xr:uid="{00000000-0005-0000-0000-0000A4130000}"/>
    <cellStyle name="11.5 2 4" xfId="5093" xr:uid="{00000000-0005-0000-0000-0000A5130000}"/>
    <cellStyle name="11.5 3" xfId="5094" xr:uid="{00000000-0005-0000-0000-0000A6130000}"/>
    <cellStyle name="11.5 4" xfId="5095" xr:uid="{00000000-0005-0000-0000-0000A7130000}"/>
    <cellStyle name="11.5 5" xfId="5096" xr:uid="{00000000-0005-0000-0000-0000A8130000}"/>
    <cellStyle name="２" xfId="5097" xr:uid="{00000000-0005-0000-0000-0000A9130000}"/>
    <cellStyle name="２ 2" xfId="5098" xr:uid="{00000000-0005-0000-0000-0000AA130000}"/>
    <cellStyle name="２ 2 2" xfId="5099" xr:uid="{00000000-0005-0000-0000-0000AB130000}"/>
    <cellStyle name="２ 2 2 2" xfId="5100" xr:uid="{00000000-0005-0000-0000-0000AC130000}"/>
    <cellStyle name="２ 2 2 2 2" xfId="5101" xr:uid="{00000000-0005-0000-0000-0000AD130000}"/>
    <cellStyle name="２ 2 2 3" xfId="5102" xr:uid="{00000000-0005-0000-0000-0000AE130000}"/>
    <cellStyle name="２ 2 2 3 2" xfId="5103" xr:uid="{00000000-0005-0000-0000-0000AF130000}"/>
    <cellStyle name="２ 2 3" xfId="5104" xr:uid="{00000000-0005-0000-0000-0000B0130000}"/>
    <cellStyle name="２ 2 3 2" xfId="5105" xr:uid="{00000000-0005-0000-0000-0000B1130000}"/>
    <cellStyle name="２ 2 4" xfId="5106" xr:uid="{00000000-0005-0000-0000-0000B2130000}"/>
    <cellStyle name="２ 2 4 2" xfId="5107" xr:uid="{00000000-0005-0000-0000-0000B3130000}"/>
    <cellStyle name="２ 3" xfId="5108" xr:uid="{00000000-0005-0000-0000-0000B4130000}"/>
    <cellStyle name="２ 3 2" xfId="5109" xr:uid="{00000000-0005-0000-0000-0000B5130000}"/>
    <cellStyle name="２ 4" xfId="5110" xr:uid="{00000000-0005-0000-0000-0000B6130000}"/>
    <cellStyle name="２ 4 2" xfId="5111" xr:uid="{00000000-0005-0000-0000-0000B7130000}"/>
    <cellStyle name="20% - Accent1" xfId="5112" xr:uid="{00000000-0005-0000-0000-0000B8130000}"/>
    <cellStyle name="20% - Accent2" xfId="5113" xr:uid="{00000000-0005-0000-0000-0000B9130000}"/>
    <cellStyle name="20% - Accent3" xfId="5114" xr:uid="{00000000-0005-0000-0000-0000BA130000}"/>
    <cellStyle name="20% - Accent4" xfId="5115" xr:uid="{00000000-0005-0000-0000-0000BB130000}"/>
    <cellStyle name="20% - Accent5" xfId="5116" xr:uid="{00000000-0005-0000-0000-0000BC130000}"/>
    <cellStyle name="20% - Accent6" xfId="5117" xr:uid="{00000000-0005-0000-0000-0000BD130000}"/>
    <cellStyle name="20% - アクセント 1 2" xfId="5118" xr:uid="{00000000-0005-0000-0000-0000BE130000}"/>
    <cellStyle name="20% - アクセント 1 2 2" xfId="5119" xr:uid="{00000000-0005-0000-0000-0000BF130000}"/>
    <cellStyle name="20% - アクセント 1 2 2 2" xfId="5120" xr:uid="{00000000-0005-0000-0000-0000C0130000}"/>
    <cellStyle name="20% - アクセント 1 2 3" xfId="5121" xr:uid="{00000000-0005-0000-0000-0000C1130000}"/>
    <cellStyle name="20% - アクセント 1 3" xfId="5122" xr:uid="{00000000-0005-0000-0000-0000C2130000}"/>
    <cellStyle name="20% - アクセント 1 3 2" xfId="5123" xr:uid="{00000000-0005-0000-0000-0000C3130000}"/>
    <cellStyle name="20% - アクセント 1 4" xfId="5124" xr:uid="{00000000-0005-0000-0000-0000C4130000}"/>
    <cellStyle name="20% - アクセント 1 5" xfId="5125" xr:uid="{00000000-0005-0000-0000-0000C5130000}"/>
    <cellStyle name="20% - アクセント 2 2" xfId="5126" xr:uid="{00000000-0005-0000-0000-0000C6130000}"/>
    <cellStyle name="20% - アクセント 2 2 2" xfId="5127" xr:uid="{00000000-0005-0000-0000-0000C7130000}"/>
    <cellStyle name="20% - アクセント 2 2 2 2" xfId="5128" xr:uid="{00000000-0005-0000-0000-0000C8130000}"/>
    <cellStyle name="20% - アクセント 2 2 3" xfId="5129" xr:uid="{00000000-0005-0000-0000-0000C9130000}"/>
    <cellStyle name="20% - アクセント 2 3" xfId="5130" xr:uid="{00000000-0005-0000-0000-0000CA130000}"/>
    <cellStyle name="20% - アクセント 2 3 2" xfId="5131" xr:uid="{00000000-0005-0000-0000-0000CB130000}"/>
    <cellStyle name="20% - アクセント 2 4" xfId="5132" xr:uid="{00000000-0005-0000-0000-0000CC130000}"/>
    <cellStyle name="20% - アクセント 2 5" xfId="5133" xr:uid="{00000000-0005-0000-0000-0000CD130000}"/>
    <cellStyle name="20% - アクセント 3 2" xfId="5134" xr:uid="{00000000-0005-0000-0000-0000CE130000}"/>
    <cellStyle name="20% - アクセント 3 2 2" xfId="5135" xr:uid="{00000000-0005-0000-0000-0000CF130000}"/>
    <cellStyle name="20% - アクセント 3 2 2 2" xfId="5136" xr:uid="{00000000-0005-0000-0000-0000D0130000}"/>
    <cellStyle name="20% - アクセント 3 2 3" xfId="5137" xr:uid="{00000000-0005-0000-0000-0000D1130000}"/>
    <cellStyle name="20% - アクセント 3 3" xfId="5138" xr:uid="{00000000-0005-0000-0000-0000D2130000}"/>
    <cellStyle name="20% - アクセント 3 3 2" xfId="5139" xr:uid="{00000000-0005-0000-0000-0000D3130000}"/>
    <cellStyle name="20% - アクセント 3 4" xfId="5140" xr:uid="{00000000-0005-0000-0000-0000D4130000}"/>
    <cellStyle name="20% - アクセント 3 5" xfId="5141" xr:uid="{00000000-0005-0000-0000-0000D5130000}"/>
    <cellStyle name="20% - アクセント 4 2" xfId="5142" xr:uid="{00000000-0005-0000-0000-0000D6130000}"/>
    <cellStyle name="20% - アクセント 4 2 2" xfId="5143" xr:uid="{00000000-0005-0000-0000-0000D7130000}"/>
    <cellStyle name="20% - アクセント 4 2 2 2" xfId="5144" xr:uid="{00000000-0005-0000-0000-0000D8130000}"/>
    <cellStyle name="20% - アクセント 4 2 3" xfId="5145" xr:uid="{00000000-0005-0000-0000-0000D9130000}"/>
    <cellStyle name="20% - アクセント 4 3" xfId="5146" xr:uid="{00000000-0005-0000-0000-0000DA130000}"/>
    <cellStyle name="20% - アクセント 4 3 2" xfId="5147" xr:uid="{00000000-0005-0000-0000-0000DB130000}"/>
    <cellStyle name="20% - アクセント 4 4" xfId="5148" xr:uid="{00000000-0005-0000-0000-0000DC130000}"/>
    <cellStyle name="20% - アクセント 4 5" xfId="5149" xr:uid="{00000000-0005-0000-0000-0000DD130000}"/>
    <cellStyle name="20% - アクセント 5 2" xfId="5150" xr:uid="{00000000-0005-0000-0000-0000DE130000}"/>
    <cellStyle name="20% - アクセント 5 2 2" xfId="5151" xr:uid="{00000000-0005-0000-0000-0000DF130000}"/>
    <cellStyle name="20% - アクセント 5 2 2 2" xfId="5152" xr:uid="{00000000-0005-0000-0000-0000E0130000}"/>
    <cellStyle name="20% - アクセント 5 2 3" xfId="5153" xr:uid="{00000000-0005-0000-0000-0000E1130000}"/>
    <cellStyle name="20% - アクセント 5 3" xfId="5154" xr:uid="{00000000-0005-0000-0000-0000E2130000}"/>
    <cellStyle name="20% - アクセント 5 3 2" xfId="5155" xr:uid="{00000000-0005-0000-0000-0000E3130000}"/>
    <cellStyle name="20% - アクセント 5 4" xfId="5156" xr:uid="{00000000-0005-0000-0000-0000E4130000}"/>
    <cellStyle name="20% - アクセント 5 5" xfId="5157" xr:uid="{00000000-0005-0000-0000-0000E5130000}"/>
    <cellStyle name="20% - アクセント 6 2" xfId="5158" xr:uid="{00000000-0005-0000-0000-0000E6130000}"/>
    <cellStyle name="20% - アクセント 6 2 2" xfId="5159" xr:uid="{00000000-0005-0000-0000-0000E7130000}"/>
    <cellStyle name="20% - アクセント 6 2 2 2" xfId="5160" xr:uid="{00000000-0005-0000-0000-0000E8130000}"/>
    <cellStyle name="20% - アクセント 6 2 3" xfId="5161" xr:uid="{00000000-0005-0000-0000-0000E9130000}"/>
    <cellStyle name="20% - アクセント 6 3" xfId="5162" xr:uid="{00000000-0005-0000-0000-0000EA130000}"/>
    <cellStyle name="20% - アクセント 6 3 2" xfId="5163" xr:uid="{00000000-0005-0000-0000-0000EB130000}"/>
    <cellStyle name="20% - アクセント 6 4" xfId="5164" xr:uid="{00000000-0005-0000-0000-0000EC130000}"/>
    <cellStyle name="20% - アクセント 6 5" xfId="5165" xr:uid="{00000000-0005-0000-0000-0000ED130000}"/>
    <cellStyle name="24" xfId="5166" xr:uid="{00000000-0005-0000-0000-0000EE130000}"/>
    <cellStyle name="40% - Accent1" xfId="5167" xr:uid="{00000000-0005-0000-0000-0000EF130000}"/>
    <cellStyle name="40% - Accent2" xfId="5168" xr:uid="{00000000-0005-0000-0000-0000F0130000}"/>
    <cellStyle name="40% - Accent3" xfId="5169" xr:uid="{00000000-0005-0000-0000-0000F1130000}"/>
    <cellStyle name="40% - Accent4" xfId="5170" xr:uid="{00000000-0005-0000-0000-0000F2130000}"/>
    <cellStyle name="40% - Accent5" xfId="5171" xr:uid="{00000000-0005-0000-0000-0000F3130000}"/>
    <cellStyle name="40% - Accent6" xfId="5172" xr:uid="{00000000-0005-0000-0000-0000F4130000}"/>
    <cellStyle name="40% - アクセント 1 2" xfId="5173" xr:uid="{00000000-0005-0000-0000-0000F5130000}"/>
    <cellStyle name="40% - アクセント 1 2 2" xfId="5174" xr:uid="{00000000-0005-0000-0000-0000F6130000}"/>
    <cellStyle name="40% - アクセント 1 2 2 2" xfId="5175" xr:uid="{00000000-0005-0000-0000-0000F7130000}"/>
    <cellStyle name="40% - アクセント 1 2 3" xfId="5176" xr:uid="{00000000-0005-0000-0000-0000F8130000}"/>
    <cellStyle name="40% - アクセント 1 3" xfId="5177" xr:uid="{00000000-0005-0000-0000-0000F9130000}"/>
    <cellStyle name="40% - アクセント 1 3 2" xfId="5178" xr:uid="{00000000-0005-0000-0000-0000FA130000}"/>
    <cellStyle name="40% - アクセント 1 4" xfId="5179" xr:uid="{00000000-0005-0000-0000-0000FB130000}"/>
    <cellStyle name="40% - アクセント 1 5" xfId="5180" xr:uid="{00000000-0005-0000-0000-0000FC130000}"/>
    <cellStyle name="40% - アクセント 2 2" xfId="5181" xr:uid="{00000000-0005-0000-0000-0000FD130000}"/>
    <cellStyle name="40% - アクセント 2 2 2" xfId="5182" xr:uid="{00000000-0005-0000-0000-0000FE130000}"/>
    <cellStyle name="40% - アクセント 2 2 2 2" xfId="5183" xr:uid="{00000000-0005-0000-0000-0000FF130000}"/>
    <cellStyle name="40% - アクセント 2 2 3" xfId="5184" xr:uid="{00000000-0005-0000-0000-000000140000}"/>
    <cellStyle name="40% - アクセント 2 3" xfId="5185" xr:uid="{00000000-0005-0000-0000-000001140000}"/>
    <cellStyle name="40% - アクセント 2 3 2" xfId="5186" xr:uid="{00000000-0005-0000-0000-000002140000}"/>
    <cellStyle name="40% - アクセント 2 4" xfId="5187" xr:uid="{00000000-0005-0000-0000-000003140000}"/>
    <cellStyle name="40% - アクセント 2 5" xfId="5188" xr:uid="{00000000-0005-0000-0000-000004140000}"/>
    <cellStyle name="40% - アクセント 3 2" xfId="5189" xr:uid="{00000000-0005-0000-0000-000005140000}"/>
    <cellStyle name="40% - アクセント 3 2 2" xfId="5190" xr:uid="{00000000-0005-0000-0000-000006140000}"/>
    <cellStyle name="40% - アクセント 3 2 2 2" xfId="5191" xr:uid="{00000000-0005-0000-0000-000007140000}"/>
    <cellStyle name="40% - アクセント 3 2 3" xfId="5192" xr:uid="{00000000-0005-0000-0000-000008140000}"/>
    <cellStyle name="40% - アクセント 3 3" xfId="5193" xr:uid="{00000000-0005-0000-0000-000009140000}"/>
    <cellStyle name="40% - アクセント 3 3 2" xfId="5194" xr:uid="{00000000-0005-0000-0000-00000A140000}"/>
    <cellStyle name="40% - アクセント 3 4" xfId="5195" xr:uid="{00000000-0005-0000-0000-00000B140000}"/>
    <cellStyle name="40% - アクセント 3 5" xfId="5196" xr:uid="{00000000-0005-0000-0000-00000C140000}"/>
    <cellStyle name="40% - アクセント 4 2" xfId="5197" xr:uid="{00000000-0005-0000-0000-00000D140000}"/>
    <cellStyle name="40% - アクセント 4 2 2" xfId="5198" xr:uid="{00000000-0005-0000-0000-00000E140000}"/>
    <cellStyle name="40% - アクセント 4 2 2 2" xfId="5199" xr:uid="{00000000-0005-0000-0000-00000F140000}"/>
    <cellStyle name="40% - アクセント 4 2 3" xfId="5200" xr:uid="{00000000-0005-0000-0000-000010140000}"/>
    <cellStyle name="40% - アクセント 4 3" xfId="5201" xr:uid="{00000000-0005-0000-0000-000011140000}"/>
    <cellStyle name="40% - アクセント 4 3 2" xfId="5202" xr:uid="{00000000-0005-0000-0000-000012140000}"/>
    <cellStyle name="40% - アクセント 4 4" xfId="5203" xr:uid="{00000000-0005-0000-0000-000013140000}"/>
    <cellStyle name="40% - アクセント 4 5" xfId="5204" xr:uid="{00000000-0005-0000-0000-000014140000}"/>
    <cellStyle name="40% - アクセント 5 2" xfId="5205" xr:uid="{00000000-0005-0000-0000-000015140000}"/>
    <cellStyle name="40% - アクセント 5 2 2" xfId="5206" xr:uid="{00000000-0005-0000-0000-000016140000}"/>
    <cellStyle name="40% - アクセント 5 2 2 2" xfId="5207" xr:uid="{00000000-0005-0000-0000-000017140000}"/>
    <cellStyle name="40% - アクセント 5 2 3" xfId="5208" xr:uid="{00000000-0005-0000-0000-000018140000}"/>
    <cellStyle name="40% - アクセント 5 3" xfId="5209" xr:uid="{00000000-0005-0000-0000-000019140000}"/>
    <cellStyle name="40% - アクセント 5 3 2" xfId="5210" xr:uid="{00000000-0005-0000-0000-00001A140000}"/>
    <cellStyle name="40% - アクセント 5 4" xfId="5211" xr:uid="{00000000-0005-0000-0000-00001B140000}"/>
    <cellStyle name="40% - アクセント 5 5" xfId="5212" xr:uid="{00000000-0005-0000-0000-00001C140000}"/>
    <cellStyle name="40% - アクセント 6 2" xfId="5213" xr:uid="{00000000-0005-0000-0000-00001D140000}"/>
    <cellStyle name="40% - アクセント 6 2 2" xfId="5214" xr:uid="{00000000-0005-0000-0000-00001E140000}"/>
    <cellStyle name="40% - アクセント 6 2 2 2" xfId="5215" xr:uid="{00000000-0005-0000-0000-00001F140000}"/>
    <cellStyle name="40% - アクセント 6 2 3" xfId="5216" xr:uid="{00000000-0005-0000-0000-000020140000}"/>
    <cellStyle name="40% - アクセント 6 3" xfId="5217" xr:uid="{00000000-0005-0000-0000-000021140000}"/>
    <cellStyle name="40% - アクセント 6 3 2" xfId="5218" xr:uid="{00000000-0005-0000-0000-000022140000}"/>
    <cellStyle name="40% - アクセント 6 4" xfId="5219" xr:uid="{00000000-0005-0000-0000-000023140000}"/>
    <cellStyle name="40% - アクセント 6 5" xfId="5220" xr:uid="{00000000-0005-0000-0000-000024140000}"/>
    <cellStyle name="60% - Accent1" xfId="5221" xr:uid="{00000000-0005-0000-0000-000025140000}"/>
    <cellStyle name="60% - Accent2" xfId="5222" xr:uid="{00000000-0005-0000-0000-000026140000}"/>
    <cellStyle name="60% - Accent3" xfId="5223" xr:uid="{00000000-0005-0000-0000-000027140000}"/>
    <cellStyle name="60% - Accent4" xfId="5224" xr:uid="{00000000-0005-0000-0000-000028140000}"/>
    <cellStyle name="60% - Accent5" xfId="5225" xr:uid="{00000000-0005-0000-0000-000029140000}"/>
    <cellStyle name="60% - Accent6" xfId="5226" xr:uid="{00000000-0005-0000-0000-00002A140000}"/>
    <cellStyle name="60% - アクセント 1 2" xfId="5227" xr:uid="{00000000-0005-0000-0000-00002B140000}"/>
    <cellStyle name="60% - アクセント 1 2 2" xfId="5228" xr:uid="{00000000-0005-0000-0000-00002C140000}"/>
    <cellStyle name="60% - アクセント 1 3" xfId="5229" xr:uid="{00000000-0005-0000-0000-00002D140000}"/>
    <cellStyle name="60% - アクセント 1 4" xfId="5230" xr:uid="{00000000-0005-0000-0000-00002E140000}"/>
    <cellStyle name="60% - アクセント 2 2" xfId="5231" xr:uid="{00000000-0005-0000-0000-00002F140000}"/>
    <cellStyle name="60% - アクセント 2 2 2" xfId="5232" xr:uid="{00000000-0005-0000-0000-000030140000}"/>
    <cellStyle name="60% - アクセント 2 3" xfId="5233" xr:uid="{00000000-0005-0000-0000-000031140000}"/>
    <cellStyle name="60% - アクセント 2 4" xfId="5234" xr:uid="{00000000-0005-0000-0000-000032140000}"/>
    <cellStyle name="60% - アクセント 3 2" xfId="5235" xr:uid="{00000000-0005-0000-0000-000033140000}"/>
    <cellStyle name="60% - アクセント 3 2 2" xfId="5236" xr:uid="{00000000-0005-0000-0000-000034140000}"/>
    <cellStyle name="60% - アクセント 3 3" xfId="5237" xr:uid="{00000000-0005-0000-0000-000035140000}"/>
    <cellStyle name="60% - アクセント 3 4" xfId="5238" xr:uid="{00000000-0005-0000-0000-000036140000}"/>
    <cellStyle name="60% - アクセント 4 2" xfId="5239" xr:uid="{00000000-0005-0000-0000-000037140000}"/>
    <cellStyle name="60% - アクセント 4 2 2" xfId="5240" xr:uid="{00000000-0005-0000-0000-000038140000}"/>
    <cellStyle name="60% - アクセント 4 3" xfId="5241" xr:uid="{00000000-0005-0000-0000-000039140000}"/>
    <cellStyle name="60% - アクセント 4 4" xfId="5242" xr:uid="{00000000-0005-0000-0000-00003A140000}"/>
    <cellStyle name="60% - アクセント 5 2" xfId="5243" xr:uid="{00000000-0005-0000-0000-00003B140000}"/>
    <cellStyle name="60% - アクセント 5 2 2" xfId="5244" xr:uid="{00000000-0005-0000-0000-00003C140000}"/>
    <cellStyle name="60% - アクセント 5 3" xfId="5245" xr:uid="{00000000-0005-0000-0000-00003D140000}"/>
    <cellStyle name="60% - アクセント 5 4" xfId="5246" xr:uid="{00000000-0005-0000-0000-00003E140000}"/>
    <cellStyle name="60% - アクセント 6 2" xfId="5247" xr:uid="{00000000-0005-0000-0000-00003F140000}"/>
    <cellStyle name="60% - アクセント 6 2 2" xfId="5248" xr:uid="{00000000-0005-0000-0000-000040140000}"/>
    <cellStyle name="60% - アクセント 6 3" xfId="5249" xr:uid="{00000000-0005-0000-0000-000041140000}"/>
    <cellStyle name="60% - アクセント 6 4" xfId="5250" xr:uid="{00000000-0005-0000-0000-000042140000}"/>
    <cellStyle name="7" xfId="4" xr:uid="{00000000-0005-0000-0000-000043140000}"/>
    <cellStyle name="a" xfId="5251" xr:uid="{00000000-0005-0000-0000-000044140000}"/>
    <cellStyle name="a 2" xfId="5252" xr:uid="{00000000-0005-0000-0000-000045140000}"/>
    <cellStyle name="a 3" xfId="5253" xr:uid="{00000000-0005-0000-0000-000046140000}"/>
    <cellStyle name="a 4" xfId="5254" xr:uid="{00000000-0005-0000-0000-000047140000}"/>
    <cellStyle name="Accent1" xfId="5255" xr:uid="{00000000-0005-0000-0000-000048140000}"/>
    <cellStyle name="Accent2" xfId="5256" xr:uid="{00000000-0005-0000-0000-000049140000}"/>
    <cellStyle name="Accent3" xfId="5257" xr:uid="{00000000-0005-0000-0000-00004A140000}"/>
    <cellStyle name="Accent4" xfId="5258" xr:uid="{00000000-0005-0000-0000-00004B140000}"/>
    <cellStyle name="Accent5" xfId="5259" xr:uid="{00000000-0005-0000-0000-00004C140000}"/>
    <cellStyle name="Accent6" xfId="5260" xr:uid="{00000000-0005-0000-0000-00004D140000}"/>
    <cellStyle name="After Cutover" xfId="5261" xr:uid="{00000000-0005-0000-0000-00004E140000}"/>
    <cellStyle name="After Cutover 2" xfId="5262" xr:uid="{00000000-0005-0000-0000-00004F140000}"/>
    <cellStyle name="ando" xfId="5263" xr:uid="{00000000-0005-0000-0000-000050140000}"/>
    <cellStyle name="ANS標準" xfId="5264" xr:uid="{00000000-0005-0000-0000-000051140000}"/>
    <cellStyle name="ANS標準 2" xfId="5265" xr:uid="{00000000-0005-0000-0000-000052140000}"/>
    <cellStyle name="ANS標準 3" xfId="5266" xr:uid="{00000000-0005-0000-0000-000053140000}"/>
    <cellStyle name="ANS標準 4" xfId="5267" xr:uid="{00000000-0005-0000-0000-000054140000}"/>
    <cellStyle name="args.style" xfId="5268" xr:uid="{00000000-0005-0000-0000-000055140000}"/>
    <cellStyle name="Bad" xfId="5269" xr:uid="{00000000-0005-0000-0000-000056140000}"/>
    <cellStyle name="ＢＢＢ" xfId="5270" xr:uid="{00000000-0005-0000-0000-000057140000}"/>
    <cellStyle name="ＢＢＢ 2" xfId="5271" xr:uid="{00000000-0005-0000-0000-000058140000}"/>
    <cellStyle name="ＢＢＢ 2 2" xfId="5272" xr:uid="{00000000-0005-0000-0000-000059140000}"/>
    <cellStyle name="ＢＢＢ 2 2 2" xfId="5273" xr:uid="{00000000-0005-0000-0000-00005A140000}"/>
    <cellStyle name="ＢＢＢ 2 2 3" xfId="5274" xr:uid="{00000000-0005-0000-0000-00005B140000}"/>
    <cellStyle name="ＢＢＢ 2 3" xfId="5275" xr:uid="{00000000-0005-0000-0000-00005C140000}"/>
    <cellStyle name="ＢＢＢ 2 4" xfId="5276" xr:uid="{00000000-0005-0000-0000-00005D140000}"/>
    <cellStyle name="ＢＢＢ 3" xfId="5277" xr:uid="{00000000-0005-0000-0000-00005E140000}"/>
    <cellStyle name="ＢＢＢ 4" xfId="5278" xr:uid="{00000000-0005-0000-0000-00005F140000}"/>
    <cellStyle name="Body" xfId="5" xr:uid="{00000000-0005-0000-0000-000060140000}"/>
    <cellStyle name="Border" xfId="5279" xr:uid="{00000000-0005-0000-0000-000061140000}"/>
    <cellStyle name="Border 2" xfId="5280" xr:uid="{00000000-0005-0000-0000-000062140000}"/>
    <cellStyle name="Border 3" xfId="5281" xr:uid="{00000000-0005-0000-0000-000063140000}"/>
    <cellStyle name="Border 4" xfId="5282" xr:uid="{00000000-0005-0000-0000-000064140000}"/>
    <cellStyle name="Border 5" xfId="5283" xr:uid="{00000000-0005-0000-0000-000065140000}"/>
    <cellStyle name="Border 6" xfId="5284" xr:uid="{00000000-0005-0000-0000-000066140000}"/>
    <cellStyle name="Calc Currency (0)" xfId="6" xr:uid="{00000000-0005-0000-0000-000067140000}"/>
    <cellStyle name="Calc Currency (2)" xfId="5285" xr:uid="{00000000-0005-0000-0000-000068140000}"/>
    <cellStyle name="Calc Currency (2) 2" xfId="5286" xr:uid="{00000000-0005-0000-0000-000069140000}"/>
    <cellStyle name="Calc Percent (0)" xfId="5287" xr:uid="{00000000-0005-0000-0000-00006A140000}"/>
    <cellStyle name="Calc Percent (0) 2" xfId="5288" xr:uid="{00000000-0005-0000-0000-00006B140000}"/>
    <cellStyle name="Calc Percent (1)" xfId="5289" xr:uid="{00000000-0005-0000-0000-00006C140000}"/>
    <cellStyle name="Calc Percent (1) 2" xfId="5290" xr:uid="{00000000-0005-0000-0000-00006D140000}"/>
    <cellStyle name="Calc Percent (2)" xfId="5291" xr:uid="{00000000-0005-0000-0000-00006E140000}"/>
    <cellStyle name="Calc Percent (2) 2" xfId="5292" xr:uid="{00000000-0005-0000-0000-00006F140000}"/>
    <cellStyle name="Calc Units (0)" xfId="5293" xr:uid="{00000000-0005-0000-0000-000070140000}"/>
    <cellStyle name="Calc Units (0) 2" xfId="5294" xr:uid="{00000000-0005-0000-0000-000071140000}"/>
    <cellStyle name="Calc Units (1)" xfId="5295" xr:uid="{00000000-0005-0000-0000-000072140000}"/>
    <cellStyle name="Calc Units (1) 2" xfId="5296" xr:uid="{00000000-0005-0000-0000-000073140000}"/>
    <cellStyle name="Calc Units (2)" xfId="5297" xr:uid="{00000000-0005-0000-0000-000074140000}"/>
    <cellStyle name="Calc Units (2) 2" xfId="5298" xr:uid="{00000000-0005-0000-0000-000075140000}"/>
    <cellStyle name="Calculation" xfId="5299" xr:uid="{00000000-0005-0000-0000-000076140000}"/>
    <cellStyle name="Calculation 2" xfId="5300" xr:uid="{00000000-0005-0000-0000-000077140000}"/>
    <cellStyle name="Calculation 3" xfId="5301" xr:uid="{00000000-0005-0000-0000-000078140000}"/>
    <cellStyle name="Calculation 4" xfId="5302" xr:uid="{00000000-0005-0000-0000-000079140000}"/>
    <cellStyle name="Calculation 5" xfId="5303" xr:uid="{00000000-0005-0000-0000-00007A140000}"/>
    <cellStyle name="CALENDAR" xfId="5304" xr:uid="{00000000-0005-0000-0000-00007B140000}"/>
    <cellStyle name="Check Cell" xfId="5305" xr:uid="{00000000-0005-0000-0000-00007C140000}"/>
    <cellStyle name="Col Heads" xfId="5306" xr:uid="{00000000-0005-0000-0000-00007D140000}"/>
    <cellStyle name="Comma [0]" xfId="5307" xr:uid="{00000000-0005-0000-0000-00007E140000}"/>
    <cellStyle name="Comma [00]" xfId="5308" xr:uid="{00000000-0005-0000-0000-00007F140000}"/>
    <cellStyle name="Comma [00] 2" xfId="5309" xr:uid="{00000000-0005-0000-0000-000080140000}"/>
    <cellStyle name="Comma,0" xfId="5310" xr:uid="{00000000-0005-0000-0000-000081140000}"/>
    <cellStyle name="Comma,1" xfId="5311" xr:uid="{00000000-0005-0000-0000-000082140000}"/>
    <cellStyle name="Comma,2" xfId="5312" xr:uid="{00000000-0005-0000-0000-000083140000}"/>
    <cellStyle name="Comma_#6 Temps &amp; Contractors" xfId="5313" xr:uid="{00000000-0005-0000-0000-000084140000}"/>
    <cellStyle name="Comma0" xfId="5314" xr:uid="{00000000-0005-0000-0000-000085140000}"/>
    <cellStyle name="Copied" xfId="5315" xr:uid="{00000000-0005-0000-0000-000086140000}"/>
    <cellStyle name="Currency [0]" xfId="5316" xr:uid="{00000000-0005-0000-0000-000087140000}"/>
    <cellStyle name="Currency [00]" xfId="5317" xr:uid="{00000000-0005-0000-0000-000088140000}"/>
    <cellStyle name="Currency [00] 2" xfId="5318" xr:uid="{00000000-0005-0000-0000-000089140000}"/>
    <cellStyle name="Currency,0" xfId="5319" xr:uid="{00000000-0005-0000-0000-00008A140000}"/>
    <cellStyle name="Currency,2" xfId="5320" xr:uid="{00000000-0005-0000-0000-00008B140000}"/>
    <cellStyle name="Currency_#6 Temps &amp; Contractors" xfId="5321" xr:uid="{00000000-0005-0000-0000-00008C140000}"/>
    <cellStyle name="Currency0" xfId="5322" xr:uid="{00000000-0005-0000-0000-00008D140000}"/>
    <cellStyle name="Current Live" xfId="5323" xr:uid="{00000000-0005-0000-0000-00008E140000}"/>
    <cellStyle name="Current Live 2" xfId="5324" xr:uid="{00000000-0005-0000-0000-00008F140000}"/>
    <cellStyle name="Date" xfId="5325" xr:uid="{00000000-0005-0000-0000-000090140000}"/>
    <cellStyle name="Date Short" xfId="5326" xr:uid="{00000000-0005-0000-0000-000091140000}"/>
    <cellStyle name="DDD" xfId="7" xr:uid="{00000000-0005-0000-0000-000092140000}"/>
    <cellStyle name="development" xfId="5327" xr:uid="{00000000-0005-0000-0000-000093140000}"/>
    <cellStyle name="development 2" xfId="5328" xr:uid="{00000000-0005-0000-0000-000094140000}"/>
    <cellStyle name="discount" xfId="5329" xr:uid="{00000000-0005-0000-0000-000095140000}"/>
    <cellStyle name="ENG/GEN" xfId="5330" xr:uid="{00000000-0005-0000-0000-000096140000}"/>
    <cellStyle name="ENG/GEN7pt" xfId="5331" xr:uid="{00000000-0005-0000-0000-000097140000}"/>
    <cellStyle name="ENG/WAKU" xfId="5332" xr:uid="{00000000-0005-0000-0000-000098140000}"/>
    <cellStyle name="ENG/WAKU7pt" xfId="5333" xr:uid="{00000000-0005-0000-0000-000099140000}"/>
    <cellStyle name="ENG/WAKU-AMI" xfId="5334" xr:uid="{00000000-0005-0000-0000-00009A140000}"/>
    <cellStyle name="Enter Currency (0)" xfId="5335" xr:uid="{00000000-0005-0000-0000-00009B140000}"/>
    <cellStyle name="Enter Currency (0) 2" xfId="5336" xr:uid="{00000000-0005-0000-0000-00009C140000}"/>
    <cellStyle name="Enter Currency (2)" xfId="5337" xr:uid="{00000000-0005-0000-0000-00009D140000}"/>
    <cellStyle name="Enter Currency (2) 2" xfId="5338" xr:uid="{00000000-0005-0000-0000-00009E140000}"/>
    <cellStyle name="Enter Units (0)" xfId="5339" xr:uid="{00000000-0005-0000-0000-00009F140000}"/>
    <cellStyle name="Enter Units (0) 2" xfId="5340" xr:uid="{00000000-0005-0000-0000-0000A0140000}"/>
    <cellStyle name="Enter Units (1)" xfId="5341" xr:uid="{00000000-0005-0000-0000-0000A1140000}"/>
    <cellStyle name="Enter Units (1) 2" xfId="5342" xr:uid="{00000000-0005-0000-0000-0000A2140000}"/>
    <cellStyle name="Enter Units (2)" xfId="5343" xr:uid="{00000000-0005-0000-0000-0000A3140000}"/>
    <cellStyle name="Enter Units (2) 2" xfId="5344" xr:uid="{00000000-0005-0000-0000-0000A4140000}"/>
    <cellStyle name="Entered" xfId="5345" xr:uid="{00000000-0005-0000-0000-0000A5140000}"/>
    <cellStyle name="entry" xfId="8" xr:uid="{00000000-0005-0000-0000-0000A6140000}"/>
    <cellStyle name="Explanatory Text" xfId="5346" xr:uid="{00000000-0005-0000-0000-0000A7140000}"/>
    <cellStyle name="Followed Hyperlink" xfId="5347" xr:uid="{00000000-0005-0000-0000-0000A8140000}"/>
    <cellStyle name="Followed Hyperlink 2" xfId="5348" xr:uid="{00000000-0005-0000-0000-0000A9140000}"/>
    <cellStyle name="GBS Files" xfId="5349" xr:uid="{00000000-0005-0000-0000-0000AA140000}"/>
    <cellStyle name="Good" xfId="5350" xr:uid="{00000000-0005-0000-0000-0000AB140000}"/>
    <cellStyle name="Grey" xfId="9" xr:uid="{00000000-0005-0000-0000-0000AC140000}"/>
    <cellStyle name="gs]_x000d__x000a_UNDELETE.DLL=A:\DOS\MSTOOLS.DLL_x000d__x000a_Window=25,17,550,300, , ,2_x000d__x000a_dir1=0,0,640,174,-1,-1,1,0,201,1814,231,B:\*" xfId="5351" xr:uid="{00000000-0005-0000-0000-0000AD140000}"/>
    <cellStyle name="Head 1" xfId="10" xr:uid="{00000000-0005-0000-0000-0000AE140000}"/>
    <cellStyle name="Head 1 2" xfId="5352" xr:uid="{00000000-0005-0000-0000-0000AF140000}"/>
    <cellStyle name="Head 1 3" xfId="5353" xr:uid="{00000000-0005-0000-0000-0000B0140000}"/>
    <cellStyle name="Head 1 4" xfId="5354" xr:uid="{00000000-0005-0000-0000-0000B1140000}"/>
    <cellStyle name="Header1" xfId="11" xr:uid="{00000000-0005-0000-0000-0000B2140000}"/>
    <cellStyle name="Header2" xfId="12" xr:uid="{00000000-0005-0000-0000-0000B3140000}"/>
    <cellStyle name="Header2 2" xfId="5355" xr:uid="{00000000-0005-0000-0000-0000B4140000}"/>
    <cellStyle name="Header2 2 2" xfId="5356" xr:uid="{00000000-0005-0000-0000-0000B5140000}"/>
    <cellStyle name="Header2 2 3" xfId="5357" xr:uid="{00000000-0005-0000-0000-0000B6140000}"/>
    <cellStyle name="Header2 2 4" xfId="5358" xr:uid="{00000000-0005-0000-0000-0000B7140000}"/>
    <cellStyle name="Header2 3" xfId="5359" xr:uid="{00000000-0005-0000-0000-0000B8140000}"/>
    <cellStyle name="Header2 4" xfId="5360" xr:uid="{00000000-0005-0000-0000-0000B9140000}"/>
    <cellStyle name="Header2 5" xfId="5361" xr:uid="{00000000-0005-0000-0000-0000BA140000}"/>
    <cellStyle name="Heading" xfId="5362" xr:uid="{00000000-0005-0000-0000-0000BB140000}"/>
    <cellStyle name="Heading 1" xfId="5363" xr:uid="{00000000-0005-0000-0000-0000BC140000}"/>
    <cellStyle name="Heading 2" xfId="5364" xr:uid="{00000000-0005-0000-0000-0000BD140000}"/>
    <cellStyle name="Heading 3" xfId="5365" xr:uid="{00000000-0005-0000-0000-0000BE140000}"/>
    <cellStyle name="Heading 4" xfId="5366" xr:uid="{00000000-0005-0000-0000-0000BF140000}"/>
    <cellStyle name="HEADINGS" xfId="5367" xr:uid="{00000000-0005-0000-0000-0000C0140000}"/>
    <cellStyle name="HEADINGSTOP" xfId="5368" xr:uid="{00000000-0005-0000-0000-0000C1140000}"/>
    <cellStyle name="Hyperlink" xfId="5369" xr:uid="{00000000-0005-0000-0000-0000C2140000}"/>
    <cellStyle name="Hyperlink 2" xfId="5370" xr:uid="{00000000-0005-0000-0000-0000C3140000}"/>
    <cellStyle name="I" xfId="5371" xr:uid="{00000000-0005-0000-0000-0000C4140000}"/>
    <cellStyle name="IBM(401K)" xfId="13" xr:uid="{00000000-0005-0000-0000-0000C5140000}"/>
    <cellStyle name="Input" xfId="5372" xr:uid="{00000000-0005-0000-0000-0000C6140000}"/>
    <cellStyle name="Input [yellow]" xfId="14" xr:uid="{00000000-0005-0000-0000-0000C7140000}"/>
    <cellStyle name="Input [yellow] 2" xfId="5373" xr:uid="{00000000-0005-0000-0000-0000C8140000}"/>
    <cellStyle name="Input [yellow] 3" xfId="5374" xr:uid="{00000000-0005-0000-0000-0000C9140000}"/>
    <cellStyle name="Input [yellow] 4" xfId="5375" xr:uid="{00000000-0005-0000-0000-0000CA140000}"/>
    <cellStyle name="Input 2" xfId="5376" xr:uid="{00000000-0005-0000-0000-0000CB140000}"/>
    <cellStyle name="Input 3" xfId="5377" xr:uid="{00000000-0005-0000-0000-0000CC140000}"/>
    <cellStyle name="Input 4" xfId="5378" xr:uid="{00000000-0005-0000-0000-0000CD140000}"/>
    <cellStyle name="Input 5" xfId="5379" xr:uid="{00000000-0005-0000-0000-0000CE140000}"/>
    <cellStyle name="Intermediate" xfId="5380" xr:uid="{00000000-0005-0000-0000-0000CF140000}"/>
    <cellStyle name="Introduction" xfId="5381" xr:uid="{00000000-0005-0000-0000-0000D0140000}"/>
    <cellStyle name="ITA" xfId="5382" xr:uid="{00000000-0005-0000-0000-0000D1140000}"/>
    <cellStyle name="ITA 2" xfId="5383" xr:uid="{00000000-0005-0000-0000-0000D2140000}"/>
    <cellStyle name="ITB1" xfId="5384" xr:uid="{00000000-0005-0000-0000-0000D3140000}"/>
    <cellStyle name="ITB1 2" xfId="5385" xr:uid="{00000000-0005-0000-0000-0000D4140000}"/>
    <cellStyle name="ITB22" xfId="5386" xr:uid="{00000000-0005-0000-0000-0000D5140000}"/>
    <cellStyle name="ITB22 2" xfId="5387" xr:uid="{00000000-0005-0000-0000-0000D6140000}"/>
    <cellStyle name="IT計画書 (1)" xfId="5388" xr:uid="{00000000-0005-0000-0000-0000D7140000}"/>
    <cellStyle name="J401K" xfId="15" xr:uid="{00000000-0005-0000-0000-0000D8140000}"/>
    <cellStyle name="JOB(かっこ付)" xfId="5389" xr:uid="{00000000-0005-0000-0000-0000D9140000}"/>
    <cellStyle name="JOB囲" xfId="5390" xr:uid="{00000000-0005-0000-0000-0000DA140000}"/>
    <cellStyle name="JOB囲み" xfId="5391" xr:uid="{00000000-0005-0000-0000-0000DB140000}"/>
    <cellStyle name="JOB一般" xfId="5392" xr:uid="{00000000-0005-0000-0000-0000DC140000}"/>
    <cellStyle name="JOB左下" xfId="5393" xr:uid="{00000000-0005-0000-0000-0000DD140000}"/>
    <cellStyle name="JOB左上" xfId="5394" xr:uid="{00000000-0005-0000-0000-0000DE140000}"/>
    <cellStyle name="JOB標準" xfId="5395" xr:uid="{00000000-0005-0000-0000-0000DF140000}"/>
    <cellStyle name="JOB網" xfId="5396" xr:uid="{00000000-0005-0000-0000-0000E0140000}"/>
    <cellStyle name="L1" xfId="5397" xr:uid="{00000000-0005-0000-0000-0000E1140000}"/>
    <cellStyle name="L2" xfId="5398" xr:uid="{00000000-0005-0000-0000-0000E2140000}"/>
    <cellStyle name="Legato CPL Master Cover" xfId="5399" xr:uid="{00000000-0005-0000-0000-0000E3140000}"/>
    <cellStyle name="Link Currency (0)" xfId="5400" xr:uid="{00000000-0005-0000-0000-0000E4140000}"/>
    <cellStyle name="Link Currency (0) 2" xfId="5401" xr:uid="{00000000-0005-0000-0000-0000E5140000}"/>
    <cellStyle name="Link Currency (2)" xfId="5402" xr:uid="{00000000-0005-0000-0000-0000E6140000}"/>
    <cellStyle name="Link Currency (2) 2" xfId="5403" xr:uid="{00000000-0005-0000-0000-0000E7140000}"/>
    <cellStyle name="Link Units (0)" xfId="5404" xr:uid="{00000000-0005-0000-0000-0000E8140000}"/>
    <cellStyle name="Link Units (0) 2" xfId="5405" xr:uid="{00000000-0005-0000-0000-0000E9140000}"/>
    <cellStyle name="Link Units (1)" xfId="5406" xr:uid="{00000000-0005-0000-0000-0000EA140000}"/>
    <cellStyle name="Link Units (1) 2" xfId="5407" xr:uid="{00000000-0005-0000-0000-0000EB140000}"/>
    <cellStyle name="Link Units (2)" xfId="5408" xr:uid="{00000000-0005-0000-0000-0000EC140000}"/>
    <cellStyle name="Link Units (2) 2" xfId="5409" xr:uid="{00000000-0005-0000-0000-0000ED140000}"/>
    <cellStyle name="Linked Cell" xfId="5410" xr:uid="{00000000-0005-0000-0000-0000EE140000}"/>
    <cellStyle name="manual" xfId="5411" xr:uid="{00000000-0005-0000-0000-0000EF140000}"/>
    <cellStyle name="manual 2" xfId="5412" xr:uid="{00000000-0005-0000-0000-0000F0140000}"/>
    <cellStyle name="manual 3" xfId="5413" xr:uid="{00000000-0005-0000-0000-0000F1140000}"/>
    <cellStyle name="manual 4" xfId="5414" xr:uid="{00000000-0005-0000-0000-0000F2140000}"/>
    <cellStyle name="Millares [0]_BRASIL (2)" xfId="5415" xr:uid="{00000000-0005-0000-0000-0000F3140000}"/>
    <cellStyle name="Millares_5670-t123" xfId="5416" xr:uid="{00000000-0005-0000-0000-0000F4140000}"/>
    <cellStyle name="Milliers [0]_!!!GO" xfId="5417" xr:uid="{00000000-0005-0000-0000-0000F5140000}"/>
    <cellStyle name="Milliers_!!!GO" xfId="5418" xr:uid="{00000000-0005-0000-0000-0000F6140000}"/>
    <cellStyle name="Moneda [0]_BRASIL (2)" xfId="5419" xr:uid="{00000000-0005-0000-0000-0000F7140000}"/>
    <cellStyle name="Moneda_5670-t123" xfId="5420" xr:uid="{00000000-0005-0000-0000-0000F8140000}"/>
    <cellStyle name="Mon騁aire [0]_!!!GO" xfId="5421" xr:uid="{00000000-0005-0000-0000-0000F9140000}"/>
    <cellStyle name="Mon騁aire_!!!GO" xfId="5422" xr:uid="{00000000-0005-0000-0000-0000FA140000}"/>
    <cellStyle name="ms明朝9" xfId="5423" xr:uid="{00000000-0005-0000-0000-0000FB140000}"/>
    <cellStyle name="MyStyle" xfId="5424" xr:uid="{00000000-0005-0000-0000-0000FC140000}"/>
    <cellStyle name="N_x000c_｡ﾚ_x0012_宇_x0008_｡ﾘ_x0012_宇_x0006_]X_x001f_ﾋ_x001f_ﾃ" xfId="16" xr:uid="{00000000-0005-0000-0000-0000FD140000}"/>
    <cellStyle name="Neutral" xfId="5425" xr:uid="{00000000-0005-0000-0000-0000FE140000}"/>
    <cellStyle name="no dec" xfId="17" xr:uid="{00000000-0005-0000-0000-0000FF140000}"/>
    <cellStyle name="No/ENG" xfId="5426" xr:uid="{00000000-0005-0000-0000-000000150000}"/>
    <cellStyle name="Normal - Style1" xfId="18" xr:uid="{00000000-0005-0000-0000-000001150000}"/>
    <cellStyle name="Normal - Style1 2" xfId="19" xr:uid="{00000000-0005-0000-0000-000002150000}"/>
    <cellStyle name="Normal - Style1 2 2" xfId="5427" xr:uid="{00000000-0005-0000-0000-000003150000}"/>
    <cellStyle name="Normal - Style1 2 3" xfId="5428" xr:uid="{00000000-0005-0000-0000-000004150000}"/>
    <cellStyle name="Normal - Style1 3" xfId="5429" xr:uid="{00000000-0005-0000-0000-000005150000}"/>
    <cellStyle name="Normal_# 41-Market &amp;Trends" xfId="5430" xr:uid="{00000000-0005-0000-0000-000006150000}"/>
    <cellStyle name="Normale_LSCO0697" xfId="5431" xr:uid="{00000000-0005-0000-0000-000007150000}"/>
    <cellStyle name="Note" xfId="5432" xr:uid="{00000000-0005-0000-0000-000008150000}"/>
    <cellStyle name="Note 2" xfId="5433" xr:uid="{00000000-0005-0000-0000-000009150000}"/>
    <cellStyle name="Note 2 2" xfId="5434" xr:uid="{00000000-0005-0000-0000-00000A150000}"/>
    <cellStyle name="Note 2 3" xfId="5435" xr:uid="{00000000-0005-0000-0000-00000B150000}"/>
    <cellStyle name="Note 2 4" xfId="5436" xr:uid="{00000000-0005-0000-0000-00000C150000}"/>
    <cellStyle name="Note 2 5" xfId="5437" xr:uid="{00000000-0005-0000-0000-00000D150000}"/>
    <cellStyle name="Note 3" xfId="5438" xr:uid="{00000000-0005-0000-0000-00000E150000}"/>
    <cellStyle name="Note 4" xfId="5439" xr:uid="{00000000-0005-0000-0000-00000F150000}"/>
    <cellStyle name="Note 5" xfId="5440" xr:uid="{00000000-0005-0000-0000-000010150000}"/>
    <cellStyle name="Note 6" xfId="5441" xr:uid="{00000000-0005-0000-0000-000011150000}"/>
    <cellStyle name="nozawa" xfId="5442" xr:uid="{00000000-0005-0000-0000-000012150000}"/>
    <cellStyle name="Oasis" xfId="5443" xr:uid="{00000000-0005-0000-0000-000013150000}"/>
    <cellStyle name="Oasis 2" xfId="5444" xr:uid="{00000000-0005-0000-0000-000014150000}"/>
    <cellStyle name="Oasis 3" xfId="5445" xr:uid="{00000000-0005-0000-0000-000015150000}"/>
    <cellStyle name="Oasis 4" xfId="5446" xr:uid="{00000000-0005-0000-0000-000016150000}"/>
    <cellStyle name="Œ…‹æØ‚è [0.00]_laroux" xfId="5447" xr:uid="{00000000-0005-0000-0000-000017150000}"/>
    <cellStyle name="Œ…‹æØ‚è_laroux" xfId="5448" xr:uid="{00000000-0005-0000-0000-000018150000}"/>
    <cellStyle name="oft Excel]_x000a__x000a_Options5=1155_x000a__x000a_Pos=-12,9,1048,771_x000a__x000a_MRUFuncs=345,205,221,1,65,28,37,24,3,36_x000a__x000a_StickyPtX=574_x000a__x000a_StickyPtY=45" xfId="5449" xr:uid="{00000000-0005-0000-0000-000019150000}"/>
    <cellStyle name="oft Excel]_x000d__x000a_Options5=1155_x000d__x000a_Pos=-12,9,1048,771_x000d__x000a_MRUFuncs=345,205,221,1,65,28,37,24,3,36_x000d__x000a_StickyPtX=574_x000d__x000a_StickyPtY=45" xfId="5450" xr:uid="{00000000-0005-0000-0000-00001A150000}"/>
    <cellStyle name="oft Excel]_x000d__x000a_Options5=1667_x000d__x000a_Options3=0_x000d__x000a_Basics=1_x000d__x000a_USER=アサヒ_x000d__x000a_CBTLOCATION=A:\MSOFFICE\EXCEL5\EXCELCBT_x000d__x000a_Pos=5,14,628" xfId="5451" xr:uid="{00000000-0005-0000-0000-00001B150000}"/>
    <cellStyle name="Option" xfId="5452" xr:uid="{00000000-0005-0000-0000-00001C150000}"/>
    <cellStyle name="Output" xfId="5453" xr:uid="{00000000-0005-0000-0000-00001D150000}"/>
    <cellStyle name="Output 2" xfId="5454" xr:uid="{00000000-0005-0000-0000-00001E150000}"/>
    <cellStyle name="Output 3" xfId="5455" xr:uid="{00000000-0005-0000-0000-00001F150000}"/>
    <cellStyle name="Output 4" xfId="5456" xr:uid="{00000000-0005-0000-0000-000020150000}"/>
    <cellStyle name="Output 5" xfId="5457" xr:uid="{00000000-0005-0000-0000-000021150000}"/>
    <cellStyle name="per.style" xfId="5458" xr:uid="{00000000-0005-0000-0000-000022150000}"/>
    <cellStyle name="Percent (0)" xfId="5459" xr:uid="{00000000-0005-0000-0000-000023150000}"/>
    <cellStyle name="Percent [0]" xfId="5460" xr:uid="{00000000-0005-0000-0000-000024150000}"/>
    <cellStyle name="Percent [0] 2" xfId="5461" xr:uid="{00000000-0005-0000-0000-000025150000}"/>
    <cellStyle name="Percent [00]" xfId="5462" xr:uid="{00000000-0005-0000-0000-000026150000}"/>
    <cellStyle name="Percent [00] 2" xfId="5463" xr:uid="{00000000-0005-0000-0000-000027150000}"/>
    <cellStyle name="Percent [2]" xfId="20" xr:uid="{00000000-0005-0000-0000-000028150000}"/>
    <cellStyle name="Percent_#6 Temps &amp; Contractors" xfId="5464" xr:uid="{00000000-0005-0000-0000-000029150000}"/>
    <cellStyle name="Period" xfId="5465" xr:uid="{00000000-0005-0000-0000-00002A150000}"/>
    <cellStyle name="PrePop Currency (0)" xfId="5466" xr:uid="{00000000-0005-0000-0000-00002B150000}"/>
    <cellStyle name="PrePop Currency (0) 2" xfId="5467" xr:uid="{00000000-0005-0000-0000-00002C150000}"/>
    <cellStyle name="PrePop Currency (2)" xfId="5468" xr:uid="{00000000-0005-0000-0000-00002D150000}"/>
    <cellStyle name="PrePop Currency (2) 2" xfId="5469" xr:uid="{00000000-0005-0000-0000-00002E150000}"/>
    <cellStyle name="PrePop Units (0)" xfId="5470" xr:uid="{00000000-0005-0000-0000-00002F150000}"/>
    <cellStyle name="PrePop Units (0) 2" xfId="5471" xr:uid="{00000000-0005-0000-0000-000030150000}"/>
    <cellStyle name="PrePop Units (1)" xfId="5472" xr:uid="{00000000-0005-0000-0000-000031150000}"/>
    <cellStyle name="PrePop Units (1) 2" xfId="5473" xr:uid="{00000000-0005-0000-0000-000032150000}"/>
    <cellStyle name="PrePop Units (2)" xfId="5474" xr:uid="{00000000-0005-0000-0000-000033150000}"/>
    <cellStyle name="PrePop Units (2) 2" xfId="5475" xr:uid="{00000000-0005-0000-0000-000034150000}"/>
    <cellStyle name="price" xfId="21" xr:uid="{00000000-0005-0000-0000-000035150000}"/>
    <cellStyle name="Prices" xfId="5476" xr:uid="{00000000-0005-0000-0000-000036150000}"/>
    <cellStyle name="pricing" xfId="5477" xr:uid="{00000000-0005-0000-0000-000037150000}"/>
    <cellStyle name="PSChar" xfId="22" xr:uid="{00000000-0005-0000-0000-000038150000}"/>
    <cellStyle name="PSDate" xfId="5478" xr:uid="{00000000-0005-0000-0000-000039150000}"/>
    <cellStyle name="PSDec" xfId="5479" xr:uid="{00000000-0005-0000-0000-00003A150000}"/>
    <cellStyle name="PSHeading" xfId="23" xr:uid="{00000000-0005-0000-0000-00003B150000}"/>
    <cellStyle name="PSInt" xfId="5480" xr:uid="{00000000-0005-0000-0000-00003C150000}"/>
    <cellStyle name="PSSpacer" xfId="5481" xr:uid="{00000000-0005-0000-0000-00003D150000}"/>
    <cellStyle name="R1" xfId="5482" xr:uid="{00000000-0005-0000-0000-00003E150000}"/>
    <cellStyle name="R2" xfId="5483" xr:uid="{00000000-0005-0000-0000-00003F150000}"/>
    <cellStyle name="red" xfId="5484" xr:uid="{00000000-0005-0000-0000-000040150000}"/>
    <cellStyle name="regstoresfromspecstores" xfId="5485" xr:uid="{00000000-0005-0000-0000-000041150000}"/>
    <cellStyle name="revised" xfId="24" xr:uid="{00000000-0005-0000-0000-000042150000}"/>
    <cellStyle name="RevList" xfId="5486" xr:uid="{00000000-0005-0000-0000-000043150000}"/>
    <cellStyle name="section" xfId="25" xr:uid="{00000000-0005-0000-0000-000044150000}"/>
    <cellStyle name="SHADEDSTORES" xfId="5487" xr:uid="{00000000-0005-0000-0000-000045150000}"/>
    <cellStyle name="SHADEDSTORES 2" xfId="5488" xr:uid="{00000000-0005-0000-0000-000046150000}"/>
    <cellStyle name="SHADEDSTORES 3" xfId="5489" xr:uid="{00000000-0005-0000-0000-000047150000}"/>
    <cellStyle name="SHADEDSTORES 4" xfId="5490" xr:uid="{00000000-0005-0000-0000-000048150000}"/>
    <cellStyle name="specstores" xfId="5491" xr:uid="{00000000-0005-0000-0000-000049150000}"/>
    <cellStyle name="standard" xfId="5492" xr:uid="{00000000-0005-0000-0000-00004A150000}"/>
    <cellStyle name="Style 28" xfId="5493" xr:uid="{00000000-0005-0000-0000-00004B150000}"/>
    <cellStyle name="subhead" xfId="26" xr:uid="{00000000-0005-0000-0000-00004C150000}"/>
    <cellStyle name="Subtotal" xfId="5494" xr:uid="{00000000-0005-0000-0000-00004D150000}"/>
    <cellStyle name="TC_Comment" xfId="5495" xr:uid="{00000000-0005-0000-0000-00004E150000}"/>
    <cellStyle name="Text Indent A" xfId="5496" xr:uid="{00000000-0005-0000-0000-00004F150000}"/>
    <cellStyle name="Text Indent B" xfId="5497" xr:uid="{00000000-0005-0000-0000-000050150000}"/>
    <cellStyle name="Text Indent B 2" xfId="5498" xr:uid="{00000000-0005-0000-0000-000051150000}"/>
    <cellStyle name="Text Indent C" xfId="5499" xr:uid="{00000000-0005-0000-0000-000052150000}"/>
    <cellStyle name="Text Indent C 2" xfId="5500" xr:uid="{00000000-0005-0000-0000-000053150000}"/>
    <cellStyle name="Tickmark" xfId="5501" xr:uid="{00000000-0005-0000-0000-000054150000}"/>
    <cellStyle name="title" xfId="27" xr:uid="{00000000-0005-0000-0000-000055150000}"/>
    <cellStyle name="todo" xfId="5502" xr:uid="{00000000-0005-0000-0000-000056150000}"/>
    <cellStyle name="Total" xfId="5503" xr:uid="{00000000-0005-0000-0000-000057150000}"/>
    <cellStyle name="umeda" xfId="5504" xr:uid="{00000000-0005-0000-0000-000058150000}"/>
    <cellStyle name="V2" xfId="5505" xr:uid="{00000000-0005-0000-0000-000059150000}"/>
    <cellStyle name="Warning Text" xfId="5506" xr:uid="{00000000-0005-0000-0000-00005A150000}"/>
    <cellStyle name="アクセント 1 2" xfId="5507" xr:uid="{00000000-0005-0000-0000-00005B150000}"/>
    <cellStyle name="アクセント 1 2 2" xfId="5508" xr:uid="{00000000-0005-0000-0000-00005C150000}"/>
    <cellStyle name="アクセント 1 3" xfId="5509" xr:uid="{00000000-0005-0000-0000-00005D150000}"/>
    <cellStyle name="アクセント 1 4" xfId="5510" xr:uid="{00000000-0005-0000-0000-00005E150000}"/>
    <cellStyle name="アクセント 2 2" xfId="5511" xr:uid="{00000000-0005-0000-0000-00005F150000}"/>
    <cellStyle name="アクセント 2 2 2" xfId="5512" xr:uid="{00000000-0005-0000-0000-000060150000}"/>
    <cellStyle name="アクセント 2 3" xfId="5513" xr:uid="{00000000-0005-0000-0000-000061150000}"/>
    <cellStyle name="アクセント 2 4" xfId="5514" xr:uid="{00000000-0005-0000-0000-000062150000}"/>
    <cellStyle name="アクセント 3 2" xfId="5515" xr:uid="{00000000-0005-0000-0000-000063150000}"/>
    <cellStyle name="アクセント 3 2 2" xfId="5516" xr:uid="{00000000-0005-0000-0000-000064150000}"/>
    <cellStyle name="アクセント 3 3" xfId="5517" xr:uid="{00000000-0005-0000-0000-000065150000}"/>
    <cellStyle name="アクセント 3 4" xfId="5518" xr:uid="{00000000-0005-0000-0000-000066150000}"/>
    <cellStyle name="アクセント 4 2" xfId="5519" xr:uid="{00000000-0005-0000-0000-000067150000}"/>
    <cellStyle name="アクセント 4 2 2" xfId="5520" xr:uid="{00000000-0005-0000-0000-000068150000}"/>
    <cellStyle name="アクセント 4 3" xfId="5521" xr:uid="{00000000-0005-0000-0000-000069150000}"/>
    <cellStyle name="アクセント 4 4" xfId="5522" xr:uid="{00000000-0005-0000-0000-00006A150000}"/>
    <cellStyle name="アクセント 5 2" xfId="5523" xr:uid="{00000000-0005-0000-0000-00006B150000}"/>
    <cellStyle name="アクセント 5 2 2" xfId="5524" xr:uid="{00000000-0005-0000-0000-00006C150000}"/>
    <cellStyle name="アクセント 5 3" xfId="5525" xr:uid="{00000000-0005-0000-0000-00006D150000}"/>
    <cellStyle name="アクセント 5 4" xfId="5526" xr:uid="{00000000-0005-0000-0000-00006E150000}"/>
    <cellStyle name="アクセント 6 2" xfId="5527" xr:uid="{00000000-0005-0000-0000-00006F150000}"/>
    <cellStyle name="アクセント 6 2 2" xfId="5528" xr:uid="{00000000-0005-0000-0000-000070150000}"/>
    <cellStyle name="アクセント 6 3" xfId="5529" xr:uid="{00000000-0005-0000-0000-000071150000}"/>
    <cellStyle name="アクセント 6 4" xfId="5530" xr:uid="{00000000-0005-0000-0000-000072150000}"/>
    <cellStyle name="あさひ" xfId="5531" xr:uid="{00000000-0005-0000-0000-000073150000}"/>
    <cellStyle name="あさひ 2" xfId="5532" xr:uid="{00000000-0005-0000-0000-000074150000}"/>
    <cellStyle name="あさひ 3" xfId="5533" xr:uid="{00000000-0005-0000-0000-000075150000}"/>
    <cellStyle name="あさひ 4" xfId="5534" xr:uid="{00000000-0005-0000-0000-000076150000}"/>
    <cellStyle name="あさひＤＢ" xfId="5535" xr:uid="{00000000-0005-0000-0000-000077150000}"/>
    <cellStyle name="ｳ｣ｹ訐laroux" xfId="28" xr:uid="{00000000-0005-0000-0000-000078150000}"/>
    <cellStyle name="ｳ｣ｹ訐PERSONAL" xfId="29" xr:uid="{00000000-0005-0000-0000-000079150000}"/>
    <cellStyle name="ｳ｣ｹ訐ﾓｲｼ" xfId="30" xr:uid="{00000000-0005-0000-0000-00007A150000}"/>
    <cellStyle name="ｳ｣ｹ訐ﾗ､ﾂ昉・" xfId="31" xr:uid="{00000000-0005-0000-0000-00007B150000}"/>
    <cellStyle name="ゴシック8pt" xfId="5536" xr:uid="{00000000-0005-0000-0000-00007C150000}"/>
    <cellStyle name="ｻﾒ[0]_laroux" xfId="32" xr:uid="{00000000-0005-0000-0000-00007D150000}"/>
    <cellStyle name="ｻﾒ_1000A UNIX" xfId="33" xr:uid="{00000000-0005-0000-0000-00007E150000}"/>
    <cellStyle name="スタイル 1" xfId="34" xr:uid="{00000000-0005-0000-0000-00007F150000}"/>
    <cellStyle name="スタイル 1 2" xfId="5537" xr:uid="{00000000-0005-0000-0000-000080150000}"/>
    <cellStyle name="スタイル 1 2 2" xfId="5538" xr:uid="{00000000-0005-0000-0000-000081150000}"/>
    <cellStyle name="スタイル 1 3" xfId="5539" xr:uid="{00000000-0005-0000-0000-000082150000}"/>
    <cellStyle name="スタイル 1 4" xfId="5540" xr:uid="{00000000-0005-0000-0000-000083150000}"/>
    <cellStyle name="センター" xfId="5541" xr:uid="{00000000-0005-0000-0000-000084150000}"/>
    <cellStyle name="タイトル 2" xfId="5542" xr:uid="{00000000-0005-0000-0000-000085150000}"/>
    <cellStyle name="タイトル 2 2" xfId="5543" xr:uid="{00000000-0005-0000-0000-000086150000}"/>
    <cellStyle name="タイトル 3" xfId="5544" xr:uid="{00000000-0005-0000-0000-000087150000}"/>
    <cellStyle name="タイトル 4" xfId="5545" xr:uid="{00000000-0005-0000-0000-000088150000}"/>
    <cellStyle name="チェック セル 2" xfId="5546" xr:uid="{00000000-0005-0000-0000-000089150000}"/>
    <cellStyle name="チェック セル 2 2" xfId="5547" xr:uid="{00000000-0005-0000-0000-00008A150000}"/>
    <cellStyle name="チェック セル 3" xfId="5548" xr:uid="{00000000-0005-0000-0000-00008B150000}"/>
    <cellStyle name="チェック セル 4" xfId="5549" xr:uid="{00000000-0005-0000-0000-00008C150000}"/>
    <cellStyle name="どちらでもない 2" xfId="5550" xr:uid="{00000000-0005-0000-0000-00008D150000}"/>
    <cellStyle name="どちらでもない 2 2" xfId="5551" xr:uid="{00000000-0005-0000-0000-00008E150000}"/>
    <cellStyle name="どちらでもない 3" xfId="5552" xr:uid="{00000000-0005-0000-0000-00008F150000}"/>
    <cellStyle name="どちらでもない 4" xfId="5553" xr:uid="{00000000-0005-0000-0000-000090150000}"/>
    <cellStyle name="なし" xfId="35" xr:uid="{00000000-0005-0000-0000-000091150000}"/>
    <cellStyle name="なし 2" xfId="5554" xr:uid="{00000000-0005-0000-0000-000092150000}"/>
    <cellStyle name="ﾇｧﾎｻ[0]_laroux" xfId="36" xr:uid="{00000000-0005-0000-0000-000093150000}"/>
    <cellStyle name="ﾇｧﾎｻ_laroux" xfId="37" xr:uid="{00000000-0005-0000-0000-000094150000}"/>
    <cellStyle name="ﾇｧﾎｻｷﾖｸ0]_PERSONAL" xfId="38" xr:uid="{00000000-0005-0000-0000-000095150000}"/>
    <cellStyle name="ﾇｧﾎｻｷﾖｸPERSONAL" xfId="39" xr:uid="{00000000-0005-0000-0000-000096150000}"/>
    <cellStyle name="パーセント 2" xfId="5555" xr:uid="{00000000-0005-0000-0000-000097150000}"/>
    <cellStyle name="パーセント 3" xfId="5556" xr:uid="{00000000-0005-0000-0000-000098150000}"/>
    <cellStyle name="パーセント()" xfId="5557" xr:uid="{00000000-0005-0000-0000-000099150000}"/>
    <cellStyle name="パーセント(0.00)" xfId="5558" xr:uid="{00000000-0005-0000-0000-00009A150000}"/>
    <cellStyle name="パーセント[0.00]" xfId="5559" xr:uid="{00000000-0005-0000-0000-00009B150000}"/>
    <cellStyle name="ハイパーリンク 2" xfId="5560" xr:uid="{00000000-0005-0000-0000-00009C150000}"/>
    <cellStyle name="ﾋﾟﾘｵﾄﾞ" xfId="5561" xr:uid="{00000000-0005-0000-0000-00009D150000}"/>
    <cellStyle name="ﾋﾟﾘｵﾄﾞ右" xfId="5562" xr:uid="{00000000-0005-0000-0000-00009E150000}"/>
    <cellStyle name="ヘッダ" xfId="5563" xr:uid="{00000000-0005-0000-0000-00009F150000}"/>
    <cellStyle name="ヘッダ 2" xfId="5564" xr:uid="{00000000-0005-0000-0000-0000A0150000}"/>
    <cellStyle name="ヘッダ 3" xfId="5565" xr:uid="{00000000-0005-0000-0000-0000A1150000}"/>
    <cellStyle name="ヘッダ 4" xfId="5566" xr:uid="{00000000-0005-0000-0000-0000A2150000}"/>
    <cellStyle name="メモ 2" xfId="5567" xr:uid="{00000000-0005-0000-0000-0000A3150000}"/>
    <cellStyle name="メモ 2 2" xfId="5568" xr:uid="{00000000-0005-0000-0000-0000A4150000}"/>
    <cellStyle name="メモ 2 2 2" xfId="5569" xr:uid="{00000000-0005-0000-0000-0000A5150000}"/>
    <cellStyle name="メモ 2 2 3" xfId="5570" xr:uid="{00000000-0005-0000-0000-0000A6150000}"/>
    <cellStyle name="メモ 2 2 4" xfId="5571" xr:uid="{00000000-0005-0000-0000-0000A7150000}"/>
    <cellStyle name="メモ 2 2 5" xfId="5572" xr:uid="{00000000-0005-0000-0000-0000A8150000}"/>
    <cellStyle name="メモ 2 3" xfId="5573" xr:uid="{00000000-0005-0000-0000-0000A9150000}"/>
    <cellStyle name="メモ 2 3 2" xfId="5574" xr:uid="{00000000-0005-0000-0000-0000AA150000}"/>
    <cellStyle name="メモ 2 3 3" xfId="5575" xr:uid="{00000000-0005-0000-0000-0000AB150000}"/>
    <cellStyle name="メモ 2 3 4" xfId="5576" xr:uid="{00000000-0005-0000-0000-0000AC150000}"/>
    <cellStyle name="メモ 2 3 5" xfId="5577" xr:uid="{00000000-0005-0000-0000-0000AD150000}"/>
    <cellStyle name="メモ 2 4" xfId="5578" xr:uid="{00000000-0005-0000-0000-0000AE150000}"/>
    <cellStyle name="メモ 2 5" xfId="5579" xr:uid="{00000000-0005-0000-0000-0000AF150000}"/>
    <cellStyle name="メモ 2 6" xfId="5580" xr:uid="{00000000-0005-0000-0000-0000B0150000}"/>
    <cellStyle name="メモ 2 7" xfId="5581" xr:uid="{00000000-0005-0000-0000-0000B1150000}"/>
    <cellStyle name="メモ 2 8" xfId="5582" xr:uid="{00000000-0005-0000-0000-0000B2150000}"/>
    <cellStyle name="メモ 3" xfId="5583" xr:uid="{00000000-0005-0000-0000-0000B3150000}"/>
    <cellStyle name="メモ 3 2" xfId="5584" xr:uid="{00000000-0005-0000-0000-0000B4150000}"/>
    <cellStyle name="メモ 3 2 2" xfId="5585" xr:uid="{00000000-0005-0000-0000-0000B5150000}"/>
    <cellStyle name="メモ 3 2 3" xfId="5586" xr:uid="{00000000-0005-0000-0000-0000B6150000}"/>
    <cellStyle name="メモ 3 2 4" xfId="5587" xr:uid="{00000000-0005-0000-0000-0000B7150000}"/>
    <cellStyle name="メモ 3 2 5" xfId="5588" xr:uid="{00000000-0005-0000-0000-0000B8150000}"/>
    <cellStyle name="メモ 3 3" xfId="5589" xr:uid="{00000000-0005-0000-0000-0000B9150000}"/>
    <cellStyle name="メモ 3 4" xfId="5590" xr:uid="{00000000-0005-0000-0000-0000BA150000}"/>
    <cellStyle name="メモ 3 5" xfId="5591" xr:uid="{00000000-0005-0000-0000-0000BB150000}"/>
    <cellStyle name="メモ 3 6" xfId="5592" xr:uid="{00000000-0005-0000-0000-0000BC150000}"/>
    <cellStyle name="メモ 4" xfId="5593" xr:uid="{00000000-0005-0000-0000-0000BD150000}"/>
    <cellStyle name="メモ 4 2" xfId="5594" xr:uid="{00000000-0005-0000-0000-0000BE150000}"/>
    <cellStyle name="メモ 4 2 2" xfId="5595" xr:uid="{00000000-0005-0000-0000-0000BF150000}"/>
    <cellStyle name="メモ 4 2 3" xfId="5596" xr:uid="{00000000-0005-0000-0000-0000C0150000}"/>
    <cellStyle name="メモ 4 2 4" xfId="5597" xr:uid="{00000000-0005-0000-0000-0000C1150000}"/>
    <cellStyle name="メモ 4 2 5" xfId="5598" xr:uid="{00000000-0005-0000-0000-0000C2150000}"/>
    <cellStyle name="メモ 4 3" xfId="5599" xr:uid="{00000000-0005-0000-0000-0000C3150000}"/>
    <cellStyle name="メモ 4 4" xfId="5600" xr:uid="{00000000-0005-0000-0000-0000C4150000}"/>
    <cellStyle name="メモ 4 5" xfId="5601" xr:uid="{00000000-0005-0000-0000-0000C5150000}"/>
    <cellStyle name="メモ 4 6" xfId="5602" xr:uid="{00000000-0005-0000-0000-0000C6150000}"/>
    <cellStyle name="メモ 5" xfId="5603" xr:uid="{00000000-0005-0000-0000-0000C7150000}"/>
    <cellStyle name="メモ 5 2" xfId="5604" xr:uid="{00000000-0005-0000-0000-0000C8150000}"/>
    <cellStyle name="メモ 5 3" xfId="5605" xr:uid="{00000000-0005-0000-0000-0000C9150000}"/>
    <cellStyle name="メモ 5 4" xfId="5606" xr:uid="{00000000-0005-0000-0000-0000CA150000}"/>
    <cellStyle name="メモ 5 5" xfId="5607" xr:uid="{00000000-0005-0000-0000-0000CB150000}"/>
    <cellStyle name="リンク セル 2" xfId="5608" xr:uid="{00000000-0005-0000-0000-0000CC150000}"/>
    <cellStyle name="リンク セル 2 2" xfId="5609" xr:uid="{00000000-0005-0000-0000-0000CD150000}"/>
    <cellStyle name="リンク セル 3" xfId="5610" xr:uid="{00000000-0005-0000-0000-0000CE150000}"/>
    <cellStyle name="リンク セル 4" xfId="5611" xr:uid="{00000000-0005-0000-0000-0000CF150000}"/>
    <cellStyle name="るるるー" xfId="5612" xr:uid="{00000000-0005-0000-0000-0000D0150000}"/>
    <cellStyle name="・'_x000c_・・・V_x0001_ｳ_x0018_ﾘ0_x0007__x0001__x0001_" xfId="40" xr:uid="{00000000-0005-0000-0000-0000D1150000}"/>
    <cellStyle name="・'_x000c_・・・V_x0001_ｳ_x0018_ﾘ0_x0007__x0001__x0001_?_x0003_ｯ?(_x0002_!&gt; ???&quot;M??ﾎ_x0004__x0006__x001e_??????????????ﾍ!ﾋ??????????           ?????           ????*ｪ?_x000d__x0002_ｪｨ_x000a__x0002_ｪｪ1_x0002_ｪ・ｪｪ・_x0002_ｪあ*ｪ_x0002_ｪあｨ_x000a_ｪ?_x0002_ｪあｪ_x0002_ｪ_x001f__x0002_ｪがｪｪ・_x0002_ｪｨ_x000a_ｪｪｪ?逗・ｪｪAｪｪｪ_x000f__x0002_ｪｪ針ｪｪ・_x0002_ｪｪ､_x001a_ｪｪﾃ・ｪｪ・ｪｪ_▲PGM進捗管理表(2)600行" xfId="5613" xr:uid="{00000000-0005-0000-0000-0000D2150000}"/>
    <cellStyle name="_x001d_・_x000c_ﾏ・_x000d_ﾂ・_x0001__x0016__x0011_F5_x0007__x0001__x0001_" xfId="5614" xr:uid="{00000000-0005-0000-0000-0000D3150000}"/>
    <cellStyle name="_x001d_・_x000c_ﾏ・_x000d_ﾂ・_x0001__x0016__x0011_F5_x0007__x0001__x0001_?_x0002_ｯ?(_x0002_ A ???&quot;P????_x0006__x001e_??????????????ﾍ!ﾋ??????????           ?????           ?????????_x000d_EXIST U:\DCDB\USERS\TERA\PROFILE.BAT CALL U:\DCDB\USERS\TERA\PROFILE.BAT_x000d_????????????????????????????????????????????" xfId="5615" xr:uid="{00000000-0005-0000-0000-0000D4150000}"/>
    <cellStyle name="悪い 2" xfId="5616" xr:uid="{00000000-0005-0000-0000-0000D5150000}"/>
    <cellStyle name="悪い 2 2" xfId="5617" xr:uid="{00000000-0005-0000-0000-0000D6150000}"/>
    <cellStyle name="悪い 3" xfId="5618" xr:uid="{00000000-0005-0000-0000-0000D7150000}"/>
    <cellStyle name="悪い 4" xfId="5619" xr:uid="{00000000-0005-0000-0000-0000D8150000}"/>
    <cellStyle name="案件No" xfId="5620" xr:uid="{00000000-0005-0000-0000-0000D9150000}"/>
    <cellStyle name="移行計画書" xfId="5621" xr:uid="{00000000-0005-0000-0000-0000DA150000}"/>
    <cellStyle name="鵜" xfId="41" xr:uid="{00000000-0005-0000-0000-0000DB150000}"/>
    <cellStyle name="下点線" xfId="5622" xr:uid="{00000000-0005-0000-0000-0000DC150000}"/>
    <cellStyle name="下点線 2" xfId="5623" xr:uid="{00000000-0005-0000-0000-0000DD150000}"/>
    <cellStyle name="価格桁区切り" xfId="42" xr:uid="{00000000-0005-0000-0000-0000DE150000}"/>
    <cellStyle name="外部設計" xfId="5624" xr:uid="{00000000-0005-0000-0000-0000DF150000}"/>
    <cellStyle name="基礎枚数" xfId="5625" xr:uid="{00000000-0005-0000-0000-0000E0150000}"/>
    <cellStyle name="基礎枚数 2" xfId="5626" xr:uid="{00000000-0005-0000-0000-0000E1150000}"/>
    <cellStyle name="基礎枚数 2 2" xfId="5912" xr:uid="{00000000-0005-0000-0000-0000E2150000}"/>
    <cellStyle name="基礎枚数 3" xfId="5627" xr:uid="{00000000-0005-0000-0000-0000E3150000}"/>
    <cellStyle name="基礎枚数 3 2" xfId="5913" xr:uid="{00000000-0005-0000-0000-0000E4150000}"/>
    <cellStyle name="基礎枚数 4" xfId="5628" xr:uid="{00000000-0005-0000-0000-0000E5150000}"/>
    <cellStyle name="基礎枚数 4 2" xfId="5914" xr:uid="{00000000-0005-0000-0000-0000E6150000}"/>
    <cellStyle name="基礎枚数 5" xfId="5629" xr:uid="{00000000-0005-0000-0000-0000E7150000}"/>
    <cellStyle name="基礎枚数 5 2" xfId="5915" xr:uid="{00000000-0005-0000-0000-0000E8150000}"/>
    <cellStyle name="基礎枚数 6" xfId="5630" xr:uid="{00000000-0005-0000-0000-0000E9150000}"/>
    <cellStyle name="基礎枚数 6 2" xfId="5916" xr:uid="{00000000-0005-0000-0000-0000EA150000}"/>
    <cellStyle name="基礎枚数 7" xfId="5911" xr:uid="{00000000-0005-0000-0000-0000EB150000}"/>
    <cellStyle name="基本フォーム" xfId="43" xr:uid="{00000000-0005-0000-0000-0000EC150000}"/>
    <cellStyle name="基本フォーム 2" xfId="5631" xr:uid="{00000000-0005-0000-0000-0000ED150000}"/>
    <cellStyle name="基本フォーム 3" xfId="5632" xr:uid="{00000000-0005-0000-0000-0000EE150000}"/>
    <cellStyle name="基本フォーム 4" xfId="5633" xr:uid="{00000000-0005-0000-0000-0000EF150000}"/>
    <cellStyle name="基本フォーム 5" xfId="5634" xr:uid="{00000000-0005-0000-0000-0000F0150000}"/>
    <cellStyle name="期末評価" xfId="5635" xr:uid="{00000000-0005-0000-0000-0000F1150000}"/>
    <cellStyle name="競馬スタイル" xfId="44" xr:uid="{00000000-0005-0000-0000-0000F2150000}"/>
    <cellStyle name="競馬スタイル 2" xfId="5636" xr:uid="{00000000-0005-0000-0000-0000F3150000}"/>
    <cellStyle name="型番" xfId="45" xr:uid="{00000000-0005-0000-0000-0000F4150000}"/>
    <cellStyle name="計算 2" xfId="5637" xr:uid="{00000000-0005-0000-0000-0000F5150000}"/>
    <cellStyle name="計算 2 2" xfId="5638" xr:uid="{00000000-0005-0000-0000-0000F6150000}"/>
    <cellStyle name="計算 2 2 2" xfId="5639" xr:uid="{00000000-0005-0000-0000-0000F7150000}"/>
    <cellStyle name="計算 2 2 3" xfId="5640" xr:uid="{00000000-0005-0000-0000-0000F8150000}"/>
    <cellStyle name="計算 2 2 4" xfId="5641" xr:uid="{00000000-0005-0000-0000-0000F9150000}"/>
    <cellStyle name="計算 2 2 5" xfId="5642" xr:uid="{00000000-0005-0000-0000-0000FA150000}"/>
    <cellStyle name="計算 2 3" xfId="5643" xr:uid="{00000000-0005-0000-0000-0000FB150000}"/>
    <cellStyle name="計算 2 4" xfId="5644" xr:uid="{00000000-0005-0000-0000-0000FC150000}"/>
    <cellStyle name="計算 2 5" xfId="5645" xr:uid="{00000000-0005-0000-0000-0000FD150000}"/>
    <cellStyle name="計算 2 6" xfId="5646" xr:uid="{00000000-0005-0000-0000-0000FE150000}"/>
    <cellStyle name="計算 3" xfId="5647" xr:uid="{00000000-0005-0000-0000-0000FF150000}"/>
    <cellStyle name="計算 3 2" xfId="5648" xr:uid="{00000000-0005-0000-0000-000000160000}"/>
    <cellStyle name="計算 3 3" xfId="5649" xr:uid="{00000000-0005-0000-0000-000001160000}"/>
    <cellStyle name="計算 3 4" xfId="5650" xr:uid="{00000000-0005-0000-0000-000002160000}"/>
    <cellStyle name="計算 3 5" xfId="5651" xr:uid="{00000000-0005-0000-0000-000003160000}"/>
    <cellStyle name="計算 4" xfId="5652" xr:uid="{00000000-0005-0000-0000-000004160000}"/>
    <cellStyle name="計算 4 2" xfId="5653" xr:uid="{00000000-0005-0000-0000-000005160000}"/>
    <cellStyle name="計算 4 3" xfId="5654" xr:uid="{00000000-0005-0000-0000-000006160000}"/>
    <cellStyle name="計算 4 4" xfId="5655" xr:uid="{00000000-0005-0000-0000-000007160000}"/>
    <cellStyle name="計算 4 5" xfId="5656" xr:uid="{00000000-0005-0000-0000-000008160000}"/>
    <cellStyle name="警告文 2" xfId="5657" xr:uid="{00000000-0005-0000-0000-000009160000}"/>
    <cellStyle name="警告文 2 2" xfId="5658" xr:uid="{00000000-0005-0000-0000-00000A160000}"/>
    <cellStyle name="警告文 3" xfId="5659" xr:uid="{00000000-0005-0000-0000-00000B160000}"/>
    <cellStyle name="警告文 4" xfId="5660" xr:uid="{00000000-0005-0000-0000-00000C160000}"/>
    <cellStyle name="桁蟻唇Ｆ [0.00]_DATA" xfId="5661" xr:uid="{00000000-0005-0000-0000-00000D160000}"/>
    <cellStyle name="桁蟻唇Ｆ_DATA" xfId="5662" xr:uid="{00000000-0005-0000-0000-00000E160000}"/>
    <cellStyle name="桁区切? [0.00]" xfId="5663" xr:uid="{00000000-0005-0000-0000-00000F160000}"/>
    <cellStyle name="桁区切? [0.00] 2" xfId="5664" xr:uid="{00000000-0005-0000-0000-000010160000}"/>
    <cellStyle name="桁区切り 2" xfId="5665" xr:uid="{00000000-0005-0000-0000-000011160000}"/>
    <cellStyle name="桁区切り 2 2" xfId="5666" xr:uid="{00000000-0005-0000-0000-000012160000}"/>
    <cellStyle name="桁区切り 2 2 2" xfId="5667" xr:uid="{00000000-0005-0000-0000-000013160000}"/>
    <cellStyle name="桁区切り 2 3" xfId="5668" xr:uid="{00000000-0005-0000-0000-000014160000}"/>
    <cellStyle name="見出し 1 2" xfId="5669" xr:uid="{00000000-0005-0000-0000-000015160000}"/>
    <cellStyle name="見出し 1 2 2" xfId="5670" xr:uid="{00000000-0005-0000-0000-000016160000}"/>
    <cellStyle name="見出し 1 3" xfId="5671" xr:uid="{00000000-0005-0000-0000-000017160000}"/>
    <cellStyle name="見出し 1 4" xfId="5672" xr:uid="{00000000-0005-0000-0000-000018160000}"/>
    <cellStyle name="見出し 2 2" xfId="5673" xr:uid="{00000000-0005-0000-0000-000019160000}"/>
    <cellStyle name="見出し 2 2 2" xfId="5674" xr:uid="{00000000-0005-0000-0000-00001A160000}"/>
    <cellStyle name="見出し 2 3" xfId="5675" xr:uid="{00000000-0005-0000-0000-00001B160000}"/>
    <cellStyle name="見出し 2 4" xfId="5676" xr:uid="{00000000-0005-0000-0000-00001C160000}"/>
    <cellStyle name="見出し 3 2" xfId="5677" xr:uid="{00000000-0005-0000-0000-00001D160000}"/>
    <cellStyle name="見出し 3 2 2" xfId="5678" xr:uid="{00000000-0005-0000-0000-00001E160000}"/>
    <cellStyle name="見出し 3 3" xfId="5679" xr:uid="{00000000-0005-0000-0000-00001F160000}"/>
    <cellStyle name="見出し 3 4" xfId="5680" xr:uid="{00000000-0005-0000-0000-000020160000}"/>
    <cellStyle name="見出し 4 2" xfId="5681" xr:uid="{00000000-0005-0000-0000-000021160000}"/>
    <cellStyle name="見出し 4 2 2" xfId="5682" xr:uid="{00000000-0005-0000-0000-000022160000}"/>
    <cellStyle name="見出し 4 3" xfId="5683" xr:uid="{00000000-0005-0000-0000-000023160000}"/>
    <cellStyle name="見出し 4 4" xfId="5684" xr:uid="{00000000-0005-0000-0000-000024160000}"/>
    <cellStyle name="見出し1" xfId="5685" xr:uid="{00000000-0005-0000-0000-000025160000}"/>
    <cellStyle name="見出し１" xfId="5686" xr:uid="{00000000-0005-0000-0000-000026160000}"/>
    <cellStyle name="見出し1 1" xfId="5687" xr:uid="{00000000-0005-0000-0000-000027160000}"/>
    <cellStyle name="見出し2" xfId="5688" xr:uid="{00000000-0005-0000-0000-000028160000}"/>
    <cellStyle name="見出し2 2" xfId="5689" xr:uid="{00000000-0005-0000-0000-000029160000}"/>
    <cellStyle name="見出し3" xfId="5690" xr:uid="{00000000-0005-0000-0000-00002A160000}"/>
    <cellStyle name="見出し4" xfId="5691" xr:uid="{00000000-0005-0000-0000-00002B160000}"/>
    <cellStyle name="見出し5" xfId="5692" xr:uid="{00000000-0005-0000-0000-00002C160000}"/>
    <cellStyle name="見出し6" xfId="5693" xr:uid="{00000000-0005-0000-0000-00002D160000}"/>
    <cellStyle name="作業手順ﾌﾛｰ" xfId="46" xr:uid="{00000000-0005-0000-0000-00002E160000}"/>
    <cellStyle name="作成・更新日" xfId="5694" xr:uid="{00000000-0005-0000-0000-00002F160000}"/>
    <cellStyle name="集計 2" xfId="5695" xr:uid="{00000000-0005-0000-0000-000030160000}"/>
    <cellStyle name="集計 2 2" xfId="5696" xr:uid="{00000000-0005-0000-0000-000031160000}"/>
    <cellStyle name="集計 2 2 2" xfId="5697" xr:uid="{00000000-0005-0000-0000-000032160000}"/>
    <cellStyle name="集計 2 2 3" xfId="5698" xr:uid="{00000000-0005-0000-0000-000033160000}"/>
    <cellStyle name="集計 2 2 4" xfId="5699" xr:uid="{00000000-0005-0000-0000-000034160000}"/>
    <cellStyle name="集計 2 2 5" xfId="5700" xr:uid="{00000000-0005-0000-0000-000035160000}"/>
    <cellStyle name="集計 2 3" xfId="5701" xr:uid="{00000000-0005-0000-0000-000036160000}"/>
    <cellStyle name="集計 2 4" xfId="5702" xr:uid="{00000000-0005-0000-0000-000037160000}"/>
    <cellStyle name="集計 2 5" xfId="5703" xr:uid="{00000000-0005-0000-0000-000038160000}"/>
    <cellStyle name="集計 2 6" xfId="5704" xr:uid="{00000000-0005-0000-0000-000039160000}"/>
    <cellStyle name="集計 3" xfId="5705" xr:uid="{00000000-0005-0000-0000-00003A160000}"/>
    <cellStyle name="集計 3 2" xfId="5706" xr:uid="{00000000-0005-0000-0000-00003B160000}"/>
    <cellStyle name="集計 3 3" xfId="5707" xr:uid="{00000000-0005-0000-0000-00003C160000}"/>
    <cellStyle name="集計 3 4" xfId="5708" xr:uid="{00000000-0005-0000-0000-00003D160000}"/>
    <cellStyle name="集計 3 5" xfId="5709" xr:uid="{00000000-0005-0000-0000-00003E160000}"/>
    <cellStyle name="集計 4" xfId="5710" xr:uid="{00000000-0005-0000-0000-00003F160000}"/>
    <cellStyle name="集計 4 2" xfId="5711" xr:uid="{00000000-0005-0000-0000-000040160000}"/>
    <cellStyle name="集計 4 3" xfId="5712" xr:uid="{00000000-0005-0000-0000-000041160000}"/>
    <cellStyle name="集計 4 4" xfId="5713" xr:uid="{00000000-0005-0000-0000-000042160000}"/>
    <cellStyle name="集計 4 5" xfId="5714" xr:uid="{00000000-0005-0000-0000-000043160000}"/>
    <cellStyle name="出力 2" xfId="5715" xr:uid="{00000000-0005-0000-0000-000044160000}"/>
    <cellStyle name="出力 2 2" xfId="5716" xr:uid="{00000000-0005-0000-0000-000045160000}"/>
    <cellStyle name="出力 2 2 2" xfId="5717" xr:uid="{00000000-0005-0000-0000-000046160000}"/>
    <cellStyle name="出力 2 2 3" xfId="5718" xr:uid="{00000000-0005-0000-0000-000047160000}"/>
    <cellStyle name="出力 2 2 4" xfId="5719" xr:uid="{00000000-0005-0000-0000-000048160000}"/>
    <cellStyle name="出力 2 2 5" xfId="5720" xr:uid="{00000000-0005-0000-0000-000049160000}"/>
    <cellStyle name="出力 2 3" xfId="5721" xr:uid="{00000000-0005-0000-0000-00004A160000}"/>
    <cellStyle name="出力 2 4" xfId="5722" xr:uid="{00000000-0005-0000-0000-00004B160000}"/>
    <cellStyle name="出力 2 5" xfId="5723" xr:uid="{00000000-0005-0000-0000-00004C160000}"/>
    <cellStyle name="出力 2 6" xfId="5724" xr:uid="{00000000-0005-0000-0000-00004D160000}"/>
    <cellStyle name="出力 3" xfId="5725" xr:uid="{00000000-0005-0000-0000-00004E160000}"/>
    <cellStyle name="出力 3 2" xfId="5726" xr:uid="{00000000-0005-0000-0000-00004F160000}"/>
    <cellStyle name="出力 3 3" xfId="5727" xr:uid="{00000000-0005-0000-0000-000050160000}"/>
    <cellStyle name="出力 3 4" xfId="5728" xr:uid="{00000000-0005-0000-0000-000051160000}"/>
    <cellStyle name="出力 3 5" xfId="5729" xr:uid="{00000000-0005-0000-0000-000052160000}"/>
    <cellStyle name="出力 4" xfId="5730" xr:uid="{00000000-0005-0000-0000-000053160000}"/>
    <cellStyle name="出力 4 2" xfId="5731" xr:uid="{00000000-0005-0000-0000-000054160000}"/>
    <cellStyle name="出力 4 3" xfId="5732" xr:uid="{00000000-0005-0000-0000-000055160000}"/>
    <cellStyle name="出力 4 4" xfId="5733" xr:uid="{00000000-0005-0000-0000-000056160000}"/>
    <cellStyle name="出力 4 5" xfId="5734" xr:uid="{00000000-0005-0000-0000-000057160000}"/>
    <cellStyle name="処理機能等" xfId="5735" xr:uid="{00000000-0005-0000-0000-000058160000}"/>
    <cellStyle name="小タイトル" xfId="5736" xr:uid="{00000000-0005-0000-0000-000059160000}"/>
    <cellStyle name="小タイトル 2" xfId="5737" xr:uid="{00000000-0005-0000-0000-00005A160000}"/>
    <cellStyle name="少数１位" xfId="5738" xr:uid="{00000000-0005-0000-0000-00005B160000}"/>
    <cellStyle name="少数２位" xfId="5739" xr:uid="{00000000-0005-0000-0000-00005C160000}"/>
    <cellStyle name="詳細" xfId="5740" xr:uid="{00000000-0005-0000-0000-00005D160000}"/>
    <cellStyle name="常规_MD詳細設計書雛型（オンライン）20050428" xfId="5741" xr:uid="{00000000-0005-0000-0000-00005E160000}"/>
    <cellStyle name="進捗" xfId="5742" xr:uid="{00000000-0005-0000-0000-00005F160000}"/>
    <cellStyle name="進捗 2" xfId="5743" xr:uid="{00000000-0005-0000-0000-000060160000}"/>
    <cellStyle name="進捗 3" xfId="5744" xr:uid="{00000000-0005-0000-0000-000061160000}"/>
    <cellStyle name="進捗 4" xfId="5745" xr:uid="{00000000-0005-0000-0000-000062160000}"/>
    <cellStyle name="進捗 5" xfId="5746" xr:uid="{00000000-0005-0000-0000-000063160000}"/>
    <cellStyle name="人月" xfId="47" xr:uid="{00000000-0005-0000-0000-000064160000}"/>
    <cellStyle name="人月 2" xfId="5747" xr:uid="{00000000-0005-0000-0000-000065160000}"/>
    <cellStyle name="人月 2 2" xfId="5748" xr:uid="{00000000-0005-0000-0000-000066160000}"/>
    <cellStyle name="数値" xfId="48" xr:uid="{00000000-0005-0000-0000-000067160000}"/>
    <cellStyle name="数値（桁区切り）" xfId="5749" xr:uid="{00000000-0005-0000-0000-000068160000}"/>
    <cellStyle name="数値_【20031208時点の決定金額】" xfId="5750" xr:uid="{00000000-0005-0000-0000-000069160000}"/>
    <cellStyle name="整数値" xfId="49" xr:uid="{00000000-0005-0000-0000-00006A160000}"/>
    <cellStyle name="整数値 2" xfId="5751" xr:uid="{00000000-0005-0000-0000-00006B160000}"/>
    <cellStyle name="整数値 3" xfId="5752" xr:uid="{00000000-0005-0000-0000-00006C160000}"/>
    <cellStyle name="製品通知&quot;-&quot;" xfId="5753" xr:uid="{00000000-0005-0000-0000-00006D160000}"/>
    <cellStyle name="製品通知価格" xfId="5754" xr:uid="{00000000-0005-0000-0000-00006E160000}"/>
    <cellStyle name="製品通知日付" xfId="5755" xr:uid="{00000000-0005-0000-0000-00006F160000}"/>
    <cellStyle name="製品通知文字列" xfId="5756" xr:uid="{00000000-0005-0000-0000-000070160000}"/>
    <cellStyle name="折り返し" xfId="5757" xr:uid="{00000000-0005-0000-0000-000071160000}"/>
    <cellStyle name="説明文 2" xfId="5758" xr:uid="{00000000-0005-0000-0000-000072160000}"/>
    <cellStyle name="説明文 2 2" xfId="5759" xr:uid="{00000000-0005-0000-0000-000073160000}"/>
    <cellStyle name="説明文 3" xfId="5760" xr:uid="{00000000-0005-0000-0000-000074160000}"/>
    <cellStyle name="説明文 4" xfId="5761" xr:uid="{00000000-0005-0000-0000-000075160000}"/>
    <cellStyle name="大タイトル" xfId="5762" xr:uid="{00000000-0005-0000-0000-000076160000}"/>
    <cellStyle name="脱浦 [0.00]_~0007176" xfId="5763" xr:uid="{00000000-0005-0000-0000-000077160000}"/>
    <cellStyle name="脱浦_~0007176" xfId="5764" xr:uid="{00000000-0005-0000-0000-000078160000}"/>
    <cellStyle name="弾訊" xfId="5765" xr:uid="{00000000-0005-0000-0000-000079160000}"/>
    <cellStyle name="中タイトル" xfId="5766" xr:uid="{00000000-0005-0000-0000-00007A160000}"/>
    <cellStyle name="中央" xfId="5767" xr:uid="{00000000-0005-0000-0000-00007B160000}"/>
    <cellStyle name="帳票" xfId="5768" xr:uid="{00000000-0005-0000-0000-00007C160000}"/>
    <cellStyle name="帳票 2" xfId="5769" xr:uid="{00000000-0005-0000-0000-00007D160000}"/>
    <cellStyle name="帳票 2 2" xfId="5770" xr:uid="{00000000-0005-0000-0000-00007E160000}"/>
    <cellStyle name="帳票 2 2 2" xfId="5771" xr:uid="{00000000-0005-0000-0000-00007F160000}"/>
    <cellStyle name="帳票 2 2 2 2" xfId="5772" xr:uid="{00000000-0005-0000-0000-000080160000}"/>
    <cellStyle name="帳票 2 2 3" xfId="5773" xr:uid="{00000000-0005-0000-0000-000081160000}"/>
    <cellStyle name="帳票 2 2 3 2" xfId="5774" xr:uid="{00000000-0005-0000-0000-000082160000}"/>
    <cellStyle name="帳票 2 3" xfId="5775" xr:uid="{00000000-0005-0000-0000-000083160000}"/>
    <cellStyle name="帳票 2 3 2" xfId="5776" xr:uid="{00000000-0005-0000-0000-000084160000}"/>
    <cellStyle name="帳票 2 4" xfId="5777" xr:uid="{00000000-0005-0000-0000-000085160000}"/>
    <cellStyle name="帳票 2 4 2" xfId="5778" xr:uid="{00000000-0005-0000-0000-000086160000}"/>
    <cellStyle name="帳票 3" xfId="5779" xr:uid="{00000000-0005-0000-0000-000087160000}"/>
    <cellStyle name="帳票 3 2" xfId="5780" xr:uid="{00000000-0005-0000-0000-000088160000}"/>
    <cellStyle name="帳票 4" xfId="5781" xr:uid="{00000000-0005-0000-0000-000089160000}"/>
    <cellStyle name="帳票 4 2" xfId="5782" xr:uid="{00000000-0005-0000-0000-00008A160000}"/>
    <cellStyle name="追加スタイル（梅田）" xfId="5783" xr:uid="{00000000-0005-0000-0000-00008B160000}"/>
    <cellStyle name="通貨 [0.00" xfId="5784" xr:uid="{00000000-0005-0000-0000-00008C160000}"/>
    <cellStyle name="通貨 2" xfId="5785" xr:uid="{00000000-0005-0000-0000-00008D160000}"/>
    <cellStyle name="通貨 3" xfId="5786" xr:uid="{00000000-0005-0000-0000-00008E160000}"/>
    <cellStyle name="通貨 4" xfId="5787" xr:uid="{00000000-0005-0000-0000-00008F160000}"/>
    <cellStyle name="底線" xfId="5788" xr:uid="{00000000-0005-0000-0000-000090160000}"/>
    <cellStyle name="提出日" xfId="5789" xr:uid="{00000000-0005-0000-0000-000091160000}"/>
    <cellStyle name="日付" xfId="50" xr:uid="{00000000-0005-0000-0000-000092160000}"/>
    <cellStyle name="日付 2" xfId="5790" xr:uid="{00000000-0005-0000-0000-000093160000}"/>
    <cellStyle name="日付 3" xfId="5791" xr:uid="{00000000-0005-0000-0000-000094160000}"/>
    <cellStyle name="日付 4" xfId="5792" xr:uid="{00000000-0005-0000-0000-000095160000}"/>
    <cellStyle name="日付yyyy/mm/dd" xfId="5793" xr:uid="{00000000-0005-0000-0000-000096160000}"/>
    <cellStyle name="入力 2" xfId="5794" xr:uid="{00000000-0005-0000-0000-000097160000}"/>
    <cellStyle name="入力 2 2" xfId="5795" xr:uid="{00000000-0005-0000-0000-000098160000}"/>
    <cellStyle name="入力 2 2 2" xfId="5796" xr:uid="{00000000-0005-0000-0000-000099160000}"/>
    <cellStyle name="入力 2 2 3" xfId="5797" xr:uid="{00000000-0005-0000-0000-00009A160000}"/>
    <cellStyle name="入力 2 2 4" xfId="5798" xr:uid="{00000000-0005-0000-0000-00009B160000}"/>
    <cellStyle name="入力 2 2 5" xfId="5799" xr:uid="{00000000-0005-0000-0000-00009C160000}"/>
    <cellStyle name="入力 2 3" xfId="5800" xr:uid="{00000000-0005-0000-0000-00009D160000}"/>
    <cellStyle name="入力 2 4" xfId="5801" xr:uid="{00000000-0005-0000-0000-00009E160000}"/>
    <cellStyle name="入力 2 5" xfId="5802" xr:uid="{00000000-0005-0000-0000-00009F160000}"/>
    <cellStyle name="入力 2 6" xfId="5803" xr:uid="{00000000-0005-0000-0000-0000A0160000}"/>
    <cellStyle name="入力 3" xfId="5804" xr:uid="{00000000-0005-0000-0000-0000A1160000}"/>
    <cellStyle name="入力 3 2" xfId="5805" xr:uid="{00000000-0005-0000-0000-0000A2160000}"/>
    <cellStyle name="入力 3 3" xfId="5806" xr:uid="{00000000-0005-0000-0000-0000A3160000}"/>
    <cellStyle name="入力 3 4" xfId="5807" xr:uid="{00000000-0005-0000-0000-0000A4160000}"/>
    <cellStyle name="入力 3 5" xfId="5808" xr:uid="{00000000-0005-0000-0000-0000A5160000}"/>
    <cellStyle name="入力 4" xfId="5809" xr:uid="{00000000-0005-0000-0000-0000A6160000}"/>
    <cellStyle name="入力 4 2" xfId="5810" xr:uid="{00000000-0005-0000-0000-0000A7160000}"/>
    <cellStyle name="入力 4 3" xfId="5811" xr:uid="{00000000-0005-0000-0000-0000A8160000}"/>
    <cellStyle name="入力 4 4" xfId="5812" xr:uid="{00000000-0005-0000-0000-0000A9160000}"/>
    <cellStyle name="入力 4 5" xfId="5813" xr:uid="{00000000-0005-0000-0000-0000AA160000}"/>
    <cellStyle name="年月日" xfId="5814" xr:uid="{00000000-0005-0000-0000-0000AB160000}"/>
    <cellStyle name="標?_Pacific Region P&amp;L" xfId="5815" xr:uid="{00000000-0005-0000-0000-0000AC160000}"/>
    <cellStyle name="標準" xfId="0" builtinId="0"/>
    <cellStyle name="標準 10" xfId="5816" xr:uid="{00000000-0005-0000-0000-0000AE160000}"/>
    <cellStyle name="標準 10 2" xfId="5817" xr:uid="{00000000-0005-0000-0000-0000AF160000}"/>
    <cellStyle name="標準 11" xfId="5818" xr:uid="{00000000-0005-0000-0000-0000B0160000}"/>
    <cellStyle name="標準 11 2" xfId="5819" xr:uid="{00000000-0005-0000-0000-0000B1160000}"/>
    <cellStyle name="標準 12" xfId="5820" xr:uid="{00000000-0005-0000-0000-0000B2160000}"/>
    <cellStyle name="標準 13" xfId="5821" xr:uid="{00000000-0005-0000-0000-0000B3160000}"/>
    <cellStyle name="標準 14" xfId="5822" xr:uid="{00000000-0005-0000-0000-0000B4160000}"/>
    <cellStyle name="標準 2" xfId="51" xr:uid="{00000000-0005-0000-0000-0000B5160000}"/>
    <cellStyle name="標準 2 10" xfId="5823" xr:uid="{00000000-0005-0000-0000-0000B6160000}"/>
    <cellStyle name="標準 2 10 3" xfId="5824" xr:uid="{00000000-0005-0000-0000-0000B7160000}"/>
    <cellStyle name="標準 2 2" xfId="52" xr:uid="{00000000-0005-0000-0000-0000B8160000}"/>
    <cellStyle name="標準 2 2 2" xfId="5825" xr:uid="{00000000-0005-0000-0000-0000B9160000}"/>
    <cellStyle name="標準 2 2 3" xfId="5826" xr:uid="{00000000-0005-0000-0000-0000BA160000}"/>
    <cellStyle name="標準 2 2 4" xfId="53" xr:uid="{00000000-0005-0000-0000-0000BB160000}"/>
    <cellStyle name="標準 2 3" xfId="5827" xr:uid="{00000000-0005-0000-0000-0000BC160000}"/>
    <cellStyle name="標準 2 3 2" xfId="5828" xr:uid="{00000000-0005-0000-0000-0000BD160000}"/>
    <cellStyle name="標準 2 4" xfId="5829" xr:uid="{00000000-0005-0000-0000-0000BE160000}"/>
    <cellStyle name="標準 2 5" xfId="5830" xr:uid="{00000000-0005-0000-0000-0000BF160000}"/>
    <cellStyle name="標準 2 5 2" xfId="5831" xr:uid="{00000000-0005-0000-0000-0000C0160000}"/>
    <cellStyle name="標準 2 6" xfId="5832" xr:uid="{00000000-0005-0000-0000-0000C1160000}"/>
    <cellStyle name="標準 2 7" xfId="5833" xr:uid="{00000000-0005-0000-0000-0000C2160000}"/>
    <cellStyle name="標準 2 8" xfId="5834" xr:uid="{00000000-0005-0000-0000-0000C3160000}"/>
    <cellStyle name="標準 2 9" xfId="5835" xr:uid="{00000000-0005-0000-0000-0000C4160000}"/>
    <cellStyle name="標準 2_（添付資料３）　画面遷移" xfId="5836" xr:uid="{00000000-0005-0000-0000-0000C5160000}"/>
    <cellStyle name="標準 3" xfId="54" xr:uid="{00000000-0005-0000-0000-0000C6160000}"/>
    <cellStyle name="標準 3 2" xfId="55" xr:uid="{00000000-0005-0000-0000-0000C7160000}"/>
    <cellStyle name="標準 3 2 2" xfId="5837" xr:uid="{00000000-0005-0000-0000-0000C8160000}"/>
    <cellStyle name="標準 3 3" xfId="5838" xr:uid="{00000000-0005-0000-0000-0000C9160000}"/>
    <cellStyle name="標準 3 3 2" xfId="5839" xr:uid="{00000000-0005-0000-0000-0000CA160000}"/>
    <cellStyle name="標準 3 4" xfId="5840" xr:uid="{00000000-0005-0000-0000-0000CB160000}"/>
    <cellStyle name="標準 3 4 2" xfId="5841" xr:uid="{00000000-0005-0000-0000-0000CC160000}"/>
    <cellStyle name="標準 3 5" xfId="5842" xr:uid="{00000000-0005-0000-0000-0000CD160000}"/>
    <cellStyle name="標準 3 5 2" xfId="5843" xr:uid="{00000000-0005-0000-0000-0000CE160000}"/>
    <cellStyle name="標準 3 6" xfId="5844" xr:uid="{00000000-0005-0000-0000-0000CF160000}"/>
    <cellStyle name="標準 3 7" xfId="5845" xr:uid="{00000000-0005-0000-0000-0000D0160000}"/>
    <cellStyle name="標準 3_資料授受依頼一覧" xfId="5846" xr:uid="{00000000-0005-0000-0000-0000D1160000}"/>
    <cellStyle name="標準 4" xfId="66" xr:uid="{00000000-0005-0000-0000-0000D2160000}"/>
    <cellStyle name="標準 4 2" xfId="5848" xr:uid="{00000000-0005-0000-0000-0000D3160000}"/>
    <cellStyle name="標準 4 2 2" xfId="5849" xr:uid="{00000000-0005-0000-0000-0000D4160000}"/>
    <cellStyle name="標準 4 3" xfId="5850" xr:uid="{00000000-0005-0000-0000-0000D5160000}"/>
    <cellStyle name="標準 4 3 2" xfId="5851" xr:uid="{00000000-0005-0000-0000-0000D6160000}"/>
    <cellStyle name="標準 4 4" xfId="5852" xr:uid="{00000000-0005-0000-0000-0000D7160000}"/>
    <cellStyle name="標準 4 5" xfId="5853" xr:uid="{00000000-0005-0000-0000-0000D8160000}"/>
    <cellStyle name="標準 4 6" xfId="5847" xr:uid="{00000000-0005-0000-0000-0000D9160000}"/>
    <cellStyle name="標準 4_確認ポイント" xfId="5854" xr:uid="{00000000-0005-0000-0000-0000DA160000}"/>
    <cellStyle name="標準 5" xfId="65" xr:uid="{00000000-0005-0000-0000-0000DB160000}"/>
    <cellStyle name="標準 5 2" xfId="5855" xr:uid="{00000000-0005-0000-0000-0000DC160000}"/>
    <cellStyle name="標準 6" xfId="5856" xr:uid="{00000000-0005-0000-0000-0000DD160000}"/>
    <cellStyle name="標準 6 2" xfId="5857" xr:uid="{00000000-0005-0000-0000-0000DE160000}"/>
    <cellStyle name="標準 6 2 2" xfId="5858" xr:uid="{00000000-0005-0000-0000-0000DF160000}"/>
    <cellStyle name="標準 6 3" xfId="5859" xr:uid="{00000000-0005-0000-0000-0000E0160000}"/>
    <cellStyle name="標準 6 4" xfId="5860" xr:uid="{00000000-0005-0000-0000-0000E1160000}"/>
    <cellStyle name="標準 7" xfId="5861" xr:uid="{00000000-0005-0000-0000-0000E2160000}"/>
    <cellStyle name="標準 7 2" xfId="5862" xr:uid="{00000000-0005-0000-0000-0000E3160000}"/>
    <cellStyle name="標準 7 3" xfId="5863" xr:uid="{00000000-0005-0000-0000-0000E4160000}"/>
    <cellStyle name="標準 8" xfId="5864" xr:uid="{00000000-0005-0000-0000-0000E5160000}"/>
    <cellStyle name="標準 8 2" xfId="5865" xr:uid="{00000000-0005-0000-0000-0000E6160000}"/>
    <cellStyle name="標準 9" xfId="5866" xr:uid="{00000000-0005-0000-0000-0000E7160000}"/>
    <cellStyle name="標準 9 2" xfId="5867" xr:uid="{00000000-0005-0000-0000-0000E8160000}"/>
    <cellStyle name="標準1" xfId="5868" xr:uid="{00000000-0005-0000-0000-0000E9160000}"/>
    <cellStyle name="標準2" xfId="5869" xr:uid="{00000000-0005-0000-0000-0000EA160000}"/>
    <cellStyle name="標準２" xfId="5870" xr:uid="{00000000-0005-0000-0000-0000EB160000}"/>
    <cellStyle name="標準Ａ" xfId="5871" xr:uid="{00000000-0005-0000-0000-0000EC160000}"/>
    <cellStyle name="標準JOB" xfId="5872" xr:uid="{00000000-0005-0000-0000-0000ED160000}"/>
    <cellStyle name="標準Pﾃﾞｰﾀ項目変更管理手順" xfId="5873" xr:uid="{00000000-0005-0000-0000-0000EE160000}"/>
    <cellStyle name="標準TY" xfId="5874" xr:uid="{00000000-0005-0000-0000-0000EF160000}"/>
    <cellStyle name="標準TY 2" xfId="5875" xr:uid="{00000000-0005-0000-0000-0000F0160000}"/>
    <cellStyle name="標準TY 2 2" xfId="5876" xr:uid="{00000000-0005-0000-0000-0000F1160000}"/>
    <cellStyle name="標準TY 2 3" xfId="5877" xr:uid="{00000000-0005-0000-0000-0000F2160000}"/>
    <cellStyle name="標準TY 2 4" xfId="5878" xr:uid="{00000000-0005-0000-0000-0000F3160000}"/>
    <cellStyle name="標準TY 3" xfId="5879" xr:uid="{00000000-0005-0000-0000-0000F4160000}"/>
    <cellStyle name="標準TY 4" xfId="5880" xr:uid="{00000000-0005-0000-0000-0000F5160000}"/>
    <cellStyle name="標準TY 5" xfId="5881" xr:uid="{00000000-0005-0000-0000-0000F6160000}"/>
    <cellStyle name="標準フォント" xfId="5882" xr:uid="{00000000-0005-0000-0000-0000F7160000}"/>
    <cellStyle name="標準外部設計" xfId="5883" xr:uid="{00000000-0005-0000-0000-0000F8160000}"/>
    <cellStyle name="標準仕様書" xfId="56" xr:uid="{00000000-0005-0000-0000-0000F9160000}"/>
    <cellStyle name="表・・・・ハイパーリンク" xfId="5884" xr:uid="{00000000-0005-0000-0000-0000FA160000}"/>
    <cellStyle name="表ヘッダー" xfId="5885" xr:uid="{00000000-0005-0000-0000-0000FB160000}"/>
    <cellStyle name="表旨巧・・ハイパーリンク" xfId="57" xr:uid="{00000000-0005-0000-0000-0000FC160000}"/>
    <cellStyle name="表旨巧・・ハイパーリンク 2" xfId="5886" xr:uid="{00000000-0005-0000-0000-0000FD160000}"/>
    <cellStyle name="付表" xfId="5887" xr:uid="{00000000-0005-0000-0000-0000FE160000}"/>
    <cellStyle name="文字列" xfId="58" xr:uid="{00000000-0005-0000-0000-0000FF160000}"/>
    <cellStyle name="文字列 2" xfId="5888" xr:uid="{00000000-0005-0000-0000-000000170000}"/>
    <cellStyle name="保護" xfId="5889" xr:uid="{00000000-0005-0000-0000-000001170000}"/>
    <cellStyle name="本文" xfId="5890" xr:uid="{00000000-0005-0000-0000-000002170000}"/>
    <cellStyle name="磨葬e義" xfId="5891" xr:uid="{00000000-0005-0000-0000-000003170000}"/>
    <cellStyle name="未定義" xfId="59" xr:uid="{00000000-0005-0000-0000-000004170000}"/>
    <cellStyle name="未定義 2" xfId="60" xr:uid="{00000000-0005-0000-0000-000005170000}"/>
    <cellStyle name="未定義 2 2" xfId="5892" xr:uid="{00000000-0005-0000-0000-000006170000}"/>
    <cellStyle name="未定義 2 3" xfId="5893" xr:uid="{00000000-0005-0000-0000-000007170000}"/>
    <cellStyle name="未定義 3" xfId="5894" xr:uid="{00000000-0005-0000-0000-000008170000}"/>
    <cellStyle name="未定義 4" xfId="5895" xr:uid="{00000000-0005-0000-0000-000009170000}"/>
    <cellStyle name="未定義 5" xfId="5896" xr:uid="{00000000-0005-0000-0000-00000A170000}"/>
    <cellStyle name="無人" xfId="5897" xr:uid="{00000000-0005-0000-0000-00000B170000}"/>
    <cellStyle name="約定ベース" xfId="5898" xr:uid="{00000000-0005-0000-0000-00000C170000}"/>
    <cellStyle name="良い 2" xfId="5899" xr:uid="{00000000-0005-0000-0000-00000D170000}"/>
    <cellStyle name="良い 2 2" xfId="5900" xr:uid="{00000000-0005-0000-0000-00000E170000}"/>
    <cellStyle name="良い 3" xfId="5901" xr:uid="{00000000-0005-0000-0000-00000F170000}"/>
    <cellStyle name="良い 4" xfId="5902" xr:uid="{00000000-0005-0000-0000-000010170000}"/>
    <cellStyle name="枠内" xfId="5903" xr:uid="{00000000-0005-0000-0000-000011170000}"/>
    <cellStyle name="爲敲据⁹〨崩⡜⑜Ⱓ⌣⸰〰⥜ ‪ⴢ㼢弿㬠 彀㼠 弻䀠 †††††††††††††††††††††††††㠠᠇鰁묂堀뀽w" xfId="61" xr:uid="{00000000-0005-0000-0000-000012170000}"/>
    <cellStyle name="爲敲据⁹〨崩⡜⑜Ⱓ⌣⸰〰⥜ ‪ⴢ㼢弿㬠 彀㼠 弻䀠 †††††††††††††††††††††††††㠠᠇鰁묂堀뀽w 2" xfId="5904" xr:uid="{00000000-0005-0000-0000-000013170000}"/>
    <cellStyle name="爲敲据⁹〨崩⡜⑜Ⱓ⌣⸰〰⥜ ‪ⴢ㼢弿㬠 彀㼠 弻䀠 †††††††††††††††††††††††††㠠᠇鰁묂堀뀽w 3" xfId="5905" xr:uid="{00000000-0005-0000-0000-000014170000}"/>
    <cellStyle name="爲敲据⁹〨崩⡜⑜Ⱓ⌣⸰〰⥜ ‪ⴢ㼢弿㬠 彀㼠 弻䀠 †††††††††††††††††††††††††㠠᠇鰁묂堀뀽w 4" xfId="5906" xr:uid="{00000000-0005-0000-0000-000015170000}"/>
    <cellStyle name="爲敲据⁹〨崩⡜⑜Ⱓ⌣⸰〰⥜ ‪ⴢ㼢弿㬠 彀㼠 弻䀠 †††††††††††††††††††††††††㠠᠇鰁묂堀뀽w???ꠀዐ준㛮0??????대대ጀ᐀대대ᔀᘀ대대ᜀ᠀대대ᤀᨀ대대ᬀᰀ대대ᴀḀ대대ἀ 대대℀∀대대⌀␀대대─☀됀됀Ā̀됀됀Ԁ؀됀됀܀ࠀ됀됀ऀ਀됀됀଀ఀ됀됀ഀ฀됀됀ༀက됀됀ᄀሀ됀됀ጀ᐀됀됀ᔀᘀ됀됀ᜀ᠀됀됀ᤀᨀ됀됀ᬀᰀ됀됀ᴀḀ됀됀ἀ 됀됀℀∀됀됀⌀␀됀됀─☀딀딀Ā̀딀딀Ԁ؀딀딀܀ࠀ딀딀ऀ਀딀딀଀ఀ딀딀ഀ฀딀딀ༀက딀딀ᄀሀ딀딀ጀ᐀딀딀ᔀᘀ딀딀ᜀ᠀딀딀ᤀᨀ딀딀ᬀᰀ딀딀ᴀḀ딀딀ἀ 딀딀℀∀딀딀⌀␀딀딀─" xfId="5907" xr:uid="{00000000-0005-0000-0000-000016170000}"/>
    <cellStyle name="捬䌠牵敲据⁹〨崩⡜⑜Ⱓ⌣⸰〰⥜ ‪ⴢ㼢弿㬠 彀㼠 弻䀠 †††††††††††††††††††††††††㠠᠇鰁묂堀뀽w" xfId="62" xr:uid="{00000000-0005-0000-0000-000017170000}"/>
    <cellStyle name="捬䌠牵敲据⁹〨崩⡜⑜Ⱓ⌣⸰〰⥜ ‪ⴢ㼢弿㬠 彀㼠 弻䀠 †††††††††††††††††††††††††㠠᠇鰁묂堀뀽w???ꠀዐ준㛮0??????대대ጀ᐀대대ᔀᘀ대대ᜀ᠀대대ᤀᨀ대대ᬀᰀ대대ᴀḀ대대ἀ 대대℀∀대대⌀␀대대─☀됀됀Ā̀됀됀Ԁ؀됀됀܀ࠀ됀됀ऀ਀됀됀଀ఀ됀됀ഀ฀됀됀ༀက됀됀ᄀሀ됀됀ጀ᐀됀됀ᔀᘀ됀됀ᜀ᠀됀됀ᤀᨀ됀됀ᬀᰀ됀됀ᴀḀ됀됀ἀ 됀됀℀∀됀됀⌀␀됀됀─☀딀딀Ā̀딀딀Ԁ؀딀딀܀ࠀ딀딀ऀ਀딀딀଀ఀ딀딀ഀ฀딀딀ༀက딀딀ᄀሀ딀딀ጀ᐀딀딀ᔀᘀ딀딀ᜀ᠀딀딀ᤀᨀ딀딀ᬀᰀ딀딀ᴀḀ딀딀ἀ 딀딀℀∀딀딀⌀␀딀" xfId="5908" xr:uid="{00000000-0005-0000-0000-000018170000}"/>
    <cellStyle name="爱敲据⁹〨崩⡜⑜Ⱓ⌣⸰〰⥜ ‪ⴢ㼢弿㬠 彀㼠 弻䀠 †††††††††††††††††††††††††㠠᠇鰁묂堀뀽w" xfId="63" xr:uid="{00000000-0005-0000-0000-000019170000}"/>
    <cellStyle name="爱敲据⁹〨崩⡜⑜Ⱓ⌣⸰〰⥜ ‪ⴢ㼢弿㬠 彀㼠 弻䀠 †††††††††††††††††††††††††㠠᠇鰁묂堀뀽w???ꠀዐ준㛮0??????대대ጀ᐀대대ᔀᘀ대대ᜀ᠀대대ᤀᨀ대대ᬀᰀ대대ᴀḀ대대ἀ 대대℀∀대대⌀␀대대─☀됀됀Ā̀됀됀Ԁ؀됀됀܀ࠀ됀됀ऀ਀됀됀଀ఀ됀됀ഀ฀됀됀ༀက됀됀ᄀሀ됀됀ጀ᐀됀됀ᔀᘀ됀됀ᜀ᠀됀됀ᤀᨀ됀됀ᬀᰀ됀됀ᴀḀ됀됀ἀ 됀됀℀∀됀됀⌀␀됀됀─☀딀딀Ā̀딀딀Ԁ؀딀딀܀ࠀ딀딀ऀ਀딀딀଀ఀ딀딀ഀ฀딀딀ༀက딀딀ᄀሀ딀딀ጀ᐀딀딀ᔀᘀ딀딀ᜀ᠀딀딀ᤀᨀ딀딀ᬀᰀ딀딀ᴀḀ딀딀ἀ 딀딀℀∀딀딀⌀␀딀딀─" xfId="5909" xr:uid="{00000000-0005-0000-0000-00001A170000}"/>
    <cellStyle name="㠱䤭瑮牥敮⡴⑜Ⱓ⌣⸰〰⥜ ‪ⴢ㼢弿㬠 彀㼠 弻䀠 †††††††††††††††††††††††††㠠᠇鰁묂堀뀽w" xfId="64" xr:uid="{00000000-0005-0000-0000-00001B170000}"/>
    <cellStyle name="㠱䤭瑮牥敮⡴⑜Ⱓ⌣⸰〰⥜ ‪ⴢ㼢弿㬠 彀㼠 弻䀠 †††††††††††††††††††††††††㠠᠇鰁묂堀뀽w???ꠀዐ준㛮0??????대대ጀ᐀대대ᔀᘀ대대ᜀ᠀대대ᤀᨀ대대ᬀᰀ대대ᴀḀ대대ἀ 대대℀∀대대⌀␀대대─☀됀됀Ā̀됀됀Ԁ؀됀됀܀ࠀ됀됀ऀ਀됀됀଀ఀ됀됀ഀ฀됀됀ༀက됀됀ᄀሀ됀됀ጀ᐀됀됀ᔀᘀ됀됀ᜀ᠀됀됀ᤀᨀ됀됀ᬀᰀ됀됀ᴀḀ됀됀ἀ 됀됀℀∀됀됀⌀␀됀됀─☀딀딀Ā̀딀딀Ԁ؀딀딀܀ࠀ딀딀ऀ਀딀딀଀ఀ딀딀ഀ฀딀딀ༀက딀딀ᄀሀ딀딀ጀ᐀딀딀ᔀᘀ딀딀ᜀ᠀딀딀ᤀᨀ딀딀ᬀᰀ딀딀ᴀḀ딀딀ἀ 딀딀℀∀딀딀⌀␀딀딀─☀" xfId="5910" xr:uid="{00000000-0005-0000-0000-00001C170000}"/>
  </cellStyles>
  <dxfs count="0"/>
  <tableStyles count="1" defaultTableStyle="TableStyleMedium2" defaultPivotStyle="PivotStyleLight16">
    <tableStyle name="テーブル スタイル 1" pivot="0" count="0" xr9:uid="{00000000-0011-0000-FFFF-FFFF00000000}"/>
  </tableStyles>
  <colors>
    <mruColors>
      <color rgb="FF0099CC"/>
      <color rgb="FFFFFFCC"/>
      <color rgb="FFFF99FF"/>
      <color rgb="FFFFCCCC"/>
      <color rgb="FFCCFFCC"/>
      <color rgb="FFCCFFFF"/>
      <color rgb="FFFFCC99"/>
      <color rgb="FFCCFF99"/>
      <color rgb="FF66FFFF"/>
      <color rgb="FF66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1289050</xdr:colOff>
          <xdr:row>0</xdr:row>
          <xdr:rowOff>38100</xdr:rowOff>
        </xdr:from>
        <xdr:to>
          <xdr:col>2</xdr:col>
          <xdr:colOff>1651000</xdr:colOff>
          <xdr:row>1</xdr:row>
          <xdr:rowOff>171450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1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</a:t>
              </a:r>
            </a:p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50800</xdr:colOff>
          <xdr:row>0</xdr:row>
          <xdr:rowOff>31750</xdr:rowOff>
        </xdr:from>
        <xdr:to>
          <xdr:col>1</xdr:col>
          <xdr:colOff>400050</xdr:colOff>
          <xdr:row>1</xdr:row>
          <xdr:rowOff>171450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1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進捗管理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603250</xdr:rowOff>
        </xdr:from>
        <xdr:to>
          <xdr:col>0</xdr:col>
          <xdr:colOff>393700</xdr:colOff>
          <xdr:row>2</xdr:row>
          <xdr:rowOff>965200</xdr:rowOff>
        </xdr:to>
        <xdr:sp macro="" textlink="">
          <xdr:nvSpPr>
            <xdr:cNvPr id="20486" name="Button 6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01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</a:t>
              </a:r>
            </a:p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19050</xdr:rowOff>
        </xdr:from>
        <xdr:to>
          <xdr:col>0</xdr:col>
          <xdr:colOff>393700</xdr:colOff>
          <xdr:row>1</xdr:row>
          <xdr:rowOff>171450</xdr:rowOff>
        </xdr:to>
        <xdr:sp macro="" textlink="">
          <xdr:nvSpPr>
            <xdr:cNvPr id="20489" name="Button 9" hidden="1">
              <a:extLst>
                <a:ext uri="{63B3BB69-23CF-44E3-9099-C40C66FF867C}">
                  <a14:compatExt spid="_x0000_s20489"/>
                </a:ext>
                <a:ext uri="{FF2B5EF4-FFF2-40B4-BE49-F238E27FC236}">
                  <a16:creationId xmlns:a16="http://schemas.microsoft.com/office/drawing/2014/main" id="{00000000-0008-0000-0100-00000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0</xdr:row>
          <xdr:rowOff>38100</xdr:rowOff>
        </xdr:from>
        <xdr:to>
          <xdr:col>2</xdr:col>
          <xdr:colOff>1193800</xdr:colOff>
          <xdr:row>1</xdr:row>
          <xdr:rowOff>152400</xdr:rowOff>
        </xdr:to>
        <xdr:sp macro="" textlink="">
          <xdr:nvSpPr>
            <xdr:cNvPr id="21502" name="Check Box 1022" hidden="1">
              <a:extLst>
                <a:ext uri="{63B3BB69-23CF-44E3-9099-C40C66FF867C}">
                  <a14:compatExt spid="_x0000_s21502"/>
                </a:ext>
                <a:ext uri="{FF2B5EF4-FFF2-40B4-BE49-F238E27FC236}">
                  <a16:creationId xmlns:a16="http://schemas.microsoft.com/office/drawing/2014/main" id="{00000000-0008-0000-0100-0000FE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AEAEA"/>
            </a:solidFill>
            <a:ln w="317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日次明細列の値削除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0</xdr:col>
          <xdr:colOff>196850</xdr:colOff>
          <xdr:row>3</xdr:row>
          <xdr:rowOff>127000</xdr:rowOff>
        </xdr:to>
        <xdr:sp macro="" textlink="">
          <xdr:nvSpPr>
            <xdr:cNvPr id="31820" name="Check Box 2124" hidden="1">
              <a:extLst>
                <a:ext uri="{63B3BB69-23CF-44E3-9099-C40C66FF867C}">
                  <a14:compatExt spid="_x0000_s31820"/>
                </a:ext>
                <a:ext uri="{FF2B5EF4-FFF2-40B4-BE49-F238E27FC236}">
                  <a16:creationId xmlns:a16="http://schemas.microsoft.com/office/drawing/2014/main" id="{1B720CC3-4E03-40D6-A217-23633880B3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0</xdr:col>
          <xdr:colOff>196850</xdr:colOff>
          <xdr:row>4</xdr:row>
          <xdr:rowOff>127000</xdr:rowOff>
        </xdr:to>
        <xdr:sp macro="" textlink="">
          <xdr:nvSpPr>
            <xdr:cNvPr id="31821" name="Check Box 2125" hidden="1">
              <a:extLst>
                <a:ext uri="{63B3BB69-23CF-44E3-9099-C40C66FF867C}">
                  <a14:compatExt spid="_x0000_s31821"/>
                </a:ext>
                <a:ext uri="{FF2B5EF4-FFF2-40B4-BE49-F238E27FC236}">
                  <a16:creationId xmlns:a16="http://schemas.microsoft.com/office/drawing/2014/main" id="{F87BA019-D50E-4CF7-B4E7-C52ACB31CB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196850</xdr:colOff>
          <xdr:row>5</xdr:row>
          <xdr:rowOff>127000</xdr:rowOff>
        </xdr:to>
        <xdr:sp macro="" textlink="">
          <xdr:nvSpPr>
            <xdr:cNvPr id="31822" name="Check Box 2126" hidden="1">
              <a:extLst>
                <a:ext uri="{63B3BB69-23CF-44E3-9099-C40C66FF867C}">
                  <a14:compatExt spid="_x0000_s31822"/>
                </a:ext>
                <a:ext uri="{FF2B5EF4-FFF2-40B4-BE49-F238E27FC236}">
                  <a16:creationId xmlns:a16="http://schemas.microsoft.com/office/drawing/2014/main" id="{5649E79B-A876-40CD-A328-FCB11DCAFA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0</xdr:col>
          <xdr:colOff>196850</xdr:colOff>
          <xdr:row>6</xdr:row>
          <xdr:rowOff>127000</xdr:rowOff>
        </xdr:to>
        <xdr:sp macro="" textlink="">
          <xdr:nvSpPr>
            <xdr:cNvPr id="31823" name="Check Box 2127" hidden="1">
              <a:extLst>
                <a:ext uri="{63B3BB69-23CF-44E3-9099-C40C66FF867C}">
                  <a14:compatExt spid="_x0000_s31823"/>
                </a:ext>
                <a:ext uri="{FF2B5EF4-FFF2-40B4-BE49-F238E27FC236}">
                  <a16:creationId xmlns:a16="http://schemas.microsoft.com/office/drawing/2014/main" id="{6E9CADF3-A49B-4F12-9CF6-63449A9313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0</xdr:col>
          <xdr:colOff>196850</xdr:colOff>
          <xdr:row>7</xdr:row>
          <xdr:rowOff>127000</xdr:rowOff>
        </xdr:to>
        <xdr:sp macro="" textlink="">
          <xdr:nvSpPr>
            <xdr:cNvPr id="31824" name="Check Box 2128" hidden="1">
              <a:extLst>
                <a:ext uri="{63B3BB69-23CF-44E3-9099-C40C66FF867C}">
                  <a14:compatExt spid="_x0000_s31824"/>
                </a:ext>
                <a:ext uri="{FF2B5EF4-FFF2-40B4-BE49-F238E27FC236}">
                  <a16:creationId xmlns:a16="http://schemas.microsoft.com/office/drawing/2014/main" id="{7CB28280-4DC3-4DE4-8053-AA65C744D4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0</xdr:col>
          <xdr:colOff>196850</xdr:colOff>
          <xdr:row>8</xdr:row>
          <xdr:rowOff>127000</xdr:rowOff>
        </xdr:to>
        <xdr:sp macro="" textlink="">
          <xdr:nvSpPr>
            <xdr:cNvPr id="31825" name="Check Box 2129" hidden="1">
              <a:extLst>
                <a:ext uri="{63B3BB69-23CF-44E3-9099-C40C66FF867C}">
                  <a14:compatExt spid="_x0000_s31825"/>
                </a:ext>
                <a:ext uri="{FF2B5EF4-FFF2-40B4-BE49-F238E27FC236}">
                  <a16:creationId xmlns:a16="http://schemas.microsoft.com/office/drawing/2014/main" id="{9B91D6D7-DAD9-4D79-9DB7-377C4105B6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0</xdr:col>
          <xdr:colOff>196850</xdr:colOff>
          <xdr:row>9</xdr:row>
          <xdr:rowOff>127000</xdr:rowOff>
        </xdr:to>
        <xdr:sp macro="" textlink="">
          <xdr:nvSpPr>
            <xdr:cNvPr id="31826" name="Check Box 2130" hidden="1">
              <a:extLst>
                <a:ext uri="{63B3BB69-23CF-44E3-9099-C40C66FF867C}">
                  <a14:compatExt spid="_x0000_s31826"/>
                </a:ext>
                <a:ext uri="{FF2B5EF4-FFF2-40B4-BE49-F238E27FC236}">
                  <a16:creationId xmlns:a16="http://schemas.microsoft.com/office/drawing/2014/main" id="{6D208177-8439-4766-8D45-7E09D1B547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0</xdr:col>
          <xdr:colOff>196850</xdr:colOff>
          <xdr:row>10</xdr:row>
          <xdr:rowOff>127000</xdr:rowOff>
        </xdr:to>
        <xdr:sp macro="" textlink="">
          <xdr:nvSpPr>
            <xdr:cNvPr id="31827" name="Check Box 2131" hidden="1">
              <a:extLst>
                <a:ext uri="{63B3BB69-23CF-44E3-9099-C40C66FF867C}">
                  <a14:compatExt spid="_x0000_s31827"/>
                </a:ext>
                <a:ext uri="{FF2B5EF4-FFF2-40B4-BE49-F238E27FC236}">
                  <a16:creationId xmlns:a16="http://schemas.microsoft.com/office/drawing/2014/main" id="{AD149AE0-F154-45CE-8EAE-3C1A3FFD2A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0</xdr:col>
          <xdr:colOff>196850</xdr:colOff>
          <xdr:row>11</xdr:row>
          <xdr:rowOff>127000</xdr:rowOff>
        </xdr:to>
        <xdr:sp macro="" textlink="">
          <xdr:nvSpPr>
            <xdr:cNvPr id="31828" name="Check Box 2132" hidden="1">
              <a:extLst>
                <a:ext uri="{63B3BB69-23CF-44E3-9099-C40C66FF867C}">
                  <a14:compatExt spid="_x0000_s31828"/>
                </a:ext>
                <a:ext uri="{FF2B5EF4-FFF2-40B4-BE49-F238E27FC236}">
                  <a16:creationId xmlns:a16="http://schemas.microsoft.com/office/drawing/2014/main" id="{BD56D585-2167-4A2B-835E-2DF6C1BD5D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0</xdr:col>
          <xdr:colOff>196850</xdr:colOff>
          <xdr:row>12</xdr:row>
          <xdr:rowOff>127000</xdr:rowOff>
        </xdr:to>
        <xdr:sp macro="" textlink="">
          <xdr:nvSpPr>
            <xdr:cNvPr id="31829" name="Check Box 2133" hidden="1">
              <a:extLst>
                <a:ext uri="{63B3BB69-23CF-44E3-9099-C40C66FF867C}">
                  <a14:compatExt spid="_x0000_s31829"/>
                </a:ext>
                <a:ext uri="{FF2B5EF4-FFF2-40B4-BE49-F238E27FC236}">
                  <a16:creationId xmlns:a16="http://schemas.microsoft.com/office/drawing/2014/main" id="{123EF9DF-EFA9-4F6C-BE3A-DBE761D3DC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O61"/>
  <sheetViews>
    <sheetView showGridLines="0" zoomScale="85" zoomScaleNormal="85" zoomScaleSheetLayoutView="50" workbookViewId="0">
      <selection activeCell="C34" sqref="C34"/>
    </sheetView>
  </sheetViews>
  <sheetFormatPr defaultColWidth="8.7265625" defaultRowHeight="15"/>
  <cols>
    <col min="1" max="1" width="2.90625" style="1" customWidth="1"/>
    <col min="2" max="16384" width="8.7265625" style="1"/>
  </cols>
  <sheetData>
    <row r="1" spans="2:15">
      <c r="B1" s="1" t="s">
        <v>34</v>
      </c>
    </row>
    <row r="2" spans="2:15">
      <c r="C2" s="1" t="s">
        <v>38</v>
      </c>
    </row>
    <row r="3" spans="2:15">
      <c r="C3" s="1" t="s">
        <v>50</v>
      </c>
    </row>
    <row r="4" spans="2:15">
      <c r="C4" s="65" t="s">
        <v>86</v>
      </c>
    </row>
    <row r="5" spans="2:15">
      <c r="C5" s="64" t="s">
        <v>53</v>
      </c>
    </row>
    <row r="6" spans="2:15">
      <c r="C6" s="65" t="s">
        <v>87</v>
      </c>
    </row>
    <row r="7" spans="2:15">
      <c r="C7" s="65" t="s">
        <v>97</v>
      </c>
    </row>
    <row r="8" spans="2:15">
      <c r="C8" s="65" t="s">
        <v>98</v>
      </c>
    </row>
    <row r="9" spans="2:15">
      <c r="C9" s="1" t="s">
        <v>59</v>
      </c>
    </row>
    <row r="11" spans="2:15">
      <c r="B11" s="1" t="s">
        <v>32</v>
      </c>
    </row>
    <row r="12" spans="2:15">
      <c r="B12" s="2" t="s">
        <v>29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4"/>
    </row>
    <row r="13" spans="2:15">
      <c r="B13" s="5"/>
      <c r="C13" s="6" t="s">
        <v>13</v>
      </c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7"/>
    </row>
    <row r="14" spans="2:15">
      <c r="B14" s="5"/>
      <c r="C14" s="6" t="s">
        <v>14</v>
      </c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7"/>
    </row>
    <row r="15" spans="2:15">
      <c r="B15" s="5"/>
      <c r="C15" s="6" t="s">
        <v>15</v>
      </c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7"/>
    </row>
    <row r="16" spans="2:15">
      <c r="B16" s="5"/>
      <c r="C16" s="8" t="s">
        <v>99</v>
      </c>
      <c r="D16" s="13" t="s">
        <v>16</v>
      </c>
      <c r="E16" s="14"/>
      <c r="F16" s="14"/>
      <c r="G16" s="14"/>
      <c r="H16" s="13" t="s">
        <v>49</v>
      </c>
      <c r="I16" s="14"/>
      <c r="J16" s="14"/>
      <c r="K16" s="15"/>
      <c r="L16" s="6"/>
      <c r="M16" s="6"/>
      <c r="N16" s="6"/>
      <c r="O16" s="7"/>
    </row>
    <row r="17" spans="2:15">
      <c r="B17" s="5"/>
      <c r="C17" s="6"/>
      <c r="D17" s="16" t="s">
        <v>39</v>
      </c>
      <c r="E17" s="17"/>
      <c r="F17" s="17"/>
      <c r="G17" s="17"/>
      <c r="H17" s="16"/>
      <c r="I17" s="17"/>
      <c r="J17" s="17"/>
      <c r="K17" s="18"/>
      <c r="L17" s="6"/>
      <c r="M17" s="6"/>
      <c r="N17" s="6"/>
      <c r="O17" s="7"/>
    </row>
    <row r="18" spans="2:15">
      <c r="B18" s="5"/>
      <c r="C18" s="8" t="s">
        <v>99</v>
      </c>
      <c r="D18" s="71" t="s">
        <v>100</v>
      </c>
      <c r="E18" s="72"/>
      <c r="F18" s="72"/>
      <c r="G18" s="72"/>
      <c r="H18" s="71" t="s">
        <v>101</v>
      </c>
      <c r="I18" s="73"/>
      <c r="J18" s="17"/>
      <c r="K18" s="18"/>
      <c r="L18" s="74" t="s">
        <v>97</v>
      </c>
      <c r="M18" s="6"/>
      <c r="N18" s="6"/>
      <c r="O18" s="7"/>
    </row>
    <row r="19" spans="2:15">
      <c r="B19" s="5"/>
      <c r="C19" s="8"/>
      <c r="D19" s="16" t="s">
        <v>17</v>
      </c>
      <c r="E19" s="17"/>
      <c r="F19" s="17"/>
      <c r="G19" s="17"/>
      <c r="H19" s="16" t="s">
        <v>26</v>
      </c>
      <c r="I19" s="17"/>
      <c r="J19" s="17"/>
      <c r="K19" s="18"/>
      <c r="L19" s="6"/>
      <c r="M19" s="6"/>
      <c r="N19" s="6"/>
      <c r="O19" s="7"/>
    </row>
    <row r="20" spans="2:15">
      <c r="B20" s="5"/>
      <c r="C20" s="8"/>
      <c r="D20" s="16" t="s">
        <v>40</v>
      </c>
      <c r="E20" s="17"/>
      <c r="F20" s="17"/>
      <c r="G20" s="17"/>
      <c r="H20" s="16"/>
      <c r="I20" s="17"/>
      <c r="J20" s="17"/>
      <c r="K20" s="18"/>
      <c r="L20" s="6"/>
      <c r="M20" s="6"/>
      <c r="N20" s="6"/>
      <c r="O20" s="7"/>
    </row>
    <row r="21" spans="2:15">
      <c r="B21" s="5"/>
      <c r="C21" s="8" t="s">
        <v>99</v>
      </c>
      <c r="D21" s="16" t="s">
        <v>41</v>
      </c>
      <c r="E21" s="17"/>
      <c r="F21" s="17"/>
      <c r="G21" s="17"/>
      <c r="H21" s="16" t="s">
        <v>42</v>
      </c>
      <c r="I21" s="17"/>
      <c r="J21" s="17"/>
      <c r="K21" s="18"/>
      <c r="L21" s="6"/>
      <c r="M21" s="6"/>
      <c r="N21" s="6"/>
      <c r="O21" s="7"/>
    </row>
    <row r="22" spans="2:15">
      <c r="B22" s="5"/>
      <c r="C22" s="8" t="s">
        <v>99</v>
      </c>
      <c r="D22" s="16" t="s">
        <v>48</v>
      </c>
      <c r="E22" s="17"/>
      <c r="F22" s="17"/>
      <c r="G22" s="17"/>
      <c r="H22" s="16" t="s">
        <v>47</v>
      </c>
      <c r="I22" s="17"/>
      <c r="J22" s="17"/>
      <c r="K22" s="18"/>
      <c r="L22" s="6"/>
      <c r="M22" s="6"/>
      <c r="N22" s="6"/>
      <c r="O22" s="7"/>
    </row>
    <row r="23" spans="2:15">
      <c r="B23" s="5"/>
      <c r="C23" s="8"/>
      <c r="D23" s="16" t="s">
        <v>43</v>
      </c>
      <c r="E23" s="17"/>
      <c r="F23" s="17"/>
      <c r="G23" s="17"/>
      <c r="H23" s="16"/>
      <c r="I23" s="17"/>
      <c r="J23" s="17"/>
      <c r="K23" s="18"/>
      <c r="L23" s="6"/>
      <c r="M23" s="6"/>
      <c r="N23" s="6"/>
      <c r="O23" s="7"/>
    </row>
    <row r="24" spans="2:15">
      <c r="B24" s="5"/>
      <c r="C24" s="8" t="s">
        <v>99</v>
      </c>
      <c r="D24" s="19" t="s">
        <v>44</v>
      </c>
      <c r="E24" s="20"/>
      <c r="F24" s="20"/>
      <c r="G24" s="20"/>
      <c r="H24" s="19" t="s">
        <v>45</v>
      </c>
      <c r="I24" s="20"/>
      <c r="J24" s="20"/>
      <c r="K24" s="21"/>
      <c r="L24" s="6"/>
      <c r="M24" s="6"/>
      <c r="N24" s="6"/>
      <c r="O24" s="7"/>
    </row>
    <row r="25" spans="2:15">
      <c r="B25" s="5"/>
      <c r="C25" s="6"/>
      <c r="D25" s="9" t="s">
        <v>21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7"/>
    </row>
    <row r="26" spans="2:15">
      <c r="B26" s="5"/>
      <c r="C26" s="6"/>
      <c r="D26" s="9" t="s">
        <v>102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7"/>
    </row>
    <row r="27" spans="2:15">
      <c r="B27" s="5"/>
      <c r="C27" s="6"/>
      <c r="D27" s="6" t="s">
        <v>51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7"/>
    </row>
    <row r="28" spans="2:15">
      <c r="B28" s="5"/>
      <c r="C28" s="6"/>
      <c r="D28" s="6" t="s">
        <v>46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7"/>
    </row>
    <row r="29" spans="2:15">
      <c r="B29" s="5"/>
      <c r="C29" s="6" t="s">
        <v>18</v>
      </c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7"/>
    </row>
    <row r="30" spans="2:15">
      <c r="B30" s="5"/>
      <c r="C30" s="6"/>
      <c r="D30" s="6" t="s">
        <v>103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7"/>
    </row>
    <row r="31" spans="2:15">
      <c r="B31" s="5"/>
      <c r="C31" s="6"/>
      <c r="D31" s="9" t="s">
        <v>33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7"/>
    </row>
    <row r="32" spans="2:15">
      <c r="B32" s="5"/>
      <c r="C32" s="6"/>
      <c r="D32" s="6" t="s">
        <v>22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7"/>
    </row>
    <row r="33" spans="2:15">
      <c r="B33" s="5"/>
      <c r="C33" s="6"/>
      <c r="D33" s="9" t="s">
        <v>27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7"/>
    </row>
    <row r="34" spans="2:15">
      <c r="B34" s="5"/>
      <c r="C34" s="6"/>
      <c r="D34" s="6" t="s">
        <v>52</v>
      </c>
      <c r="E34" s="6"/>
      <c r="F34" s="6"/>
      <c r="G34" s="6"/>
      <c r="H34" s="6"/>
      <c r="I34" s="6"/>
      <c r="J34" s="6"/>
      <c r="K34" s="6"/>
      <c r="L34" s="6"/>
      <c r="M34" s="6"/>
      <c r="N34" s="6"/>
      <c r="O34" s="7"/>
    </row>
    <row r="35" spans="2:15">
      <c r="B35" s="5"/>
      <c r="C35" s="6"/>
      <c r="D35" s="6" t="s">
        <v>28</v>
      </c>
      <c r="E35" s="6"/>
      <c r="F35" s="6"/>
      <c r="G35" s="6"/>
      <c r="H35" s="6"/>
      <c r="I35" s="6"/>
      <c r="J35" s="6"/>
      <c r="K35" s="6"/>
      <c r="L35" s="6"/>
      <c r="M35" s="6"/>
      <c r="N35" s="6"/>
      <c r="O35" s="7"/>
    </row>
    <row r="36" spans="2:15">
      <c r="B36" s="5"/>
      <c r="C36" s="6"/>
      <c r="D36" s="6" t="s">
        <v>104</v>
      </c>
      <c r="E36" s="6"/>
      <c r="F36" s="6"/>
      <c r="G36" s="6"/>
      <c r="H36" s="6"/>
      <c r="I36" s="6"/>
      <c r="J36" s="6"/>
      <c r="K36" s="6"/>
      <c r="L36" s="6"/>
      <c r="M36" s="6"/>
      <c r="N36" s="6"/>
      <c r="O36" s="7"/>
    </row>
    <row r="37" spans="2:15">
      <c r="B37" s="5"/>
      <c r="C37" s="6"/>
      <c r="D37" s="9" t="s">
        <v>58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7"/>
    </row>
    <row r="38" spans="2:15">
      <c r="B38" s="5"/>
      <c r="C38" s="6"/>
      <c r="D38" s="6" t="s">
        <v>57</v>
      </c>
      <c r="E38" s="6"/>
      <c r="F38" s="6"/>
      <c r="G38" s="6"/>
      <c r="H38" s="6"/>
      <c r="I38" s="6"/>
      <c r="J38" s="6"/>
      <c r="K38" s="6"/>
      <c r="L38" s="6"/>
      <c r="M38" s="6"/>
      <c r="N38" s="6"/>
      <c r="O38" s="7"/>
    </row>
    <row r="39" spans="2:15">
      <c r="B39" s="5"/>
      <c r="C39" s="6"/>
      <c r="D39" s="66" t="s">
        <v>88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7"/>
    </row>
    <row r="40" spans="2:15">
      <c r="B40" s="5"/>
      <c r="C40" s="6"/>
      <c r="D40" s="67" t="s">
        <v>89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7"/>
    </row>
    <row r="41" spans="2:15">
      <c r="B41" s="5"/>
      <c r="C41" s="6"/>
      <c r="D41" s="6" t="s">
        <v>105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7"/>
    </row>
    <row r="42" spans="2:15">
      <c r="B42" s="5"/>
      <c r="C42" s="6"/>
      <c r="D42" s="9" t="s">
        <v>54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7"/>
    </row>
    <row r="43" spans="2:15">
      <c r="B43" s="5"/>
      <c r="C43" s="6"/>
      <c r="D43" s="67" t="s">
        <v>106</v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7"/>
    </row>
    <row r="44" spans="2:15">
      <c r="B44" s="5"/>
      <c r="C44" s="6"/>
      <c r="D44" s="68" t="s">
        <v>90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7"/>
    </row>
    <row r="45" spans="2:15">
      <c r="B45" s="5"/>
      <c r="C45" s="6"/>
      <c r="D45" s="67" t="s">
        <v>91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7"/>
    </row>
    <row r="46" spans="2:15">
      <c r="B46" s="5"/>
      <c r="C46" s="6"/>
      <c r="D46" s="9" t="s">
        <v>55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7"/>
    </row>
    <row r="47" spans="2:15">
      <c r="B47" s="10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2"/>
    </row>
    <row r="48" spans="2:15">
      <c r="B48" s="75" t="s">
        <v>30</v>
      </c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76"/>
    </row>
    <row r="49" spans="2:15">
      <c r="B49" s="22"/>
      <c r="C49" s="23" t="s">
        <v>19</v>
      </c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4"/>
    </row>
    <row r="50" spans="2:15">
      <c r="B50" s="22"/>
      <c r="C50" s="23" t="s">
        <v>20</v>
      </c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4"/>
    </row>
    <row r="51" spans="2:15">
      <c r="B51" s="22"/>
      <c r="C51" s="23" t="s">
        <v>23</v>
      </c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4"/>
    </row>
    <row r="52" spans="2:15">
      <c r="B52" s="22"/>
      <c r="C52" s="23" t="s">
        <v>18</v>
      </c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4"/>
    </row>
    <row r="53" spans="2:15">
      <c r="B53" s="25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7"/>
    </row>
    <row r="54" spans="2:15">
      <c r="B54" s="77" t="s">
        <v>31</v>
      </c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78"/>
    </row>
    <row r="55" spans="2:15">
      <c r="B55" s="28"/>
      <c r="C55" s="29" t="s">
        <v>24</v>
      </c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30"/>
    </row>
    <row r="56" spans="2:15">
      <c r="B56" s="28"/>
      <c r="C56" s="29" t="s">
        <v>25</v>
      </c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30"/>
    </row>
    <row r="57" spans="2:15">
      <c r="B57" s="28"/>
      <c r="C57" s="29"/>
      <c r="D57" s="69" t="s">
        <v>88</v>
      </c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30"/>
    </row>
    <row r="58" spans="2:15">
      <c r="B58" s="28"/>
      <c r="C58" s="29"/>
      <c r="D58" s="69" t="s">
        <v>92</v>
      </c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30"/>
    </row>
    <row r="59" spans="2:15">
      <c r="B59" s="28"/>
      <c r="C59" s="29"/>
      <c r="D59" s="69" t="s">
        <v>93</v>
      </c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30"/>
    </row>
    <row r="60" spans="2:15">
      <c r="B60" s="28"/>
      <c r="C60" s="29"/>
      <c r="D60" s="69" t="s">
        <v>94</v>
      </c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30"/>
    </row>
    <row r="61" spans="2:15">
      <c r="B61" s="31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3"/>
    </row>
  </sheetData>
  <phoneticPr fontId="2"/>
  <pageMargins left="0.7" right="0.7" top="0.75" bottom="0.75" header="0.3" footer="0.3"/>
  <pageSetup paperSize="9" scale="66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A1:Q13"/>
  <sheetViews>
    <sheetView showGridLines="0" tabSelected="1" zoomScaleNormal="100" zoomScaleSheetLayoutView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13" sqref="A13"/>
    </sheetView>
  </sheetViews>
  <sheetFormatPr defaultColWidth="9" defaultRowHeight="12"/>
  <cols>
    <col min="1" max="1" width="5.90625" style="40" customWidth="1"/>
    <col min="2" max="2" width="8.453125" style="40" bestFit="1" customWidth="1"/>
    <col min="3" max="3" width="31.08984375" style="40" customWidth="1"/>
    <col min="4" max="4" width="5.36328125" style="41" customWidth="1"/>
    <col min="5" max="5" width="7.08984375" style="40" customWidth="1"/>
    <col min="6" max="6" width="13.08984375" style="40" customWidth="1"/>
    <col min="7" max="9" width="8.26953125" style="42" customWidth="1"/>
    <col min="10" max="10" width="8.08984375" style="42" customWidth="1"/>
    <col min="11" max="11" width="11.36328125" style="40" customWidth="1"/>
    <col min="12" max="12" width="8.36328125" style="42" customWidth="1"/>
    <col min="13" max="13" width="8.26953125" style="42" customWidth="1"/>
    <col min="14" max="14" width="7.7265625" style="42" customWidth="1"/>
    <col min="15" max="16" width="9.26953125" style="42" customWidth="1"/>
    <col min="17" max="17" width="8" style="42" customWidth="1"/>
    <col min="18" max="16384" width="9" style="40"/>
  </cols>
  <sheetData>
    <row r="1" spans="1:17" ht="18" customHeight="1">
      <c r="A1" s="121"/>
      <c r="B1" s="123"/>
      <c r="C1" s="124"/>
      <c r="D1" s="38"/>
      <c r="E1" s="126" t="s">
        <v>12</v>
      </c>
      <c r="F1" s="128" t="s">
        <v>36</v>
      </c>
      <c r="G1" s="129"/>
      <c r="H1" s="130"/>
      <c r="I1" s="131"/>
      <c r="J1" s="132"/>
      <c r="K1" s="139" t="s">
        <v>37</v>
      </c>
      <c r="L1" s="140"/>
      <c r="M1" s="140"/>
      <c r="N1" s="140"/>
      <c r="O1" s="140"/>
      <c r="P1" s="130"/>
      <c r="Q1" s="117" t="s">
        <v>8</v>
      </c>
    </row>
    <row r="2" spans="1:17" ht="15" customHeight="1">
      <c r="A2" s="122"/>
      <c r="B2" s="125"/>
      <c r="C2" s="125"/>
      <c r="D2" s="39"/>
      <c r="E2" s="127"/>
      <c r="F2" s="37"/>
      <c r="G2" s="133" t="s">
        <v>1</v>
      </c>
      <c r="H2" s="134"/>
      <c r="I2" s="133" t="s">
        <v>4</v>
      </c>
      <c r="J2" s="133"/>
      <c r="K2" s="135" t="s">
        <v>0</v>
      </c>
      <c r="L2" s="136" t="s">
        <v>4</v>
      </c>
      <c r="M2" s="137"/>
      <c r="N2" s="138" t="s">
        <v>7</v>
      </c>
      <c r="O2" s="120" t="s">
        <v>6</v>
      </c>
      <c r="P2" s="120"/>
      <c r="Q2" s="118"/>
    </row>
    <row r="3" spans="1:17" ht="79.5" customHeight="1">
      <c r="A3" s="112"/>
      <c r="B3" s="113" t="s">
        <v>11</v>
      </c>
      <c r="C3" s="113" t="s">
        <v>35</v>
      </c>
      <c r="D3" s="70" t="s">
        <v>96</v>
      </c>
      <c r="E3" s="127"/>
      <c r="F3" s="36" t="s">
        <v>5</v>
      </c>
      <c r="G3" s="114" t="s">
        <v>2</v>
      </c>
      <c r="H3" s="115" t="s">
        <v>3</v>
      </c>
      <c r="I3" s="114" t="s">
        <v>2</v>
      </c>
      <c r="J3" s="114" t="s">
        <v>3</v>
      </c>
      <c r="K3" s="135"/>
      <c r="L3" s="115" t="s">
        <v>2</v>
      </c>
      <c r="M3" s="114" t="s">
        <v>3</v>
      </c>
      <c r="N3" s="138"/>
      <c r="O3" s="116" t="s">
        <v>9</v>
      </c>
      <c r="P3" s="116" t="s">
        <v>10</v>
      </c>
      <c r="Q3" s="119"/>
    </row>
    <row r="4" spans="1:17">
      <c r="A4" s="45"/>
      <c r="B4" s="47"/>
      <c r="C4" s="48"/>
      <c r="D4" s="143"/>
      <c r="E4" s="49"/>
      <c r="F4" s="49"/>
      <c r="G4" s="50"/>
      <c r="H4" s="46"/>
      <c r="I4" s="50"/>
      <c r="J4" s="46"/>
      <c r="K4" s="49"/>
      <c r="L4" s="50"/>
      <c r="M4" s="46"/>
      <c r="N4" s="51"/>
      <c r="O4" s="52"/>
      <c r="P4" s="52"/>
      <c r="Q4" s="51"/>
    </row>
    <row r="5" spans="1:17">
      <c r="A5" s="45"/>
      <c r="B5" s="47"/>
      <c r="C5" s="48"/>
      <c r="D5" s="143"/>
      <c r="E5" s="49"/>
      <c r="F5" s="49"/>
      <c r="G5" s="50"/>
      <c r="H5" s="46"/>
      <c r="I5" s="50"/>
      <c r="J5" s="46"/>
      <c r="K5" s="49"/>
      <c r="L5" s="50"/>
      <c r="M5" s="46"/>
      <c r="N5" s="51"/>
      <c r="O5" s="52"/>
      <c r="P5" s="52"/>
      <c r="Q5" s="51"/>
    </row>
    <row r="6" spans="1:17">
      <c r="A6" s="45"/>
      <c r="B6" s="47"/>
      <c r="C6" s="48"/>
      <c r="D6" s="143"/>
      <c r="E6" s="49"/>
      <c r="F6" s="49"/>
      <c r="G6" s="50"/>
      <c r="H6" s="46"/>
      <c r="I6" s="50"/>
      <c r="J6" s="46"/>
      <c r="K6" s="49"/>
      <c r="L6" s="50"/>
      <c r="M6" s="46"/>
      <c r="N6" s="51"/>
      <c r="O6" s="52"/>
      <c r="P6" s="52"/>
      <c r="Q6" s="51"/>
    </row>
    <row r="7" spans="1:17">
      <c r="A7" s="45"/>
      <c r="B7" s="47"/>
      <c r="C7" s="48"/>
      <c r="D7" s="143"/>
      <c r="E7" s="49"/>
      <c r="F7" s="49"/>
      <c r="G7" s="50"/>
      <c r="H7" s="46"/>
      <c r="I7" s="50"/>
      <c r="J7" s="46"/>
      <c r="K7" s="49"/>
      <c r="L7" s="50"/>
      <c r="M7" s="46"/>
      <c r="N7" s="51"/>
      <c r="O7" s="52"/>
      <c r="P7" s="52"/>
      <c r="Q7" s="51"/>
    </row>
    <row r="8" spans="1:17">
      <c r="A8" s="45"/>
      <c r="B8" s="47"/>
      <c r="C8" s="48"/>
      <c r="D8" s="143"/>
      <c r="E8" s="49"/>
      <c r="F8" s="49"/>
      <c r="G8" s="50"/>
      <c r="H8" s="46"/>
      <c r="I8" s="50"/>
      <c r="J8" s="46"/>
      <c r="K8" s="49"/>
      <c r="L8" s="50"/>
      <c r="M8" s="46"/>
      <c r="N8" s="51"/>
      <c r="O8" s="52"/>
      <c r="P8" s="52"/>
      <c r="Q8" s="51"/>
    </row>
    <row r="9" spans="1:17">
      <c r="A9" s="45"/>
      <c r="B9" s="47"/>
      <c r="C9" s="48"/>
      <c r="D9" s="143"/>
      <c r="E9" s="49"/>
      <c r="F9" s="49"/>
      <c r="G9" s="50"/>
      <c r="H9" s="46"/>
      <c r="I9" s="50"/>
      <c r="J9" s="46"/>
      <c r="K9" s="49"/>
      <c r="L9" s="50"/>
      <c r="M9" s="46"/>
      <c r="N9" s="51"/>
      <c r="O9" s="52"/>
      <c r="P9" s="52"/>
      <c r="Q9" s="51"/>
    </row>
    <row r="10" spans="1:17">
      <c r="A10" s="45"/>
      <c r="B10" s="47"/>
      <c r="C10" s="48"/>
      <c r="D10" s="143"/>
      <c r="E10" s="49"/>
      <c r="F10" s="49"/>
      <c r="G10" s="50"/>
      <c r="H10" s="46"/>
      <c r="I10" s="50"/>
      <c r="J10" s="46"/>
      <c r="K10" s="49"/>
      <c r="L10" s="50"/>
      <c r="M10" s="46"/>
      <c r="N10" s="51"/>
      <c r="O10" s="52"/>
      <c r="P10" s="52"/>
      <c r="Q10" s="51"/>
    </row>
    <row r="11" spans="1:17">
      <c r="A11" s="45"/>
      <c r="B11" s="47"/>
      <c r="C11" s="48"/>
      <c r="D11" s="143"/>
      <c r="E11" s="49"/>
      <c r="F11" s="49"/>
      <c r="G11" s="50"/>
      <c r="H11" s="46"/>
      <c r="I11" s="50"/>
      <c r="J11" s="46"/>
      <c r="K11" s="49"/>
      <c r="L11" s="50"/>
      <c r="M11" s="46"/>
      <c r="N11" s="51"/>
      <c r="O11" s="52"/>
      <c r="P11" s="52"/>
      <c r="Q11" s="51"/>
    </row>
    <row r="12" spans="1:17">
      <c r="A12" s="45"/>
      <c r="B12" s="47"/>
      <c r="C12" s="48"/>
      <c r="D12" s="143"/>
      <c r="E12" s="49"/>
      <c r="F12" s="49"/>
      <c r="G12" s="50"/>
      <c r="H12" s="46"/>
      <c r="I12" s="50"/>
      <c r="J12" s="46"/>
      <c r="K12" s="49"/>
      <c r="L12" s="50"/>
      <c r="M12" s="46"/>
      <c r="N12" s="51"/>
      <c r="O12" s="52"/>
      <c r="P12" s="52"/>
      <c r="Q12" s="51"/>
    </row>
    <row r="13" spans="1:17">
      <c r="A13" s="45"/>
      <c r="B13" s="47"/>
      <c r="C13" s="48"/>
      <c r="D13" s="143"/>
      <c r="E13" s="49"/>
      <c r="F13" s="49"/>
      <c r="G13" s="50"/>
      <c r="H13" s="46"/>
      <c r="I13" s="50"/>
      <c r="J13" s="46"/>
      <c r="K13" s="49"/>
      <c r="L13" s="50"/>
      <c r="M13" s="46"/>
      <c r="N13" s="51"/>
      <c r="O13" s="52"/>
      <c r="P13" s="52"/>
      <c r="Q13" s="51"/>
    </row>
  </sheetData>
  <autoFilter ref="A3:Q3" xr:uid="{00000000-0009-0000-0000-000001000000}"/>
  <mergeCells count="12">
    <mergeCell ref="Q1:Q3"/>
    <mergeCell ref="O2:P2"/>
    <mergeCell ref="A1:A2"/>
    <mergeCell ref="B1:C2"/>
    <mergeCell ref="E1:E3"/>
    <mergeCell ref="F1:J1"/>
    <mergeCell ref="G2:H2"/>
    <mergeCell ref="I2:J2"/>
    <mergeCell ref="K2:K3"/>
    <mergeCell ref="L2:M2"/>
    <mergeCell ref="N2:N3"/>
    <mergeCell ref="K1:P1"/>
  </mergeCells>
  <phoneticPr fontId="2"/>
  <dataValidations count="2">
    <dataValidation type="list" allowBlank="1" showInputMessage="1" showErrorMessage="1" sqref="N4:N13" xr:uid="{258E0B7E-D3B4-48EE-88D8-2B8939E42E4B}">
      <formula1>"有,無"</formula1>
    </dataValidation>
    <dataValidation type="list" allowBlank="1" showInputMessage="1" showErrorMessage="1" sqref="Q4:Q13" xr:uid="{89BFA120-50F0-4FF0-9EFB-2912B57E10B5}">
      <formula1>"実施中,精査中,再実施中,再精査中,完了"</formula1>
    </dataValidation>
  </dataValidations>
  <pageMargins left="0.43307086614173229" right="0.47244094488188981" top="0.55118110236220474" bottom="0.59055118110236227" header="0.51181102362204722" footer="0.51181102362204722"/>
  <pageSetup paperSize="9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行Copy">
                <anchor moveWithCells="1" sizeWithCells="1">
                  <from>
                    <xdr:col>2</xdr:col>
                    <xdr:colOff>1289050</xdr:colOff>
                    <xdr:row>0</xdr:row>
                    <xdr:rowOff>38100</xdr:rowOff>
                  </from>
                  <to>
                    <xdr:col>2</xdr:col>
                    <xdr:colOff>1651000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5" name="Button 3">
              <controlPr defaultSize="0" print="0" autoFill="0" autoPict="0" macro="[0]!日毎予実管理追加">
                <anchor moveWithCells="1" sizeWithCells="1">
                  <from>
                    <xdr:col>1</xdr:col>
                    <xdr:colOff>50800</xdr:colOff>
                    <xdr:row>0</xdr:row>
                    <xdr:rowOff>31750</xdr:rowOff>
                  </from>
                  <to>
                    <xdr:col>1</xdr:col>
                    <xdr:colOff>400050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6" r:id="rId6" name="Button 6">
              <controlPr defaultSize="0" print="0" autoFill="0" autoPict="0" macro="[0]!行削除">
                <anchor moveWithCells="1" sizeWithCells="1">
                  <from>
                    <xdr:col>0</xdr:col>
                    <xdr:colOff>38100</xdr:colOff>
                    <xdr:row>2</xdr:row>
                    <xdr:rowOff>603250</xdr:rowOff>
                  </from>
                  <to>
                    <xdr:col>0</xdr:col>
                    <xdr:colOff>393700</xdr:colOff>
                    <xdr:row>2</xdr:row>
                    <xdr:rowOff>965200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9" r:id="rId7" name="Button 9">
              <controlPr defaultSize="0" print="0" autoFill="0" autoPict="0" macro="[0]!初期化">
                <anchor moveWithCells="1" sizeWithCells="1">
                  <from>
                    <xdr:col>0</xdr:col>
                    <xdr:colOff>38100</xdr:colOff>
                    <xdr:row>0</xdr:row>
                    <xdr:rowOff>19050</xdr:rowOff>
                  </from>
                  <to>
                    <xdr:col>0</xdr:col>
                    <xdr:colOff>393700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2" r:id="rId8" name="Check Box 1022">
              <controlPr defaultSize="0" autoFill="0" autoLine="0" autoPict="0">
                <anchor moveWithCells="1">
                  <from>
                    <xdr:col>1</xdr:col>
                    <xdr:colOff>488950</xdr:colOff>
                    <xdr:row>0</xdr:row>
                    <xdr:rowOff>38100</xdr:rowOff>
                  </from>
                  <to>
                    <xdr:col>2</xdr:col>
                    <xdr:colOff>1193800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0" r:id="rId9" name="Check Box 212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0</xdr:col>
                    <xdr:colOff>196850</xdr:colOff>
                    <xdr:row>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1" r:id="rId10" name="Check Box 2125">
              <controlPr defaultSize="0" autoFill="0" autoLine="0" autoPict="0">
                <anchor mov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0</xdr:col>
                    <xdr:colOff>196850</xdr:colOff>
                    <xdr:row>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2" r:id="rId11" name="Check Box 2126">
              <controlPr defaultSize="0" autoFill="0" autoLine="0" autoPict="0">
                <anchor mov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196850</xdr:colOff>
                    <xdr:row>5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3" r:id="rId12" name="Check Box 2127">
              <controlPr defaultSize="0" autoFill="0" autoLine="0" autoPict="0">
                <anchor moveWithCells="1">
                  <from>
                    <xdr:col>0</xdr:col>
                    <xdr:colOff>0</xdr:colOff>
                    <xdr:row>6</xdr:row>
                    <xdr:rowOff>0</xdr:rowOff>
                  </from>
                  <to>
                    <xdr:col>0</xdr:col>
                    <xdr:colOff>196850</xdr:colOff>
                    <xdr:row>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4" r:id="rId13" name="Check Box 2128">
              <controlPr defaultSize="0" autoFill="0" autoLine="0" autoPict="0">
                <anchor moveWithCells="1">
                  <from>
                    <xdr:col>0</xdr:col>
                    <xdr:colOff>0</xdr:colOff>
                    <xdr:row>7</xdr:row>
                    <xdr:rowOff>0</xdr:rowOff>
                  </from>
                  <to>
                    <xdr:col>0</xdr:col>
                    <xdr:colOff>196850</xdr:colOff>
                    <xdr:row>7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5" r:id="rId14" name="Check Box 2129">
              <controlPr defaultSize="0" autoFill="0" autoLine="0" autoPict="0">
                <anchor mov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196850</xdr:colOff>
                    <xdr:row>8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6" r:id="rId15" name="Check Box 2130">
              <controlPr defaultSize="0" autoFill="0" autoLine="0" autoPict="0">
                <anchor moveWithCells="1">
                  <from>
                    <xdr:col>0</xdr:col>
                    <xdr:colOff>0</xdr:colOff>
                    <xdr:row>9</xdr:row>
                    <xdr:rowOff>0</xdr:rowOff>
                  </from>
                  <to>
                    <xdr:col>0</xdr:col>
                    <xdr:colOff>196850</xdr:colOff>
                    <xdr:row>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7" r:id="rId16" name="Check Box 2131">
              <controlPr defaultSize="0" autoFill="0" autoLine="0" autoPict="0">
                <anchor moveWithCells="1">
                  <from>
                    <xdr:col>0</xdr:col>
                    <xdr:colOff>0</xdr:colOff>
                    <xdr:row>10</xdr:row>
                    <xdr:rowOff>0</xdr:rowOff>
                  </from>
                  <to>
                    <xdr:col>0</xdr:col>
                    <xdr:colOff>196850</xdr:colOff>
                    <xdr:row>10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8" r:id="rId17" name="Check Box 2132">
              <controlPr defaultSize="0" autoFill="0" autoLine="0" autoPict="0">
                <anchor moveWithCells="1">
                  <from>
                    <xdr:col>0</xdr:col>
                    <xdr:colOff>0</xdr:colOff>
                    <xdr:row>11</xdr:row>
                    <xdr:rowOff>0</xdr:rowOff>
                  </from>
                  <to>
                    <xdr:col>0</xdr:col>
                    <xdr:colOff>196850</xdr:colOff>
                    <xdr:row>11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9" r:id="rId18" name="Check Box 2133">
              <controlPr defaultSize="0" autoFill="0" autoLine="0" autoPict="0">
                <anchor moveWithCells="1">
                  <from>
                    <xdr:col>0</xdr:col>
                    <xdr:colOff>0</xdr:colOff>
                    <xdr:row>12</xdr:row>
                    <xdr:rowOff>0</xdr:rowOff>
                  </from>
                  <to>
                    <xdr:col>0</xdr:col>
                    <xdr:colOff>196850</xdr:colOff>
                    <xdr:row>12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CW31"/>
  <sheetViews>
    <sheetView zoomScale="85" zoomScaleNormal="85" workbookViewId="0">
      <pane xSplit="1" topLeftCell="B1" activePane="topRight" state="frozen"/>
      <selection pane="topRight" activeCell="N1" sqref="N1"/>
    </sheetView>
  </sheetViews>
  <sheetFormatPr defaultColWidth="5.6328125" defaultRowHeight="20.149999999999999" customHeight="1" outlineLevelCol="1"/>
  <cols>
    <col min="1" max="1" width="14.26953125" style="44" customWidth="1"/>
    <col min="2" max="13" width="11.26953125" style="44" hidden="1" customWidth="1" outlineLevel="1"/>
    <col min="14" max="14" width="12.453125" style="44" customWidth="1" collapsed="1"/>
    <col min="15" max="15" width="12.453125" style="44" customWidth="1"/>
    <col min="16" max="27" width="12.453125" style="44" hidden="1" customWidth="1" outlineLevel="1"/>
    <col min="28" max="28" width="12.453125" style="44" customWidth="1" collapsed="1"/>
    <col min="29" max="29" width="12.453125" style="44" customWidth="1"/>
    <col min="30" max="41" width="12.453125" style="44" hidden="1" customWidth="1" outlineLevel="1"/>
    <col min="42" max="42" width="12.453125" style="44" customWidth="1" collapsed="1"/>
    <col min="43" max="43" width="12.453125" style="44" customWidth="1"/>
    <col min="44" max="55" width="12.453125" style="44" hidden="1" customWidth="1" outlineLevel="1"/>
    <col min="56" max="56" width="12.453125" style="44" customWidth="1" collapsed="1"/>
    <col min="57" max="57" width="12.453125" style="44" customWidth="1"/>
    <col min="58" max="69" width="11.26953125" style="44" hidden="1" customWidth="1" outlineLevel="1"/>
    <col min="70" max="70" width="11.26953125" style="44" customWidth="1" collapsed="1"/>
    <col min="71" max="71" width="11.26953125" style="44" customWidth="1"/>
    <col min="72" max="75" width="11.26953125" style="44" hidden="1" customWidth="1" outlineLevel="1"/>
    <col min="76" max="83" width="12.453125" style="44" hidden="1" customWidth="1" outlineLevel="1"/>
    <col min="84" max="84" width="12.453125" style="44" customWidth="1" collapsed="1"/>
    <col min="85" max="85" width="12.453125" style="44" customWidth="1"/>
    <col min="86" max="97" width="12.453125" style="44" hidden="1" customWidth="1" outlineLevel="1"/>
    <col min="98" max="98" width="12.453125" style="44" customWidth="1" collapsed="1"/>
    <col min="99" max="99" width="12.453125" style="44" customWidth="1"/>
    <col min="100" max="101" width="15.6328125" style="44" customWidth="1"/>
    <col min="102" max="16384" width="5.6328125" style="44"/>
  </cols>
  <sheetData>
    <row r="1" spans="1:101" ht="20.149999999999999" customHeight="1">
      <c r="A1" s="43" t="s">
        <v>56</v>
      </c>
      <c r="B1" s="61"/>
    </row>
    <row r="2" spans="1:101" ht="20.149999999999999" customHeight="1" thickBot="1">
      <c r="A2" s="43" t="s">
        <v>62</v>
      </c>
      <c r="B2" s="43" t="s">
        <v>63</v>
      </c>
    </row>
    <row r="3" spans="1:101" ht="40" customHeight="1">
      <c r="A3" s="62">
        <f ca="1">TODAY()</f>
        <v>43566</v>
      </c>
      <c r="B3" s="82">
        <v>43528</v>
      </c>
      <c r="C3" s="53">
        <v>43528</v>
      </c>
      <c r="D3" s="83">
        <v>43529</v>
      </c>
      <c r="E3" s="63">
        <v>43529</v>
      </c>
      <c r="F3" s="82">
        <v>43530</v>
      </c>
      <c r="G3" s="53">
        <v>43530</v>
      </c>
      <c r="H3" s="83">
        <v>43531</v>
      </c>
      <c r="I3" s="63">
        <v>43531</v>
      </c>
      <c r="J3" s="82">
        <v>43532</v>
      </c>
      <c r="K3" s="53">
        <v>43532</v>
      </c>
      <c r="L3" s="83">
        <v>43533</v>
      </c>
      <c r="M3" s="63">
        <v>43533</v>
      </c>
      <c r="N3" s="82">
        <v>43534</v>
      </c>
      <c r="O3" s="53">
        <v>43534</v>
      </c>
      <c r="P3" s="83">
        <v>43535</v>
      </c>
      <c r="Q3" s="63">
        <v>43535</v>
      </c>
      <c r="R3" s="82">
        <v>43536</v>
      </c>
      <c r="S3" s="53">
        <v>43536</v>
      </c>
      <c r="T3" s="83">
        <v>43537</v>
      </c>
      <c r="U3" s="63">
        <v>43537</v>
      </c>
      <c r="V3" s="82">
        <v>43538</v>
      </c>
      <c r="W3" s="53">
        <v>43538</v>
      </c>
      <c r="X3" s="83">
        <v>43539</v>
      </c>
      <c r="Y3" s="63">
        <v>43539</v>
      </c>
      <c r="Z3" s="82">
        <v>43540</v>
      </c>
      <c r="AA3" s="53">
        <v>43540</v>
      </c>
      <c r="AB3" s="83">
        <v>43541</v>
      </c>
      <c r="AC3" s="63">
        <v>43541</v>
      </c>
      <c r="AD3" s="82">
        <v>43542</v>
      </c>
      <c r="AE3" s="53">
        <v>43542</v>
      </c>
      <c r="AF3" s="83">
        <v>43543</v>
      </c>
      <c r="AG3" s="63">
        <v>43543</v>
      </c>
      <c r="AH3" s="82">
        <v>43544</v>
      </c>
      <c r="AI3" s="53">
        <v>43544</v>
      </c>
      <c r="AJ3" s="83">
        <v>43545</v>
      </c>
      <c r="AK3" s="63">
        <v>43545</v>
      </c>
      <c r="AL3" s="82">
        <v>43546</v>
      </c>
      <c r="AM3" s="53">
        <v>43546</v>
      </c>
      <c r="AN3" s="83">
        <v>43547</v>
      </c>
      <c r="AO3" s="63">
        <v>43547</v>
      </c>
      <c r="AP3" s="82">
        <v>43548</v>
      </c>
      <c r="AQ3" s="53">
        <v>43548</v>
      </c>
      <c r="AR3" s="83">
        <v>43549</v>
      </c>
      <c r="AS3" s="63">
        <v>43549</v>
      </c>
      <c r="AT3" s="82">
        <v>43550</v>
      </c>
      <c r="AU3" s="53">
        <v>43550</v>
      </c>
      <c r="AV3" s="83">
        <v>43551</v>
      </c>
      <c r="AW3" s="63">
        <v>43551</v>
      </c>
      <c r="AX3" s="82">
        <v>43552</v>
      </c>
      <c r="AY3" s="53">
        <v>43552</v>
      </c>
      <c r="AZ3" s="83">
        <v>43553</v>
      </c>
      <c r="BA3" s="63">
        <v>43553</v>
      </c>
      <c r="BB3" s="82">
        <v>43554</v>
      </c>
      <c r="BC3" s="53">
        <v>43554</v>
      </c>
      <c r="BD3" s="83">
        <v>43555</v>
      </c>
      <c r="BE3" s="63">
        <v>43555</v>
      </c>
      <c r="BF3" s="82">
        <v>43556</v>
      </c>
      <c r="BG3" s="53">
        <v>43556</v>
      </c>
      <c r="BH3" s="83">
        <v>43557</v>
      </c>
      <c r="BI3" s="63">
        <v>43557</v>
      </c>
      <c r="BJ3" s="82">
        <v>43558</v>
      </c>
      <c r="BK3" s="53">
        <v>43558</v>
      </c>
      <c r="BL3" s="83">
        <v>43559</v>
      </c>
      <c r="BM3" s="63">
        <v>43559</v>
      </c>
      <c r="BN3" s="82">
        <v>43560</v>
      </c>
      <c r="BO3" s="53">
        <v>43560</v>
      </c>
      <c r="BP3" s="83">
        <v>43561</v>
      </c>
      <c r="BQ3" s="63">
        <v>43561</v>
      </c>
      <c r="BR3" s="82">
        <v>43562</v>
      </c>
      <c r="BS3" s="53">
        <v>43562</v>
      </c>
      <c r="BT3" s="83">
        <v>43563</v>
      </c>
      <c r="BU3" s="63">
        <v>43563</v>
      </c>
      <c r="BV3" s="82">
        <v>43564</v>
      </c>
      <c r="BW3" s="53">
        <v>43564</v>
      </c>
      <c r="BX3" s="83">
        <v>43565</v>
      </c>
      <c r="BY3" s="63">
        <v>43565</v>
      </c>
      <c r="BZ3" s="82">
        <v>43566</v>
      </c>
      <c r="CA3" s="53">
        <v>43566</v>
      </c>
      <c r="CB3" s="83">
        <v>43567</v>
      </c>
      <c r="CC3" s="63">
        <v>43567</v>
      </c>
      <c r="CD3" s="82">
        <v>43568</v>
      </c>
      <c r="CE3" s="53">
        <v>43568</v>
      </c>
      <c r="CF3" s="83">
        <v>43569</v>
      </c>
      <c r="CG3" s="63">
        <v>43569</v>
      </c>
      <c r="CH3" s="82">
        <v>43570</v>
      </c>
      <c r="CI3" s="53">
        <v>43570</v>
      </c>
      <c r="CJ3" s="83">
        <v>43571</v>
      </c>
      <c r="CK3" s="63">
        <v>43571</v>
      </c>
      <c r="CL3" s="82">
        <v>43572</v>
      </c>
      <c r="CM3" s="53">
        <v>43572</v>
      </c>
      <c r="CN3" s="83">
        <v>43573</v>
      </c>
      <c r="CO3" s="63">
        <v>43573</v>
      </c>
      <c r="CP3" s="82">
        <v>43574</v>
      </c>
      <c r="CQ3" s="53">
        <v>43574</v>
      </c>
      <c r="CR3" s="83">
        <v>43575</v>
      </c>
      <c r="CS3" s="63">
        <v>43575</v>
      </c>
      <c r="CT3" s="82">
        <v>43576</v>
      </c>
      <c r="CU3" s="53">
        <v>43576</v>
      </c>
      <c r="CV3" s="141" t="s">
        <v>66</v>
      </c>
      <c r="CW3" s="142"/>
    </row>
    <row r="4" spans="1:101" ht="20.149999999999999" customHeight="1" thickBot="1">
      <c r="A4" s="84" t="s">
        <v>64</v>
      </c>
      <c r="B4" s="85" t="s">
        <v>60</v>
      </c>
      <c r="C4" s="86" t="s">
        <v>61</v>
      </c>
      <c r="D4" s="87" t="s">
        <v>60</v>
      </c>
      <c r="E4" s="88" t="s">
        <v>61</v>
      </c>
      <c r="F4" s="85" t="s">
        <v>60</v>
      </c>
      <c r="G4" s="86" t="s">
        <v>61</v>
      </c>
      <c r="H4" s="87" t="s">
        <v>60</v>
      </c>
      <c r="I4" s="88" t="s">
        <v>61</v>
      </c>
      <c r="J4" s="85" t="s">
        <v>60</v>
      </c>
      <c r="K4" s="86" t="s">
        <v>61</v>
      </c>
      <c r="L4" s="87" t="s">
        <v>60</v>
      </c>
      <c r="M4" s="88" t="s">
        <v>61</v>
      </c>
      <c r="N4" s="85" t="s">
        <v>60</v>
      </c>
      <c r="O4" s="86" t="s">
        <v>61</v>
      </c>
      <c r="P4" s="87" t="s">
        <v>60</v>
      </c>
      <c r="Q4" s="88" t="s">
        <v>61</v>
      </c>
      <c r="R4" s="85" t="s">
        <v>60</v>
      </c>
      <c r="S4" s="86" t="s">
        <v>61</v>
      </c>
      <c r="T4" s="87" t="s">
        <v>60</v>
      </c>
      <c r="U4" s="88" t="s">
        <v>61</v>
      </c>
      <c r="V4" s="85" t="s">
        <v>60</v>
      </c>
      <c r="W4" s="86" t="s">
        <v>61</v>
      </c>
      <c r="X4" s="87" t="s">
        <v>60</v>
      </c>
      <c r="Y4" s="88" t="s">
        <v>61</v>
      </c>
      <c r="Z4" s="85" t="s">
        <v>60</v>
      </c>
      <c r="AA4" s="86" t="s">
        <v>61</v>
      </c>
      <c r="AB4" s="87" t="s">
        <v>60</v>
      </c>
      <c r="AC4" s="88" t="s">
        <v>61</v>
      </c>
      <c r="AD4" s="85" t="s">
        <v>60</v>
      </c>
      <c r="AE4" s="86" t="s">
        <v>61</v>
      </c>
      <c r="AF4" s="87" t="s">
        <v>60</v>
      </c>
      <c r="AG4" s="88" t="s">
        <v>61</v>
      </c>
      <c r="AH4" s="85" t="s">
        <v>60</v>
      </c>
      <c r="AI4" s="86" t="s">
        <v>61</v>
      </c>
      <c r="AJ4" s="87" t="s">
        <v>60</v>
      </c>
      <c r="AK4" s="88" t="s">
        <v>61</v>
      </c>
      <c r="AL4" s="85" t="s">
        <v>60</v>
      </c>
      <c r="AM4" s="86" t="s">
        <v>61</v>
      </c>
      <c r="AN4" s="87" t="s">
        <v>60</v>
      </c>
      <c r="AO4" s="88" t="s">
        <v>61</v>
      </c>
      <c r="AP4" s="85" t="s">
        <v>60</v>
      </c>
      <c r="AQ4" s="86" t="s">
        <v>61</v>
      </c>
      <c r="AR4" s="87" t="s">
        <v>60</v>
      </c>
      <c r="AS4" s="88" t="s">
        <v>61</v>
      </c>
      <c r="AT4" s="85" t="s">
        <v>60</v>
      </c>
      <c r="AU4" s="86" t="s">
        <v>61</v>
      </c>
      <c r="AV4" s="87" t="s">
        <v>60</v>
      </c>
      <c r="AW4" s="88" t="s">
        <v>61</v>
      </c>
      <c r="AX4" s="85" t="s">
        <v>60</v>
      </c>
      <c r="AY4" s="86" t="s">
        <v>61</v>
      </c>
      <c r="AZ4" s="87" t="s">
        <v>60</v>
      </c>
      <c r="BA4" s="88" t="s">
        <v>61</v>
      </c>
      <c r="BB4" s="85" t="s">
        <v>60</v>
      </c>
      <c r="BC4" s="86" t="s">
        <v>61</v>
      </c>
      <c r="BD4" s="87" t="s">
        <v>60</v>
      </c>
      <c r="BE4" s="88" t="s">
        <v>61</v>
      </c>
      <c r="BF4" s="85" t="s">
        <v>60</v>
      </c>
      <c r="BG4" s="86" t="s">
        <v>61</v>
      </c>
      <c r="BH4" s="87" t="s">
        <v>60</v>
      </c>
      <c r="BI4" s="88" t="s">
        <v>61</v>
      </c>
      <c r="BJ4" s="85" t="s">
        <v>60</v>
      </c>
      <c r="BK4" s="86" t="s">
        <v>61</v>
      </c>
      <c r="BL4" s="87" t="s">
        <v>60</v>
      </c>
      <c r="BM4" s="88" t="s">
        <v>61</v>
      </c>
      <c r="BN4" s="85" t="s">
        <v>60</v>
      </c>
      <c r="BO4" s="86" t="s">
        <v>61</v>
      </c>
      <c r="BP4" s="87" t="s">
        <v>60</v>
      </c>
      <c r="BQ4" s="88" t="s">
        <v>61</v>
      </c>
      <c r="BR4" s="85" t="s">
        <v>60</v>
      </c>
      <c r="BS4" s="86" t="s">
        <v>61</v>
      </c>
      <c r="BT4" s="87" t="s">
        <v>60</v>
      </c>
      <c r="BU4" s="88" t="s">
        <v>61</v>
      </c>
      <c r="BV4" s="85" t="s">
        <v>60</v>
      </c>
      <c r="BW4" s="86" t="s">
        <v>61</v>
      </c>
      <c r="BX4" s="87" t="s">
        <v>60</v>
      </c>
      <c r="BY4" s="88" t="s">
        <v>61</v>
      </c>
      <c r="BZ4" s="85" t="s">
        <v>60</v>
      </c>
      <c r="CA4" s="86" t="s">
        <v>61</v>
      </c>
      <c r="CB4" s="87" t="s">
        <v>60</v>
      </c>
      <c r="CC4" s="88" t="s">
        <v>61</v>
      </c>
      <c r="CD4" s="85" t="s">
        <v>60</v>
      </c>
      <c r="CE4" s="86" t="s">
        <v>61</v>
      </c>
      <c r="CF4" s="87" t="s">
        <v>60</v>
      </c>
      <c r="CG4" s="88" t="s">
        <v>61</v>
      </c>
      <c r="CH4" s="85" t="s">
        <v>60</v>
      </c>
      <c r="CI4" s="86" t="s">
        <v>61</v>
      </c>
      <c r="CJ4" s="87" t="s">
        <v>60</v>
      </c>
      <c r="CK4" s="88" t="s">
        <v>61</v>
      </c>
      <c r="CL4" s="85" t="s">
        <v>60</v>
      </c>
      <c r="CM4" s="86" t="s">
        <v>61</v>
      </c>
      <c r="CN4" s="87" t="s">
        <v>60</v>
      </c>
      <c r="CO4" s="88" t="s">
        <v>61</v>
      </c>
      <c r="CP4" s="85" t="s">
        <v>60</v>
      </c>
      <c r="CQ4" s="86" t="s">
        <v>61</v>
      </c>
      <c r="CR4" s="87" t="s">
        <v>60</v>
      </c>
      <c r="CS4" s="88" t="s">
        <v>61</v>
      </c>
      <c r="CT4" s="85" t="s">
        <v>60</v>
      </c>
      <c r="CU4" s="86" t="s">
        <v>61</v>
      </c>
      <c r="CV4" s="87" t="s">
        <v>67</v>
      </c>
      <c r="CW4" s="89" t="s">
        <v>68</v>
      </c>
    </row>
    <row r="5" spans="1:101" ht="20.149999999999999" customHeight="1">
      <c r="A5" s="54" t="s">
        <v>82</v>
      </c>
      <c r="B5" s="55" t="e">
        <f>SUMPRODUCT((日次管理!#REF!&lt;=$B$3)*(日次管理!#REF!=$A$5)*(日次管理!#REF!="実施完了")*(日次管理!#REF!="予定"),日次管理!#REF!)</f>
        <v>#REF!</v>
      </c>
      <c r="C5" s="56" t="e">
        <f>SUMPRODUCT((日次管理!#REF!&lt;=$C$3)*(日次管理!#REF!=$A$5)*(日次管理!#REF!="実施完了")*(日次管理!#REF!="実績"),日次管理!#REF!)</f>
        <v>#REF!</v>
      </c>
      <c r="D5" s="55" t="e">
        <f>SUMPRODUCT((日次管理!#REF!&lt;=$D$3)*(日次管理!#REF!=$A$5)*(日次管理!#REF!="実施完了")*(日次管理!#REF!="予定"),日次管理!#REF!)</f>
        <v>#REF!</v>
      </c>
      <c r="E5" s="56" t="e">
        <f>SUMPRODUCT((日次管理!#REF!&lt;=$E$3)*(日次管理!#REF!=$A$5)*(日次管理!#REF!="実施完了")*(日次管理!#REF!="実績"),日次管理!#REF!)</f>
        <v>#REF!</v>
      </c>
      <c r="F5" s="55" t="e">
        <f>SUMPRODUCT((日次管理!#REF!&lt;=$F$3)*(日次管理!#REF!=$A$5)*(日次管理!#REF!="実施完了")*(日次管理!#REF!="予定"),日次管理!#REF!)</f>
        <v>#REF!</v>
      </c>
      <c r="G5" s="56" t="e">
        <f>SUMPRODUCT((日次管理!#REF!&lt;=$G$3)*(日次管理!#REF!=$A$5)*(日次管理!#REF!="実施完了")*(日次管理!#REF!="実績"),日次管理!#REF!)</f>
        <v>#REF!</v>
      </c>
      <c r="H5" s="55" t="e">
        <f>SUMPRODUCT((日次管理!#REF!&lt;=$H$3)*(日次管理!#REF!=$A$5)*(日次管理!#REF!="実施完了")*(日次管理!#REF!="予定"),日次管理!#REF!)</f>
        <v>#REF!</v>
      </c>
      <c r="I5" s="56" t="e">
        <f>SUMPRODUCT((日次管理!#REF!&lt;=$I$3)*(日次管理!#REF!=$A$5)*(日次管理!#REF!="実施完了")*(日次管理!#REF!="実績"),日次管理!#REF!)</f>
        <v>#REF!</v>
      </c>
      <c r="J5" s="55" t="e">
        <f>SUMPRODUCT((日次管理!#REF!&lt;=$J$3)*(日次管理!#REF!=$A$5)*(日次管理!#REF!="実施完了")*(日次管理!#REF!="予定"),日次管理!#REF!)</f>
        <v>#REF!</v>
      </c>
      <c r="K5" s="56" t="e">
        <f>SUMPRODUCT((日次管理!#REF!&lt;=$K$3)*(日次管理!#REF!=$A$5)*(日次管理!#REF!="実施完了")*(日次管理!#REF!="実績"),日次管理!#REF!)</f>
        <v>#REF!</v>
      </c>
      <c r="L5" s="55" t="e">
        <f>SUMPRODUCT((日次管理!#REF!&lt;=$L$3)*(日次管理!#REF!=$A$5)*(日次管理!#REF!="実施完了")*(日次管理!#REF!="予定"),日次管理!#REF!)</f>
        <v>#REF!</v>
      </c>
      <c r="M5" s="56" t="e">
        <f>SUMPRODUCT((日次管理!#REF!&lt;=$M$3)*(日次管理!#REF!=$A$5)*(日次管理!#REF!="実施完了")*(日次管理!#REF!="実績"),日次管理!#REF!)</f>
        <v>#REF!</v>
      </c>
      <c r="N5" s="55" t="e">
        <f>SUMPRODUCT((日次管理!#REF!&lt;=$N$3)*(日次管理!#REF!=$A$5)*(日次管理!#REF!="実施完了")*(日次管理!#REF!="予定"),日次管理!#REF!)</f>
        <v>#REF!</v>
      </c>
      <c r="O5" s="56" t="e">
        <f>SUMPRODUCT((日次管理!#REF!&lt;=$O$3)*(日次管理!#REF!=$A$5)*(日次管理!#REF!="実施完了")*(日次管理!#REF!="実績"),日次管理!#REF!)</f>
        <v>#REF!</v>
      </c>
      <c r="P5" s="55" t="e">
        <f>SUMPRODUCT((日次管理!#REF!&lt;=$P$3)*(日次管理!#REF!=$A$5)*(日次管理!#REF!="実施完了")*(日次管理!#REF!="予定"),日次管理!#REF!)</f>
        <v>#REF!</v>
      </c>
      <c r="Q5" s="56" t="e">
        <f>SUMPRODUCT((日次管理!#REF!&lt;=$Q$3)*(日次管理!#REF!=$A$5)*(日次管理!#REF!="実施完了")*(日次管理!#REF!="実績"),日次管理!#REF!)</f>
        <v>#REF!</v>
      </c>
      <c r="R5" s="55" t="e">
        <f>SUMPRODUCT((日次管理!#REF!&lt;=$R$3)*(日次管理!#REF!=$A$5)*(日次管理!#REF!="実施完了")*(日次管理!#REF!="予定"),日次管理!#REF!)</f>
        <v>#REF!</v>
      </c>
      <c r="S5" s="56" t="e">
        <f>SUMPRODUCT((日次管理!#REF!&lt;=$S$3)*(日次管理!#REF!=$A$5)*(日次管理!#REF!="実施完了")*(日次管理!#REF!="実績"),日次管理!#REF!)</f>
        <v>#REF!</v>
      </c>
      <c r="T5" s="55" t="e">
        <f>SUMPRODUCT((日次管理!#REF!&lt;=$T$3)*(日次管理!#REF!=$A$5)*(日次管理!#REF!="実施完了")*(日次管理!#REF!="予定"),日次管理!#REF!)</f>
        <v>#REF!</v>
      </c>
      <c r="U5" s="56" t="e">
        <f>SUMPRODUCT((日次管理!#REF!&lt;=$U$3)*(日次管理!#REF!=$A$5)*(日次管理!#REF!="実施完了")*(日次管理!#REF!="実績"),日次管理!#REF!)</f>
        <v>#REF!</v>
      </c>
      <c r="V5" s="55" t="e">
        <f>SUMPRODUCT((日次管理!#REF!&lt;=$V$3)*(日次管理!#REF!=$A$5)*(日次管理!#REF!="実施完了")*(日次管理!#REF!="予定"),日次管理!#REF!)</f>
        <v>#REF!</v>
      </c>
      <c r="W5" s="56" t="e">
        <f>SUMPRODUCT((日次管理!#REF!&lt;=$W$3)*(日次管理!#REF!=$A$5)*(日次管理!#REF!="実施完了")*(日次管理!#REF!="実績"),日次管理!#REF!)</f>
        <v>#REF!</v>
      </c>
      <c r="X5" s="55" t="e">
        <f>SUMPRODUCT((日次管理!#REF!&lt;=$X$3)*(日次管理!#REF!=$A$5)*(日次管理!#REF!="実施完了")*(日次管理!#REF!="予定"),日次管理!#REF!)</f>
        <v>#REF!</v>
      </c>
      <c r="Y5" s="56" t="e">
        <f>SUMPRODUCT((日次管理!#REF!&lt;=$Y$3)*(日次管理!#REF!=$A$5)*(日次管理!#REF!="実施完了")*(日次管理!#REF!="実績"),日次管理!#REF!)</f>
        <v>#REF!</v>
      </c>
      <c r="Z5" s="55" t="e">
        <f>SUMPRODUCT((日次管理!#REF!&lt;=$Z$3)*(日次管理!#REF!=$A$5)*(日次管理!#REF!="実施完了")*(日次管理!#REF!="予定"),日次管理!#REF!)</f>
        <v>#REF!</v>
      </c>
      <c r="AA5" s="56" t="e">
        <f>SUMPRODUCT((日次管理!#REF!&lt;=$AA$3)*(日次管理!#REF!=$A$5)*(日次管理!#REF!="実施完了")*(日次管理!#REF!="実績"),日次管理!#REF!)</f>
        <v>#REF!</v>
      </c>
      <c r="AB5" s="55" t="e">
        <f>SUMPRODUCT((日次管理!#REF!&lt;=$AB$3)*(日次管理!#REF!=$A$5)*(日次管理!#REF!="実施完了")*(日次管理!#REF!="予定"),日次管理!#REF!)</f>
        <v>#REF!</v>
      </c>
      <c r="AC5" s="56" t="e">
        <f>SUMPRODUCT((日次管理!#REF!&lt;=$AC$3)*(日次管理!#REF!=$A$5)*(日次管理!#REF!="実施完了")*(日次管理!#REF!="実績"),日次管理!#REF!)</f>
        <v>#REF!</v>
      </c>
      <c r="AD5" s="55" t="e">
        <f>SUMPRODUCT((日次管理!#REF!&lt;=$AD$3)*(日次管理!#REF!=$A$5)*(日次管理!#REF!="実施完了")*(日次管理!#REF!="予定"),日次管理!#REF!)</f>
        <v>#REF!</v>
      </c>
      <c r="AE5" s="56" t="e">
        <f>SUMPRODUCT((日次管理!#REF!&lt;=$AE$3)*(日次管理!#REF!=$A$5)*(日次管理!#REF!="実施完了")*(日次管理!#REF!="実績"),日次管理!#REF!)</f>
        <v>#REF!</v>
      </c>
      <c r="AF5" s="55" t="e">
        <f>SUMPRODUCT((日次管理!#REF!&lt;=$AF$3)*(日次管理!#REF!=$A$5)*(日次管理!#REF!="実施完了")*(日次管理!#REF!="予定"),日次管理!#REF!)</f>
        <v>#REF!</v>
      </c>
      <c r="AG5" s="56" t="e">
        <f>SUMPRODUCT((日次管理!#REF!&lt;=$AG$3)*(日次管理!#REF!=$A$5)*(日次管理!#REF!="実施完了")*(日次管理!#REF!="実績"),日次管理!#REF!)</f>
        <v>#REF!</v>
      </c>
      <c r="AH5" s="55" t="e">
        <f>SUMPRODUCT((日次管理!#REF!&lt;=$AH$3)*(日次管理!#REF!=$A$5)*(日次管理!#REF!="実施完了")*(日次管理!#REF!="予定"),日次管理!#REF!)</f>
        <v>#REF!</v>
      </c>
      <c r="AI5" s="56" t="e">
        <f>SUMPRODUCT((日次管理!#REF!&lt;=$AI$3)*(日次管理!#REF!=$A$5)*(日次管理!#REF!="実施完了")*(日次管理!#REF!="実績"),日次管理!#REF!)</f>
        <v>#REF!</v>
      </c>
      <c r="AJ5" s="55" t="e">
        <f>SUMPRODUCT((日次管理!#REF!&lt;=$AJ$3)*(日次管理!#REF!=$A$5)*(日次管理!#REF!="実施完了")*(日次管理!#REF!="予定"),日次管理!#REF!)</f>
        <v>#REF!</v>
      </c>
      <c r="AK5" s="56" t="e">
        <f>SUMPRODUCT((日次管理!#REF!&lt;=$AK$3)*(日次管理!#REF!=$A$5)*(日次管理!#REF!="実施完了")*(日次管理!#REF!="実績"),日次管理!#REF!)</f>
        <v>#REF!</v>
      </c>
      <c r="AL5" s="55" t="e">
        <f>SUMPRODUCT((日次管理!#REF!&lt;=$AL$3)*(日次管理!#REF!=$A$5)*(日次管理!#REF!="実施完了")*(日次管理!#REF!="予定"),日次管理!#REF!)</f>
        <v>#REF!</v>
      </c>
      <c r="AM5" s="56" t="e">
        <f>SUMPRODUCT((日次管理!#REF!&lt;=$AM$3)*(日次管理!#REF!=$A$5)*(日次管理!#REF!="実施完了")*(日次管理!#REF!="実績"),日次管理!#REF!)</f>
        <v>#REF!</v>
      </c>
      <c r="AN5" s="55" t="e">
        <f>SUMPRODUCT((日次管理!#REF!&lt;=$AN$3)*(日次管理!#REF!=$A$5)*(日次管理!#REF!="実施完了")*(日次管理!#REF!="予定"),日次管理!#REF!)</f>
        <v>#REF!</v>
      </c>
      <c r="AO5" s="56" t="e">
        <f>SUMPRODUCT((日次管理!#REF!&lt;=$AO$3)*(日次管理!#REF!=$A$5)*(日次管理!#REF!="実施完了")*(日次管理!#REF!="実績"),日次管理!#REF!)</f>
        <v>#REF!</v>
      </c>
      <c r="AP5" s="55" t="e">
        <f>SUMPRODUCT((日次管理!#REF!&lt;=$AP$3)*(日次管理!#REF!=$A$5)*(日次管理!#REF!="実施完了")*(日次管理!#REF!="予定"),日次管理!#REF!)</f>
        <v>#REF!</v>
      </c>
      <c r="AQ5" s="56" t="e">
        <f>SUMPRODUCT((日次管理!#REF!&lt;=$AQ$3)*(日次管理!#REF!=$A$5)*(日次管理!#REF!="実施完了")*(日次管理!#REF!="実績"),日次管理!#REF!)</f>
        <v>#REF!</v>
      </c>
      <c r="AR5" s="55" t="e">
        <f>SUMPRODUCT((日次管理!#REF!&lt;=$AR$3)*(日次管理!#REF!=$A$5)*(日次管理!#REF!="実施完了")*(日次管理!#REF!="予定"),日次管理!#REF!)</f>
        <v>#REF!</v>
      </c>
      <c r="AS5" s="56" t="e">
        <f>SUMPRODUCT((日次管理!#REF!&lt;=$AS$3)*(日次管理!#REF!=$A$5)*(日次管理!#REF!="実施完了")*(日次管理!#REF!="実績"),日次管理!#REF!)</f>
        <v>#REF!</v>
      </c>
      <c r="AT5" s="55" t="e">
        <f>SUMPRODUCT((日次管理!#REF!&lt;=$AT$3)*(日次管理!#REF!=$A$5)*(日次管理!#REF!="実施完了")*(日次管理!#REF!="予定"),日次管理!#REF!)</f>
        <v>#REF!</v>
      </c>
      <c r="AU5" s="56" t="e">
        <f>SUMPRODUCT((日次管理!#REF!&lt;=$AU$3)*(日次管理!#REF!=$A$5)*(日次管理!#REF!="実施完了")*(日次管理!#REF!="実績"),日次管理!#REF!)</f>
        <v>#REF!</v>
      </c>
      <c r="AV5" s="55" t="e">
        <f>SUMPRODUCT((日次管理!#REF!&lt;=$AV$3)*(日次管理!#REF!=$A$5)*(日次管理!#REF!="実施完了")*(日次管理!#REF!="予定"),日次管理!#REF!)</f>
        <v>#REF!</v>
      </c>
      <c r="AW5" s="56" t="e">
        <f>SUMPRODUCT((日次管理!#REF!&lt;=$AW$3)*(日次管理!#REF!=$A$5)*(日次管理!#REF!="実施完了")*(日次管理!#REF!="実績"),日次管理!#REF!)</f>
        <v>#REF!</v>
      </c>
      <c r="AX5" s="55" t="e">
        <f>SUMPRODUCT((日次管理!#REF!&lt;=$AX$3)*(日次管理!#REF!=$A$5)*(日次管理!#REF!="実施完了")*(日次管理!#REF!="予定"),日次管理!#REF!)</f>
        <v>#REF!</v>
      </c>
      <c r="AY5" s="56" t="e">
        <f>SUMPRODUCT((日次管理!#REF!&lt;=$AY$3)*(日次管理!#REF!=$A$5)*(日次管理!#REF!="実施完了")*(日次管理!#REF!="実績"),日次管理!#REF!)</f>
        <v>#REF!</v>
      </c>
      <c r="AZ5" s="55" t="e">
        <f>SUMPRODUCT((日次管理!#REF!&lt;=$AZ$3)*(日次管理!#REF!=$A$5)*(日次管理!#REF!="実施完了")*(日次管理!#REF!="予定"),日次管理!#REF!)</f>
        <v>#REF!</v>
      </c>
      <c r="BA5" s="56" t="e">
        <f>SUMPRODUCT((日次管理!#REF!&lt;=$BA$3)*(日次管理!#REF!=$A$5)*(日次管理!#REF!="実施完了")*(日次管理!#REF!="実績"),日次管理!#REF!)</f>
        <v>#REF!</v>
      </c>
      <c r="BB5" s="55" t="e">
        <f>SUMPRODUCT((日次管理!#REF!&lt;=$BB$3)*(日次管理!#REF!=$A$5)*(日次管理!#REF!="実施完了")*(日次管理!#REF!="予定"),日次管理!#REF!)</f>
        <v>#REF!</v>
      </c>
      <c r="BC5" s="56" t="e">
        <f>SUMPRODUCT((日次管理!#REF!&lt;=$BC$3)*(日次管理!#REF!=$A$5)*(日次管理!#REF!="実施完了")*(日次管理!#REF!="実績"),日次管理!#REF!)</f>
        <v>#REF!</v>
      </c>
      <c r="BD5" s="55" t="e">
        <f>SUMPRODUCT((日次管理!#REF!&lt;=$BD$3)*(日次管理!#REF!=$A$5)*(日次管理!#REF!="実施完了")*(日次管理!#REF!="予定"),日次管理!#REF!)</f>
        <v>#REF!</v>
      </c>
      <c r="BE5" s="56" t="e">
        <f>SUMPRODUCT((日次管理!#REF!&lt;=$BE$3)*(日次管理!#REF!=$A$5)*(日次管理!#REF!="実施完了")*(日次管理!#REF!="実績"),日次管理!#REF!)</f>
        <v>#REF!</v>
      </c>
      <c r="BF5" s="55" t="e">
        <f>SUMPRODUCT((日次管理!#REF!&lt;=$BF$3)*(日次管理!#REF!=$A$5)*(日次管理!#REF!="実施完了")*(日次管理!#REF!="予定"),日次管理!#REF!)</f>
        <v>#REF!</v>
      </c>
      <c r="BG5" s="56" t="e">
        <f>SUMPRODUCT((日次管理!#REF!&lt;=$BG$3)*(日次管理!#REF!=$A$5)*(日次管理!#REF!="実施完了")*(日次管理!#REF!="実績"),日次管理!#REF!)</f>
        <v>#REF!</v>
      </c>
      <c r="BH5" s="55" t="e">
        <f>SUMPRODUCT((日次管理!#REF!&lt;=$BH$3)*(日次管理!#REF!=$A$5)*(日次管理!#REF!="実施完了")*(日次管理!#REF!="予定"),日次管理!#REF!)</f>
        <v>#REF!</v>
      </c>
      <c r="BI5" s="56" t="e">
        <f>SUMPRODUCT((日次管理!#REF!&lt;=$BI$3)*(日次管理!#REF!=$A$5)*(日次管理!#REF!="実施完了")*(日次管理!#REF!="実績"),日次管理!#REF!)</f>
        <v>#REF!</v>
      </c>
      <c r="BJ5" s="55" t="e">
        <f>SUMPRODUCT((日次管理!#REF!&lt;=$BJ$3)*(日次管理!#REF!=$A$5)*(日次管理!#REF!="実施完了")*(日次管理!#REF!="予定"),日次管理!#REF!)</f>
        <v>#REF!</v>
      </c>
      <c r="BK5" s="56" t="e">
        <f>SUMPRODUCT((日次管理!#REF!&lt;=$BK$3)*(日次管理!#REF!=$A$5)*(日次管理!#REF!="実施完了")*(日次管理!#REF!="実績"),日次管理!#REF!)</f>
        <v>#REF!</v>
      </c>
      <c r="BL5" s="55" t="e">
        <f>SUMPRODUCT((日次管理!#REF!&lt;=$BL$3)*(日次管理!#REF!=$A$5)*(日次管理!#REF!="実施完了")*(日次管理!#REF!="予定"),日次管理!#REF!)</f>
        <v>#REF!</v>
      </c>
      <c r="BM5" s="56" t="e">
        <f>SUMPRODUCT((日次管理!#REF!&lt;=$BM$3)*(日次管理!#REF!=$A$5)*(日次管理!#REF!="実施完了")*(日次管理!#REF!="実績"),日次管理!#REF!)</f>
        <v>#REF!</v>
      </c>
      <c r="BN5" s="55" t="e">
        <f>SUMPRODUCT((日次管理!#REF!&lt;=$BN$3)*(日次管理!#REF!=$A$5)*(日次管理!#REF!="実施完了")*(日次管理!#REF!="予定"),日次管理!#REF!)</f>
        <v>#REF!</v>
      </c>
      <c r="BO5" s="56" t="e">
        <f>SUMPRODUCT((日次管理!#REF!&lt;=$BO$3)*(日次管理!#REF!=$A$5)*(日次管理!#REF!="実施完了")*(日次管理!#REF!="実績"),日次管理!#REF!)</f>
        <v>#REF!</v>
      </c>
      <c r="BP5" s="55" t="e">
        <f>SUMPRODUCT((日次管理!#REF!&lt;=$BP$3)*(日次管理!#REF!=$A$5)*(日次管理!#REF!="実施完了")*(日次管理!#REF!="予定"),日次管理!#REF!)</f>
        <v>#REF!</v>
      </c>
      <c r="BQ5" s="56" t="e">
        <f>SUMPRODUCT((日次管理!#REF!&lt;=$BQ$3)*(日次管理!#REF!=$A$5)*(日次管理!#REF!="実施完了")*(日次管理!#REF!="実績"),日次管理!#REF!)</f>
        <v>#REF!</v>
      </c>
      <c r="BR5" s="55" t="e">
        <f>SUMPRODUCT((日次管理!#REF!&lt;=$BR$3)*(日次管理!#REF!=$A$5)*(日次管理!#REF!="実施完了")*(日次管理!#REF!="予定"),日次管理!#REF!)</f>
        <v>#REF!</v>
      </c>
      <c r="BS5" s="56" t="e">
        <f>SUMPRODUCT((日次管理!#REF!&lt;=$BS$3)*(日次管理!#REF!=$A$5)*(日次管理!#REF!="実施完了")*(日次管理!#REF!="実績"),日次管理!#REF!)</f>
        <v>#REF!</v>
      </c>
      <c r="BT5" s="55" t="e">
        <f>SUMPRODUCT((日次管理!#REF!&lt;=$BT$3)*(日次管理!#REF!=$A$5)*(日次管理!#REF!="実施完了")*(日次管理!#REF!="予定"),日次管理!#REF!)</f>
        <v>#REF!</v>
      </c>
      <c r="BU5" s="56" t="e">
        <f>SUMPRODUCT((日次管理!#REF!&lt;=$BU$3)*(日次管理!#REF!=$A$5)*(日次管理!#REF!="実施完了")*(日次管理!#REF!="実績"),日次管理!#REF!)</f>
        <v>#REF!</v>
      </c>
      <c r="BV5" s="55" t="e">
        <f>SUMPRODUCT((日次管理!#REF!&lt;=$BV$3)*(日次管理!#REF!=$A$5)*(日次管理!#REF!="実施完了")*(日次管理!#REF!="予定"),日次管理!#REF!)</f>
        <v>#REF!</v>
      </c>
      <c r="BW5" s="56" t="e">
        <f>SUMPRODUCT((日次管理!#REF!&lt;=$BW$3)*(日次管理!#REF!=$A$5)*(日次管理!#REF!="実施完了")*(日次管理!#REF!="実績"),日次管理!#REF!)</f>
        <v>#REF!</v>
      </c>
      <c r="BX5" s="55" t="e">
        <f>SUMPRODUCT((日次管理!#REF!&lt;=$BX$3)*(日次管理!#REF!=$A$5)*(日次管理!#REF!="実施完了")*(日次管理!#REF!="予定"),日次管理!#REF!)</f>
        <v>#REF!</v>
      </c>
      <c r="BY5" s="56" t="e">
        <f>SUMPRODUCT((日次管理!#REF!&lt;=$BY$3)*(日次管理!#REF!=$A$5)*(日次管理!#REF!="実施完了")*(日次管理!#REF!="実績"),日次管理!#REF!)</f>
        <v>#REF!</v>
      </c>
      <c r="BZ5" s="55" t="e">
        <f>SUMPRODUCT((日次管理!#REF!&lt;=$BZ$3)*(日次管理!#REF!=$A$5)*(日次管理!#REF!="実施完了")*(日次管理!#REF!="予定"),日次管理!#REF!)</f>
        <v>#REF!</v>
      </c>
      <c r="CA5" s="56" t="e">
        <f>SUMPRODUCT((日次管理!#REF!&lt;=$CA$3)*(日次管理!#REF!=$A$5)*(日次管理!#REF!="実施完了")*(日次管理!#REF!="実績"),日次管理!#REF!)</f>
        <v>#REF!</v>
      </c>
      <c r="CB5" s="55" t="e">
        <f>SUMPRODUCT((日次管理!#REF!&lt;=$CB$3)*(日次管理!#REF!=$A$5)*(日次管理!#REF!="実施完了")*(日次管理!#REF!="予定"),日次管理!#REF!)</f>
        <v>#REF!</v>
      </c>
      <c r="CC5" s="56" t="e">
        <f>SUMPRODUCT((日次管理!#REF!&lt;=$CC$3)*(日次管理!#REF!=$A$5)*(日次管理!#REF!="実施完了")*(日次管理!#REF!="実績"),日次管理!#REF!)</f>
        <v>#REF!</v>
      </c>
      <c r="CD5" s="55" t="e">
        <f>SUMPRODUCT((日次管理!#REF!&lt;=$CD$3)*(日次管理!#REF!=$A$5)*(日次管理!#REF!="実施完了")*(日次管理!#REF!="予定"),日次管理!#REF!)</f>
        <v>#REF!</v>
      </c>
      <c r="CE5" s="56" t="e">
        <f>SUMPRODUCT((日次管理!#REF!&lt;=$CE$3)*(日次管理!#REF!=$A$5)*(日次管理!#REF!="実施完了")*(日次管理!#REF!="実績"),日次管理!#REF!)</f>
        <v>#REF!</v>
      </c>
      <c r="CF5" s="55" t="e">
        <f>SUMPRODUCT((日次管理!#REF!&lt;=$CF$3)*(日次管理!#REF!=$A$5)*(日次管理!#REF!="実施完了")*(日次管理!#REF!="予定"),日次管理!#REF!)</f>
        <v>#REF!</v>
      </c>
      <c r="CG5" s="56" t="e">
        <f>SUMPRODUCT((日次管理!#REF!&lt;=$CG$3)*(日次管理!#REF!=$A$5)*(日次管理!#REF!="実施完了")*(日次管理!#REF!="実績"),日次管理!#REF!)</f>
        <v>#REF!</v>
      </c>
      <c r="CH5" s="55" t="e">
        <f>SUMPRODUCT((日次管理!#REF!&lt;=$CH$3)*(日次管理!#REF!=$A$5)*(日次管理!#REF!="実施完了")*(日次管理!#REF!="予定"),日次管理!#REF!)</f>
        <v>#REF!</v>
      </c>
      <c r="CI5" s="56" t="e">
        <f>SUMPRODUCT((日次管理!#REF!&lt;=$CI$3)*(日次管理!#REF!=$A$5)*(日次管理!#REF!="実施完了")*(日次管理!#REF!="実績"),日次管理!#REF!)</f>
        <v>#REF!</v>
      </c>
      <c r="CJ5" s="55" t="e">
        <f>SUMPRODUCT((日次管理!#REF!&lt;=$CJ$3)*(日次管理!#REF!=$A$5)*(日次管理!#REF!="実施完了")*(日次管理!#REF!="予定"),日次管理!#REF!)</f>
        <v>#REF!</v>
      </c>
      <c r="CK5" s="56" t="e">
        <f>SUMPRODUCT((日次管理!#REF!&lt;=$CK$3)*(日次管理!#REF!=$A$5)*(日次管理!#REF!="実施完了")*(日次管理!#REF!="実績"),日次管理!#REF!)</f>
        <v>#REF!</v>
      </c>
      <c r="CL5" s="55" t="e">
        <f>SUMPRODUCT((日次管理!#REF!&lt;=$CL$3)*(日次管理!#REF!=$A$5)*(日次管理!#REF!="実施完了")*(日次管理!#REF!="予定"),日次管理!#REF!)</f>
        <v>#REF!</v>
      </c>
      <c r="CM5" s="56" t="e">
        <f>SUMPRODUCT((日次管理!#REF!&lt;=$CM$3)*(日次管理!#REF!=$A$5)*(日次管理!#REF!="実施完了")*(日次管理!#REF!="実績"),日次管理!#REF!)</f>
        <v>#REF!</v>
      </c>
      <c r="CN5" s="55" t="e">
        <f>SUMPRODUCT((日次管理!#REF!&lt;=$CN$3)*(日次管理!#REF!=$A$5)*(日次管理!#REF!="実施完了")*(日次管理!#REF!="予定"),日次管理!#REF!)</f>
        <v>#REF!</v>
      </c>
      <c r="CO5" s="56" t="e">
        <f>SUMPRODUCT((日次管理!#REF!&lt;=$CO$3)*(日次管理!#REF!=$A$5)*(日次管理!#REF!="実施完了")*(日次管理!#REF!="実績"),日次管理!#REF!)</f>
        <v>#REF!</v>
      </c>
      <c r="CP5" s="55" t="e">
        <f>SUMPRODUCT((日次管理!#REF!&lt;=$CP$3)*(日次管理!#REF!=$A$5)*(日次管理!#REF!="実施完了")*(日次管理!#REF!="予定"),日次管理!#REF!)</f>
        <v>#REF!</v>
      </c>
      <c r="CQ5" s="56" t="e">
        <f>SUMPRODUCT((日次管理!#REF!&lt;=$CQ$3)*(日次管理!#REF!=$A$5)*(日次管理!#REF!="実施完了")*(日次管理!#REF!="実績"),日次管理!#REF!)</f>
        <v>#REF!</v>
      </c>
      <c r="CR5" s="55" t="e">
        <f>SUMPRODUCT((日次管理!#REF!&lt;=$CR$3)*(日次管理!#REF!=$A$5)*(日次管理!#REF!="実施完了")*(日次管理!#REF!="予定"),日次管理!#REF!)</f>
        <v>#REF!</v>
      </c>
      <c r="CS5" s="56" t="e">
        <f>SUMPRODUCT((日次管理!#REF!&lt;=$CS$3)*(日次管理!#REF!=$A$5)*(日次管理!#REF!="実施完了")*(日次管理!#REF!="実績"),日次管理!#REF!)</f>
        <v>#REF!</v>
      </c>
      <c r="CT5" s="55" t="e">
        <f>SUMPRODUCT((日次管理!#REF!&lt;=$CT$3)*(日次管理!#REF!=$A$5)*(日次管理!#REF!="実施完了")*(日次管理!#REF!="予定"),日次管理!#REF!)</f>
        <v>#REF!</v>
      </c>
      <c r="CU5" s="56" t="e">
        <f>SUMPRODUCT((日次管理!#REF!&lt;=$CU$3)*(日次管理!#REF!=$A$5)*(日次管理!#REF!="実施完了")*(日次管理!#REF!="実績"),日次管理!#REF!)</f>
        <v>#REF!</v>
      </c>
      <c r="CV5" s="57" t="e">
        <f ca="1">SUMPRODUCT(($A$3- WEEKDAY($A$3) + 6 =$B$3:$CU$3)*("実績"=$B$4:$CU$4),$B$5:$CU$5)/SUMPRODUCT(($A$3- WEEKDAY($A$3) + 6 =$B$3:$CU$3)*("予定"=$B$4:$CU$4),$B$5:$CU$5)</f>
        <v>#REF!</v>
      </c>
      <c r="CW5" s="58" t="e">
        <f>$CU$5/$CT$5</f>
        <v>#REF!</v>
      </c>
    </row>
    <row r="6" spans="1:101" ht="20.149999999999999" customHeight="1">
      <c r="A6" s="90" t="s">
        <v>83</v>
      </c>
      <c r="B6" s="91" t="e">
        <f>SUMPRODUCT((日次管理!#REF!&lt;=$B$3)*(日次管理!#REF!=$A$6)*(日次管理!#REF!="実施完了")*(日次管理!#REF!="予定"),日次管理!#REF!)</f>
        <v>#REF!</v>
      </c>
      <c r="C6" s="59" t="e">
        <f>SUMPRODUCT((日次管理!#REF!&lt;=$C$3)*(日次管理!#REF!=$A$6)*(日次管理!#REF!="実施完了")*(日次管理!#REF!="実績"),日次管理!#REF!)</f>
        <v>#REF!</v>
      </c>
      <c r="D6" s="91" t="e">
        <f>SUMPRODUCT((日次管理!#REF!&lt;=$D$3)*(日次管理!#REF!=$A$6)*(日次管理!#REF!="実施完了")*(日次管理!#REF!="予定"),日次管理!#REF!)</f>
        <v>#REF!</v>
      </c>
      <c r="E6" s="59" t="e">
        <f>SUMPRODUCT((日次管理!#REF!&lt;=$E$3)*(日次管理!#REF!=$A$6)*(日次管理!#REF!="実施完了")*(日次管理!#REF!="実績"),日次管理!#REF!)</f>
        <v>#REF!</v>
      </c>
      <c r="F6" s="91" t="e">
        <f>SUMPRODUCT((日次管理!#REF!&lt;=$F$3)*(日次管理!#REF!=$A$6)*(日次管理!#REF!="実施完了")*(日次管理!#REF!="予定"),日次管理!#REF!)</f>
        <v>#REF!</v>
      </c>
      <c r="G6" s="59" t="e">
        <f>SUMPRODUCT((日次管理!#REF!&lt;=$G$3)*(日次管理!#REF!=$A$6)*(日次管理!#REF!="実施完了")*(日次管理!#REF!="実績"),日次管理!#REF!)</f>
        <v>#REF!</v>
      </c>
      <c r="H6" s="91" t="e">
        <f>SUMPRODUCT((日次管理!#REF!&lt;=$H$3)*(日次管理!#REF!=$A$6)*(日次管理!#REF!="実施完了")*(日次管理!#REF!="予定"),日次管理!#REF!)</f>
        <v>#REF!</v>
      </c>
      <c r="I6" s="59" t="e">
        <f>SUMPRODUCT((日次管理!#REF!&lt;=$I$3)*(日次管理!#REF!=$A$6)*(日次管理!#REF!="実施完了")*(日次管理!#REF!="実績"),日次管理!#REF!)</f>
        <v>#REF!</v>
      </c>
      <c r="J6" s="91" t="e">
        <f>SUMPRODUCT((日次管理!#REF!&lt;=$J$3)*(日次管理!#REF!=$A$6)*(日次管理!#REF!="実施完了")*(日次管理!#REF!="予定"),日次管理!#REF!)</f>
        <v>#REF!</v>
      </c>
      <c r="K6" s="59" t="e">
        <f>SUMPRODUCT((日次管理!#REF!&lt;=$K$3)*(日次管理!#REF!=$A$6)*(日次管理!#REF!="実施完了")*(日次管理!#REF!="実績"),日次管理!#REF!)</f>
        <v>#REF!</v>
      </c>
      <c r="L6" s="91" t="e">
        <f>SUMPRODUCT((日次管理!#REF!&lt;=$L$3)*(日次管理!#REF!=$A$6)*(日次管理!#REF!="実施完了")*(日次管理!#REF!="予定"),日次管理!#REF!)</f>
        <v>#REF!</v>
      </c>
      <c r="M6" s="59" t="e">
        <f>SUMPRODUCT((日次管理!#REF!&lt;=$M$3)*(日次管理!#REF!=$A$6)*(日次管理!#REF!="実施完了")*(日次管理!#REF!="実績"),日次管理!#REF!)</f>
        <v>#REF!</v>
      </c>
      <c r="N6" s="91" t="e">
        <f>SUMPRODUCT((日次管理!#REF!&lt;=$N$3)*(日次管理!#REF!=$A$6)*(日次管理!#REF!="実施完了")*(日次管理!#REF!="予定"),日次管理!#REF!)</f>
        <v>#REF!</v>
      </c>
      <c r="O6" s="59" t="e">
        <f>SUMPRODUCT((日次管理!#REF!&lt;=$O$3)*(日次管理!#REF!=$A$6)*(日次管理!#REF!="実施完了")*(日次管理!#REF!="実績"),日次管理!#REF!)</f>
        <v>#REF!</v>
      </c>
      <c r="P6" s="91" t="e">
        <f>SUMPRODUCT((日次管理!#REF!&lt;=$P$3)*(日次管理!#REF!=$A$6)*(日次管理!#REF!="実施完了")*(日次管理!#REF!="予定"),日次管理!#REF!)</f>
        <v>#REF!</v>
      </c>
      <c r="Q6" s="59" t="e">
        <f>SUMPRODUCT((日次管理!#REF!&lt;=$Q$3)*(日次管理!#REF!=$A$6)*(日次管理!#REF!="実施完了")*(日次管理!#REF!="実績"),日次管理!#REF!)</f>
        <v>#REF!</v>
      </c>
      <c r="R6" s="91" t="e">
        <f>SUMPRODUCT((日次管理!#REF!&lt;=$R$3)*(日次管理!#REF!=$A$6)*(日次管理!#REF!="実施完了")*(日次管理!#REF!="予定"),日次管理!#REF!)</f>
        <v>#REF!</v>
      </c>
      <c r="S6" s="59" t="e">
        <f>SUMPRODUCT((日次管理!#REF!&lt;=$S$3)*(日次管理!#REF!=$A$6)*(日次管理!#REF!="実施完了")*(日次管理!#REF!="実績"),日次管理!#REF!)</f>
        <v>#REF!</v>
      </c>
      <c r="T6" s="91" t="e">
        <f>SUMPRODUCT((日次管理!#REF!&lt;=$T$3)*(日次管理!#REF!=$A$6)*(日次管理!#REF!="実施完了")*(日次管理!#REF!="予定"),日次管理!#REF!)</f>
        <v>#REF!</v>
      </c>
      <c r="U6" s="59" t="e">
        <f>SUMPRODUCT((日次管理!#REF!&lt;=$U$3)*(日次管理!#REF!=$A$6)*(日次管理!#REF!="実施完了")*(日次管理!#REF!="実績"),日次管理!#REF!)</f>
        <v>#REF!</v>
      </c>
      <c r="V6" s="91" t="e">
        <f>SUMPRODUCT((日次管理!#REF!&lt;=$V$3)*(日次管理!#REF!=$A$6)*(日次管理!#REF!="実施完了")*(日次管理!#REF!="予定"),日次管理!#REF!)</f>
        <v>#REF!</v>
      </c>
      <c r="W6" s="59" t="e">
        <f>SUMPRODUCT((日次管理!#REF!&lt;=$W$3)*(日次管理!#REF!=$A$6)*(日次管理!#REF!="実施完了")*(日次管理!#REF!="実績"),日次管理!#REF!)</f>
        <v>#REF!</v>
      </c>
      <c r="X6" s="91" t="e">
        <f>SUMPRODUCT((日次管理!#REF!&lt;=$X$3)*(日次管理!#REF!=$A$6)*(日次管理!#REF!="実施完了")*(日次管理!#REF!="予定"),日次管理!#REF!)</f>
        <v>#REF!</v>
      </c>
      <c r="Y6" s="59" t="e">
        <f>SUMPRODUCT((日次管理!#REF!&lt;=$Y$3)*(日次管理!#REF!=$A$6)*(日次管理!#REF!="実施完了")*(日次管理!#REF!="実績"),日次管理!#REF!)</f>
        <v>#REF!</v>
      </c>
      <c r="Z6" s="91" t="e">
        <f>SUMPRODUCT((日次管理!#REF!&lt;=$Z$3)*(日次管理!#REF!=$A$6)*(日次管理!#REF!="実施完了")*(日次管理!#REF!="予定"),日次管理!#REF!)</f>
        <v>#REF!</v>
      </c>
      <c r="AA6" s="59" t="e">
        <f>SUMPRODUCT((日次管理!#REF!&lt;=$AA$3)*(日次管理!#REF!=$A$6)*(日次管理!#REF!="実施完了")*(日次管理!#REF!="実績"),日次管理!#REF!)</f>
        <v>#REF!</v>
      </c>
      <c r="AB6" s="91" t="e">
        <f>SUMPRODUCT((日次管理!#REF!&lt;=$AB$3)*(日次管理!#REF!=$A$6)*(日次管理!#REF!="実施完了")*(日次管理!#REF!="予定"),日次管理!#REF!)</f>
        <v>#REF!</v>
      </c>
      <c r="AC6" s="59" t="e">
        <f>SUMPRODUCT((日次管理!#REF!&lt;=$AC$3)*(日次管理!#REF!=$A$6)*(日次管理!#REF!="実施完了")*(日次管理!#REF!="実績"),日次管理!#REF!)</f>
        <v>#REF!</v>
      </c>
      <c r="AD6" s="91" t="e">
        <f>SUMPRODUCT((日次管理!#REF!&lt;=$AD$3)*(日次管理!#REF!=$A$6)*(日次管理!#REF!="実施完了")*(日次管理!#REF!="予定"),日次管理!#REF!)</f>
        <v>#REF!</v>
      </c>
      <c r="AE6" s="59" t="e">
        <f>SUMPRODUCT((日次管理!#REF!&lt;=$AE$3)*(日次管理!#REF!=$A$6)*(日次管理!#REF!="実施完了")*(日次管理!#REF!="実績"),日次管理!#REF!)</f>
        <v>#REF!</v>
      </c>
      <c r="AF6" s="91" t="e">
        <f>SUMPRODUCT((日次管理!#REF!&lt;=$AF$3)*(日次管理!#REF!=$A$6)*(日次管理!#REF!="実施完了")*(日次管理!#REF!="予定"),日次管理!#REF!)</f>
        <v>#REF!</v>
      </c>
      <c r="AG6" s="59" t="e">
        <f>SUMPRODUCT((日次管理!#REF!&lt;=$AG$3)*(日次管理!#REF!=$A$6)*(日次管理!#REF!="実施完了")*(日次管理!#REF!="実績"),日次管理!#REF!)</f>
        <v>#REF!</v>
      </c>
      <c r="AH6" s="91" t="e">
        <f>SUMPRODUCT((日次管理!#REF!&lt;=$AH$3)*(日次管理!#REF!=$A$6)*(日次管理!#REF!="実施完了")*(日次管理!#REF!="予定"),日次管理!#REF!)</f>
        <v>#REF!</v>
      </c>
      <c r="AI6" s="59" t="e">
        <f>SUMPRODUCT((日次管理!#REF!&lt;=$AI$3)*(日次管理!#REF!=$A$6)*(日次管理!#REF!="実施完了")*(日次管理!#REF!="実績"),日次管理!#REF!)</f>
        <v>#REF!</v>
      </c>
      <c r="AJ6" s="91" t="e">
        <f>SUMPRODUCT((日次管理!#REF!&lt;=$AJ$3)*(日次管理!#REF!=$A$6)*(日次管理!#REF!="実施完了")*(日次管理!#REF!="予定"),日次管理!#REF!)</f>
        <v>#REF!</v>
      </c>
      <c r="AK6" s="59" t="e">
        <f>SUMPRODUCT((日次管理!#REF!&lt;=$AK$3)*(日次管理!#REF!=$A$6)*(日次管理!#REF!="実施完了")*(日次管理!#REF!="実績"),日次管理!#REF!)</f>
        <v>#REF!</v>
      </c>
      <c r="AL6" s="91" t="e">
        <f>SUMPRODUCT((日次管理!#REF!&lt;=$AL$3)*(日次管理!#REF!=$A$6)*(日次管理!#REF!="実施完了")*(日次管理!#REF!="予定"),日次管理!#REF!)</f>
        <v>#REF!</v>
      </c>
      <c r="AM6" s="59" t="e">
        <f>SUMPRODUCT((日次管理!#REF!&lt;=$AM$3)*(日次管理!#REF!=$A$6)*(日次管理!#REF!="実施完了")*(日次管理!#REF!="実績"),日次管理!#REF!)</f>
        <v>#REF!</v>
      </c>
      <c r="AN6" s="91" t="e">
        <f>SUMPRODUCT((日次管理!#REF!&lt;=$AN$3)*(日次管理!#REF!=$A$6)*(日次管理!#REF!="実施完了")*(日次管理!#REF!="予定"),日次管理!#REF!)</f>
        <v>#REF!</v>
      </c>
      <c r="AO6" s="59" t="e">
        <f>SUMPRODUCT((日次管理!#REF!&lt;=$AO$3)*(日次管理!#REF!=$A$6)*(日次管理!#REF!="実施完了")*(日次管理!#REF!="実績"),日次管理!#REF!)</f>
        <v>#REF!</v>
      </c>
      <c r="AP6" s="91" t="e">
        <f>SUMPRODUCT((日次管理!#REF!&lt;=$AP$3)*(日次管理!#REF!=$A$6)*(日次管理!#REF!="実施完了")*(日次管理!#REF!="予定"),日次管理!#REF!)</f>
        <v>#REF!</v>
      </c>
      <c r="AQ6" s="59" t="e">
        <f>SUMPRODUCT((日次管理!#REF!&lt;=$AQ$3)*(日次管理!#REF!=$A$6)*(日次管理!#REF!="実施完了")*(日次管理!#REF!="実績"),日次管理!#REF!)</f>
        <v>#REF!</v>
      </c>
      <c r="AR6" s="91" t="e">
        <f>SUMPRODUCT((日次管理!#REF!&lt;=$AR$3)*(日次管理!#REF!=$A$6)*(日次管理!#REF!="実施完了")*(日次管理!#REF!="予定"),日次管理!#REF!)</f>
        <v>#REF!</v>
      </c>
      <c r="AS6" s="59" t="e">
        <f>SUMPRODUCT((日次管理!#REF!&lt;=$AS$3)*(日次管理!#REF!=$A$6)*(日次管理!#REF!="実施完了")*(日次管理!#REF!="実績"),日次管理!#REF!)</f>
        <v>#REF!</v>
      </c>
      <c r="AT6" s="91" t="e">
        <f>SUMPRODUCT((日次管理!#REF!&lt;=$AT$3)*(日次管理!#REF!=$A$6)*(日次管理!#REF!="実施完了")*(日次管理!#REF!="予定"),日次管理!#REF!)</f>
        <v>#REF!</v>
      </c>
      <c r="AU6" s="59" t="e">
        <f>SUMPRODUCT((日次管理!#REF!&lt;=$AU$3)*(日次管理!#REF!=$A$6)*(日次管理!#REF!="実施完了")*(日次管理!#REF!="実績"),日次管理!#REF!)</f>
        <v>#REF!</v>
      </c>
      <c r="AV6" s="91" t="e">
        <f>SUMPRODUCT((日次管理!#REF!&lt;=$AV$3)*(日次管理!#REF!=$A$6)*(日次管理!#REF!="実施完了")*(日次管理!#REF!="予定"),日次管理!#REF!)</f>
        <v>#REF!</v>
      </c>
      <c r="AW6" s="59" t="e">
        <f>SUMPRODUCT((日次管理!#REF!&lt;=$AW$3)*(日次管理!#REF!=$A$6)*(日次管理!#REF!="実施完了")*(日次管理!#REF!="実績"),日次管理!#REF!)</f>
        <v>#REF!</v>
      </c>
      <c r="AX6" s="91" t="e">
        <f>SUMPRODUCT((日次管理!#REF!&lt;=$AX$3)*(日次管理!#REF!=$A$6)*(日次管理!#REF!="実施完了")*(日次管理!#REF!="予定"),日次管理!#REF!)</f>
        <v>#REF!</v>
      </c>
      <c r="AY6" s="59" t="e">
        <f>SUMPRODUCT((日次管理!#REF!&lt;=$AY$3)*(日次管理!#REF!=$A$6)*(日次管理!#REF!="実施完了")*(日次管理!#REF!="実績"),日次管理!#REF!)</f>
        <v>#REF!</v>
      </c>
      <c r="AZ6" s="91" t="e">
        <f>SUMPRODUCT((日次管理!#REF!&lt;=$AZ$3)*(日次管理!#REF!=$A$6)*(日次管理!#REF!="実施完了")*(日次管理!#REF!="予定"),日次管理!#REF!)</f>
        <v>#REF!</v>
      </c>
      <c r="BA6" s="59" t="e">
        <f>SUMPRODUCT((日次管理!#REF!&lt;=$BA$3)*(日次管理!#REF!=$A$6)*(日次管理!#REF!="実施完了")*(日次管理!#REF!="実績"),日次管理!#REF!)</f>
        <v>#REF!</v>
      </c>
      <c r="BB6" s="91" t="e">
        <f>SUMPRODUCT((日次管理!#REF!&lt;=$BB$3)*(日次管理!#REF!=$A$6)*(日次管理!#REF!="実施完了")*(日次管理!#REF!="予定"),日次管理!#REF!)</f>
        <v>#REF!</v>
      </c>
      <c r="BC6" s="59" t="e">
        <f>SUMPRODUCT((日次管理!#REF!&lt;=$BC$3)*(日次管理!#REF!=$A$6)*(日次管理!#REF!="実施完了")*(日次管理!#REF!="実績"),日次管理!#REF!)</f>
        <v>#REF!</v>
      </c>
      <c r="BD6" s="91" t="e">
        <f>SUMPRODUCT((日次管理!#REF!&lt;=$BD$3)*(日次管理!#REF!=$A$6)*(日次管理!#REF!="実施完了")*(日次管理!#REF!="予定"),日次管理!#REF!)</f>
        <v>#REF!</v>
      </c>
      <c r="BE6" s="59" t="e">
        <f>SUMPRODUCT((日次管理!#REF!&lt;=$BE$3)*(日次管理!#REF!=$A$6)*(日次管理!#REF!="実施完了")*(日次管理!#REF!="実績"),日次管理!#REF!)</f>
        <v>#REF!</v>
      </c>
      <c r="BF6" s="91" t="e">
        <f>SUMPRODUCT((日次管理!#REF!&lt;=$BF$3)*(日次管理!#REF!=$A$6)*(日次管理!#REF!="実施完了")*(日次管理!#REF!="予定"),日次管理!#REF!)</f>
        <v>#REF!</v>
      </c>
      <c r="BG6" s="59" t="e">
        <f>SUMPRODUCT((日次管理!#REF!&lt;=$BG$3)*(日次管理!#REF!=$A$6)*(日次管理!#REF!="実施完了")*(日次管理!#REF!="実績"),日次管理!#REF!)</f>
        <v>#REF!</v>
      </c>
      <c r="BH6" s="91" t="e">
        <f>SUMPRODUCT((日次管理!#REF!&lt;=$BH$3)*(日次管理!#REF!=$A$6)*(日次管理!#REF!="実施完了")*(日次管理!#REF!="予定"),日次管理!#REF!)</f>
        <v>#REF!</v>
      </c>
      <c r="BI6" s="59" t="e">
        <f>SUMPRODUCT((日次管理!#REF!&lt;=$BI$3)*(日次管理!#REF!=$A$6)*(日次管理!#REF!="実施完了")*(日次管理!#REF!="実績"),日次管理!#REF!)</f>
        <v>#REF!</v>
      </c>
      <c r="BJ6" s="91" t="e">
        <f>SUMPRODUCT((日次管理!#REF!&lt;=$BJ$3)*(日次管理!#REF!=$A$6)*(日次管理!#REF!="実施完了")*(日次管理!#REF!="予定"),日次管理!#REF!)</f>
        <v>#REF!</v>
      </c>
      <c r="BK6" s="59" t="e">
        <f>SUMPRODUCT((日次管理!#REF!&lt;=$BK$3)*(日次管理!#REF!=$A$6)*(日次管理!#REF!="実施完了")*(日次管理!#REF!="実績"),日次管理!#REF!)</f>
        <v>#REF!</v>
      </c>
      <c r="BL6" s="91" t="e">
        <f>SUMPRODUCT((日次管理!#REF!&lt;=$BL$3)*(日次管理!#REF!=$A$6)*(日次管理!#REF!="実施完了")*(日次管理!#REF!="予定"),日次管理!#REF!)</f>
        <v>#REF!</v>
      </c>
      <c r="BM6" s="59" t="e">
        <f>SUMPRODUCT((日次管理!#REF!&lt;=$BM$3)*(日次管理!#REF!=$A$6)*(日次管理!#REF!="実施完了")*(日次管理!#REF!="実績"),日次管理!#REF!)</f>
        <v>#REF!</v>
      </c>
      <c r="BN6" s="91" t="e">
        <f>SUMPRODUCT((日次管理!#REF!&lt;=$BN$3)*(日次管理!#REF!=$A$6)*(日次管理!#REF!="実施完了")*(日次管理!#REF!="予定"),日次管理!#REF!)</f>
        <v>#REF!</v>
      </c>
      <c r="BO6" s="59" t="e">
        <f>SUMPRODUCT((日次管理!#REF!&lt;=$BO$3)*(日次管理!#REF!=$A$6)*(日次管理!#REF!="実施完了")*(日次管理!#REF!="実績"),日次管理!#REF!)</f>
        <v>#REF!</v>
      </c>
      <c r="BP6" s="91" t="e">
        <f>SUMPRODUCT((日次管理!#REF!&lt;=$BP$3)*(日次管理!#REF!=$A$6)*(日次管理!#REF!="実施完了")*(日次管理!#REF!="予定"),日次管理!#REF!)</f>
        <v>#REF!</v>
      </c>
      <c r="BQ6" s="59" t="e">
        <f>SUMPRODUCT((日次管理!#REF!&lt;=$BQ$3)*(日次管理!#REF!=$A$6)*(日次管理!#REF!="実施完了")*(日次管理!#REF!="実績"),日次管理!#REF!)</f>
        <v>#REF!</v>
      </c>
      <c r="BR6" s="91" t="e">
        <f>SUMPRODUCT((日次管理!#REF!&lt;=$BR$3)*(日次管理!#REF!=$A$6)*(日次管理!#REF!="実施完了")*(日次管理!#REF!="予定"),日次管理!#REF!)</f>
        <v>#REF!</v>
      </c>
      <c r="BS6" s="59" t="e">
        <f>SUMPRODUCT((日次管理!#REF!&lt;=$BS$3)*(日次管理!#REF!=$A$6)*(日次管理!#REF!="実施完了")*(日次管理!#REF!="実績"),日次管理!#REF!)</f>
        <v>#REF!</v>
      </c>
      <c r="BT6" s="91" t="e">
        <f>SUMPRODUCT((日次管理!#REF!&lt;=$BT$3)*(日次管理!#REF!=$A$6)*(日次管理!#REF!="実施完了")*(日次管理!#REF!="予定"),日次管理!#REF!)</f>
        <v>#REF!</v>
      </c>
      <c r="BU6" s="59" t="e">
        <f>SUMPRODUCT((日次管理!#REF!&lt;=$BU$3)*(日次管理!#REF!=$A$6)*(日次管理!#REF!="実施完了")*(日次管理!#REF!="実績"),日次管理!#REF!)</f>
        <v>#REF!</v>
      </c>
      <c r="BV6" s="91" t="e">
        <f>SUMPRODUCT((日次管理!#REF!&lt;=$BV$3)*(日次管理!#REF!=$A$6)*(日次管理!#REF!="実施完了")*(日次管理!#REF!="予定"),日次管理!#REF!)</f>
        <v>#REF!</v>
      </c>
      <c r="BW6" s="59" t="e">
        <f>SUMPRODUCT((日次管理!#REF!&lt;=$BW$3)*(日次管理!#REF!=$A$6)*(日次管理!#REF!="実施完了")*(日次管理!#REF!="実績"),日次管理!#REF!)</f>
        <v>#REF!</v>
      </c>
      <c r="BX6" s="91" t="e">
        <f>SUMPRODUCT((日次管理!#REF!&lt;=$BX$3)*(日次管理!#REF!=$A$6)*(日次管理!#REF!="実施完了")*(日次管理!#REF!="予定"),日次管理!#REF!)</f>
        <v>#REF!</v>
      </c>
      <c r="BY6" s="59" t="e">
        <f>SUMPRODUCT((日次管理!#REF!&lt;=$BY$3)*(日次管理!#REF!=$A$6)*(日次管理!#REF!="実施完了")*(日次管理!#REF!="実績"),日次管理!#REF!)</f>
        <v>#REF!</v>
      </c>
      <c r="BZ6" s="91" t="e">
        <f>SUMPRODUCT((日次管理!#REF!&lt;=$BZ$3)*(日次管理!#REF!=$A$6)*(日次管理!#REF!="実施完了")*(日次管理!#REF!="予定"),日次管理!#REF!)</f>
        <v>#REF!</v>
      </c>
      <c r="CA6" s="59" t="e">
        <f>SUMPRODUCT((日次管理!#REF!&lt;=$CA$3)*(日次管理!#REF!=$A$6)*(日次管理!#REF!="実施完了")*(日次管理!#REF!="実績"),日次管理!#REF!)</f>
        <v>#REF!</v>
      </c>
      <c r="CB6" s="91" t="e">
        <f>SUMPRODUCT((日次管理!#REF!&lt;=$CB$3)*(日次管理!#REF!=$A$6)*(日次管理!#REF!="実施完了")*(日次管理!#REF!="予定"),日次管理!#REF!)</f>
        <v>#REF!</v>
      </c>
      <c r="CC6" s="59" t="e">
        <f>SUMPRODUCT((日次管理!#REF!&lt;=$CC$3)*(日次管理!#REF!=$A$6)*(日次管理!#REF!="実施完了")*(日次管理!#REF!="実績"),日次管理!#REF!)</f>
        <v>#REF!</v>
      </c>
      <c r="CD6" s="91" t="e">
        <f>SUMPRODUCT((日次管理!#REF!&lt;=$CD$3)*(日次管理!#REF!=$A$6)*(日次管理!#REF!="実施完了")*(日次管理!#REF!="予定"),日次管理!#REF!)</f>
        <v>#REF!</v>
      </c>
      <c r="CE6" s="59" t="e">
        <f>SUMPRODUCT((日次管理!#REF!&lt;=$CE$3)*(日次管理!#REF!=$A$6)*(日次管理!#REF!="実施完了")*(日次管理!#REF!="実績"),日次管理!#REF!)</f>
        <v>#REF!</v>
      </c>
      <c r="CF6" s="91" t="e">
        <f>SUMPRODUCT((日次管理!#REF!&lt;=$CF$3)*(日次管理!#REF!=$A$6)*(日次管理!#REF!="実施完了")*(日次管理!#REF!="予定"),日次管理!#REF!)</f>
        <v>#REF!</v>
      </c>
      <c r="CG6" s="59" t="e">
        <f>SUMPRODUCT((日次管理!#REF!&lt;=$CG$3)*(日次管理!#REF!=$A$6)*(日次管理!#REF!="実施完了")*(日次管理!#REF!="実績"),日次管理!#REF!)</f>
        <v>#REF!</v>
      </c>
      <c r="CH6" s="91" t="e">
        <f>SUMPRODUCT((日次管理!#REF!&lt;=$CH$3)*(日次管理!#REF!=$A$6)*(日次管理!#REF!="実施完了")*(日次管理!#REF!="予定"),日次管理!#REF!)</f>
        <v>#REF!</v>
      </c>
      <c r="CI6" s="59" t="e">
        <f>SUMPRODUCT((日次管理!#REF!&lt;=$CI$3)*(日次管理!#REF!=$A$6)*(日次管理!#REF!="実施完了")*(日次管理!#REF!="実績"),日次管理!#REF!)</f>
        <v>#REF!</v>
      </c>
      <c r="CJ6" s="91" t="e">
        <f>SUMPRODUCT((日次管理!#REF!&lt;=$CJ$3)*(日次管理!#REF!=$A$6)*(日次管理!#REF!="実施完了")*(日次管理!#REF!="予定"),日次管理!#REF!)</f>
        <v>#REF!</v>
      </c>
      <c r="CK6" s="59" t="e">
        <f>SUMPRODUCT((日次管理!#REF!&lt;=$CK$3)*(日次管理!#REF!=$A$6)*(日次管理!#REF!="実施完了")*(日次管理!#REF!="実績"),日次管理!#REF!)</f>
        <v>#REF!</v>
      </c>
      <c r="CL6" s="91" t="e">
        <f>SUMPRODUCT((日次管理!#REF!&lt;=$CL$3)*(日次管理!#REF!=$A$6)*(日次管理!#REF!="実施完了")*(日次管理!#REF!="予定"),日次管理!#REF!)</f>
        <v>#REF!</v>
      </c>
      <c r="CM6" s="59" t="e">
        <f>SUMPRODUCT((日次管理!#REF!&lt;=$CM$3)*(日次管理!#REF!=$A$6)*(日次管理!#REF!="実施完了")*(日次管理!#REF!="実績"),日次管理!#REF!)</f>
        <v>#REF!</v>
      </c>
      <c r="CN6" s="91" t="e">
        <f>SUMPRODUCT((日次管理!#REF!&lt;=$CN$3)*(日次管理!#REF!=$A$6)*(日次管理!#REF!="実施完了")*(日次管理!#REF!="予定"),日次管理!#REF!)</f>
        <v>#REF!</v>
      </c>
      <c r="CO6" s="59" t="e">
        <f>SUMPRODUCT((日次管理!#REF!&lt;=$CO$3)*(日次管理!#REF!=$A$6)*(日次管理!#REF!="実施完了")*(日次管理!#REF!="実績"),日次管理!#REF!)</f>
        <v>#REF!</v>
      </c>
      <c r="CP6" s="91" t="e">
        <f>SUMPRODUCT((日次管理!#REF!&lt;=$CP$3)*(日次管理!#REF!=$A$6)*(日次管理!#REF!="実施完了")*(日次管理!#REF!="予定"),日次管理!#REF!)</f>
        <v>#REF!</v>
      </c>
      <c r="CQ6" s="59" t="e">
        <f>SUMPRODUCT((日次管理!#REF!&lt;=$CQ$3)*(日次管理!#REF!=$A$6)*(日次管理!#REF!="実施完了")*(日次管理!#REF!="実績"),日次管理!#REF!)</f>
        <v>#REF!</v>
      </c>
      <c r="CR6" s="91" t="e">
        <f>SUMPRODUCT((日次管理!#REF!&lt;=$CR$3)*(日次管理!#REF!=$A$6)*(日次管理!#REF!="実施完了")*(日次管理!#REF!="予定"),日次管理!#REF!)</f>
        <v>#REF!</v>
      </c>
      <c r="CS6" s="59" t="e">
        <f>SUMPRODUCT((日次管理!#REF!&lt;=$CS$3)*(日次管理!#REF!=$A$6)*(日次管理!#REF!="実施完了")*(日次管理!#REF!="実績"),日次管理!#REF!)</f>
        <v>#REF!</v>
      </c>
      <c r="CT6" s="91" t="e">
        <f>SUMPRODUCT((日次管理!#REF!&lt;=$CT$3)*(日次管理!#REF!=$A$6)*(日次管理!#REF!="実施完了")*(日次管理!#REF!="予定"),日次管理!#REF!)</f>
        <v>#REF!</v>
      </c>
      <c r="CU6" s="59" t="e">
        <f>SUMPRODUCT((日次管理!#REF!&lt;=$CU$3)*(日次管理!#REF!=$A$6)*(日次管理!#REF!="実施完了")*(日次管理!#REF!="実績"),日次管理!#REF!)</f>
        <v>#REF!</v>
      </c>
      <c r="CV6" s="92" t="e">
        <f ca="1">SUMPRODUCT(($A$3- WEEKDAY($A$3) + 6 =$B$3:$CU$3)*("実績"=$B$4:$CU$4),$B$6:$CU$6)/SUMPRODUCT(($A$3- WEEKDAY($A$3) + 6 =$B$3:$CU$3)*("予定"=$B$4:$CU$4),$B$6:$CU$6)</f>
        <v>#REF!</v>
      </c>
      <c r="CW6" s="93" t="e">
        <f>$CU$6/$CT$6</f>
        <v>#REF!</v>
      </c>
    </row>
    <row r="7" spans="1:101" ht="20.149999999999999" customHeight="1">
      <c r="A7" s="94" t="s">
        <v>70</v>
      </c>
      <c r="B7" s="95" t="e">
        <f>SUMPRODUCT((日次管理!#REF!&lt;=$B$3)*(日次管理!#REF!=$A$7)*(日次管理!#REF!="実施完了")*(日次管理!#REF!="予定"),日次管理!#REF!)</f>
        <v>#REF!</v>
      </c>
      <c r="C7" s="60" t="e">
        <f>SUMPRODUCT((日次管理!#REF!&lt;=$C$3)*(日次管理!#REF!=$A$7)*(日次管理!#REF!="実施完了")*(日次管理!#REF!="実績"),日次管理!#REF!)</f>
        <v>#REF!</v>
      </c>
      <c r="D7" s="95" t="e">
        <f>SUMPRODUCT((日次管理!#REF!&lt;=$D$3)*(日次管理!#REF!=$A$7)*(日次管理!#REF!="実施完了")*(日次管理!#REF!="予定"),日次管理!#REF!)</f>
        <v>#REF!</v>
      </c>
      <c r="E7" s="60" t="e">
        <f>SUMPRODUCT((日次管理!#REF!&lt;=$E$3)*(日次管理!#REF!=$A$7)*(日次管理!#REF!="実施完了")*(日次管理!#REF!="実績"),日次管理!#REF!)</f>
        <v>#REF!</v>
      </c>
      <c r="F7" s="95" t="e">
        <f>SUMPRODUCT((日次管理!#REF!&lt;=$F$3)*(日次管理!#REF!=$A$7)*(日次管理!#REF!="実施完了")*(日次管理!#REF!="予定"),日次管理!#REF!)</f>
        <v>#REF!</v>
      </c>
      <c r="G7" s="60" t="e">
        <f>SUMPRODUCT((日次管理!#REF!&lt;=$G$3)*(日次管理!#REF!=$A$7)*(日次管理!#REF!="実施完了")*(日次管理!#REF!="実績"),日次管理!#REF!)</f>
        <v>#REF!</v>
      </c>
      <c r="H7" s="95" t="e">
        <f>SUMPRODUCT((日次管理!#REF!&lt;=$H$3)*(日次管理!#REF!=$A$7)*(日次管理!#REF!="実施完了")*(日次管理!#REF!="予定"),日次管理!#REF!)</f>
        <v>#REF!</v>
      </c>
      <c r="I7" s="60" t="e">
        <f>SUMPRODUCT((日次管理!#REF!&lt;=$I$3)*(日次管理!#REF!=$A$7)*(日次管理!#REF!="実施完了")*(日次管理!#REF!="実績"),日次管理!#REF!)</f>
        <v>#REF!</v>
      </c>
      <c r="J7" s="95" t="e">
        <f>SUMPRODUCT((日次管理!#REF!&lt;=$J$3)*(日次管理!#REF!=$A$7)*(日次管理!#REF!="実施完了")*(日次管理!#REF!="予定"),日次管理!#REF!)</f>
        <v>#REF!</v>
      </c>
      <c r="K7" s="60" t="e">
        <f>SUMPRODUCT((日次管理!#REF!&lt;=$K$3)*(日次管理!#REF!=$A$7)*(日次管理!#REF!="実施完了")*(日次管理!#REF!="実績"),日次管理!#REF!)</f>
        <v>#REF!</v>
      </c>
      <c r="L7" s="95" t="e">
        <f>SUMPRODUCT((日次管理!#REF!&lt;=$L$3)*(日次管理!#REF!=$A$7)*(日次管理!#REF!="実施完了")*(日次管理!#REF!="予定"),日次管理!#REF!)</f>
        <v>#REF!</v>
      </c>
      <c r="M7" s="60" t="e">
        <f>SUMPRODUCT((日次管理!#REF!&lt;=$M$3)*(日次管理!#REF!=$A$7)*(日次管理!#REF!="実施完了")*(日次管理!#REF!="実績"),日次管理!#REF!)</f>
        <v>#REF!</v>
      </c>
      <c r="N7" s="95" t="e">
        <f>SUMPRODUCT((日次管理!#REF!&lt;=$N$3)*(日次管理!#REF!=$A$7)*(日次管理!#REF!="実施完了")*(日次管理!#REF!="予定"),日次管理!#REF!)</f>
        <v>#REF!</v>
      </c>
      <c r="O7" s="60" t="e">
        <f>SUMPRODUCT((日次管理!#REF!&lt;=$O$3)*(日次管理!#REF!=$A$7)*(日次管理!#REF!="実施完了")*(日次管理!#REF!="実績"),日次管理!#REF!)</f>
        <v>#REF!</v>
      </c>
      <c r="P7" s="95" t="e">
        <f>SUMPRODUCT((日次管理!#REF!&lt;=$P$3)*(日次管理!#REF!=$A$7)*(日次管理!#REF!="実施完了")*(日次管理!#REF!="予定"),日次管理!#REF!)</f>
        <v>#REF!</v>
      </c>
      <c r="Q7" s="60" t="e">
        <f>SUMPRODUCT((日次管理!#REF!&lt;=$Q$3)*(日次管理!#REF!=$A$7)*(日次管理!#REF!="実施完了")*(日次管理!#REF!="実績"),日次管理!#REF!)</f>
        <v>#REF!</v>
      </c>
      <c r="R7" s="95" t="e">
        <f>SUMPRODUCT((日次管理!#REF!&lt;=$R$3)*(日次管理!#REF!=$A$7)*(日次管理!#REF!="実施完了")*(日次管理!#REF!="予定"),日次管理!#REF!)</f>
        <v>#REF!</v>
      </c>
      <c r="S7" s="60" t="e">
        <f>SUMPRODUCT((日次管理!#REF!&lt;=$S$3)*(日次管理!#REF!=$A$7)*(日次管理!#REF!="実施完了")*(日次管理!#REF!="実績"),日次管理!#REF!)</f>
        <v>#REF!</v>
      </c>
      <c r="T7" s="95" t="e">
        <f>SUMPRODUCT((日次管理!#REF!&lt;=$T$3)*(日次管理!#REF!=$A$7)*(日次管理!#REF!="実施完了")*(日次管理!#REF!="予定"),日次管理!#REF!)</f>
        <v>#REF!</v>
      </c>
      <c r="U7" s="60" t="e">
        <f>SUMPRODUCT((日次管理!#REF!&lt;=$U$3)*(日次管理!#REF!=$A$7)*(日次管理!#REF!="実施完了")*(日次管理!#REF!="実績"),日次管理!#REF!)</f>
        <v>#REF!</v>
      </c>
      <c r="V7" s="95" t="e">
        <f>SUMPRODUCT((日次管理!#REF!&lt;=$V$3)*(日次管理!#REF!=$A$7)*(日次管理!#REF!="実施完了")*(日次管理!#REF!="予定"),日次管理!#REF!)</f>
        <v>#REF!</v>
      </c>
      <c r="W7" s="60" t="e">
        <f>SUMPRODUCT((日次管理!#REF!&lt;=$W$3)*(日次管理!#REF!=$A$7)*(日次管理!#REF!="実施完了")*(日次管理!#REF!="実績"),日次管理!#REF!)</f>
        <v>#REF!</v>
      </c>
      <c r="X7" s="95" t="e">
        <f>SUMPRODUCT((日次管理!#REF!&lt;=$X$3)*(日次管理!#REF!=$A$7)*(日次管理!#REF!="実施完了")*(日次管理!#REF!="予定"),日次管理!#REF!)</f>
        <v>#REF!</v>
      </c>
      <c r="Y7" s="60" t="e">
        <f>SUMPRODUCT((日次管理!#REF!&lt;=$Y$3)*(日次管理!#REF!=$A$7)*(日次管理!#REF!="実施完了")*(日次管理!#REF!="実績"),日次管理!#REF!)</f>
        <v>#REF!</v>
      </c>
      <c r="Z7" s="95" t="e">
        <f>SUMPRODUCT((日次管理!#REF!&lt;=$Z$3)*(日次管理!#REF!=$A$7)*(日次管理!#REF!="実施完了")*(日次管理!#REF!="予定"),日次管理!#REF!)</f>
        <v>#REF!</v>
      </c>
      <c r="AA7" s="60" t="e">
        <f>SUMPRODUCT((日次管理!#REF!&lt;=$AA$3)*(日次管理!#REF!=$A$7)*(日次管理!#REF!="実施完了")*(日次管理!#REF!="実績"),日次管理!#REF!)</f>
        <v>#REF!</v>
      </c>
      <c r="AB7" s="95" t="e">
        <f>SUMPRODUCT((日次管理!#REF!&lt;=$AB$3)*(日次管理!#REF!=$A$7)*(日次管理!#REF!="実施完了")*(日次管理!#REF!="予定"),日次管理!#REF!)</f>
        <v>#REF!</v>
      </c>
      <c r="AC7" s="60" t="e">
        <f>SUMPRODUCT((日次管理!#REF!&lt;=$AC$3)*(日次管理!#REF!=$A$7)*(日次管理!#REF!="実施完了")*(日次管理!#REF!="実績"),日次管理!#REF!)</f>
        <v>#REF!</v>
      </c>
      <c r="AD7" s="95" t="e">
        <f>SUMPRODUCT((日次管理!#REF!&lt;=$AD$3)*(日次管理!#REF!=$A$7)*(日次管理!#REF!="実施完了")*(日次管理!#REF!="予定"),日次管理!#REF!)</f>
        <v>#REF!</v>
      </c>
      <c r="AE7" s="60" t="e">
        <f>SUMPRODUCT((日次管理!#REF!&lt;=$AE$3)*(日次管理!#REF!=$A$7)*(日次管理!#REF!="実施完了")*(日次管理!#REF!="実績"),日次管理!#REF!)</f>
        <v>#REF!</v>
      </c>
      <c r="AF7" s="95" t="e">
        <f>SUMPRODUCT((日次管理!#REF!&lt;=$AF$3)*(日次管理!#REF!=$A$7)*(日次管理!#REF!="実施完了")*(日次管理!#REF!="予定"),日次管理!#REF!)</f>
        <v>#REF!</v>
      </c>
      <c r="AG7" s="60" t="e">
        <f>SUMPRODUCT((日次管理!#REF!&lt;=$AG$3)*(日次管理!#REF!=$A$7)*(日次管理!#REF!="実施完了")*(日次管理!#REF!="実績"),日次管理!#REF!)</f>
        <v>#REF!</v>
      </c>
      <c r="AH7" s="95" t="e">
        <f>SUMPRODUCT((日次管理!#REF!&lt;=$AH$3)*(日次管理!#REF!=$A$7)*(日次管理!#REF!="実施完了")*(日次管理!#REF!="予定"),日次管理!#REF!)</f>
        <v>#REF!</v>
      </c>
      <c r="AI7" s="60" t="e">
        <f>SUMPRODUCT((日次管理!#REF!&lt;=$AI$3)*(日次管理!#REF!=$A$7)*(日次管理!#REF!="実施完了")*(日次管理!#REF!="実績"),日次管理!#REF!)</f>
        <v>#REF!</v>
      </c>
      <c r="AJ7" s="95" t="e">
        <f>SUMPRODUCT((日次管理!#REF!&lt;=$AJ$3)*(日次管理!#REF!=$A$7)*(日次管理!#REF!="実施完了")*(日次管理!#REF!="予定"),日次管理!#REF!)</f>
        <v>#REF!</v>
      </c>
      <c r="AK7" s="60" t="e">
        <f>SUMPRODUCT((日次管理!#REF!&lt;=$AK$3)*(日次管理!#REF!=$A$7)*(日次管理!#REF!="実施完了")*(日次管理!#REF!="実績"),日次管理!#REF!)</f>
        <v>#REF!</v>
      </c>
      <c r="AL7" s="95" t="e">
        <f>SUMPRODUCT((日次管理!#REF!&lt;=$AL$3)*(日次管理!#REF!=$A$7)*(日次管理!#REF!="実施完了")*(日次管理!#REF!="予定"),日次管理!#REF!)</f>
        <v>#REF!</v>
      </c>
      <c r="AM7" s="60" t="e">
        <f>SUMPRODUCT((日次管理!#REF!&lt;=$AM$3)*(日次管理!#REF!=$A$7)*(日次管理!#REF!="実施完了")*(日次管理!#REF!="実績"),日次管理!#REF!)</f>
        <v>#REF!</v>
      </c>
      <c r="AN7" s="95" t="e">
        <f>SUMPRODUCT((日次管理!#REF!&lt;=$AN$3)*(日次管理!#REF!=$A$7)*(日次管理!#REF!="実施完了")*(日次管理!#REF!="予定"),日次管理!#REF!)</f>
        <v>#REF!</v>
      </c>
      <c r="AO7" s="60" t="e">
        <f>SUMPRODUCT((日次管理!#REF!&lt;=$AO$3)*(日次管理!#REF!=$A$7)*(日次管理!#REF!="実施完了")*(日次管理!#REF!="実績"),日次管理!#REF!)</f>
        <v>#REF!</v>
      </c>
      <c r="AP7" s="95" t="e">
        <f>SUMPRODUCT((日次管理!#REF!&lt;=$AP$3)*(日次管理!#REF!=$A$7)*(日次管理!#REF!="実施完了")*(日次管理!#REF!="予定"),日次管理!#REF!)</f>
        <v>#REF!</v>
      </c>
      <c r="AQ7" s="60" t="e">
        <f>SUMPRODUCT((日次管理!#REF!&lt;=$AQ$3)*(日次管理!#REF!=$A$7)*(日次管理!#REF!="実施完了")*(日次管理!#REF!="実績"),日次管理!#REF!)</f>
        <v>#REF!</v>
      </c>
      <c r="AR7" s="95" t="e">
        <f>SUMPRODUCT((日次管理!#REF!&lt;=$AR$3)*(日次管理!#REF!=$A$7)*(日次管理!#REF!="実施完了")*(日次管理!#REF!="予定"),日次管理!#REF!)</f>
        <v>#REF!</v>
      </c>
      <c r="AS7" s="60" t="e">
        <f>SUMPRODUCT((日次管理!#REF!&lt;=$AS$3)*(日次管理!#REF!=$A$7)*(日次管理!#REF!="実施完了")*(日次管理!#REF!="実績"),日次管理!#REF!)</f>
        <v>#REF!</v>
      </c>
      <c r="AT7" s="95" t="e">
        <f>SUMPRODUCT((日次管理!#REF!&lt;=$AT$3)*(日次管理!#REF!=$A$7)*(日次管理!#REF!="実施完了")*(日次管理!#REF!="予定"),日次管理!#REF!)</f>
        <v>#REF!</v>
      </c>
      <c r="AU7" s="60" t="e">
        <f>SUMPRODUCT((日次管理!#REF!&lt;=$AU$3)*(日次管理!#REF!=$A$7)*(日次管理!#REF!="実施完了")*(日次管理!#REF!="実績"),日次管理!#REF!)</f>
        <v>#REF!</v>
      </c>
      <c r="AV7" s="95" t="e">
        <f>SUMPRODUCT((日次管理!#REF!&lt;=$AV$3)*(日次管理!#REF!=$A$7)*(日次管理!#REF!="実施完了")*(日次管理!#REF!="予定"),日次管理!#REF!)</f>
        <v>#REF!</v>
      </c>
      <c r="AW7" s="60" t="e">
        <f>SUMPRODUCT((日次管理!#REF!&lt;=$AW$3)*(日次管理!#REF!=$A$7)*(日次管理!#REF!="実施完了")*(日次管理!#REF!="実績"),日次管理!#REF!)</f>
        <v>#REF!</v>
      </c>
      <c r="AX7" s="95" t="e">
        <f>SUMPRODUCT((日次管理!#REF!&lt;=$AX$3)*(日次管理!#REF!=$A$7)*(日次管理!#REF!="実施完了")*(日次管理!#REF!="予定"),日次管理!#REF!)</f>
        <v>#REF!</v>
      </c>
      <c r="AY7" s="60" t="e">
        <f>SUMPRODUCT((日次管理!#REF!&lt;=$AY$3)*(日次管理!#REF!=$A$7)*(日次管理!#REF!="実施完了")*(日次管理!#REF!="実績"),日次管理!#REF!)</f>
        <v>#REF!</v>
      </c>
      <c r="AZ7" s="95" t="e">
        <f>SUMPRODUCT((日次管理!#REF!&lt;=$AZ$3)*(日次管理!#REF!=$A$7)*(日次管理!#REF!="実施完了")*(日次管理!#REF!="予定"),日次管理!#REF!)</f>
        <v>#REF!</v>
      </c>
      <c r="BA7" s="60" t="e">
        <f>SUMPRODUCT((日次管理!#REF!&lt;=$BA$3)*(日次管理!#REF!=$A$7)*(日次管理!#REF!="実施完了")*(日次管理!#REF!="実績"),日次管理!#REF!)</f>
        <v>#REF!</v>
      </c>
      <c r="BB7" s="95" t="e">
        <f>SUMPRODUCT((日次管理!#REF!&lt;=$BB$3)*(日次管理!#REF!=$A$7)*(日次管理!#REF!="実施完了")*(日次管理!#REF!="予定"),日次管理!#REF!)</f>
        <v>#REF!</v>
      </c>
      <c r="BC7" s="60" t="e">
        <f>SUMPRODUCT((日次管理!#REF!&lt;=$BC$3)*(日次管理!#REF!=$A$7)*(日次管理!#REF!="実施完了")*(日次管理!#REF!="実績"),日次管理!#REF!)</f>
        <v>#REF!</v>
      </c>
      <c r="BD7" s="95" t="e">
        <f>SUMPRODUCT((日次管理!#REF!&lt;=$BD$3)*(日次管理!#REF!=$A$7)*(日次管理!#REF!="実施完了")*(日次管理!#REF!="予定"),日次管理!#REF!)</f>
        <v>#REF!</v>
      </c>
      <c r="BE7" s="60" t="e">
        <f>SUMPRODUCT((日次管理!#REF!&lt;=$BE$3)*(日次管理!#REF!=$A$7)*(日次管理!#REF!="実施完了")*(日次管理!#REF!="実績"),日次管理!#REF!)</f>
        <v>#REF!</v>
      </c>
      <c r="BF7" s="95" t="e">
        <f>SUMPRODUCT((日次管理!#REF!&lt;=$BF$3)*(日次管理!#REF!=$A$7)*(日次管理!#REF!="実施完了")*(日次管理!#REF!="予定"),日次管理!#REF!)</f>
        <v>#REF!</v>
      </c>
      <c r="BG7" s="60" t="e">
        <f>SUMPRODUCT((日次管理!#REF!&lt;=$BG$3)*(日次管理!#REF!=$A$7)*(日次管理!#REF!="実施完了")*(日次管理!#REF!="実績"),日次管理!#REF!)</f>
        <v>#REF!</v>
      </c>
      <c r="BH7" s="95" t="e">
        <f>SUMPRODUCT((日次管理!#REF!&lt;=$BH$3)*(日次管理!#REF!=$A$7)*(日次管理!#REF!="実施完了")*(日次管理!#REF!="予定"),日次管理!#REF!)</f>
        <v>#REF!</v>
      </c>
      <c r="BI7" s="60" t="e">
        <f>SUMPRODUCT((日次管理!#REF!&lt;=$BI$3)*(日次管理!#REF!=$A$7)*(日次管理!#REF!="実施完了")*(日次管理!#REF!="実績"),日次管理!#REF!)</f>
        <v>#REF!</v>
      </c>
      <c r="BJ7" s="95" t="e">
        <f>SUMPRODUCT((日次管理!#REF!&lt;=$BJ$3)*(日次管理!#REF!=$A$7)*(日次管理!#REF!="実施完了")*(日次管理!#REF!="予定"),日次管理!#REF!)</f>
        <v>#REF!</v>
      </c>
      <c r="BK7" s="60" t="e">
        <f>SUMPRODUCT((日次管理!#REF!&lt;=$BK$3)*(日次管理!#REF!=$A$7)*(日次管理!#REF!="実施完了")*(日次管理!#REF!="実績"),日次管理!#REF!)</f>
        <v>#REF!</v>
      </c>
      <c r="BL7" s="95" t="e">
        <f>SUMPRODUCT((日次管理!#REF!&lt;=$BL$3)*(日次管理!#REF!=$A$7)*(日次管理!#REF!="実施完了")*(日次管理!#REF!="予定"),日次管理!#REF!)</f>
        <v>#REF!</v>
      </c>
      <c r="BM7" s="60" t="e">
        <f>SUMPRODUCT((日次管理!#REF!&lt;=$BM$3)*(日次管理!#REF!=$A$7)*(日次管理!#REF!="実施完了")*(日次管理!#REF!="実績"),日次管理!#REF!)</f>
        <v>#REF!</v>
      </c>
      <c r="BN7" s="95" t="e">
        <f>SUMPRODUCT((日次管理!#REF!&lt;=$BN$3)*(日次管理!#REF!=$A$7)*(日次管理!#REF!="実施完了")*(日次管理!#REF!="予定"),日次管理!#REF!)</f>
        <v>#REF!</v>
      </c>
      <c r="BO7" s="60" t="e">
        <f>SUMPRODUCT((日次管理!#REF!&lt;=$BO$3)*(日次管理!#REF!=$A$7)*(日次管理!#REF!="実施完了")*(日次管理!#REF!="実績"),日次管理!#REF!)</f>
        <v>#REF!</v>
      </c>
      <c r="BP7" s="95" t="e">
        <f>SUMPRODUCT((日次管理!#REF!&lt;=$BP$3)*(日次管理!#REF!=$A$7)*(日次管理!#REF!="実施完了")*(日次管理!#REF!="予定"),日次管理!#REF!)</f>
        <v>#REF!</v>
      </c>
      <c r="BQ7" s="60" t="e">
        <f>SUMPRODUCT((日次管理!#REF!&lt;=$BQ$3)*(日次管理!#REF!=$A$7)*(日次管理!#REF!="実施完了")*(日次管理!#REF!="実績"),日次管理!#REF!)</f>
        <v>#REF!</v>
      </c>
      <c r="BR7" s="95" t="e">
        <f>SUMPRODUCT((日次管理!#REF!&lt;=$BR$3)*(日次管理!#REF!=$A$7)*(日次管理!#REF!="実施完了")*(日次管理!#REF!="予定"),日次管理!#REF!)</f>
        <v>#REF!</v>
      </c>
      <c r="BS7" s="60" t="e">
        <f>SUMPRODUCT((日次管理!#REF!&lt;=$BS$3)*(日次管理!#REF!=$A$7)*(日次管理!#REF!="実施完了")*(日次管理!#REF!="実績"),日次管理!#REF!)</f>
        <v>#REF!</v>
      </c>
      <c r="BT7" s="95" t="e">
        <f>SUMPRODUCT((日次管理!#REF!&lt;=$BT$3)*(日次管理!#REF!=$A$7)*(日次管理!#REF!="実施完了")*(日次管理!#REF!="予定"),日次管理!#REF!)</f>
        <v>#REF!</v>
      </c>
      <c r="BU7" s="60" t="e">
        <f>SUMPRODUCT((日次管理!#REF!&lt;=$BU$3)*(日次管理!#REF!=$A$7)*(日次管理!#REF!="実施完了")*(日次管理!#REF!="実績"),日次管理!#REF!)</f>
        <v>#REF!</v>
      </c>
      <c r="BV7" s="95" t="e">
        <f>SUMPRODUCT((日次管理!#REF!&lt;=$BV$3)*(日次管理!#REF!=$A$7)*(日次管理!#REF!="実施完了")*(日次管理!#REF!="予定"),日次管理!#REF!)</f>
        <v>#REF!</v>
      </c>
      <c r="BW7" s="60" t="e">
        <f>SUMPRODUCT((日次管理!#REF!&lt;=$BW$3)*(日次管理!#REF!=$A$7)*(日次管理!#REF!="実施完了")*(日次管理!#REF!="実績"),日次管理!#REF!)</f>
        <v>#REF!</v>
      </c>
      <c r="BX7" s="95" t="e">
        <f>SUMPRODUCT((日次管理!#REF!&lt;=$BX$3)*(日次管理!#REF!=$A$7)*(日次管理!#REF!="実施完了")*(日次管理!#REF!="予定"),日次管理!#REF!)</f>
        <v>#REF!</v>
      </c>
      <c r="BY7" s="60" t="e">
        <f>SUMPRODUCT((日次管理!#REF!&lt;=$BY$3)*(日次管理!#REF!=$A$7)*(日次管理!#REF!="実施完了")*(日次管理!#REF!="実績"),日次管理!#REF!)</f>
        <v>#REF!</v>
      </c>
      <c r="BZ7" s="95" t="e">
        <f>SUMPRODUCT((日次管理!#REF!&lt;=$BZ$3)*(日次管理!#REF!=$A$7)*(日次管理!#REF!="実施完了")*(日次管理!#REF!="予定"),日次管理!#REF!)</f>
        <v>#REF!</v>
      </c>
      <c r="CA7" s="60" t="e">
        <f>SUMPRODUCT((日次管理!#REF!&lt;=$CA$3)*(日次管理!#REF!=$A$7)*(日次管理!#REF!="実施完了")*(日次管理!#REF!="実績"),日次管理!#REF!)</f>
        <v>#REF!</v>
      </c>
      <c r="CB7" s="95" t="e">
        <f>SUMPRODUCT((日次管理!#REF!&lt;=$CB$3)*(日次管理!#REF!=$A$7)*(日次管理!#REF!="実施完了")*(日次管理!#REF!="予定"),日次管理!#REF!)</f>
        <v>#REF!</v>
      </c>
      <c r="CC7" s="60" t="e">
        <f>SUMPRODUCT((日次管理!#REF!&lt;=$CC$3)*(日次管理!#REF!=$A$7)*(日次管理!#REF!="実施完了")*(日次管理!#REF!="実績"),日次管理!#REF!)</f>
        <v>#REF!</v>
      </c>
      <c r="CD7" s="95" t="e">
        <f>SUMPRODUCT((日次管理!#REF!&lt;=$CD$3)*(日次管理!#REF!=$A$7)*(日次管理!#REF!="実施完了")*(日次管理!#REF!="予定"),日次管理!#REF!)</f>
        <v>#REF!</v>
      </c>
      <c r="CE7" s="60" t="e">
        <f>SUMPRODUCT((日次管理!#REF!&lt;=$CE$3)*(日次管理!#REF!=$A$7)*(日次管理!#REF!="実施完了")*(日次管理!#REF!="実績"),日次管理!#REF!)</f>
        <v>#REF!</v>
      </c>
      <c r="CF7" s="95" t="e">
        <f>SUMPRODUCT((日次管理!#REF!&lt;=$CF$3)*(日次管理!#REF!=$A$7)*(日次管理!#REF!="実施完了")*(日次管理!#REF!="予定"),日次管理!#REF!)</f>
        <v>#REF!</v>
      </c>
      <c r="CG7" s="60" t="e">
        <f>SUMPRODUCT((日次管理!#REF!&lt;=$CG$3)*(日次管理!#REF!=$A$7)*(日次管理!#REF!="実施完了")*(日次管理!#REF!="実績"),日次管理!#REF!)</f>
        <v>#REF!</v>
      </c>
      <c r="CH7" s="95" t="e">
        <f>SUMPRODUCT((日次管理!#REF!&lt;=$CH$3)*(日次管理!#REF!=$A$7)*(日次管理!#REF!="実施完了")*(日次管理!#REF!="予定"),日次管理!#REF!)</f>
        <v>#REF!</v>
      </c>
      <c r="CI7" s="60" t="e">
        <f>SUMPRODUCT((日次管理!#REF!&lt;=$CI$3)*(日次管理!#REF!=$A$7)*(日次管理!#REF!="実施完了")*(日次管理!#REF!="実績"),日次管理!#REF!)</f>
        <v>#REF!</v>
      </c>
      <c r="CJ7" s="95" t="e">
        <f>SUMPRODUCT((日次管理!#REF!&lt;=$CJ$3)*(日次管理!#REF!=$A$7)*(日次管理!#REF!="実施完了")*(日次管理!#REF!="予定"),日次管理!#REF!)</f>
        <v>#REF!</v>
      </c>
      <c r="CK7" s="60" t="e">
        <f>SUMPRODUCT((日次管理!#REF!&lt;=$CK$3)*(日次管理!#REF!=$A$7)*(日次管理!#REF!="実施完了")*(日次管理!#REF!="実績"),日次管理!#REF!)</f>
        <v>#REF!</v>
      </c>
      <c r="CL7" s="95" t="e">
        <f>SUMPRODUCT((日次管理!#REF!&lt;=$CL$3)*(日次管理!#REF!=$A$7)*(日次管理!#REF!="実施完了")*(日次管理!#REF!="予定"),日次管理!#REF!)</f>
        <v>#REF!</v>
      </c>
      <c r="CM7" s="60" t="e">
        <f>SUMPRODUCT((日次管理!#REF!&lt;=$CM$3)*(日次管理!#REF!=$A$7)*(日次管理!#REF!="実施完了")*(日次管理!#REF!="実績"),日次管理!#REF!)</f>
        <v>#REF!</v>
      </c>
      <c r="CN7" s="95" t="e">
        <f>SUMPRODUCT((日次管理!#REF!&lt;=$CN$3)*(日次管理!#REF!=$A$7)*(日次管理!#REF!="実施完了")*(日次管理!#REF!="予定"),日次管理!#REF!)</f>
        <v>#REF!</v>
      </c>
      <c r="CO7" s="60" t="e">
        <f>SUMPRODUCT((日次管理!#REF!&lt;=$CO$3)*(日次管理!#REF!=$A$7)*(日次管理!#REF!="実施完了")*(日次管理!#REF!="実績"),日次管理!#REF!)</f>
        <v>#REF!</v>
      </c>
      <c r="CP7" s="95" t="e">
        <f>SUMPRODUCT((日次管理!#REF!&lt;=$CP$3)*(日次管理!#REF!=$A$7)*(日次管理!#REF!="実施完了")*(日次管理!#REF!="予定"),日次管理!#REF!)</f>
        <v>#REF!</v>
      </c>
      <c r="CQ7" s="60" t="e">
        <f>SUMPRODUCT((日次管理!#REF!&lt;=$CQ$3)*(日次管理!#REF!=$A$7)*(日次管理!#REF!="実施完了")*(日次管理!#REF!="実績"),日次管理!#REF!)</f>
        <v>#REF!</v>
      </c>
      <c r="CR7" s="95" t="e">
        <f>SUMPRODUCT((日次管理!#REF!&lt;=$CR$3)*(日次管理!#REF!=$A$7)*(日次管理!#REF!="実施完了")*(日次管理!#REF!="予定"),日次管理!#REF!)</f>
        <v>#REF!</v>
      </c>
      <c r="CS7" s="60" t="e">
        <f>SUMPRODUCT((日次管理!#REF!&lt;=$CS$3)*(日次管理!#REF!=$A$7)*(日次管理!#REF!="実施完了")*(日次管理!#REF!="実績"),日次管理!#REF!)</f>
        <v>#REF!</v>
      </c>
      <c r="CT7" s="95" t="e">
        <f>SUMPRODUCT((日次管理!#REF!&lt;=$CT$3)*(日次管理!#REF!=$A$7)*(日次管理!#REF!="実施完了")*(日次管理!#REF!="予定"),日次管理!#REF!)</f>
        <v>#REF!</v>
      </c>
      <c r="CU7" s="60" t="e">
        <f>SUMPRODUCT((日次管理!#REF!&lt;=$CU$3)*(日次管理!#REF!=$A$7)*(日次管理!#REF!="実施完了")*(日次管理!#REF!="実績"),日次管理!#REF!)</f>
        <v>#REF!</v>
      </c>
      <c r="CV7" s="96" t="e">
        <f ca="1">SUMPRODUCT(($A$3- WEEKDAY($A$3) + 6 =$B$3:$CU$3)*("実績"=$B$4:$CU$4),$B$7:$CU$7)/SUMPRODUCT(($A$3- WEEKDAY($A$3) + 6 =$B$3:$CU$3)*("予定"=$B$4:$CU$4),$B$7:$CU$7)</f>
        <v>#REF!</v>
      </c>
      <c r="CW7" s="97" t="e">
        <f>$CU$7/$CT$7</f>
        <v>#REF!</v>
      </c>
    </row>
    <row r="8" spans="1:101" ht="20.149999999999999" customHeight="1">
      <c r="A8" s="90" t="s">
        <v>84</v>
      </c>
      <c r="B8" s="91" t="e">
        <f>SUMPRODUCT((日次管理!#REF!&lt;=$B$3)*(日次管理!#REF!=$A$8)*(日次管理!#REF!="実施完了")*(日次管理!#REF!="予定"),日次管理!#REF!)</f>
        <v>#REF!</v>
      </c>
      <c r="C8" s="59" t="e">
        <f>SUMPRODUCT((日次管理!#REF!&lt;=$C$3)*(日次管理!#REF!=$A$8)*(日次管理!#REF!="実施完了")*(日次管理!#REF!="実績"),日次管理!#REF!)</f>
        <v>#REF!</v>
      </c>
      <c r="D8" s="91" t="e">
        <f>SUMPRODUCT((日次管理!#REF!&lt;=$D$3)*(日次管理!#REF!=$A$8)*(日次管理!#REF!="実施完了")*(日次管理!#REF!="予定"),日次管理!#REF!)</f>
        <v>#REF!</v>
      </c>
      <c r="E8" s="59" t="e">
        <f>SUMPRODUCT((日次管理!#REF!&lt;=$E$3)*(日次管理!#REF!=$A$8)*(日次管理!#REF!="実施完了")*(日次管理!#REF!="実績"),日次管理!#REF!)</f>
        <v>#REF!</v>
      </c>
      <c r="F8" s="91" t="e">
        <f>SUMPRODUCT((日次管理!#REF!&lt;=$F$3)*(日次管理!#REF!=$A$8)*(日次管理!#REF!="実施完了")*(日次管理!#REF!="予定"),日次管理!#REF!)</f>
        <v>#REF!</v>
      </c>
      <c r="G8" s="59" t="e">
        <f>SUMPRODUCT((日次管理!#REF!&lt;=$G$3)*(日次管理!#REF!=$A$8)*(日次管理!#REF!="実施完了")*(日次管理!#REF!="実績"),日次管理!#REF!)</f>
        <v>#REF!</v>
      </c>
      <c r="H8" s="91" t="e">
        <f>SUMPRODUCT((日次管理!#REF!&lt;=$H$3)*(日次管理!#REF!=$A$8)*(日次管理!#REF!="実施完了")*(日次管理!#REF!="予定"),日次管理!#REF!)</f>
        <v>#REF!</v>
      </c>
      <c r="I8" s="59" t="e">
        <f>SUMPRODUCT((日次管理!#REF!&lt;=$I$3)*(日次管理!#REF!=$A$8)*(日次管理!#REF!="実施完了")*(日次管理!#REF!="実績"),日次管理!#REF!)</f>
        <v>#REF!</v>
      </c>
      <c r="J8" s="91" t="e">
        <f>SUMPRODUCT((日次管理!#REF!&lt;=$J$3)*(日次管理!#REF!=$A$8)*(日次管理!#REF!="実施完了")*(日次管理!#REF!="予定"),日次管理!#REF!)</f>
        <v>#REF!</v>
      </c>
      <c r="K8" s="59" t="e">
        <f>SUMPRODUCT((日次管理!#REF!&lt;=$K$3)*(日次管理!#REF!=$A$8)*(日次管理!#REF!="実施完了")*(日次管理!#REF!="実績"),日次管理!#REF!)</f>
        <v>#REF!</v>
      </c>
      <c r="L8" s="91" t="e">
        <f>SUMPRODUCT((日次管理!#REF!&lt;=$L$3)*(日次管理!#REF!=$A$8)*(日次管理!#REF!="実施完了")*(日次管理!#REF!="予定"),日次管理!#REF!)</f>
        <v>#REF!</v>
      </c>
      <c r="M8" s="59" t="e">
        <f>SUMPRODUCT((日次管理!#REF!&lt;=$M$3)*(日次管理!#REF!=$A$8)*(日次管理!#REF!="実施完了")*(日次管理!#REF!="実績"),日次管理!#REF!)</f>
        <v>#REF!</v>
      </c>
      <c r="N8" s="91" t="e">
        <f>SUMPRODUCT((日次管理!#REF!&lt;=$N$3)*(日次管理!#REF!=$A$8)*(日次管理!#REF!="実施完了")*(日次管理!#REF!="予定"),日次管理!#REF!)</f>
        <v>#REF!</v>
      </c>
      <c r="O8" s="59" t="e">
        <f>SUMPRODUCT((日次管理!#REF!&lt;=$O$3)*(日次管理!#REF!=$A$8)*(日次管理!#REF!="実施完了")*(日次管理!#REF!="実績"),日次管理!#REF!)</f>
        <v>#REF!</v>
      </c>
      <c r="P8" s="91" t="e">
        <f>SUMPRODUCT((日次管理!#REF!&lt;=$P$3)*(日次管理!#REF!=$A$8)*(日次管理!#REF!="実施完了")*(日次管理!#REF!="予定"),日次管理!#REF!)</f>
        <v>#REF!</v>
      </c>
      <c r="Q8" s="59" t="e">
        <f>SUMPRODUCT((日次管理!#REF!&lt;=$Q$3)*(日次管理!#REF!=$A$8)*(日次管理!#REF!="実施完了")*(日次管理!#REF!="実績"),日次管理!#REF!)</f>
        <v>#REF!</v>
      </c>
      <c r="R8" s="91" t="e">
        <f>SUMPRODUCT((日次管理!#REF!&lt;=$R$3)*(日次管理!#REF!=$A$8)*(日次管理!#REF!="実施完了")*(日次管理!#REF!="予定"),日次管理!#REF!)</f>
        <v>#REF!</v>
      </c>
      <c r="S8" s="59" t="e">
        <f>SUMPRODUCT((日次管理!#REF!&lt;=$S$3)*(日次管理!#REF!=$A$8)*(日次管理!#REF!="実施完了")*(日次管理!#REF!="実績"),日次管理!#REF!)</f>
        <v>#REF!</v>
      </c>
      <c r="T8" s="91" t="e">
        <f>SUMPRODUCT((日次管理!#REF!&lt;=$T$3)*(日次管理!#REF!=$A$8)*(日次管理!#REF!="実施完了")*(日次管理!#REF!="予定"),日次管理!#REF!)</f>
        <v>#REF!</v>
      </c>
      <c r="U8" s="59" t="e">
        <f>SUMPRODUCT((日次管理!#REF!&lt;=$U$3)*(日次管理!#REF!=$A$8)*(日次管理!#REF!="実施完了")*(日次管理!#REF!="実績"),日次管理!#REF!)</f>
        <v>#REF!</v>
      </c>
      <c r="V8" s="91" t="e">
        <f>SUMPRODUCT((日次管理!#REF!&lt;=$V$3)*(日次管理!#REF!=$A$8)*(日次管理!#REF!="実施完了")*(日次管理!#REF!="予定"),日次管理!#REF!)</f>
        <v>#REF!</v>
      </c>
      <c r="W8" s="59" t="e">
        <f>SUMPRODUCT((日次管理!#REF!&lt;=$W$3)*(日次管理!#REF!=$A$8)*(日次管理!#REF!="実施完了")*(日次管理!#REF!="実績"),日次管理!#REF!)</f>
        <v>#REF!</v>
      </c>
      <c r="X8" s="91" t="e">
        <f>SUMPRODUCT((日次管理!#REF!&lt;=$X$3)*(日次管理!#REF!=$A$8)*(日次管理!#REF!="実施完了")*(日次管理!#REF!="予定"),日次管理!#REF!)</f>
        <v>#REF!</v>
      </c>
      <c r="Y8" s="59" t="e">
        <f>SUMPRODUCT((日次管理!#REF!&lt;=$Y$3)*(日次管理!#REF!=$A$8)*(日次管理!#REF!="実施完了")*(日次管理!#REF!="実績"),日次管理!#REF!)</f>
        <v>#REF!</v>
      </c>
      <c r="Z8" s="91" t="e">
        <f>SUMPRODUCT((日次管理!#REF!&lt;=$Z$3)*(日次管理!#REF!=$A$8)*(日次管理!#REF!="実施完了")*(日次管理!#REF!="予定"),日次管理!#REF!)</f>
        <v>#REF!</v>
      </c>
      <c r="AA8" s="59" t="e">
        <f>SUMPRODUCT((日次管理!#REF!&lt;=$AA$3)*(日次管理!#REF!=$A$8)*(日次管理!#REF!="実施完了")*(日次管理!#REF!="実績"),日次管理!#REF!)</f>
        <v>#REF!</v>
      </c>
      <c r="AB8" s="91" t="e">
        <f>SUMPRODUCT((日次管理!#REF!&lt;=$AB$3)*(日次管理!#REF!=$A$8)*(日次管理!#REF!="実施完了")*(日次管理!#REF!="予定"),日次管理!#REF!)</f>
        <v>#REF!</v>
      </c>
      <c r="AC8" s="59" t="e">
        <f>SUMPRODUCT((日次管理!#REF!&lt;=$AC$3)*(日次管理!#REF!=$A$8)*(日次管理!#REF!="実施完了")*(日次管理!#REF!="実績"),日次管理!#REF!)</f>
        <v>#REF!</v>
      </c>
      <c r="AD8" s="91" t="e">
        <f>SUMPRODUCT((日次管理!#REF!&lt;=$AD$3)*(日次管理!#REF!=$A$8)*(日次管理!#REF!="実施完了")*(日次管理!#REF!="予定"),日次管理!#REF!)</f>
        <v>#REF!</v>
      </c>
      <c r="AE8" s="59" t="e">
        <f>SUMPRODUCT((日次管理!#REF!&lt;=$AE$3)*(日次管理!#REF!=$A$8)*(日次管理!#REF!="実施完了")*(日次管理!#REF!="実績"),日次管理!#REF!)</f>
        <v>#REF!</v>
      </c>
      <c r="AF8" s="91" t="e">
        <f>SUMPRODUCT((日次管理!#REF!&lt;=$AF$3)*(日次管理!#REF!=$A$8)*(日次管理!#REF!="実施完了")*(日次管理!#REF!="予定"),日次管理!#REF!)</f>
        <v>#REF!</v>
      </c>
      <c r="AG8" s="59" t="e">
        <f>SUMPRODUCT((日次管理!#REF!&lt;=$AG$3)*(日次管理!#REF!=$A$8)*(日次管理!#REF!="実施完了")*(日次管理!#REF!="実績"),日次管理!#REF!)</f>
        <v>#REF!</v>
      </c>
      <c r="AH8" s="91" t="e">
        <f>SUMPRODUCT((日次管理!#REF!&lt;=$AH$3)*(日次管理!#REF!=$A$8)*(日次管理!#REF!="実施完了")*(日次管理!#REF!="予定"),日次管理!#REF!)</f>
        <v>#REF!</v>
      </c>
      <c r="AI8" s="59" t="e">
        <f>SUMPRODUCT((日次管理!#REF!&lt;=$AI$3)*(日次管理!#REF!=$A$8)*(日次管理!#REF!="実施完了")*(日次管理!#REF!="実績"),日次管理!#REF!)</f>
        <v>#REF!</v>
      </c>
      <c r="AJ8" s="91" t="e">
        <f>SUMPRODUCT((日次管理!#REF!&lt;=$AJ$3)*(日次管理!#REF!=$A$8)*(日次管理!#REF!="実施完了")*(日次管理!#REF!="予定"),日次管理!#REF!)</f>
        <v>#REF!</v>
      </c>
      <c r="AK8" s="59" t="e">
        <f>SUMPRODUCT((日次管理!#REF!&lt;=$AK$3)*(日次管理!#REF!=$A$8)*(日次管理!#REF!="実施完了")*(日次管理!#REF!="実績"),日次管理!#REF!)</f>
        <v>#REF!</v>
      </c>
      <c r="AL8" s="91" t="e">
        <f>SUMPRODUCT((日次管理!#REF!&lt;=$AL$3)*(日次管理!#REF!=$A$8)*(日次管理!#REF!="実施完了")*(日次管理!#REF!="予定"),日次管理!#REF!)</f>
        <v>#REF!</v>
      </c>
      <c r="AM8" s="59" t="e">
        <f>SUMPRODUCT((日次管理!#REF!&lt;=$AM$3)*(日次管理!#REF!=$A$8)*(日次管理!#REF!="実施完了")*(日次管理!#REF!="実績"),日次管理!#REF!)</f>
        <v>#REF!</v>
      </c>
      <c r="AN8" s="91" t="e">
        <f>SUMPRODUCT((日次管理!#REF!&lt;=$AN$3)*(日次管理!#REF!=$A$8)*(日次管理!#REF!="実施完了")*(日次管理!#REF!="予定"),日次管理!#REF!)</f>
        <v>#REF!</v>
      </c>
      <c r="AO8" s="59" t="e">
        <f>SUMPRODUCT((日次管理!#REF!&lt;=$AO$3)*(日次管理!#REF!=$A$8)*(日次管理!#REF!="実施完了")*(日次管理!#REF!="実績"),日次管理!#REF!)</f>
        <v>#REF!</v>
      </c>
      <c r="AP8" s="91" t="e">
        <f>SUMPRODUCT((日次管理!#REF!&lt;=$AP$3)*(日次管理!#REF!=$A$8)*(日次管理!#REF!="実施完了")*(日次管理!#REF!="予定"),日次管理!#REF!)</f>
        <v>#REF!</v>
      </c>
      <c r="AQ8" s="59" t="e">
        <f>SUMPRODUCT((日次管理!#REF!&lt;=$AQ$3)*(日次管理!#REF!=$A$8)*(日次管理!#REF!="実施完了")*(日次管理!#REF!="実績"),日次管理!#REF!)</f>
        <v>#REF!</v>
      </c>
      <c r="AR8" s="91" t="e">
        <f>SUMPRODUCT((日次管理!#REF!&lt;=$AR$3)*(日次管理!#REF!=$A$8)*(日次管理!#REF!="実施完了")*(日次管理!#REF!="予定"),日次管理!#REF!)</f>
        <v>#REF!</v>
      </c>
      <c r="AS8" s="59" t="e">
        <f>SUMPRODUCT((日次管理!#REF!&lt;=$AS$3)*(日次管理!#REF!=$A$8)*(日次管理!#REF!="実施完了")*(日次管理!#REF!="実績"),日次管理!#REF!)</f>
        <v>#REF!</v>
      </c>
      <c r="AT8" s="91" t="e">
        <f>SUMPRODUCT((日次管理!#REF!&lt;=$AT$3)*(日次管理!#REF!=$A$8)*(日次管理!#REF!="実施完了")*(日次管理!#REF!="予定"),日次管理!#REF!)</f>
        <v>#REF!</v>
      </c>
      <c r="AU8" s="59" t="e">
        <f>SUMPRODUCT((日次管理!#REF!&lt;=$AU$3)*(日次管理!#REF!=$A$8)*(日次管理!#REF!="実施完了")*(日次管理!#REF!="実績"),日次管理!#REF!)</f>
        <v>#REF!</v>
      </c>
      <c r="AV8" s="91" t="e">
        <f>SUMPRODUCT((日次管理!#REF!&lt;=$AV$3)*(日次管理!#REF!=$A$8)*(日次管理!#REF!="実施完了")*(日次管理!#REF!="予定"),日次管理!#REF!)</f>
        <v>#REF!</v>
      </c>
      <c r="AW8" s="59" t="e">
        <f>SUMPRODUCT((日次管理!#REF!&lt;=$AW$3)*(日次管理!#REF!=$A$8)*(日次管理!#REF!="実施完了")*(日次管理!#REF!="実績"),日次管理!#REF!)</f>
        <v>#REF!</v>
      </c>
      <c r="AX8" s="91" t="e">
        <f>SUMPRODUCT((日次管理!#REF!&lt;=$AX$3)*(日次管理!#REF!=$A$8)*(日次管理!#REF!="実施完了")*(日次管理!#REF!="予定"),日次管理!#REF!)</f>
        <v>#REF!</v>
      </c>
      <c r="AY8" s="59" t="e">
        <f>SUMPRODUCT((日次管理!#REF!&lt;=$AY$3)*(日次管理!#REF!=$A$8)*(日次管理!#REF!="実施完了")*(日次管理!#REF!="実績"),日次管理!#REF!)</f>
        <v>#REF!</v>
      </c>
      <c r="AZ8" s="91" t="e">
        <f>SUMPRODUCT((日次管理!#REF!&lt;=$AZ$3)*(日次管理!#REF!=$A$8)*(日次管理!#REF!="実施完了")*(日次管理!#REF!="予定"),日次管理!#REF!)</f>
        <v>#REF!</v>
      </c>
      <c r="BA8" s="59" t="e">
        <f>SUMPRODUCT((日次管理!#REF!&lt;=$BA$3)*(日次管理!#REF!=$A$8)*(日次管理!#REF!="実施完了")*(日次管理!#REF!="実績"),日次管理!#REF!)</f>
        <v>#REF!</v>
      </c>
      <c r="BB8" s="91" t="e">
        <f>SUMPRODUCT((日次管理!#REF!&lt;=$BB$3)*(日次管理!#REF!=$A$8)*(日次管理!#REF!="実施完了")*(日次管理!#REF!="予定"),日次管理!#REF!)</f>
        <v>#REF!</v>
      </c>
      <c r="BC8" s="59" t="e">
        <f>SUMPRODUCT((日次管理!#REF!&lt;=$BC$3)*(日次管理!#REF!=$A$8)*(日次管理!#REF!="実施完了")*(日次管理!#REF!="実績"),日次管理!#REF!)</f>
        <v>#REF!</v>
      </c>
      <c r="BD8" s="91" t="e">
        <f>SUMPRODUCT((日次管理!#REF!&lt;=$BD$3)*(日次管理!#REF!=$A$8)*(日次管理!#REF!="実施完了")*(日次管理!#REF!="予定"),日次管理!#REF!)</f>
        <v>#REF!</v>
      </c>
      <c r="BE8" s="59" t="e">
        <f>SUMPRODUCT((日次管理!#REF!&lt;=$BE$3)*(日次管理!#REF!=$A$8)*(日次管理!#REF!="実施完了")*(日次管理!#REF!="実績"),日次管理!#REF!)</f>
        <v>#REF!</v>
      </c>
      <c r="BF8" s="91" t="e">
        <f>SUMPRODUCT((日次管理!#REF!&lt;=$BF$3)*(日次管理!#REF!=$A$8)*(日次管理!#REF!="実施完了")*(日次管理!#REF!="予定"),日次管理!#REF!)</f>
        <v>#REF!</v>
      </c>
      <c r="BG8" s="59" t="e">
        <f>SUMPRODUCT((日次管理!#REF!&lt;=$BG$3)*(日次管理!#REF!=$A$8)*(日次管理!#REF!="実施完了")*(日次管理!#REF!="実績"),日次管理!#REF!)</f>
        <v>#REF!</v>
      </c>
      <c r="BH8" s="91" t="e">
        <f>SUMPRODUCT((日次管理!#REF!&lt;=$BH$3)*(日次管理!#REF!=$A$8)*(日次管理!#REF!="実施完了")*(日次管理!#REF!="予定"),日次管理!#REF!)</f>
        <v>#REF!</v>
      </c>
      <c r="BI8" s="59" t="e">
        <f>SUMPRODUCT((日次管理!#REF!&lt;=$BI$3)*(日次管理!#REF!=$A$8)*(日次管理!#REF!="実施完了")*(日次管理!#REF!="実績"),日次管理!#REF!)</f>
        <v>#REF!</v>
      </c>
      <c r="BJ8" s="91" t="e">
        <f>SUMPRODUCT((日次管理!#REF!&lt;=$BJ$3)*(日次管理!#REF!=$A$8)*(日次管理!#REF!="実施完了")*(日次管理!#REF!="予定"),日次管理!#REF!)</f>
        <v>#REF!</v>
      </c>
      <c r="BK8" s="59" t="e">
        <f>SUMPRODUCT((日次管理!#REF!&lt;=$BK$3)*(日次管理!#REF!=$A$8)*(日次管理!#REF!="実施完了")*(日次管理!#REF!="実績"),日次管理!#REF!)</f>
        <v>#REF!</v>
      </c>
      <c r="BL8" s="91" t="e">
        <f>SUMPRODUCT((日次管理!#REF!&lt;=$BL$3)*(日次管理!#REF!=$A$8)*(日次管理!#REF!="実施完了")*(日次管理!#REF!="予定"),日次管理!#REF!)</f>
        <v>#REF!</v>
      </c>
      <c r="BM8" s="59" t="e">
        <f>SUMPRODUCT((日次管理!#REF!&lt;=$BM$3)*(日次管理!#REF!=$A$8)*(日次管理!#REF!="実施完了")*(日次管理!#REF!="実績"),日次管理!#REF!)</f>
        <v>#REF!</v>
      </c>
      <c r="BN8" s="91" t="e">
        <f>SUMPRODUCT((日次管理!#REF!&lt;=$BN$3)*(日次管理!#REF!=$A$8)*(日次管理!#REF!="実施完了")*(日次管理!#REF!="予定"),日次管理!#REF!)</f>
        <v>#REF!</v>
      </c>
      <c r="BO8" s="59" t="e">
        <f>SUMPRODUCT((日次管理!#REF!&lt;=$BO$3)*(日次管理!#REF!=$A$8)*(日次管理!#REF!="実施完了")*(日次管理!#REF!="実績"),日次管理!#REF!)</f>
        <v>#REF!</v>
      </c>
      <c r="BP8" s="91" t="e">
        <f>SUMPRODUCT((日次管理!#REF!&lt;=$BP$3)*(日次管理!#REF!=$A$8)*(日次管理!#REF!="実施完了")*(日次管理!#REF!="予定"),日次管理!#REF!)</f>
        <v>#REF!</v>
      </c>
      <c r="BQ8" s="59" t="e">
        <f>SUMPRODUCT((日次管理!#REF!&lt;=$BQ$3)*(日次管理!#REF!=$A$8)*(日次管理!#REF!="実施完了")*(日次管理!#REF!="実績"),日次管理!#REF!)</f>
        <v>#REF!</v>
      </c>
      <c r="BR8" s="91" t="e">
        <f>SUMPRODUCT((日次管理!#REF!&lt;=$BR$3)*(日次管理!#REF!=$A$8)*(日次管理!#REF!="実施完了")*(日次管理!#REF!="予定"),日次管理!#REF!)</f>
        <v>#REF!</v>
      </c>
      <c r="BS8" s="59" t="e">
        <f>SUMPRODUCT((日次管理!#REF!&lt;=$BS$3)*(日次管理!#REF!=$A$8)*(日次管理!#REF!="実施完了")*(日次管理!#REF!="実績"),日次管理!#REF!)</f>
        <v>#REF!</v>
      </c>
      <c r="BT8" s="91" t="e">
        <f>SUMPRODUCT((日次管理!#REF!&lt;=$BT$3)*(日次管理!#REF!=$A$8)*(日次管理!#REF!="実施完了")*(日次管理!#REF!="予定"),日次管理!#REF!)</f>
        <v>#REF!</v>
      </c>
      <c r="BU8" s="59" t="e">
        <f>SUMPRODUCT((日次管理!#REF!&lt;=$BU$3)*(日次管理!#REF!=$A$8)*(日次管理!#REF!="実施完了")*(日次管理!#REF!="実績"),日次管理!#REF!)</f>
        <v>#REF!</v>
      </c>
      <c r="BV8" s="91" t="e">
        <f>SUMPRODUCT((日次管理!#REF!&lt;=$BV$3)*(日次管理!#REF!=$A$8)*(日次管理!#REF!="実施完了")*(日次管理!#REF!="予定"),日次管理!#REF!)</f>
        <v>#REF!</v>
      </c>
      <c r="BW8" s="59" t="e">
        <f>SUMPRODUCT((日次管理!#REF!&lt;=$BW$3)*(日次管理!#REF!=$A$8)*(日次管理!#REF!="実施完了")*(日次管理!#REF!="実績"),日次管理!#REF!)</f>
        <v>#REF!</v>
      </c>
      <c r="BX8" s="91" t="e">
        <f>SUMPRODUCT((日次管理!#REF!&lt;=$BX$3)*(日次管理!#REF!=$A$8)*(日次管理!#REF!="実施完了")*(日次管理!#REF!="予定"),日次管理!#REF!)</f>
        <v>#REF!</v>
      </c>
      <c r="BY8" s="59" t="e">
        <f>SUMPRODUCT((日次管理!#REF!&lt;=$BY$3)*(日次管理!#REF!=$A$8)*(日次管理!#REF!="実施完了")*(日次管理!#REF!="実績"),日次管理!#REF!)</f>
        <v>#REF!</v>
      </c>
      <c r="BZ8" s="91" t="e">
        <f>SUMPRODUCT((日次管理!#REF!&lt;=$BZ$3)*(日次管理!#REF!=$A$8)*(日次管理!#REF!="実施完了")*(日次管理!#REF!="予定"),日次管理!#REF!)</f>
        <v>#REF!</v>
      </c>
      <c r="CA8" s="59" t="e">
        <f>SUMPRODUCT((日次管理!#REF!&lt;=$CA$3)*(日次管理!#REF!=$A$8)*(日次管理!#REF!="実施完了")*(日次管理!#REF!="実績"),日次管理!#REF!)</f>
        <v>#REF!</v>
      </c>
      <c r="CB8" s="91" t="e">
        <f>SUMPRODUCT((日次管理!#REF!&lt;=$CB$3)*(日次管理!#REF!=$A$8)*(日次管理!#REF!="実施完了")*(日次管理!#REF!="予定"),日次管理!#REF!)</f>
        <v>#REF!</v>
      </c>
      <c r="CC8" s="59" t="e">
        <f>SUMPRODUCT((日次管理!#REF!&lt;=$CC$3)*(日次管理!#REF!=$A$8)*(日次管理!#REF!="実施完了")*(日次管理!#REF!="実績"),日次管理!#REF!)</f>
        <v>#REF!</v>
      </c>
      <c r="CD8" s="91" t="e">
        <f>SUMPRODUCT((日次管理!#REF!&lt;=$CD$3)*(日次管理!#REF!=$A$8)*(日次管理!#REF!="実施完了")*(日次管理!#REF!="予定"),日次管理!#REF!)</f>
        <v>#REF!</v>
      </c>
      <c r="CE8" s="59" t="e">
        <f>SUMPRODUCT((日次管理!#REF!&lt;=$CE$3)*(日次管理!#REF!=$A$8)*(日次管理!#REF!="実施完了")*(日次管理!#REF!="実績"),日次管理!#REF!)</f>
        <v>#REF!</v>
      </c>
      <c r="CF8" s="91" t="e">
        <f>SUMPRODUCT((日次管理!#REF!&lt;=$CF$3)*(日次管理!#REF!=$A$8)*(日次管理!#REF!="実施完了")*(日次管理!#REF!="予定"),日次管理!#REF!)</f>
        <v>#REF!</v>
      </c>
      <c r="CG8" s="59" t="e">
        <f>SUMPRODUCT((日次管理!#REF!&lt;=$CG$3)*(日次管理!#REF!=$A$8)*(日次管理!#REF!="実施完了")*(日次管理!#REF!="実績"),日次管理!#REF!)</f>
        <v>#REF!</v>
      </c>
      <c r="CH8" s="91" t="e">
        <f>SUMPRODUCT((日次管理!#REF!&lt;=$CH$3)*(日次管理!#REF!=$A$8)*(日次管理!#REF!="実施完了")*(日次管理!#REF!="予定"),日次管理!#REF!)</f>
        <v>#REF!</v>
      </c>
      <c r="CI8" s="59" t="e">
        <f>SUMPRODUCT((日次管理!#REF!&lt;=$CI$3)*(日次管理!#REF!=$A$8)*(日次管理!#REF!="実施完了")*(日次管理!#REF!="実績"),日次管理!#REF!)</f>
        <v>#REF!</v>
      </c>
      <c r="CJ8" s="91" t="e">
        <f>SUMPRODUCT((日次管理!#REF!&lt;=$CJ$3)*(日次管理!#REF!=$A$8)*(日次管理!#REF!="実施完了")*(日次管理!#REF!="予定"),日次管理!#REF!)</f>
        <v>#REF!</v>
      </c>
      <c r="CK8" s="59" t="e">
        <f>SUMPRODUCT((日次管理!#REF!&lt;=$CK$3)*(日次管理!#REF!=$A$8)*(日次管理!#REF!="実施完了")*(日次管理!#REF!="実績"),日次管理!#REF!)</f>
        <v>#REF!</v>
      </c>
      <c r="CL8" s="91" t="e">
        <f>SUMPRODUCT((日次管理!#REF!&lt;=$CL$3)*(日次管理!#REF!=$A$8)*(日次管理!#REF!="実施完了")*(日次管理!#REF!="予定"),日次管理!#REF!)</f>
        <v>#REF!</v>
      </c>
      <c r="CM8" s="59" t="e">
        <f>SUMPRODUCT((日次管理!#REF!&lt;=$CM$3)*(日次管理!#REF!=$A$8)*(日次管理!#REF!="実施完了")*(日次管理!#REF!="実績"),日次管理!#REF!)</f>
        <v>#REF!</v>
      </c>
      <c r="CN8" s="91" t="e">
        <f>SUMPRODUCT((日次管理!#REF!&lt;=$CN$3)*(日次管理!#REF!=$A$8)*(日次管理!#REF!="実施完了")*(日次管理!#REF!="予定"),日次管理!#REF!)</f>
        <v>#REF!</v>
      </c>
      <c r="CO8" s="59" t="e">
        <f>SUMPRODUCT((日次管理!#REF!&lt;=$CO$3)*(日次管理!#REF!=$A$8)*(日次管理!#REF!="実施完了")*(日次管理!#REF!="実績"),日次管理!#REF!)</f>
        <v>#REF!</v>
      </c>
      <c r="CP8" s="91" t="e">
        <f>SUMPRODUCT((日次管理!#REF!&lt;=$CP$3)*(日次管理!#REF!=$A$8)*(日次管理!#REF!="実施完了")*(日次管理!#REF!="予定"),日次管理!#REF!)</f>
        <v>#REF!</v>
      </c>
      <c r="CQ8" s="59" t="e">
        <f>SUMPRODUCT((日次管理!#REF!&lt;=$CQ$3)*(日次管理!#REF!=$A$8)*(日次管理!#REF!="実施完了")*(日次管理!#REF!="実績"),日次管理!#REF!)</f>
        <v>#REF!</v>
      </c>
      <c r="CR8" s="91" t="e">
        <f>SUMPRODUCT((日次管理!#REF!&lt;=$CR$3)*(日次管理!#REF!=$A$8)*(日次管理!#REF!="実施完了")*(日次管理!#REF!="予定"),日次管理!#REF!)</f>
        <v>#REF!</v>
      </c>
      <c r="CS8" s="59" t="e">
        <f>SUMPRODUCT((日次管理!#REF!&lt;=$CS$3)*(日次管理!#REF!=$A$8)*(日次管理!#REF!="実施完了")*(日次管理!#REF!="実績"),日次管理!#REF!)</f>
        <v>#REF!</v>
      </c>
      <c r="CT8" s="91" t="e">
        <f>SUMPRODUCT((日次管理!#REF!&lt;=$CT$3)*(日次管理!#REF!=$A$8)*(日次管理!#REF!="実施完了")*(日次管理!#REF!="予定"),日次管理!#REF!)</f>
        <v>#REF!</v>
      </c>
      <c r="CU8" s="59" t="e">
        <f>SUMPRODUCT((日次管理!#REF!&lt;=$CU$3)*(日次管理!#REF!=$A$8)*(日次管理!#REF!="実施完了")*(日次管理!#REF!="実績"),日次管理!#REF!)</f>
        <v>#REF!</v>
      </c>
      <c r="CV8" s="92" t="e">
        <f ca="1">SUMPRODUCT(($A$3- WEEKDAY($A$3) + 6 =$B$3:$CU$3)*("実績"=$B$4:$CU$4),$B$8:$CU$8)/SUMPRODUCT(($A$3- WEEKDAY($A$3) + 6 =$B$3:$CU$3)*("予定"=$B$4:$CU$4),$B$8:$CU$8)</f>
        <v>#REF!</v>
      </c>
      <c r="CW8" s="93" t="e">
        <f>$CU$8/$CT$8</f>
        <v>#REF!</v>
      </c>
    </row>
    <row r="9" spans="1:101" ht="20.149999999999999" customHeight="1">
      <c r="A9" s="94" t="s">
        <v>71</v>
      </c>
      <c r="B9" s="95" t="e">
        <f>SUMPRODUCT((日次管理!#REF!&lt;=$B$3)*(日次管理!#REF!=$A$9)*(日次管理!#REF!="実施完了")*(日次管理!#REF!="予定"),日次管理!#REF!)</f>
        <v>#REF!</v>
      </c>
      <c r="C9" s="60" t="e">
        <f>SUMPRODUCT((日次管理!#REF!&lt;=$C$3)*(日次管理!#REF!=$A$9)*(日次管理!#REF!="実施完了")*(日次管理!#REF!="実績"),日次管理!#REF!)</f>
        <v>#REF!</v>
      </c>
      <c r="D9" s="95" t="e">
        <f>SUMPRODUCT((日次管理!#REF!&lt;=$D$3)*(日次管理!#REF!=$A$9)*(日次管理!#REF!="実施完了")*(日次管理!#REF!="予定"),日次管理!#REF!)</f>
        <v>#REF!</v>
      </c>
      <c r="E9" s="60" t="e">
        <f>SUMPRODUCT((日次管理!#REF!&lt;=$E$3)*(日次管理!#REF!=$A$9)*(日次管理!#REF!="実施完了")*(日次管理!#REF!="実績"),日次管理!#REF!)</f>
        <v>#REF!</v>
      </c>
      <c r="F9" s="95" t="e">
        <f>SUMPRODUCT((日次管理!#REF!&lt;=$F$3)*(日次管理!#REF!=$A$9)*(日次管理!#REF!="実施完了")*(日次管理!#REF!="予定"),日次管理!#REF!)</f>
        <v>#REF!</v>
      </c>
      <c r="G9" s="60" t="e">
        <f>SUMPRODUCT((日次管理!#REF!&lt;=$G$3)*(日次管理!#REF!=$A$9)*(日次管理!#REF!="実施完了")*(日次管理!#REF!="実績"),日次管理!#REF!)</f>
        <v>#REF!</v>
      </c>
      <c r="H9" s="95" t="e">
        <f>SUMPRODUCT((日次管理!#REF!&lt;=$H$3)*(日次管理!#REF!=$A$9)*(日次管理!#REF!="実施完了")*(日次管理!#REF!="予定"),日次管理!#REF!)</f>
        <v>#REF!</v>
      </c>
      <c r="I9" s="60" t="e">
        <f>SUMPRODUCT((日次管理!#REF!&lt;=$I$3)*(日次管理!#REF!=$A$9)*(日次管理!#REF!="実施完了")*(日次管理!#REF!="実績"),日次管理!#REF!)</f>
        <v>#REF!</v>
      </c>
      <c r="J9" s="95" t="e">
        <f>SUMPRODUCT((日次管理!#REF!&lt;=$J$3)*(日次管理!#REF!=$A$9)*(日次管理!#REF!="実施完了")*(日次管理!#REF!="予定"),日次管理!#REF!)</f>
        <v>#REF!</v>
      </c>
      <c r="K9" s="60" t="e">
        <f>SUMPRODUCT((日次管理!#REF!&lt;=$K$3)*(日次管理!#REF!=$A$9)*(日次管理!#REF!="実施完了")*(日次管理!#REF!="実績"),日次管理!#REF!)</f>
        <v>#REF!</v>
      </c>
      <c r="L9" s="95" t="e">
        <f>SUMPRODUCT((日次管理!#REF!&lt;=$L$3)*(日次管理!#REF!=$A$9)*(日次管理!#REF!="実施完了")*(日次管理!#REF!="予定"),日次管理!#REF!)</f>
        <v>#REF!</v>
      </c>
      <c r="M9" s="60" t="e">
        <f>SUMPRODUCT((日次管理!#REF!&lt;=$M$3)*(日次管理!#REF!=$A$9)*(日次管理!#REF!="実施完了")*(日次管理!#REF!="実績"),日次管理!#REF!)</f>
        <v>#REF!</v>
      </c>
      <c r="N9" s="95" t="e">
        <f>SUMPRODUCT((日次管理!#REF!&lt;=$N$3)*(日次管理!#REF!=$A$9)*(日次管理!#REF!="実施完了")*(日次管理!#REF!="予定"),日次管理!#REF!)</f>
        <v>#REF!</v>
      </c>
      <c r="O9" s="60" t="e">
        <f>SUMPRODUCT((日次管理!#REF!&lt;=$O$3)*(日次管理!#REF!=$A$9)*(日次管理!#REF!="実施完了")*(日次管理!#REF!="実績"),日次管理!#REF!)</f>
        <v>#REF!</v>
      </c>
      <c r="P9" s="95" t="e">
        <f>SUMPRODUCT((日次管理!#REF!&lt;=$P$3)*(日次管理!#REF!=$A$9)*(日次管理!#REF!="実施完了")*(日次管理!#REF!="予定"),日次管理!#REF!)</f>
        <v>#REF!</v>
      </c>
      <c r="Q9" s="60" t="e">
        <f>SUMPRODUCT((日次管理!#REF!&lt;=$Q$3)*(日次管理!#REF!=$A$9)*(日次管理!#REF!="実施完了")*(日次管理!#REF!="実績"),日次管理!#REF!)</f>
        <v>#REF!</v>
      </c>
      <c r="R9" s="95" t="e">
        <f>SUMPRODUCT((日次管理!#REF!&lt;=$R$3)*(日次管理!#REF!=$A$9)*(日次管理!#REF!="実施完了")*(日次管理!#REF!="予定"),日次管理!#REF!)</f>
        <v>#REF!</v>
      </c>
      <c r="S9" s="60" t="e">
        <f>SUMPRODUCT((日次管理!#REF!&lt;=$S$3)*(日次管理!#REF!=$A$9)*(日次管理!#REF!="実施完了")*(日次管理!#REF!="実績"),日次管理!#REF!)</f>
        <v>#REF!</v>
      </c>
      <c r="T9" s="95" t="e">
        <f>SUMPRODUCT((日次管理!#REF!&lt;=$T$3)*(日次管理!#REF!=$A$9)*(日次管理!#REF!="実施完了")*(日次管理!#REF!="予定"),日次管理!#REF!)</f>
        <v>#REF!</v>
      </c>
      <c r="U9" s="60" t="e">
        <f>SUMPRODUCT((日次管理!#REF!&lt;=$U$3)*(日次管理!#REF!=$A$9)*(日次管理!#REF!="実施完了")*(日次管理!#REF!="実績"),日次管理!#REF!)</f>
        <v>#REF!</v>
      </c>
      <c r="V9" s="95" t="e">
        <f>SUMPRODUCT((日次管理!#REF!&lt;=$V$3)*(日次管理!#REF!=$A$9)*(日次管理!#REF!="実施完了")*(日次管理!#REF!="予定"),日次管理!#REF!)</f>
        <v>#REF!</v>
      </c>
      <c r="W9" s="60" t="e">
        <f>SUMPRODUCT((日次管理!#REF!&lt;=$W$3)*(日次管理!#REF!=$A$9)*(日次管理!#REF!="実施完了")*(日次管理!#REF!="実績"),日次管理!#REF!)</f>
        <v>#REF!</v>
      </c>
      <c r="X9" s="95" t="e">
        <f>SUMPRODUCT((日次管理!#REF!&lt;=$X$3)*(日次管理!#REF!=$A$9)*(日次管理!#REF!="実施完了")*(日次管理!#REF!="予定"),日次管理!#REF!)</f>
        <v>#REF!</v>
      </c>
      <c r="Y9" s="60" t="e">
        <f>SUMPRODUCT((日次管理!#REF!&lt;=$Y$3)*(日次管理!#REF!=$A$9)*(日次管理!#REF!="実施完了")*(日次管理!#REF!="実績"),日次管理!#REF!)</f>
        <v>#REF!</v>
      </c>
      <c r="Z9" s="95" t="e">
        <f>SUMPRODUCT((日次管理!#REF!&lt;=$Z$3)*(日次管理!#REF!=$A$9)*(日次管理!#REF!="実施完了")*(日次管理!#REF!="予定"),日次管理!#REF!)</f>
        <v>#REF!</v>
      </c>
      <c r="AA9" s="60" t="e">
        <f>SUMPRODUCT((日次管理!#REF!&lt;=$AA$3)*(日次管理!#REF!=$A$9)*(日次管理!#REF!="実施完了")*(日次管理!#REF!="実績"),日次管理!#REF!)</f>
        <v>#REF!</v>
      </c>
      <c r="AB9" s="95" t="e">
        <f>SUMPRODUCT((日次管理!#REF!&lt;=$AB$3)*(日次管理!#REF!=$A$9)*(日次管理!#REF!="実施完了")*(日次管理!#REF!="予定"),日次管理!#REF!)</f>
        <v>#REF!</v>
      </c>
      <c r="AC9" s="60" t="e">
        <f>SUMPRODUCT((日次管理!#REF!&lt;=$AC$3)*(日次管理!#REF!=$A$9)*(日次管理!#REF!="実施完了")*(日次管理!#REF!="実績"),日次管理!#REF!)</f>
        <v>#REF!</v>
      </c>
      <c r="AD9" s="95" t="e">
        <f>SUMPRODUCT((日次管理!#REF!&lt;=$AD$3)*(日次管理!#REF!=$A$9)*(日次管理!#REF!="実施完了")*(日次管理!#REF!="予定"),日次管理!#REF!)</f>
        <v>#REF!</v>
      </c>
      <c r="AE9" s="60" t="e">
        <f>SUMPRODUCT((日次管理!#REF!&lt;=$AE$3)*(日次管理!#REF!=$A$9)*(日次管理!#REF!="実施完了")*(日次管理!#REF!="実績"),日次管理!#REF!)</f>
        <v>#REF!</v>
      </c>
      <c r="AF9" s="95" t="e">
        <f>SUMPRODUCT((日次管理!#REF!&lt;=$AF$3)*(日次管理!#REF!=$A$9)*(日次管理!#REF!="実施完了")*(日次管理!#REF!="予定"),日次管理!#REF!)</f>
        <v>#REF!</v>
      </c>
      <c r="AG9" s="60" t="e">
        <f>SUMPRODUCT((日次管理!#REF!&lt;=$AG$3)*(日次管理!#REF!=$A$9)*(日次管理!#REF!="実施完了")*(日次管理!#REF!="実績"),日次管理!#REF!)</f>
        <v>#REF!</v>
      </c>
      <c r="AH9" s="95" t="e">
        <f>SUMPRODUCT((日次管理!#REF!&lt;=$AH$3)*(日次管理!#REF!=$A$9)*(日次管理!#REF!="実施完了")*(日次管理!#REF!="予定"),日次管理!#REF!)</f>
        <v>#REF!</v>
      </c>
      <c r="AI9" s="60" t="e">
        <f>SUMPRODUCT((日次管理!#REF!&lt;=$AI$3)*(日次管理!#REF!=$A$9)*(日次管理!#REF!="実施完了")*(日次管理!#REF!="実績"),日次管理!#REF!)</f>
        <v>#REF!</v>
      </c>
      <c r="AJ9" s="95" t="e">
        <f>SUMPRODUCT((日次管理!#REF!&lt;=$AJ$3)*(日次管理!#REF!=$A$9)*(日次管理!#REF!="実施完了")*(日次管理!#REF!="予定"),日次管理!#REF!)</f>
        <v>#REF!</v>
      </c>
      <c r="AK9" s="60" t="e">
        <f>SUMPRODUCT((日次管理!#REF!&lt;=$AK$3)*(日次管理!#REF!=$A$9)*(日次管理!#REF!="実施完了")*(日次管理!#REF!="実績"),日次管理!#REF!)</f>
        <v>#REF!</v>
      </c>
      <c r="AL9" s="95" t="e">
        <f>SUMPRODUCT((日次管理!#REF!&lt;=$AL$3)*(日次管理!#REF!=$A$9)*(日次管理!#REF!="実施完了")*(日次管理!#REF!="予定"),日次管理!#REF!)</f>
        <v>#REF!</v>
      </c>
      <c r="AM9" s="60" t="e">
        <f>SUMPRODUCT((日次管理!#REF!&lt;=$AM$3)*(日次管理!#REF!=$A$9)*(日次管理!#REF!="実施完了")*(日次管理!#REF!="実績"),日次管理!#REF!)</f>
        <v>#REF!</v>
      </c>
      <c r="AN9" s="95" t="e">
        <f>SUMPRODUCT((日次管理!#REF!&lt;=$AN$3)*(日次管理!#REF!=$A$9)*(日次管理!#REF!="実施完了")*(日次管理!#REF!="予定"),日次管理!#REF!)</f>
        <v>#REF!</v>
      </c>
      <c r="AO9" s="60" t="e">
        <f>SUMPRODUCT((日次管理!#REF!&lt;=$AO$3)*(日次管理!#REF!=$A$9)*(日次管理!#REF!="実施完了")*(日次管理!#REF!="実績"),日次管理!#REF!)</f>
        <v>#REF!</v>
      </c>
      <c r="AP9" s="95" t="e">
        <f>SUMPRODUCT((日次管理!#REF!&lt;=$AP$3)*(日次管理!#REF!=$A$9)*(日次管理!#REF!="実施完了")*(日次管理!#REF!="予定"),日次管理!#REF!)</f>
        <v>#REF!</v>
      </c>
      <c r="AQ9" s="60" t="e">
        <f>SUMPRODUCT((日次管理!#REF!&lt;=$AQ$3)*(日次管理!#REF!=$A$9)*(日次管理!#REF!="実施完了")*(日次管理!#REF!="実績"),日次管理!#REF!)</f>
        <v>#REF!</v>
      </c>
      <c r="AR9" s="95" t="e">
        <f>SUMPRODUCT((日次管理!#REF!&lt;=$AR$3)*(日次管理!#REF!=$A$9)*(日次管理!#REF!="実施完了")*(日次管理!#REF!="予定"),日次管理!#REF!)</f>
        <v>#REF!</v>
      </c>
      <c r="AS9" s="60" t="e">
        <f>SUMPRODUCT((日次管理!#REF!&lt;=$AS$3)*(日次管理!#REF!=$A$9)*(日次管理!#REF!="実施完了")*(日次管理!#REF!="実績"),日次管理!#REF!)</f>
        <v>#REF!</v>
      </c>
      <c r="AT9" s="95" t="e">
        <f>SUMPRODUCT((日次管理!#REF!&lt;=$AT$3)*(日次管理!#REF!=$A$9)*(日次管理!#REF!="実施完了")*(日次管理!#REF!="予定"),日次管理!#REF!)</f>
        <v>#REF!</v>
      </c>
      <c r="AU9" s="60" t="e">
        <f>SUMPRODUCT((日次管理!#REF!&lt;=$AU$3)*(日次管理!#REF!=$A$9)*(日次管理!#REF!="実施完了")*(日次管理!#REF!="実績"),日次管理!#REF!)</f>
        <v>#REF!</v>
      </c>
      <c r="AV9" s="95" t="e">
        <f>SUMPRODUCT((日次管理!#REF!&lt;=$AV$3)*(日次管理!#REF!=$A$9)*(日次管理!#REF!="実施完了")*(日次管理!#REF!="予定"),日次管理!#REF!)</f>
        <v>#REF!</v>
      </c>
      <c r="AW9" s="60" t="e">
        <f>SUMPRODUCT((日次管理!#REF!&lt;=$AW$3)*(日次管理!#REF!=$A$9)*(日次管理!#REF!="実施完了")*(日次管理!#REF!="実績"),日次管理!#REF!)</f>
        <v>#REF!</v>
      </c>
      <c r="AX9" s="95" t="e">
        <f>SUMPRODUCT((日次管理!#REF!&lt;=$AX$3)*(日次管理!#REF!=$A$9)*(日次管理!#REF!="実施完了")*(日次管理!#REF!="予定"),日次管理!#REF!)</f>
        <v>#REF!</v>
      </c>
      <c r="AY9" s="60" t="e">
        <f>SUMPRODUCT((日次管理!#REF!&lt;=$AY$3)*(日次管理!#REF!=$A$9)*(日次管理!#REF!="実施完了")*(日次管理!#REF!="実績"),日次管理!#REF!)</f>
        <v>#REF!</v>
      </c>
      <c r="AZ9" s="95" t="e">
        <f>SUMPRODUCT((日次管理!#REF!&lt;=$AZ$3)*(日次管理!#REF!=$A$9)*(日次管理!#REF!="実施完了")*(日次管理!#REF!="予定"),日次管理!#REF!)</f>
        <v>#REF!</v>
      </c>
      <c r="BA9" s="60" t="e">
        <f>SUMPRODUCT((日次管理!#REF!&lt;=$BA$3)*(日次管理!#REF!=$A$9)*(日次管理!#REF!="実施完了")*(日次管理!#REF!="実績"),日次管理!#REF!)</f>
        <v>#REF!</v>
      </c>
      <c r="BB9" s="95" t="e">
        <f>SUMPRODUCT((日次管理!#REF!&lt;=$BB$3)*(日次管理!#REF!=$A$9)*(日次管理!#REF!="実施完了")*(日次管理!#REF!="予定"),日次管理!#REF!)</f>
        <v>#REF!</v>
      </c>
      <c r="BC9" s="60" t="e">
        <f>SUMPRODUCT((日次管理!#REF!&lt;=$BC$3)*(日次管理!#REF!=$A$9)*(日次管理!#REF!="実施完了")*(日次管理!#REF!="実績"),日次管理!#REF!)</f>
        <v>#REF!</v>
      </c>
      <c r="BD9" s="95" t="e">
        <f>SUMPRODUCT((日次管理!#REF!&lt;=$BD$3)*(日次管理!#REF!=$A$9)*(日次管理!#REF!="実施完了")*(日次管理!#REF!="予定"),日次管理!#REF!)</f>
        <v>#REF!</v>
      </c>
      <c r="BE9" s="60" t="e">
        <f>SUMPRODUCT((日次管理!#REF!&lt;=$BE$3)*(日次管理!#REF!=$A$9)*(日次管理!#REF!="実施完了")*(日次管理!#REF!="実績"),日次管理!#REF!)</f>
        <v>#REF!</v>
      </c>
      <c r="BF9" s="95" t="e">
        <f>SUMPRODUCT((日次管理!#REF!&lt;=$BF$3)*(日次管理!#REF!=$A$9)*(日次管理!#REF!="実施完了")*(日次管理!#REF!="予定"),日次管理!#REF!)</f>
        <v>#REF!</v>
      </c>
      <c r="BG9" s="60" t="e">
        <f>SUMPRODUCT((日次管理!#REF!&lt;=$BG$3)*(日次管理!#REF!=$A$9)*(日次管理!#REF!="実施完了")*(日次管理!#REF!="実績"),日次管理!#REF!)</f>
        <v>#REF!</v>
      </c>
      <c r="BH9" s="95" t="e">
        <f>SUMPRODUCT((日次管理!#REF!&lt;=$BH$3)*(日次管理!#REF!=$A$9)*(日次管理!#REF!="実施完了")*(日次管理!#REF!="予定"),日次管理!#REF!)</f>
        <v>#REF!</v>
      </c>
      <c r="BI9" s="60" t="e">
        <f>SUMPRODUCT((日次管理!#REF!&lt;=$BI$3)*(日次管理!#REF!=$A$9)*(日次管理!#REF!="実施完了")*(日次管理!#REF!="実績"),日次管理!#REF!)</f>
        <v>#REF!</v>
      </c>
      <c r="BJ9" s="95" t="e">
        <f>SUMPRODUCT((日次管理!#REF!&lt;=$BJ$3)*(日次管理!#REF!=$A$9)*(日次管理!#REF!="実施完了")*(日次管理!#REF!="予定"),日次管理!#REF!)</f>
        <v>#REF!</v>
      </c>
      <c r="BK9" s="60" t="e">
        <f>SUMPRODUCT((日次管理!#REF!&lt;=$BK$3)*(日次管理!#REF!=$A$9)*(日次管理!#REF!="実施完了")*(日次管理!#REF!="実績"),日次管理!#REF!)</f>
        <v>#REF!</v>
      </c>
      <c r="BL9" s="95" t="e">
        <f>SUMPRODUCT((日次管理!#REF!&lt;=$BL$3)*(日次管理!#REF!=$A$9)*(日次管理!#REF!="実施完了")*(日次管理!#REF!="予定"),日次管理!#REF!)</f>
        <v>#REF!</v>
      </c>
      <c r="BM9" s="60" t="e">
        <f>SUMPRODUCT((日次管理!#REF!&lt;=$BM$3)*(日次管理!#REF!=$A$9)*(日次管理!#REF!="実施完了")*(日次管理!#REF!="実績"),日次管理!#REF!)</f>
        <v>#REF!</v>
      </c>
      <c r="BN9" s="95" t="e">
        <f>SUMPRODUCT((日次管理!#REF!&lt;=$BN$3)*(日次管理!#REF!=$A$9)*(日次管理!#REF!="実施完了")*(日次管理!#REF!="予定"),日次管理!#REF!)</f>
        <v>#REF!</v>
      </c>
      <c r="BO9" s="60" t="e">
        <f>SUMPRODUCT((日次管理!#REF!&lt;=$BO$3)*(日次管理!#REF!=$A$9)*(日次管理!#REF!="実施完了")*(日次管理!#REF!="実績"),日次管理!#REF!)</f>
        <v>#REF!</v>
      </c>
      <c r="BP9" s="95" t="e">
        <f>SUMPRODUCT((日次管理!#REF!&lt;=$BP$3)*(日次管理!#REF!=$A$9)*(日次管理!#REF!="実施完了")*(日次管理!#REF!="予定"),日次管理!#REF!)</f>
        <v>#REF!</v>
      </c>
      <c r="BQ9" s="60" t="e">
        <f>SUMPRODUCT((日次管理!#REF!&lt;=$BQ$3)*(日次管理!#REF!=$A$9)*(日次管理!#REF!="実施完了")*(日次管理!#REF!="実績"),日次管理!#REF!)</f>
        <v>#REF!</v>
      </c>
      <c r="BR9" s="95" t="e">
        <f>SUMPRODUCT((日次管理!#REF!&lt;=$BR$3)*(日次管理!#REF!=$A$9)*(日次管理!#REF!="実施完了")*(日次管理!#REF!="予定"),日次管理!#REF!)</f>
        <v>#REF!</v>
      </c>
      <c r="BS9" s="60" t="e">
        <f>SUMPRODUCT((日次管理!#REF!&lt;=$BS$3)*(日次管理!#REF!=$A$9)*(日次管理!#REF!="実施完了")*(日次管理!#REF!="実績"),日次管理!#REF!)</f>
        <v>#REF!</v>
      </c>
      <c r="BT9" s="95" t="e">
        <f>SUMPRODUCT((日次管理!#REF!&lt;=$BT$3)*(日次管理!#REF!=$A$9)*(日次管理!#REF!="実施完了")*(日次管理!#REF!="予定"),日次管理!#REF!)</f>
        <v>#REF!</v>
      </c>
      <c r="BU9" s="60" t="e">
        <f>SUMPRODUCT((日次管理!#REF!&lt;=$BU$3)*(日次管理!#REF!=$A$9)*(日次管理!#REF!="実施完了")*(日次管理!#REF!="実績"),日次管理!#REF!)</f>
        <v>#REF!</v>
      </c>
      <c r="BV9" s="95" t="e">
        <f>SUMPRODUCT((日次管理!#REF!&lt;=$BV$3)*(日次管理!#REF!=$A$9)*(日次管理!#REF!="実施完了")*(日次管理!#REF!="予定"),日次管理!#REF!)</f>
        <v>#REF!</v>
      </c>
      <c r="BW9" s="60" t="e">
        <f>SUMPRODUCT((日次管理!#REF!&lt;=$BW$3)*(日次管理!#REF!=$A$9)*(日次管理!#REF!="実施完了")*(日次管理!#REF!="実績"),日次管理!#REF!)</f>
        <v>#REF!</v>
      </c>
      <c r="BX9" s="95" t="e">
        <f>SUMPRODUCT((日次管理!#REF!&lt;=$BX$3)*(日次管理!#REF!=$A$9)*(日次管理!#REF!="実施完了")*(日次管理!#REF!="予定"),日次管理!#REF!)</f>
        <v>#REF!</v>
      </c>
      <c r="BY9" s="60" t="e">
        <f>SUMPRODUCT((日次管理!#REF!&lt;=$BY$3)*(日次管理!#REF!=$A$9)*(日次管理!#REF!="実施完了")*(日次管理!#REF!="実績"),日次管理!#REF!)</f>
        <v>#REF!</v>
      </c>
      <c r="BZ9" s="95" t="e">
        <f>SUMPRODUCT((日次管理!#REF!&lt;=$BZ$3)*(日次管理!#REF!=$A$9)*(日次管理!#REF!="実施完了")*(日次管理!#REF!="予定"),日次管理!#REF!)</f>
        <v>#REF!</v>
      </c>
      <c r="CA9" s="60" t="e">
        <f>SUMPRODUCT((日次管理!#REF!&lt;=$CA$3)*(日次管理!#REF!=$A$9)*(日次管理!#REF!="実施完了")*(日次管理!#REF!="実績"),日次管理!#REF!)</f>
        <v>#REF!</v>
      </c>
      <c r="CB9" s="95" t="e">
        <f>SUMPRODUCT((日次管理!#REF!&lt;=$CB$3)*(日次管理!#REF!=$A$9)*(日次管理!#REF!="実施完了")*(日次管理!#REF!="予定"),日次管理!#REF!)</f>
        <v>#REF!</v>
      </c>
      <c r="CC9" s="60" t="e">
        <f>SUMPRODUCT((日次管理!#REF!&lt;=$CC$3)*(日次管理!#REF!=$A$9)*(日次管理!#REF!="実施完了")*(日次管理!#REF!="実績"),日次管理!#REF!)</f>
        <v>#REF!</v>
      </c>
      <c r="CD9" s="95" t="e">
        <f>SUMPRODUCT((日次管理!#REF!&lt;=$CD$3)*(日次管理!#REF!=$A$9)*(日次管理!#REF!="実施完了")*(日次管理!#REF!="予定"),日次管理!#REF!)</f>
        <v>#REF!</v>
      </c>
      <c r="CE9" s="60" t="e">
        <f>SUMPRODUCT((日次管理!#REF!&lt;=$CE$3)*(日次管理!#REF!=$A$9)*(日次管理!#REF!="実施完了")*(日次管理!#REF!="実績"),日次管理!#REF!)</f>
        <v>#REF!</v>
      </c>
      <c r="CF9" s="95" t="e">
        <f>SUMPRODUCT((日次管理!#REF!&lt;=$CF$3)*(日次管理!#REF!=$A$9)*(日次管理!#REF!="実施完了")*(日次管理!#REF!="予定"),日次管理!#REF!)</f>
        <v>#REF!</v>
      </c>
      <c r="CG9" s="60" t="e">
        <f>SUMPRODUCT((日次管理!#REF!&lt;=$CG$3)*(日次管理!#REF!=$A$9)*(日次管理!#REF!="実施完了")*(日次管理!#REF!="実績"),日次管理!#REF!)</f>
        <v>#REF!</v>
      </c>
      <c r="CH9" s="95" t="e">
        <f>SUMPRODUCT((日次管理!#REF!&lt;=$CH$3)*(日次管理!#REF!=$A$9)*(日次管理!#REF!="実施完了")*(日次管理!#REF!="予定"),日次管理!#REF!)</f>
        <v>#REF!</v>
      </c>
      <c r="CI9" s="60" t="e">
        <f>SUMPRODUCT((日次管理!#REF!&lt;=$CI$3)*(日次管理!#REF!=$A$9)*(日次管理!#REF!="実施完了")*(日次管理!#REF!="実績"),日次管理!#REF!)</f>
        <v>#REF!</v>
      </c>
      <c r="CJ9" s="95" t="e">
        <f>SUMPRODUCT((日次管理!#REF!&lt;=$CJ$3)*(日次管理!#REF!=$A$9)*(日次管理!#REF!="実施完了")*(日次管理!#REF!="予定"),日次管理!#REF!)</f>
        <v>#REF!</v>
      </c>
      <c r="CK9" s="60" t="e">
        <f>SUMPRODUCT((日次管理!#REF!&lt;=$CK$3)*(日次管理!#REF!=$A$9)*(日次管理!#REF!="実施完了")*(日次管理!#REF!="実績"),日次管理!#REF!)</f>
        <v>#REF!</v>
      </c>
      <c r="CL9" s="95" t="e">
        <f>SUMPRODUCT((日次管理!#REF!&lt;=$CL$3)*(日次管理!#REF!=$A$9)*(日次管理!#REF!="実施完了")*(日次管理!#REF!="予定"),日次管理!#REF!)</f>
        <v>#REF!</v>
      </c>
      <c r="CM9" s="60" t="e">
        <f>SUMPRODUCT((日次管理!#REF!&lt;=$CM$3)*(日次管理!#REF!=$A$9)*(日次管理!#REF!="実施完了")*(日次管理!#REF!="実績"),日次管理!#REF!)</f>
        <v>#REF!</v>
      </c>
      <c r="CN9" s="95" t="e">
        <f>SUMPRODUCT((日次管理!#REF!&lt;=$CN$3)*(日次管理!#REF!=$A$9)*(日次管理!#REF!="実施完了")*(日次管理!#REF!="予定"),日次管理!#REF!)</f>
        <v>#REF!</v>
      </c>
      <c r="CO9" s="60" t="e">
        <f>SUMPRODUCT((日次管理!#REF!&lt;=$CO$3)*(日次管理!#REF!=$A$9)*(日次管理!#REF!="実施完了")*(日次管理!#REF!="実績"),日次管理!#REF!)</f>
        <v>#REF!</v>
      </c>
      <c r="CP9" s="95" t="e">
        <f>SUMPRODUCT((日次管理!#REF!&lt;=$CP$3)*(日次管理!#REF!=$A$9)*(日次管理!#REF!="実施完了")*(日次管理!#REF!="予定"),日次管理!#REF!)</f>
        <v>#REF!</v>
      </c>
      <c r="CQ9" s="60" t="e">
        <f>SUMPRODUCT((日次管理!#REF!&lt;=$CQ$3)*(日次管理!#REF!=$A$9)*(日次管理!#REF!="実施完了")*(日次管理!#REF!="実績"),日次管理!#REF!)</f>
        <v>#REF!</v>
      </c>
      <c r="CR9" s="95" t="e">
        <f>SUMPRODUCT((日次管理!#REF!&lt;=$CR$3)*(日次管理!#REF!=$A$9)*(日次管理!#REF!="実施完了")*(日次管理!#REF!="予定"),日次管理!#REF!)</f>
        <v>#REF!</v>
      </c>
      <c r="CS9" s="60" t="e">
        <f>SUMPRODUCT((日次管理!#REF!&lt;=$CS$3)*(日次管理!#REF!=$A$9)*(日次管理!#REF!="実施完了")*(日次管理!#REF!="実績"),日次管理!#REF!)</f>
        <v>#REF!</v>
      </c>
      <c r="CT9" s="95" t="e">
        <f>SUMPRODUCT((日次管理!#REF!&lt;=$CT$3)*(日次管理!#REF!=$A$9)*(日次管理!#REF!="実施完了")*(日次管理!#REF!="予定"),日次管理!#REF!)</f>
        <v>#REF!</v>
      </c>
      <c r="CU9" s="60" t="e">
        <f>SUMPRODUCT((日次管理!#REF!&lt;=$CU$3)*(日次管理!#REF!=$A$9)*(日次管理!#REF!="実施完了")*(日次管理!#REF!="実績"),日次管理!#REF!)</f>
        <v>#REF!</v>
      </c>
      <c r="CV9" s="96" t="e">
        <f ca="1">SUMPRODUCT(($A$3- WEEKDAY($A$3) + 6 =$B$3:$CU$3)*("実績"=$B$4:$CU$4),$B$9:$CU$9)/SUMPRODUCT(($A$3- WEEKDAY($A$3) + 6 =$B$3:$CU$3)*("予定"=$B$4:$CU$4),$B$9:$CU$9)</f>
        <v>#REF!</v>
      </c>
      <c r="CW9" s="97" t="e">
        <f>$CU$9/$CT$9</f>
        <v>#REF!</v>
      </c>
    </row>
    <row r="10" spans="1:101" ht="20.149999999999999" customHeight="1">
      <c r="A10" s="90" t="s">
        <v>79</v>
      </c>
      <c r="B10" s="91" t="e">
        <f>SUMPRODUCT((日次管理!#REF!&lt;=$B$3)*(日次管理!#REF!=$A$10)*(日次管理!#REF!="実施完了")*(日次管理!#REF!="予定"),日次管理!#REF!)</f>
        <v>#REF!</v>
      </c>
      <c r="C10" s="59" t="e">
        <f>SUMPRODUCT((日次管理!#REF!&lt;=$C$3)*(日次管理!#REF!=$A$10)*(日次管理!#REF!="実施完了")*(日次管理!#REF!="実績"),日次管理!#REF!)</f>
        <v>#REF!</v>
      </c>
      <c r="D10" s="91" t="e">
        <f>SUMPRODUCT((日次管理!#REF!&lt;=$D$3)*(日次管理!#REF!=$A$10)*(日次管理!#REF!="実施完了")*(日次管理!#REF!="予定"),日次管理!#REF!)</f>
        <v>#REF!</v>
      </c>
      <c r="E10" s="59" t="e">
        <f>SUMPRODUCT((日次管理!#REF!&lt;=$E$3)*(日次管理!#REF!=$A$10)*(日次管理!#REF!="実施完了")*(日次管理!#REF!="実績"),日次管理!#REF!)</f>
        <v>#REF!</v>
      </c>
      <c r="F10" s="91" t="e">
        <f>SUMPRODUCT((日次管理!#REF!&lt;=$F$3)*(日次管理!#REF!=$A$10)*(日次管理!#REF!="実施完了")*(日次管理!#REF!="予定"),日次管理!#REF!)</f>
        <v>#REF!</v>
      </c>
      <c r="G10" s="59" t="e">
        <f>SUMPRODUCT((日次管理!#REF!&lt;=$G$3)*(日次管理!#REF!=$A$10)*(日次管理!#REF!="実施完了")*(日次管理!#REF!="実績"),日次管理!#REF!)</f>
        <v>#REF!</v>
      </c>
      <c r="H10" s="91" t="e">
        <f>SUMPRODUCT((日次管理!#REF!&lt;=$H$3)*(日次管理!#REF!=$A$10)*(日次管理!#REF!="実施完了")*(日次管理!#REF!="予定"),日次管理!#REF!)</f>
        <v>#REF!</v>
      </c>
      <c r="I10" s="59" t="e">
        <f>SUMPRODUCT((日次管理!#REF!&lt;=$I$3)*(日次管理!#REF!=$A$10)*(日次管理!#REF!="実施完了")*(日次管理!#REF!="実績"),日次管理!#REF!)</f>
        <v>#REF!</v>
      </c>
      <c r="J10" s="91" t="e">
        <f>SUMPRODUCT((日次管理!#REF!&lt;=$J$3)*(日次管理!#REF!=$A$10)*(日次管理!#REF!="実施完了")*(日次管理!#REF!="予定"),日次管理!#REF!)</f>
        <v>#REF!</v>
      </c>
      <c r="K10" s="59" t="e">
        <f>SUMPRODUCT((日次管理!#REF!&lt;=$K$3)*(日次管理!#REF!=$A$10)*(日次管理!#REF!="実施完了")*(日次管理!#REF!="実績"),日次管理!#REF!)</f>
        <v>#REF!</v>
      </c>
      <c r="L10" s="91" t="e">
        <f>SUMPRODUCT((日次管理!#REF!&lt;=$L$3)*(日次管理!#REF!=$A$10)*(日次管理!#REF!="実施完了")*(日次管理!#REF!="予定"),日次管理!#REF!)</f>
        <v>#REF!</v>
      </c>
      <c r="M10" s="59" t="e">
        <f>SUMPRODUCT((日次管理!#REF!&lt;=$M$3)*(日次管理!#REF!=$A$10)*(日次管理!#REF!="実施完了")*(日次管理!#REF!="実績"),日次管理!#REF!)</f>
        <v>#REF!</v>
      </c>
      <c r="N10" s="91" t="e">
        <f>SUMPRODUCT((日次管理!#REF!&lt;=$N$3)*(日次管理!#REF!=$A$10)*(日次管理!#REF!="実施完了")*(日次管理!#REF!="予定"),日次管理!#REF!)</f>
        <v>#REF!</v>
      </c>
      <c r="O10" s="59" t="e">
        <f>SUMPRODUCT((日次管理!#REF!&lt;=$O$3)*(日次管理!#REF!=$A$10)*(日次管理!#REF!="実施完了")*(日次管理!#REF!="実績"),日次管理!#REF!)</f>
        <v>#REF!</v>
      </c>
      <c r="P10" s="91" t="e">
        <f>SUMPRODUCT((日次管理!#REF!&lt;=$P$3)*(日次管理!#REF!=$A$10)*(日次管理!#REF!="実施完了")*(日次管理!#REF!="予定"),日次管理!#REF!)</f>
        <v>#REF!</v>
      </c>
      <c r="Q10" s="59" t="e">
        <f>SUMPRODUCT((日次管理!#REF!&lt;=$Q$3)*(日次管理!#REF!=$A$10)*(日次管理!#REF!="実施完了")*(日次管理!#REF!="実績"),日次管理!#REF!)</f>
        <v>#REF!</v>
      </c>
      <c r="R10" s="91" t="e">
        <f>SUMPRODUCT((日次管理!#REF!&lt;=$R$3)*(日次管理!#REF!=$A$10)*(日次管理!#REF!="実施完了")*(日次管理!#REF!="予定"),日次管理!#REF!)</f>
        <v>#REF!</v>
      </c>
      <c r="S10" s="59" t="e">
        <f>SUMPRODUCT((日次管理!#REF!&lt;=$S$3)*(日次管理!#REF!=$A$10)*(日次管理!#REF!="実施完了")*(日次管理!#REF!="実績"),日次管理!#REF!)</f>
        <v>#REF!</v>
      </c>
      <c r="T10" s="91" t="e">
        <f>SUMPRODUCT((日次管理!#REF!&lt;=$T$3)*(日次管理!#REF!=$A$10)*(日次管理!#REF!="実施完了")*(日次管理!#REF!="予定"),日次管理!#REF!)</f>
        <v>#REF!</v>
      </c>
      <c r="U10" s="59" t="e">
        <f>SUMPRODUCT((日次管理!#REF!&lt;=$U$3)*(日次管理!#REF!=$A$10)*(日次管理!#REF!="実施完了")*(日次管理!#REF!="実績"),日次管理!#REF!)</f>
        <v>#REF!</v>
      </c>
      <c r="V10" s="91" t="e">
        <f>SUMPRODUCT((日次管理!#REF!&lt;=$V$3)*(日次管理!#REF!=$A$10)*(日次管理!#REF!="実施完了")*(日次管理!#REF!="予定"),日次管理!#REF!)</f>
        <v>#REF!</v>
      </c>
      <c r="W10" s="59" t="e">
        <f>SUMPRODUCT((日次管理!#REF!&lt;=$W$3)*(日次管理!#REF!=$A$10)*(日次管理!#REF!="実施完了")*(日次管理!#REF!="実績"),日次管理!#REF!)</f>
        <v>#REF!</v>
      </c>
      <c r="X10" s="91" t="e">
        <f>SUMPRODUCT((日次管理!#REF!&lt;=$X$3)*(日次管理!#REF!=$A$10)*(日次管理!#REF!="実施完了")*(日次管理!#REF!="予定"),日次管理!#REF!)</f>
        <v>#REF!</v>
      </c>
      <c r="Y10" s="59" t="e">
        <f>SUMPRODUCT((日次管理!#REF!&lt;=$Y$3)*(日次管理!#REF!=$A$10)*(日次管理!#REF!="実施完了")*(日次管理!#REF!="実績"),日次管理!#REF!)</f>
        <v>#REF!</v>
      </c>
      <c r="Z10" s="91" t="e">
        <f>SUMPRODUCT((日次管理!#REF!&lt;=$Z$3)*(日次管理!#REF!=$A$10)*(日次管理!#REF!="実施完了")*(日次管理!#REF!="予定"),日次管理!#REF!)</f>
        <v>#REF!</v>
      </c>
      <c r="AA10" s="59" t="e">
        <f>SUMPRODUCT((日次管理!#REF!&lt;=$AA$3)*(日次管理!#REF!=$A$10)*(日次管理!#REF!="実施完了")*(日次管理!#REF!="実績"),日次管理!#REF!)</f>
        <v>#REF!</v>
      </c>
      <c r="AB10" s="91" t="e">
        <f>SUMPRODUCT((日次管理!#REF!&lt;=$AB$3)*(日次管理!#REF!=$A$10)*(日次管理!#REF!="実施完了")*(日次管理!#REF!="予定"),日次管理!#REF!)</f>
        <v>#REF!</v>
      </c>
      <c r="AC10" s="59" t="e">
        <f>SUMPRODUCT((日次管理!#REF!&lt;=$AC$3)*(日次管理!#REF!=$A$10)*(日次管理!#REF!="実施完了")*(日次管理!#REF!="実績"),日次管理!#REF!)</f>
        <v>#REF!</v>
      </c>
      <c r="AD10" s="91" t="e">
        <f>SUMPRODUCT((日次管理!#REF!&lt;=$AD$3)*(日次管理!#REF!=$A$10)*(日次管理!#REF!="実施完了")*(日次管理!#REF!="予定"),日次管理!#REF!)</f>
        <v>#REF!</v>
      </c>
      <c r="AE10" s="59" t="e">
        <f>SUMPRODUCT((日次管理!#REF!&lt;=$AE$3)*(日次管理!#REF!=$A$10)*(日次管理!#REF!="実施完了")*(日次管理!#REF!="実績"),日次管理!#REF!)</f>
        <v>#REF!</v>
      </c>
      <c r="AF10" s="91" t="e">
        <f>SUMPRODUCT((日次管理!#REF!&lt;=$AF$3)*(日次管理!#REF!=$A$10)*(日次管理!#REF!="実施完了")*(日次管理!#REF!="予定"),日次管理!#REF!)</f>
        <v>#REF!</v>
      </c>
      <c r="AG10" s="59" t="e">
        <f>SUMPRODUCT((日次管理!#REF!&lt;=$AG$3)*(日次管理!#REF!=$A$10)*(日次管理!#REF!="実施完了")*(日次管理!#REF!="実績"),日次管理!#REF!)</f>
        <v>#REF!</v>
      </c>
      <c r="AH10" s="91" t="e">
        <f>SUMPRODUCT((日次管理!#REF!&lt;=$AH$3)*(日次管理!#REF!=$A$10)*(日次管理!#REF!="実施完了")*(日次管理!#REF!="予定"),日次管理!#REF!)</f>
        <v>#REF!</v>
      </c>
      <c r="AI10" s="59" t="e">
        <f>SUMPRODUCT((日次管理!#REF!&lt;=$AI$3)*(日次管理!#REF!=$A$10)*(日次管理!#REF!="実施完了")*(日次管理!#REF!="実績"),日次管理!#REF!)</f>
        <v>#REF!</v>
      </c>
      <c r="AJ10" s="91" t="e">
        <f>SUMPRODUCT((日次管理!#REF!&lt;=$AJ$3)*(日次管理!#REF!=$A$10)*(日次管理!#REF!="実施完了")*(日次管理!#REF!="予定"),日次管理!#REF!)</f>
        <v>#REF!</v>
      </c>
      <c r="AK10" s="59" t="e">
        <f>SUMPRODUCT((日次管理!#REF!&lt;=$AK$3)*(日次管理!#REF!=$A$10)*(日次管理!#REF!="実施完了")*(日次管理!#REF!="実績"),日次管理!#REF!)</f>
        <v>#REF!</v>
      </c>
      <c r="AL10" s="91" t="e">
        <f>SUMPRODUCT((日次管理!#REF!&lt;=$AL$3)*(日次管理!#REF!=$A$10)*(日次管理!#REF!="実施完了")*(日次管理!#REF!="予定"),日次管理!#REF!)</f>
        <v>#REF!</v>
      </c>
      <c r="AM10" s="59" t="e">
        <f>SUMPRODUCT((日次管理!#REF!&lt;=$AM$3)*(日次管理!#REF!=$A$10)*(日次管理!#REF!="実施完了")*(日次管理!#REF!="実績"),日次管理!#REF!)</f>
        <v>#REF!</v>
      </c>
      <c r="AN10" s="91" t="e">
        <f>SUMPRODUCT((日次管理!#REF!&lt;=$AN$3)*(日次管理!#REF!=$A$10)*(日次管理!#REF!="実施完了")*(日次管理!#REF!="予定"),日次管理!#REF!)</f>
        <v>#REF!</v>
      </c>
      <c r="AO10" s="59" t="e">
        <f>SUMPRODUCT((日次管理!#REF!&lt;=$AO$3)*(日次管理!#REF!=$A$10)*(日次管理!#REF!="実施完了")*(日次管理!#REF!="実績"),日次管理!#REF!)</f>
        <v>#REF!</v>
      </c>
      <c r="AP10" s="91" t="e">
        <f>SUMPRODUCT((日次管理!#REF!&lt;=$AP$3)*(日次管理!#REF!=$A$10)*(日次管理!#REF!="実施完了")*(日次管理!#REF!="予定"),日次管理!#REF!)</f>
        <v>#REF!</v>
      </c>
      <c r="AQ10" s="59" t="e">
        <f>SUMPRODUCT((日次管理!#REF!&lt;=$AQ$3)*(日次管理!#REF!=$A$10)*(日次管理!#REF!="実施完了")*(日次管理!#REF!="実績"),日次管理!#REF!)</f>
        <v>#REF!</v>
      </c>
      <c r="AR10" s="91" t="e">
        <f>SUMPRODUCT((日次管理!#REF!&lt;=$AR$3)*(日次管理!#REF!=$A$10)*(日次管理!#REF!="実施完了")*(日次管理!#REF!="予定"),日次管理!#REF!)</f>
        <v>#REF!</v>
      </c>
      <c r="AS10" s="59" t="e">
        <f>SUMPRODUCT((日次管理!#REF!&lt;=$AS$3)*(日次管理!#REF!=$A$10)*(日次管理!#REF!="実施完了")*(日次管理!#REF!="実績"),日次管理!#REF!)</f>
        <v>#REF!</v>
      </c>
      <c r="AT10" s="91" t="e">
        <f>SUMPRODUCT((日次管理!#REF!&lt;=$AT$3)*(日次管理!#REF!=$A$10)*(日次管理!#REF!="実施完了")*(日次管理!#REF!="予定"),日次管理!#REF!)</f>
        <v>#REF!</v>
      </c>
      <c r="AU10" s="59" t="e">
        <f>SUMPRODUCT((日次管理!#REF!&lt;=$AU$3)*(日次管理!#REF!=$A$10)*(日次管理!#REF!="実施完了")*(日次管理!#REF!="実績"),日次管理!#REF!)</f>
        <v>#REF!</v>
      </c>
      <c r="AV10" s="91" t="e">
        <f>SUMPRODUCT((日次管理!#REF!&lt;=$AV$3)*(日次管理!#REF!=$A$10)*(日次管理!#REF!="実施完了")*(日次管理!#REF!="予定"),日次管理!#REF!)</f>
        <v>#REF!</v>
      </c>
      <c r="AW10" s="59" t="e">
        <f>SUMPRODUCT((日次管理!#REF!&lt;=$AW$3)*(日次管理!#REF!=$A$10)*(日次管理!#REF!="実施完了")*(日次管理!#REF!="実績"),日次管理!#REF!)</f>
        <v>#REF!</v>
      </c>
      <c r="AX10" s="91" t="e">
        <f>SUMPRODUCT((日次管理!#REF!&lt;=$AX$3)*(日次管理!#REF!=$A$10)*(日次管理!#REF!="実施完了")*(日次管理!#REF!="予定"),日次管理!#REF!)</f>
        <v>#REF!</v>
      </c>
      <c r="AY10" s="59" t="e">
        <f>SUMPRODUCT((日次管理!#REF!&lt;=$AY$3)*(日次管理!#REF!=$A$10)*(日次管理!#REF!="実施完了")*(日次管理!#REF!="実績"),日次管理!#REF!)</f>
        <v>#REF!</v>
      </c>
      <c r="AZ10" s="91" t="e">
        <f>SUMPRODUCT((日次管理!#REF!&lt;=$AZ$3)*(日次管理!#REF!=$A$10)*(日次管理!#REF!="実施完了")*(日次管理!#REF!="予定"),日次管理!#REF!)</f>
        <v>#REF!</v>
      </c>
      <c r="BA10" s="59" t="e">
        <f>SUMPRODUCT((日次管理!#REF!&lt;=$BA$3)*(日次管理!#REF!=$A$10)*(日次管理!#REF!="実施完了")*(日次管理!#REF!="実績"),日次管理!#REF!)</f>
        <v>#REF!</v>
      </c>
      <c r="BB10" s="91" t="e">
        <f>SUMPRODUCT((日次管理!#REF!&lt;=$BB$3)*(日次管理!#REF!=$A$10)*(日次管理!#REF!="実施完了")*(日次管理!#REF!="予定"),日次管理!#REF!)</f>
        <v>#REF!</v>
      </c>
      <c r="BC10" s="59" t="e">
        <f>SUMPRODUCT((日次管理!#REF!&lt;=$BC$3)*(日次管理!#REF!=$A$10)*(日次管理!#REF!="実施完了")*(日次管理!#REF!="実績"),日次管理!#REF!)</f>
        <v>#REF!</v>
      </c>
      <c r="BD10" s="91" t="e">
        <f>SUMPRODUCT((日次管理!#REF!&lt;=$BD$3)*(日次管理!#REF!=$A$10)*(日次管理!#REF!="実施完了")*(日次管理!#REF!="予定"),日次管理!#REF!)</f>
        <v>#REF!</v>
      </c>
      <c r="BE10" s="59" t="e">
        <f>SUMPRODUCT((日次管理!#REF!&lt;=$BE$3)*(日次管理!#REF!=$A$10)*(日次管理!#REF!="実施完了")*(日次管理!#REF!="実績"),日次管理!#REF!)</f>
        <v>#REF!</v>
      </c>
      <c r="BF10" s="91" t="e">
        <f>SUMPRODUCT((日次管理!#REF!&lt;=$BF$3)*(日次管理!#REF!=$A$10)*(日次管理!#REF!="実施完了")*(日次管理!#REF!="予定"),日次管理!#REF!)</f>
        <v>#REF!</v>
      </c>
      <c r="BG10" s="59" t="e">
        <f>SUMPRODUCT((日次管理!#REF!&lt;=$BG$3)*(日次管理!#REF!=$A$10)*(日次管理!#REF!="実施完了")*(日次管理!#REF!="実績"),日次管理!#REF!)</f>
        <v>#REF!</v>
      </c>
      <c r="BH10" s="91" t="e">
        <f>SUMPRODUCT((日次管理!#REF!&lt;=$BH$3)*(日次管理!#REF!=$A$10)*(日次管理!#REF!="実施完了")*(日次管理!#REF!="予定"),日次管理!#REF!)</f>
        <v>#REF!</v>
      </c>
      <c r="BI10" s="59" t="e">
        <f>SUMPRODUCT((日次管理!#REF!&lt;=$BI$3)*(日次管理!#REF!=$A$10)*(日次管理!#REF!="実施完了")*(日次管理!#REF!="実績"),日次管理!#REF!)</f>
        <v>#REF!</v>
      </c>
      <c r="BJ10" s="91" t="e">
        <f>SUMPRODUCT((日次管理!#REF!&lt;=$BJ$3)*(日次管理!#REF!=$A$10)*(日次管理!#REF!="実施完了")*(日次管理!#REF!="予定"),日次管理!#REF!)</f>
        <v>#REF!</v>
      </c>
      <c r="BK10" s="59" t="e">
        <f>SUMPRODUCT((日次管理!#REF!&lt;=$BK$3)*(日次管理!#REF!=$A$10)*(日次管理!#REF!="実施完了")*(日次管理!#REF!="実績"),日次管理!#REF!)</f>
        <v>#REF!</v>
      </c>
      <c r="BL10" s="91" t="e">
        <f>SUMPRODUCT((日次管理!#REF!&lt;=$BL$3)*(日次管理!#REF!=$A$10)*(日次管理!#REF!="実施完了")*(日次管理!#REF!="予定"),日次管理!#REF!)</f>
        <v>#REF!</v>
      </c>
      <c r="BM10" s="59" t="e">
        <f>SUMPRODUCT((日次管理!#REF!&lt;=$BM$3)*(日次管理!#REF!=$A$10)*(日次管理!#REF!="実施完了")*(日次管理!#REF!="実績"),日次管理!#REF!)</f>
        <v>#REF!</v>
      </c>
      <c r="BN10" s="91" t="e">
        <f>SUMPRODUCT((日次管理!#REF!&lt;=$BN$3)*(日次管理!#REF!=$A$10)*(日次管理!#REF!="実施完了")*(日次管理!#REF!="予定"),日次管理!#REF!)</f>
        <v>#REF!</v>
      </c>
      <c r="BO10" s="59" t="e">
        <f>SUMPRODUCT((日次管理!#REF!&lt;=$BO$3)*(日次管理!#REF!=$A$10)*(日次管理!#REF!="実施完了")*(日次管理!#REF!="実績"),日次管理!#REF!)</f>
        <v>#REF!</v>
      </c>
      <c r="BP10" s="91" t="e">
        <f>SUMPRODUCT((日次管理!#REF!&lt;=$BP$3)*(日次管理!#REF!=$A$10)*(日次管理!#REF!="実施完了")*(日次管理!#REF!="予定"),日次管理!#REF!)</f>
        <v>#REF!</v>
      </c>
      <c r="BQ10" s="59" t="e">
        <f>SUMPRODUCT((日次管理!#REF!&lt;=$BQ$3)*(日次管理!#REF!=$A$10)*(日次管理!#REF!="実施完了")*(日次管理!#REF!="実績"),日次管理!#REF!)</f>
        <v>#REF!</v>
      </c>
      <c r="BR10" s="91" t="e">
        <f>SUMPRODUCT((日次管理!#REF!&lt;=$BR$3)*(日次管理!#REF!=$A$10)*(日次管理!#REF!="実施完了")*(日次管理!#REF!="予定"),日次管理!#REF!)</f>
        <v>#REF!</v>
      </c>
      <c r="BS10" s="59" t="e">
        <f>SUMPRODUCT((日次管理!#REF!&lt;=$BS$3)*(日次管理!#REF!=$A$10)*(日次管理!#REF!="実施完了")*(日次管理!#REF!="実績"),日次管理!#REF!)</f>
        <v>#REF!</v>
      </c>
      <c r="BT10" s="91" t="e">
        <f>SUMPRODUCT((日次管理!#REF!&lt;=$BT$3)*(日次管理!#REF!=$A$10)*(日次管理!#REF!="実施完了")*(日次管理!#REF!="予定"),日次管理!#REF!)</f>
        <v>#REF!</v>
      </c>
      <c r="BU10" s="59" t="e">
        <f>SUMPRODUCT((日次管理!#REF!&lt;=$BU$3)*(日次管理!#REF!=$A$10)*(日次管理!#REF!="実施完了")*(日次管理!#REF!="実績"),日次管理!#REF!)</f>
        <v>#REF!</v>
      </c>
      <c r="BV10" s="91" t="e">
        <f>SUMPRODUCT((日次管理!#REF!&lt;=$BV$3)*(日次管理!#REF!=$A$10)*(日次管理!#REF!="実施完了")*(日次管理!#REF!="予定"),日次管理!#REF!)</f>
        <v>#REF!</v>
      </c>
      <c r="BW10" s="59" t="e">
        <f>SUMPRODUCT((日次管理!#REF!&lt;=$BW$3)*(日次管理!#REF!=$A$10)*(日次管理!#REF!="実施完了")*(日次管理!#REF!="実績"),日次管理!#REF!)</f>
        <v>#REF!</v>
      </c>
      <c r="BX10" s="91" t="e">
        <f>SUMPRODUCT((日次管理!#REF!&lt;=$BX$3)*(日次管理!#REF!=$A$10)*(日次管理!#REF!="実施完了")*(日次管理!#REF!="予定"),日次管理!#REF!)</f>
        <v>#REF!</v>
      </c>
      <c r="BY10" s="59" t="e">
        <f>SUMPRODUCT((日次管理!#REF!&lt;=$BY$3)*(日次管理!#REF!=$A$10)*(日次管理!#REF!="実施完了")*(日次管理!#REF!="実績"),日次管理!#REF!)</f>
        <v>#REF!</v>
      </c>
      <c r="BZ10" s="91" t="e">
        <f>SUMPRODUCT((日次管理!#REF!&lt;=$BZ$3)*(日次管理!#REF!=$A$10)*(日次管理!#REF!="実施完了")*(日次管理!#REF!="予定"),日次管理!#REF!)</f>
        <v>#REF!</v>
      </c>
      <c r="CA10" s="59" t="e">
        <f>SUMPRODUCT((日次管理!#REF!&lt;=$CA$3)*(日次管理!#REF!=$A$10)*(日次管理!#REF!="実施完了")*(日次管理!#REF!="実績"),日次管理!#REF!)</f>
        <v>#REF!</v>
      </c>
      <c r="CB10" s="91" t="e">
        <f>SUMPRODUCT((日次管理!#REF!&lt;=$CB$3)*(日次管理!#REF!=$A$10)*(日次管理!#REF!="実施完了")*(日次管理!#REF!="予定"),日次管理!#REF!)</f>
        <v>#REF!</v>
      </c>
      <c r="CC10" s="59" t="e">
        <f>SUMPRODUCT((日次管理!#REF!&lt;=$CC$3)*(日次管理!#REF!=$A$10)*(日次管理!#REF!="実施完了")*(日次管理!#REF!="実績"),日次管理!#REF!)</f>
        <v>#REF!</v>
      </c>
      <c r="CD10" s="91" t="e">
        <f>SUMPRODUCT((日次管理!#REF!&lt;=$CD$3)*(日次管理!#REF!=$A$10)*(日次管理!#REF!="実施完了")*(日次管理!#REF!="予定"),日次管理!#REF!)</f>
        <v>#REF!</v>
      </c>
      <c r="CE10" s="59" t="e">
        <f>SUMPRODUCT((日次管理!#REF!&lt;=$CE$3)*(日次管理!#REF!=$A$10)*(日次管理!#REF!="実施完了")*(日次管理!#REF!="実績"),日次管理!#REF!)</f>
        <v>#REF!</v>
      </c>
      <c r="CF10" s="91" t="e">
        <f>SUMPRODUCT((日次管理!#REF!&lt;=$CF$3)*(日次管理!#REF!=$A$10)*(日次管理!#REF!="実施完了")*(日次管理!#REF!="予定"),日次管理!#REF!)</f>
        <v>#REF!</v>
      </c>
      <c r="CG10" s="59" t="e">
        <f>SUMPRODUCT((日次管理!#REF!&lt;=$CG$3)*(日次管理!#REF!=$A$10)*(日次管理!#REF!="実施完了")*(日次管理!#REF!="実績"),日次管理!#REF!)</f>
        <v>#REF!</v>
      </c>
      <c r="CH10" s="91" t="e">
        <f>SUMPRODUCT((日次管理!#REF!&lt;=$CH$3)*(日次管理!#REF!=$A$10)*(日次管理!#REF!="実施完了")*(日次管理!#REF!="予定"),日次管理!#REF!)</f>
        <v>#REF!</v>
      </c>
      <c r="CI10" s="59" t="e">
        <f>SUMPRODUCT((日次管理!#REF!&lt;=$CI$3)*(日次管理!#REF!=$A$10)*(日次管理!#REF!="実施完了")*(日次管理!#REF!="実績"),日次管理!#REF!)</f>
        <v>#REF!</v>
      </c>
      <c r="CJ10" s="91" t="e">
        <f>SUMPRODUCT((日次管理!#REF!&lt;=$CJ$3)*(日次管理!#REF!=$A$10)*(日次管理!#REF!="実施完了")*(日次管理!#REF!="予定"),日次管理!#REF!)</f>
        <v>#REF!</v>
      </c>
      <c r="CK10" s="59" t="e">
        <f>SUMPRODUCT((日次管理!#REF!&lt;=$CK$3)*(日次管理!#REF!=$A$10)*(日次管理!#REF!="実施完了")*(日次管理!#REF!="実績"),日次管理!#REF!)</f>
        <v>#REF!</v>
      </c>
      <c r="CL10" s="91" t="e">
        <f>SUMPRODUCT((日次管理!#REF!&lt;=$CL$3)*(日次管理!#REF!=$A$10)*(日次管理!#REF!="実施完了")*(日次管理!#REF!="予定"),日次管理!#REF!)</f>
        <v>#REF!</v>
      </c>
      <c r="CM10" s="59" t="e">
        <f>SUMPRODUCT((日次管理!#REF!&lt;=$CM$3)*(日次管理!#REF!=$A$10)*(日次管理!#REF!="実施完了")*(日次管理!#REF!="実績"),日次管理!#REF!)</f>
        <v>#REF!</v>
      </c>
      <c r="CN10" s="91" t="e">
        <f>SUMPRODUCT((日次管理!#REF!&lt;=$CN$3)*(日次管理!#REF!=$A$10)*(日次管理!#REF!="実施完了")*(日次管理!#REF!="予定"),日次管理!#REF!)</f>
        <v>#REF!</v>
      </c>
      <c r="CO10" s="59" t="e">
        <f>SUMPRODUCT((日次管理!#REF!&lt;=$CO$3)*(日次管理!#REF!=$A$10)*(日次管理!#REF!="実施完了")*(日次管理!#REF!="実績"),日次管理!#REF!)</f>
        <v>#REF!</v>
      </c>
      <c r="CP10" s="91" t="e">
        <f>SUMPRODUCT((日次管理!#REF!&lt;=$CP$3)*(日次管理!#REF!=$A$10)*(日次管理!#REF!="実施完了")*(日次管理!#REF!="予定"),日次管理!#REF!)</f>
        <v>#REF!</v>
      </c>
      <c r="CQ10" s="59" t="e">
        <f>SUMPRODUCT((日次管理!#REF!&lt;=$CQ$3)*(日次管理!#REF!=$A$10)*(日次管理!#REF!="実施完了")*(日次管理!#REF!="実績"),日次管理!#REF!)</f>
        <v>#REF!</v>
      </c>
      <c r="CR10" s="91" t="e">
        <f>SUMPRODUCT((日次管理!#REF!&lt;=$CR$3)*(日次管理!#REF!=$A$10)*(日次管理!#REF!="実施完了")*(日次管理!#REF!="予定"),日次管理!#REF!)</f>
        <v>#REF!</v>
      </c>
      <c r="CS10" s="59" t="e">
        <f>SUMPRODUCT((日次管理!#REF!&lt;=$CS$3)*(日次管理!#REF!=$A$10)*(日次管理!#REF!="実施完了")*(日次管理!#REF!="実績"),日次管理!#REF!)</f>
        <v>#REF!</v>
      </c>
      <c r="CT10" s="91" t="e">
        <f>SUMPRODUCT((日次管理!#REF!&lt;=$CT$3)*(日次管理!#REF!=$A$10)*(日次管理!#REF!="実施完了")*(日次管理!#REF!="予定"),日次管理!#REF!)</f>
        <v>#REF!</v>
      </c>
      <c r="CU10" s="59" t="e">
        <f>SUMPRODUCT((日次管理!#REF!&lt;=$CU$3)*(日次管理!#REF!=$A$10)*(日次管理!#REF!="実施完了")*(日次管理!#REF!="実績"),日次管理!#REF!)</f>
        <v>#REF!</v>
      </c>
      <c r="CV10" s="92" t="e">
        <f ca="1">SUMPRODUCT(($A$3- WEEKDAY($A$3) + 6 =$B$3:$CU$3)*("実績"=$B$4:$CU$4),$B$10:$CU$10)/SUMPRODUCT(($A$3- WEEKDAY($A$3) + 6 =$B$3:$CU$3)*("予定"=$B$4:$CU$4),$B$10:$CU$10)</f>
        <v>#REF!</v>
      </c>
      <c r="CW10" s="93" t="e">
        <f>$CU$10/$CT$10</f>
        <v>#REF!</v>
      </c>
    </row>
    <row r="11" spans="1:101" ht="20.149999999999999" customHeight="1">
      <c r="A11" s="94" t="s">
        <v>72</v>
      </c>
      <c r="B11" s="95" t="e">
        <f>SUMPRODUCT((日次管理!#REF!&lt;=$B$3)*(日次管理!#REF!=$A$11)*(日次管理!#REF!="実施完了")*(日次管理!#REF!="予定"),日次管理!#REF!)</f>
        <v>#REF!</v>
      </c>
      <c r="C11" s="60" t="e">
        <f>SUMPRODUCT((日次管理!#REF!&lt;=$C$3)*(日次管理!#REF!=$A$11)*(日次管理!#REF!="実施完了")*(日次管理!#REF!="実績"),日次管理!#REF!)</f>
        <v>#REF!</v>
      </c>
      <c r="D11" s="95" t="e">
        <f>SUMPRODUCT((日次管理!#REF!&lt;=$D$3)*(日次管理!#REF!=$A$11)*(日次管理!#REF!="実施完了")*(日次管理!#REF!="予定"),日次管理!#REF!)</f>
        <v>#REF!</v>
      </c>
      <c r="E11" s="60" t="e">
        <f>SUMPRODUCT((日次管理!#REF!&lt;=$E$3)*(日次管理!#REF!=$A$11)*(日次管理!#REF!="実施完了")*(日次管理!#REF!="実績"),日次管理!#REF!)</f>
        <v>#REF!</v>
      </c>
      <c r="F11" s="95" t="e">
        <f>SUMPRODUCT((日次管理!#REF!&lt;=$F$3)*(日次管理!#REF!=$A$11)*(日次管理!#REF!="実施完了")*(日次管理!#REF!="予定"),日次管理!#REF!)</f>
        <v>#REF!</v>
      </c>
      <c r="G11" s="60" t="e">
        <f>SUMPRODUCT((日次管理!#REF!&lt;=$G$3)*(日次管理!#REF!=$A$11)*(日次管理!#REF!="実施完了")*(日次管理!#REF!="実績"),日次管理!#REF!)</f>
        <v>#REF!</v>
      </c>
      <c r="H11" s="95" t="e">
        <f>SUMPRODUCT((日次管理!#REF!&lt;=$H$3)*(日次管理!#REF!=$A$11)*(日次管理!#REF!="実施完了")*(日次管理!#REF!="予定"),日次管理!#REF!)</f>
        <v>#REF!</v>
      </c>
      <c r="I11" s="60" t="e">
        <f>SUMPRODUCT((日次管理!#REF!&lt;=$I$3)*(日次管理!#REF!=$A$11)*(日次管理!#REF!="実施完了")*(日次管理!#REF!="実績"),日次管理!#REF!)</f>
        <v>#REF!</v>
      </c>
      <c r="J11" s="95" t="e">
        <f>SUMPRODUCT((日次管理!#REF!&lt;=$J$3)*(日次管理!#REF!=$A$11)*(日次管理!#REF!="実施完了")*(日次管理!#REF!="予定"),日次管理!#REF!)</f>
        <v>#REF!</v>
      </c>
      <c r="K11" s="60" t="e">
        <f>SUMPRODUCT((日次管理!#REF!&lt;=$K$3)*(日次管理!#REF!=$A$11)*(日次管理!#REF!="実施完了")*(日次管理!#REF!="実績"),日次管理!#REF!)</f>
        <v>#REF!</v>
      </c>
      <c r="L11" s="95" t="e">
        <f>SUMPRODUCT((日次管理!#REF!&lt;=$L$3)*(日次管理!#REF!=$A$11)*(日次管理!#REF!="実施完了")*(日次管理!#REF!="予定"),日次管理!#REF!)</f>
        <v>#REF!</v>
      </c>
      <c r="M11" s="60" t="e">
        <f>SUMPRODUCT((日次管理!#REF!&lt;=$M$3)*(日次管理!#REF!=$A$11)*(日次管理!#REF!="実施完了")*(日次管理!#REF!="実績"),日次管理!#REF!)</f>
        <v>#REF!</v>
      </c>
      <c r="N11" s="95" t="e">
        <f>SUMPRODUCT((日次管理!#REF!&lt;=$N$3)*(日次管理!#REF!=$A$11)*(日次管理!#REF!="実施完了")*(日次管理!#REF!="予定"),日次管理!#REF!)</f>
        <v>#REF!</v>
      </c>
      <c r="O11" s="60" t="e">
        <f>SUMPRODUCT((日次管理!#REF!&lt;=$O$3)*(日次管理!#REF!=$A$11)*(日次管理!#REF!="実施完了")*(日次管理!#REF!="実績"),日次管理!#REF!)</f>
        <v>#REF!</v>
      </c>
      <c r="P11" s="95" t="e">
        <f>SUMPRODUCT((日次管理!#REF!&lt;=$P$3)*(日次管理!#REF!=$A$11)*(日次管理!#REF!="実施完了")*(日次管理!#REF!="予定"),日次管理!#REF!)</f>
        <v>#REF!</v>
      </c>
      <c r="Q11" s="60" t="e">
        <f>SUMPRODUCT((日次管理!#REF!&lt;=$Q$3)*(日次管理!#REF!=$A$11)*(日次管理!#REF!="実施完了")*(日次管理!#REF!="実績"),日次管理!#REF!)</f>
        <v>#REF!</v>
      </c>
      <c r="R11" s="95" t="e">
        <f>SUMPRODUCT((日次管理!#REF!&lt;=$R$3)*(日次管理!#REF!=$A$11)*(日次管理!#REF!="実施完了")*(日次管理!#REF!="予定"),日次管理!#REF!)</f>
        <v>#REF!</v>
      </c>
      <c r="S11" s="60" t="e">
        <f>SUMPRODUCT((日次管理!#REF!&lt;=$S$3)*(日次管理!#REF!=$A$11)*(日次管理!#REF!="実施完了")*(日次管理!#REF!="実績"),日次管理!#REF!)</f>
        <v>#REF!</v>
      </c>
      <c r="T11" s="95" t="e">
        <f>SUMPRODUCT((日次管理!#REF!&lt;=$T$3)*(日次管理!#REF!=$A$11)*(日次管理!#REF!="実施完了")*(日次管理!#REF!="予定"),日次管理!#REF!)</f>
        <v>#REF!</v>
      </c>
      <c r="U11" s="60" t="e">
        <f>SUMPRODUCT((日次管理!#REF!&lt;=$U$3)*(日次管理!#REF!=$A$11)*(日次管理!#REF!="実施完了")*(日次管理!#REF!="実績"),日次管理!#REF!)</f>
        <v>#REF!</v>
      </c>
      <c r="V11" s="95" t="e">
        <f>SUMPRODUCT((日次管理!#REF!&lt;=$V$3)*(日次管理!#REF!=$A$11)*(日次管理!#REF!="実施完了")*(日次管理!#REF!="予定"),日次管理!#REF!)</f>
        <v>#REF!</v>
      </c>
      <c r="W11" s="60" t="e">
        <f>SUMPRODUCT((日次管理!#REF!&lt;=$W$3)*(日次管理!#REF!=$A$11)*(日次管理!#REF!="実施完了")*(日次管理!#REF!="実績"),日次管理!#REF!)</f>
        <v>#REF!</v>
      </c>
      <c r="X11" s="95" t="e">
        <f>SUMPRODUCT((日次管理!#REF!&lt;=$X$3)*(日次管理!#REF!=$A$11)*(日次管理!#REF!="実施完了")*(日次管理!#REF!="予定"),日次管理!#REF!)</f>
        <v>#REF!</v>
      </c>
      <c r="Y11" s="60" t="e">
        <f>SUMPRODUCT((日次管理!#REF!&lt;=$Y$3)*(日次管理!#REF!=$A$11)*(日次管理!#REF!="実施完了")*(日次管理!#REF!="実績"),日次管理!#REF!)</f>
        <v>#REF!</v>
      </c>
      <c r="Z11" s="95" t="e">
        <f>SUMPRODUCT((日次管理!#REF!&lt;=$Z$3)*(日次管理!#REF!=$A$11)*(日次管理!#REF!="実施完了")*(日次管理!#REF!="予定"),日次管理!#REF!)</f>
        <v>#REF!</v>
      </c>
      <c r="AA11" s="60" t="e">
        <f>SUMPRODUCT((日次管理!#REF!&lt;=$AA$3)*(日次管理!#REF!=$A$11)*(日次管理!#REF!="実施完了")*(日次管理!#REF!="実績"),日次管理!#REF!)</f>
        <v>#REF!</v>
      </c>
      <c r="AB11" s="95" t="e">
        <f>SUMPRODUCT((日次管理!#REF!&lt;=$AB$3)*(日次管理!#REF!=$A$11)*(日次管理!#REF!="実施完了")*(日次管理!#REF!="予定"),日次管理!#REF!)</f>
        <v>#REF!</v>
      </c>
      <c r="AC11" s="60" t="e">
        <f>SUMPRODUCT((日次管理!#REF!&lt;=$AC$3)*(日次管理!#REF!=$A$11)*(日次管理!#REF!="実施完了")*(日次管理!#REF!="実績"),日次管理!#REF!)</f>
        <v>#REF!</v>
      </c>
      <c r="AD11" s="95" t="e">
        <f>SUMPRODUCT((日次管理!#REF!&lt;=$AD$3)*(日次管理!#REF!=$A$11)*(日次管理!#REF!="実施完了")*(日次管理!#REF!="予定"),日次管理!#REF!)</f>
        <v>#REF!</v>
      </c>
      <c r="AE11" s="60" t="e">
        <f>SUMPRODUCT((日次管理!#REF!&lt;=$AE$3)*(日次管理!#REF!=$A$11)*(日次管理!#REF!="実施完了")*(日次管理!#REF!="実績"),日次管理!#REF!)</f>
        <v>#REF!</v>
      </c>
      <c r="AF11" s="95" t="e">
        <f>SUMPRODUCT((日次管理!#REF!&lt;=$AF$3)*(日次管理!#REF!=$A$11)*(日次管理!#REF!="実施完了")*(日次管理!#REF!="予定"),日次管理!#REF!)</f>
        <v>#REF!</v>
      </c>
      <c r="AG11" s="60" t="e">
        <f>SUMPRODUCT((日次管理!#REF!&lt;=$AG$3)*(日次管理!#REF!=$A$11)*(日次管理!#REF!="実施完了")*(日次管理!#REF!="実績"),日次管理!#REF!)</f>
        <v>#REF!</v>
      </c>
      <c r="AH11" s="95" t="e">
        <f>SUMPRODUCT((日次管理!#REF!&lt;=$AH$3)*(日次管理!#REF!=$A$11)*(日次管理!#REF!="実施完了")*(日次管理!#REF!="予定"),日次管理!#REF!)</f>
        <v>#REF!</v>
      </c>
      <c r="AI11" s="60" t="e">
        <f>SUMPRODUCT((日次管理!#REF!&lt;=$AI$3)*(日次管理!#REF!=$A$11)*(日次管理!#REF!="実施完了")*(日次管理!#REF!="実績"),日次管理!#REF!)</f>
        <v>#REF!</v>
      </c>
      <c r="AJ11" s="95" t="e">
        <f>SUMPRODUCT((日次管理!#REF!&lt;=$AJ$3)*(日次管理!#REF!=$A$11)*(日次管理!#REF!="実施完了")*(日次管理!#REF!="予定"),日次管理!#REF!)</f>
        <v>#REF!</v>
      </c>
      <c r="AK11" s="60" t="e">
        <f>SUMPRODUCT((日次管理!#REF!&lt;=$AK$3)*(日次管理!#REF!=$A$11)*(日次管理!#REF!="実施完了")*(日次管理!#REF!="実績"),日次管理!#REF!)</f>
        <v>#REF!</v>
      </c>
      <c r="AL11" s="95" t="e">
        <f>SUMPRODUCT((日次管理!#REF!&lt;=$AL$3)*(日次管理!#REF!=$A$11)*(日次管理!#REF!="実施完了")*(日次管理!#REF!="予定"),日次管理!#REF!)</f>
        <v>#REF!</v>
      </c>
      <c r="AM11" s="60" t="e">
        <f>SUMPRODUCT((日次管理!#REF!&lt;=$AM$3)*(日次管理!#REF!=$A$11)*(日次管理!#REF!="実施完了")*(日次管理!#REF!="実績"),日次管理!#REF!)</f>
        <v>#REF!</v>
      </c>
      <c r="AN11" s="95" t="e">
        <f>SUMPRODUCT((日次管理!#REF!&lt;=$AN$3)*(日次管理!#REF!=$A$11)*(日次管理!#REF!="実施完了")*(日次管理!#REF!="予定"),日次管理!#REF!)</f>
        <v>#REF!</v>
      </c>
      <c r="AO11" s="60" t="e">
        <f>SUMPRODUCT((日次管理!#REF!&lt;=$AO$3)*(日次管理!#REF!=$A$11)*(日次管理!#REF!="実施完了")*(日次管理!#REF!="実績"),日次管理!#REF!)</f>
        <v>#REF!</v>
      </c>
      <c r="AP11" s="95" t="e">
        <f>SUMPRODUCT((日次管理!#REF!&lt;=$AP$3)*(日次管理!#REF!=$A$11)*(日次管理!#REF!="実施完了")*(日次管理!#REF!="予定"),日次管理!#REF!)</f>
        <v>#REF!</v>
      </c>
      <c r="AQ11" s="60" t="e">
        <f>SUMPRODUCT((日次管理!#REF!&lt;=$AQ$3)*(日次管理!#REF!=$A$11)*(日次管理!#REF!="実施完了")*(日次管理!#REF!="実績"),日次管理!#REF!)</f>
        <v>#REF!</v>
      </c>
      <c r="AR11" s="95" t="e">
        <f>SUMPRODUCT((日次管理!#REF!&lt;=$AR$3)*(日次管理!#REF!=$A$11)*(日次管理!#REF!="実施完了")*(日次管理!#REF!="予定"),日次管理!#REF!)</f>
        <v>#REF!</v>
      </c>
      <c r="AS11" s="60" t="e">
        <f>SUMPRODUCT((日次管理!#REF!&lt;=$AS$3)*(日次管理!#REF!=$A$11)*(日次管理!#REF!="実施完了")*(日次管理!#REF!="実績"),日次管理!#REF!)</f>
        <v>#REF!</v>
      </c>
      <c r="AT11" s="95" t="e">
        <f>SUMPRODUCT((日次管理!#REF!&lt;=$AT$3)*(日次管理!#REF!=$A$11)*(日次管理!#REF!="実施完了")*(日次管理!#REF!="予定"),日次管理!#REF!)</f>
        <v>#REF!</v>
      </c>
      <c r="AU11" s="60" t="e">
        <f>SUMPRODUCT((日次管理!#REF!&lt;=$AU$3)*(日次管理!#REF!=$A$11)*(日次管理!#REF!="実施完了")*(日次管理!#REF!="実績"),日次管理!#REF!)</f>
        <v>#REF!</v>
      </c>
      <c r="AV11" s="95" t="e">
        <f>SUMPRODUCT((日次管理!#REF!&lt;=$AV$3)*(日次管理!#REF!=$A$11)*(日次管理!#REF!="実施完了")*(日次管理!#REF!="予定"),日次管理!#REF!)</f>
        <v>#REF!</v>
      </c>
      <c r="AW11" s="60" t="e">
        <f>SUMPRODUCT((日次管理!#REF!&lt;=$AW$3)*(日次管理!#REF!=$A$11)*(日次管理!#REF!="実施完了")*(日次管理!#REF!="実績"),日次管理!#REF!)</f>
        <v>#REF!</v>
      </c>
      <c r="AX11" s="95" t="e">
        <f>SUMPRODUCT((日次管理!#REF!&lt;=$AX$3)*(日次管理!#REF!=$A$11)*(日次管理!#REF!="実施完了")*(日次管理!#REF!="予定"),日次管理!#REF!)</f>
        <v>#REF!</v>
      </c>
      <c r="AY11" s="60" t="e">
        <f>SUMPRODUCT((日次管理!#REF!&lt;=$AY$3)*(日次管理!#REF!=$A$11)*(日次管理!#REF!="実施完了")*(日次管理!#REF!="実績"),日次管理!#REF!)</f>
        <v>#REF!</v>
      </c>
      <c r="AZ11" s="95" t="e">
        <f>SUMPRODUCT((日次管理!#REF!&lt;=$AZ$3)*(日次管理!#REF!=$A$11)*(日次管理!#REF!="実施完了")*(日次管理!#REF!="予定"),日次管理!#REF!)</f>
        <v>#REF!</v>
      </c>
      <c r="BA11" s="60" t="e">
        <f>SUMPRODUCT((日次管理!#REF!&lt;=$BA$3)*(日次管理!#REF!=$A$11)*(日次管理!#REF!="実施完了")*(日次管理!#REF!="実績"),日次管理!#REF!)</f>
        <v>#REF!</v>
      </c>
      <c r="BB11" s="95" t="e">
        <f>SUMPRODUCT((日次管理!#REF!&lt;=$BB$3)*(日次管理!#REF!=$A$11)*(日次管理!#REF!="実施完了")*(日次管理!#REF!="予定"),日次管理!#REF!)</f>
        <v>#REF!</v>
      </c>
      <c r="BC11" s="60" t="e">
        <f>SUMPRODUCT((日次管理!#REF!&lt;=$BC$3)*(日次管理!#REF!=$A$11)*(日次管理!#REF!="実施完了")*(日次管理!#REF!="実績"),日次管理!#REF!)</f>
        <v>#REF!</v>
      </c>
      <c r="BD11" s="95" t="e">
        <f>SUMPRODUCT((日次管理!#REF!&lt;=$BD$3)*(日次管理!#REF!=$A$11)*(日次管理!#REF!="実施完了")*(日次管理!#REF!="予定"),日次管理!#REF!)</f>
        <v>#REF!</v>
      </c>
      <c r="BE11" s="60" t="e">
        <f>SUMPRODUCT((日次管理!#REF!&lt;=$BE$3)*(日次管理!#REF!=$A$11)*(日次管理!#REF!="実施完了")*(日次管理!#REF!="実績"),日次管理!#REF!)</f>
        <v>#REF!</v>
      </c>
      <c r="BF11" s="95" t="e">
        <f>SUMPRODUCT((日次管理!#REF!&lt;=$BF$3)*(日次管理!#REF!=$A$11)*(日次管理!#REF!="実施完了")*(日次管理!#REF!="予定"),日次管理!#REF!)</f>
        <v>#REF!</v>
      </c>
      <c r="BG11" s="60" t="e">
        <f>SUMPRODUCT((日次管理!#REF!&lt;=$BG$3)*(日次管理!#REF!=$A$11)*(日次管理!#REF!="実施完了")*(日次管理!#REF!="実績"),日次管理!#REF!)</f>
        <v>#REF!</v>
      </c>
      <c r="BH11" s="95" t="e">
        <f>SUMPRODUCT((日次管理!#REF!&lt;=$BH$3)*(日次管理!#REF!=$A$11)*(日次管理!#REF!="実施完了")*(日次管理!#REF!="予定"),日次管理!#REF!)</f>
        <v>#REF!</v>
      </c>
      <c r="BI11" s="60" t="e">
        <f>SUMPRODUCT((日次管理!#REF!&lt;=$BI$3)*(日次管理!#REF!=$A$11)*(日次管理!#REF!="実施完了")*(日次管理!#REF!="実績"),日次管理!#REF!)</f>
        <v>#REF!</v>
      </c>
      <c r="BJ11" s="95" t="e">
        <f>SUMPRODUCT((日次管理!#REF!&lt;=$BJ$3)*(日次管理!#REF!=$A$11)*(日次管理!#REF!="実施完了")*(日次管理!#REF!="予定"),日次管理!#REF!)</f>
        <v>#REF!</v>
      </c>
      <c r="BK11" s="60" t="e">
        <f>SUMPRODUCT((日次管理!#REF!&lt;=$BK$3)*(日次管理!#REF!=$A$11)*(日次管理!#REF!="実施完了")*(日次管理!#REF!="実績"),日次管理!#REF!)</f>
        <v>#REF!</v>
      </c>
      <c r="BL11" s="95" t="e">
        <f>SUMPRODUCT((日次管理!#REF!&lt;=$BL$3)*(日次管理!#REF!=$A$11)*(日次管理!#REF!="実施完了")*(日次管理!#REF!="予定"),日次管理!#REF!)</f>
        <v>#REF!</v>
      </c>
      <c r="BM11" s="60" t="e">
        <f>SUMPRODUCT((日次管理!#REF!&lt;=$BM$3)*(日次管理!#REF!=$A$11)*(日次管理!#REF!="実施完了")*(日次管理!#REF!="実績"),日次管理!#REF!)</f>
        <v>#REF!</v>
      </c>
      <c r="BN11" s="95" t="e">
        <f>SUMPRODUCT((日次管理!#REF!&lt;=$BN$3)*(日次管理!#REF!=$A$11)*(日次管理!#REF!="実施完了")*(日次管理!#REF!="予定"),日次管理!#REF!)</f>
        <v>#REF!</v>
      </c>
      <c r="BO11" s="60" t="e">
        <f>SUMPRODUCT((日次管理!#REF!&lt;=$BO$3)*(日次管理!#REF!=$A$11)*(日次管理!#REF!="実施完了")*(日次管理!#REF!="実績"),日次管理!#REF!)</f>
        <v>#REF!</v>
      </c>
      <c r="BP11" s="95" t="e">
        <f>SUMPRODUCT((日次管理!#REF!&lt;=$BP$3)*(日次管理!#REF!=$A$11)*(日次管理!#REF!="実施完了")*(日次管理!#REF!="予定"),日次管理!#REF!)</f>
        <v>#REF!</v>
      </c>
      <c r="BQ11" s="60" t="e">
        <f>SUMPRODUCT((日次管理!#REF!&lt;=$BQ$3)*(日次管理!#REF!=$A$11)*(日次管理!#REF!="実施完了")*(日次管理!#REF!="実績"),日次管理!#REF!)</f>
        <v>#REF!</v>
      </c>
      <c r="BR11" s="95" t="e">
        <f>SUMPRODUCT((日次管理!#REF!&lt;=$BR$3)*(日次管理!#REF!=$A$11)*(日次管理!#REF!="実施完了")*(日次管理!#REF!="予定"),日次管理!#REF!)</f>
        <v>#REF!</v>
      </c>
      <c r="BS11" s="60" t="e">
        <f>SUMPRODUCT((日次管理!#REF!&lt;=$BS$3)*(日次管理!#REF!=$A$11)*(日次管理!#REF!="実施完了")*(日次管理!#REF!="実績"),日次管理!#REF!)</f>
        <v>#REF!</v>
      </c>
      <c r="BT11" s="95" t="e">
        <f>SUMPRODUCT((日次管理!#REF!&lt;=$BT$3)*(日次管理!#REF!=$A$11)*(日次管理!#REF!="実施完了")*(日次管理!#REF!="予定"),日次管理!#REF!)</f>
        <v>#REF!</v>
      </c>
      <c r="BU11" s="60" t="e">
        <f>SUMPRODUCT((日次管理!#REF!&lt;=$BU$3)*(日次管理!#REF!=$A$11)*(日次管理!#REF!="実施完了")*(日次管理!#REF!="実績"),日次管理!#REF!)</f>
        <v>#REF!</v>
      </c>
      <c r="BV11" s="95" t="e">
        <f>SUMPRODUCT((日次管理!#REF!&lt;=$BV$3)*(日次管理!#REF!=$A$11)*(日次管理!#REF!="実施完了")*(日次管理!#REF!="予定"),日次管理!#REF!)</f>
        <v>#REF!</v>
      </c>
      <c r="BW11" s="60" t="e">
        <f>SUMPRODUCT((日次管理!#REF!&lt;=$BW$3)*(日次管理!#REF!=$A$11)*(日次管理!#REF!="実施完了")*(日次管理!#REF!="実績"),日次管理!#REF!)</f>
        <v>#REF!</v>
      </c>
      <c r="BX11" s="95" t="e">
        <f>SUMPRODUCT((日次管理!#REF!&lt;=$BX$3)*(日次管理!#REF!=$A$11)*(日次管理!#REF!="実施完了")*(日次管理!#REF!="予定"),日次管理!#REF!)</f>
        <v>#REF!</v>
      </c>
      <c r="BY11" s="60" t="e">
        <f>SUMPRODUCT((日次管理!#REF!&lt;=$BY$3)*(日次管理!#REF!=$A$11)*(日次管理!#REF!="実施完了")*(日次管理!#REF!="実績"),日次管理!#REF!)</f>
        <v>#REF!</v>
      </c>
      <c r="BZ11" s="95" t="e">
        <f>SUMPRODUCT((日次管理!#REF!&lt;=$BZ$3)*(日次管理!#REF!=$A$11)*(日次管理!#REF!="実施完了")*(日次管理!#REF!="予定"),日次管理!#REF!)</f>
        <v>#REF!</v>
      </c>
      <c r="CA11" s="60" t="e">
        <f>SUMPRODUCT((日次管理!#REF!&lt;=$CA$3)*(日次管理!#REF!=$A$11)*(日次管理!#REF!="実施完了")*(日次管理!#REF!="実績"),日次管理!#REF!)</f>
        <v>#REF!</v>
      </c>
      <c r="CB11" s="95" t="e">
        <f>SUMPRODUCT((日次管理!#REF!&lt;=$CB$3)*(日次管理!#REF!=$A$11)*(日次管理!#REF!="実施完了")*(日次管理!#REF!="予定"),日次管理!#REF!)</f>
        <v>#REF!</v>
      </c>
      <c r="CC11" s="60" t="e">
        <f>SUMPRODUCT((日次管理!#REF!&lt;=$CC$3)*(日次管理!#REF!=$A$11)*(日次管理!#REF!="実施完了")*(日次管理!#REF!="実績"),日次管理!#REF!)</f>
        <v>#REF!</v>
      </c>
      <c r="CD11" s="95" t="e">
        <f>SUMPRODUCT((日次管理!#REF!&lt;=$CD$3)*(日次管理!#REF!=$A$11)*(日次管理!#REF!="実施完了")*(日次管理!#REF!="予定"),日次管理!#REF!)</f>
        <v>#REF!</v>
      </c>
      <c r="CE11" s="60" t="e">
        <f>SUMPRODUCT((日次管理!#REF!&lt;=$CE$3)*(日次管理!#REF!=$A$11)*(日次管理!#REF!="実施完了")*(日次管理!#REF!="実績"),日次管理!#REF!)</f>
        <v>#REF!</v>
      </c>
      <c r="CF11" s="95" t="e">
        <f>SUMPRODUCT((日次管理!#REF!&lt;=$CF$3)*(日次管理!#REF!=$A$11)*(日次管理!#REF!="実施完了")*(日次管理!#REF!="予定"),日次管理!#REF!)</f>
        <v>#REF!</v>
      </c>
      <c r="CG11" s="60" t="e">
        <f>SUMPRODUCT((日次管理!#REF!&lt;=$CG$3)*(日次管理!#REF!=$A$11)*(日次管理!#REF!="実施完了")*(日次管理!#REF!="実績"),日次管理!#REF!)</f>
        <v>#REF!</v>
      </c>
      <c r="CH11" s="95" t="e">
        <f>SUMPRODUCT((日次管理!#REF!&lt;=$CH$3)*(日次管理!#REF!=$A$11)*(日次管理!#REF!="実施完了")*(日次管理!#REF!="予定"),日次管理!#REF!)</f>
        <v>#REF!</v>
      </c>
      <c r="CI11" s="60" t="e">
        <f>SUMPRODUCT((日次管理!#REF!&lt;=$CI$3)*(日次管理!#REF!=$A$11)*(日次管理!#REF!="実施完了")*(日次管理!#REF!="実績"),日次管理!#REF!)</f>
        <v>#REF!</v>
      </c>
      <c r="CJ11" s="95" t="e">
        <f>SUMPRODUCT((日次管理!#REF!&lt;=$CJ$3)*(日次管理!#REF!=$A$11)*(日次管理!#REF!="実施完了")*(日次管理!#REF!="予定"),日次管理!#REF!)</f>
        <v>#REF!</v>
      </c>
      <c r="CK11" s="60" t="e">
        <f>SUMPRODUCT((日次管理!#REF!&lt;=$CK$3)*(日次管理!#REF!=$A$11)*(日次管理!#REF!="実施完了")*(日次管理!#REF!="実績"),日次管理!#REF!)</f>
        <v>#REF!</v>
      </c>
      <c r="CL11" s="95" t="e">
        <f>SUMPRODUCT((日次管理!#REF!&lt;=$CL$3)*(日次管理!#REF!=$A$11)*(日次管理!#REF!="実施完了")*(日次管理!#REF!="予定"),日次管理!#REF!)</f>
        <v>#REF!</v>
      </c>
      <c r="CM11" s="60" t="e">
        <f>SUMPRODUCT((日次管理!#REF!&lt;=$CM$3)*(日次管理!#REF!=$A$11)*(日次管理!#REF!="実施完了")*(日次管理!#REF!="実績"),日次管理!#REF!)</f>
        <v>#REF!</v>
      </c>
      <c r="CN11" s="95" t="e">
        <f>SUMPRODUCT((日次管理!#REF!&lt;=$CN$3)*(日次管理!#REF!=$A$11)*(日次管理!#REF!="実施完了")*(日次管理!#REF!="予定"),日次管理!#REF!)</f>
        <v>#REF!</v>
      </c>
      <c r="CO11" s="60" t="e">
        <f>SUMPRODUCT((日次管理!#REF!&lt;=$CO$3)*(日次管理!#REF!=$A$11)*(日次管理!#REF!="実施完了")*(日次管理!#REF!="実績"),日次管理!#REF!)</f>
        <v>#REF!</v>
      </c>
      <c r="CP11" s="95" t="e">
        <f>SUMPRODUCT((日次管理!#REF!&lt;=$CP$3)*(日次管理!#REF!=$A$11)*(日次管理!#REF!="実施完了")*(日次管理!#REF!="予定"),日次管理!#REF!)</f>
        <v>#REF!</v>
      </c>
      <c r="CQ11" s="60" t="e">
        <f>SUMPRODUCT((日次管理!#REF!&lt;=$CQ$3)*(日次管理!#REF!=$A$11)*(日次管理!#REF!="実施完了")*(日次管理!#REF!="実績"),日次管理!#REF!)</f>
        <v>#REF!</v>
      </c>
      <c r="CR11" s="95" t="e">
        <f>SUMPRODUCT((日次管理!#REF!&lt;=$CR$3)*(日次管理!#REF!=$A$11)*(日次管理!#REF!="実施完了")*(日次管理!#REF!="予定"),日次管理!#REF!)</f>
        <v>#REF!</v>
      </c>
      <c r="CS11" s="60" t="e">
        <f>SUMPRODUCT((日次管理!#REF!&lt;=$CS$3)*(日次管理!#REF!=$A$11)*(日次管理!#REF!="実施完了")*(日次管理!#REF!="実績"),日次管理!#REF!)</f>
        <v>#REF!</v>
      </c>
      <c r="CT11" s="95" t="e">
        <f>SUMPRODUCT((日次管理!#REF!&lt;=$CT$3)*(日次管理!#REF!=$A$11)*(日次管理!#REF!="実施完了")*(日次管理!#REF!="予定"),日次管理!#REF!)</f>
        <v>#REF!</v>
      </c>
      <c r="CU11" s="60" t="e">
        <f>SUMPRODUCT((日次管理!#REF!&lt;=$CU$3)*(日次管理!#REF!=$A$11)*(日次管理!#REF!="実施完了")*(日次管理!#REF!="実績"),日次管理!#REF!)</f>
        <v>#REF!</v>
      </c>
      <c r="CV11" s="96" t="e">
        <f ca="1">SUMPRODUCT(($A$3- WEEKDAY($A$3) + 6 =$B$3:$CU$3)*("実績"=$B$4:$CU$4),$B$11:$CU$11)/SUMPRODUCT(($A$3- WEEKDAY($A$3) + 6 =$B$3:$CU$3)*("予定"=$B$4:$CU$4),$B$11:$CU$11)</f>
        <v>#REF!</v>
      </c>
      <c r="CW11" s="97" t="e">
        <f>$CU$11/$CT$11</f>
        <v>#REF!</v>
      </c>
    </row>
    <row r="12" spans="1:101" ht="20.149999999999999" customHeight="1">
      <c r="A12" s="90" t="s">
        <v>85</v>
      </c>
      <c r="B12" s="91" t="e">
        <f>SUMPRODUCT((日次管理!#REF!&lt;=$B$3)*(日次管理!#REF!=$A$12)*(日次管理!#REF!="実施完了")*(日次管理!#REF!="予定"),日次管理!#REF!)</f>
        <v>#REF!</v>
      </c>
      <c r="C12" s="59" t="e">
        <f>SUMPRODUCT((日次管理!#REF!&lt;=$C$3)*(日次管理!#REF!=$A$12)*(日次管理!#REF!="実施完了")*(日次管理!#REF!="実績"),日次管理!#REF!)</f>
        <v>#REF!</v>
      </c>
      <c r="D12" s="91" t="e">
        <f>SUMPRODUCT((日次管理!#REF!&lt;=$D$3)*(日次管理!#REF!=$A$12)*(日次管理!#REF!="実施完了")*(日次管理!#REF!="予定"),日次管理!#REF!)</f>
        <v>#REF!</v>
      </c>
      <c r="E12" s="59" t="e">
        <f>SUMPRODUCT((日次管理!#REF!&lt;=$E$3)*(日次管理!#REF!=$A$12)*(日次管理!#REF!="実施完了")*(日次管理!#REF!="実績"),日次管理!#REF!)</f>
        <v>#REF!</v>
      </c>
      <c r="F12" s="91" t="e">
        <f>SUMPRODUCT((日次管理!#REF!&lt;=$F$3)*(日次管理!#REF!=$A$12)*(日次管理!#REF!="実施完了")*(日次管理!#REF!="予定"),日次管理!#REF!)</f>
        <v>#REF!</v>
      </c>
      <c r="G12" s="59" t="e">
        <f>SUMPRODUCT((日次管理!#REF!&lt;=$G$3)*(日次管理!#REF!=$A$12)*(日次管理!#REF!="実施完了")*(日次管理!#REF!="実績"),日次管理!#REF!)</f>
        <v>#REF!</v>
      </c>
      <c r="H12" s="91" t="e">
        <f>SUMPRODUCT((日次管理!#REF!&lt;=$H$3)*(日次管理!#REF!=$A$12)*(日次管理!#REF!="実施完了")*(日次管理!#REF!="予定"),日次管理!#REF!)</f>
        <v>#REF!</v>
      </c>
      <c r="I12" s="59" t="e">
        <f>SUMPRODUCT((日次管理!#REF!&lt;=$I$3)*(日次管理!#REF!=$A$12)*(日次管理!#REF!="実施完了")*(日次管理!#REF!="実績"),日次管理!#REF!)</f>
        <v>#REF!</v>
      </c>
      <c r="J12" s="91" t="e">
        <f>SUMPRODUCT((日次管理!#REF!&lt;=$J$3)*(日次管理!#REF!=$A$12)*(日次管理!#REF!="実施完了")*(日次管理!#REF!="予定"),日次管理!#REF!)</f>
        <v>#REF!</v>
      </c>
      <c r="K12" s="59" t="e">
        <f>SUMPRODUCT((日次管理!#REF!&lt;=$K$3)*(日次管理!#REF!=$A$12)*(日次管理!#REF!="実施完了")*(日次管理!#REF!="実績"),日次管理!#REF!)</f>
        <v>#REF!</v>
      </c>
      <c r="L12" s="91" t="e">
        <f>SUMPRODUCT((日次管理!#REF!&lt;=$L$3)*(日次管理!#REF!=$A$12)*(日次管理!#REF!="実施完了")*(日次管理!#REF!="予定"),日次管理!#REF!)</f>
        <v>#REF!</v>
      </c>
      <c r="M12" s="59" t="e">
        <f>SUMPRODUCT((日次管理!#REF!&lt;=$M$3)*(日次管理!#REF!=$A$12)*(日次管理!#REF!="実施完了")*(日次管理!#REF!="実績"),日次管理!#REF!)</f>
        <v>#REF!</v>
      </c>
      <c r="N12" s="91" t="e">
        <f>SUMPRODUCT((日次管理!#REF!&lt;=$N$3)*(日次管理!#REF!=$A$12)*(日次管理!#REF!="実施完了")*(日次管理!#REF!="予定"),日次管理!#REF!)</f>
        <v>#REF!</v>
      </c>
      <c r="O12" s="59" t="e">
        <f>SUMPRODUCT((日次管理!#REF!&lt;=$O$3)*(日次管理!#REF!=$A$12)*(日次管理!#REF!="実施完了")*(日次管理!#REF!="実績"),日次管理!#REF!)</f>
        <v>#REF!</v>
      </c>
      <c r="P12" s="91" t="e">
        <f>SUMPRODUCT((日次管理!#REF!&lt;=$P$3)*(日次管理!#REF!=$A$12)*(日次管理!#REF!="実施完了")*(日次管理!#REF!="予定"),日次管理!#REF!)</f>
        <v>#REF!</v>
      </c>
      <c r="Q12" s="59" t="e">
        <f>SUMPRODUCT((日次管理!#REF!&lt;=$Q$3)*(日次管理!#REF!=$A$12)*(日次管理!#REF!="実施完了")*(日次管理!#REF!="実績"),日次管理!#REF!)</f>
        <v>#REF!</v>
      </c>
      <c r="R12" s="91" t="e">
        <f>SUMPRODUCT((日次管理!#REF!&lt;=$R$3)*(日次管理!#REF!=$A$12)*(日次管理!#REF!="実施完了")*(日次管理!#REF!="予定"),日次管理!#REF!)</f>
        <v>#REF!</v>
      </c>
      <c r="S12" s="59" t="e">
        <f>SUMPRODUCT((日次管理!#REF!&lt;=$S$3)*(日次管理!#REF!=$A$12)*(日次管理!#REF!="実施完了")*(日次管理!#REF!="実績"),日次管理!#REF!)</f>
        <v>#REF!</v>
      </c>
      <c r="T12" s="91" t="e">
        <f>SUMPRODUCT((日次管理!#REF!&lt;=$T$3)*(日次管理!#REF!=$A$12)*(日次管理!#REF!="実施完了")*(日次管理!#REF!="予定"),日次管理!#REF!)</f>
        <v>#REF!</v>
      </c>
      <c r="U12" s="59" t="e">
        <f>SUMPRODUCT((日次管理!#REF!&lt;=$U$3)*(日次管理!#REF!=$A$12)*(日次管理!#REF!="実施完了")*(日次管理!#REF!="実績"),日次管理!#REF!)</f>
        <v>#REF!</v>
      </c>
      <c r="V12" s="91" t="e">
        <f>SUMPRODUCT((日次管理!#REF!&lt;=$V$3)*(日次管理!#REF!=$A$12)*(日次管理!#REF!="実施完了")*(日次管理!#REF!="予定"),日次管理!#REF!)</f>
        <v>#REF!</v>
      </c>
      <c r="W12" s="59" t="e">
        <f>SUMPRODUCT((日次管理!#REF!&lt;=$W$3)*(日次管理!#REF!=$A$12)*(日次管理!#REF!="実施完了")*(日次管理!#REF!="実績"),日次管理!#REF!)</f>
        <v>#REF!</v>
      </c>
      <c r="X12" s="91" t="e">
        <f>SUMPRODUCT((日次管理!#REF!&lt;=$X$3)*(日次管理!#REF!=$A$12)*(日次管理!#REF!="実施完了")*(日次管理!#REF!="予定"),日次管理!#REF!)</f>
        <v>#REF!</v>
      </c>
      <c r="Y12" s="59" t="e">
        <f>SUMPRODUCT((日次管理!#REF!&lt;=$Y$3)*(日次管理!#REF!=$A$12)*(日次管理!#REF!="実施完了")*(日次管理!#REF!="実績"),日次管理!#REF!)</f>
        <v>#REF!</v>
      </c>
      <c r="Z12" s="91" t="e">
        <f>SUMPRODUCT((日次管理!#REF!&lt;=$Z$3)*(日次管理!#REF!=$A$12)*(日次管理!#REF!="実施完了")*(日次管理!#REF!="予定"),日次管理!#REF!)</f>
        <v>#REF!</v>
      </c>
      <c r="AA12" s="59" t="e">
        <f>SUMPRODUCT((日次管理!#REF!&lt;=$AA$3)*(日次管理!#REF!=$A$12)*(日次管理!#REF!="実施完了")*(日次管理!#REF!="実績"),日次管理!#REF!)</f>
        <v>#REF!</v>
      </c>
      <c r="AB12" s="91" t="e">
        <f>SUMPRODUCT((日次管理!#REF!&lt;=$AB$3)*(日次管理!#REF!=$A$12)*(日次管理!#REF!="実施完了")*(日次管理!#REF!="予定"),日次管理!#REF!)</f>
        <v>#REF!</v>
      </c>
      <c r="AC12" s="59" t="e">
        <f>SUMPRODUCT((日次管理!#REF!&lt;=$AC$3)*(日次管理!#REF!=$A$12)*(日次管理!#REF!="実施完了")*(日次管理!#REF!="実績"),日次管理!#REF!)</f>
        <v>#REF!</v>
      </c>
      <c r="AD12" s="91" t="e">
        <f>SUMPRODUCT((日次管理!#REF!&lt;=$AD$3)*(日次管理!#REF!=$A$12)*(日次管理!#REF!="実施完了")*(日次管理!#REF!="予定"),日次管理!#REF!)</f>
        <v>#REF!</v>
      </c>
      <c r="AE12" s="59" t="e">
        <f>SUMPRODUCT((日次管理!#REF!&lt;=$AE$3)*(日次管理!#REF!=$A$12)*(日次管理!#REF!="実施完了")*(日次管理!#REF!="実績"),日次管理!#REF!)</f>
        <v>#REF!</v>
      </c>
      <c r="AF12" s="91" t="e">
        <f>SUMPRODUCT((日次管理!#REF!&lt;=$AF$3)*(日次管理!#REF!=$A$12)*(日次管理!#REF!="実施完了")*(日次管理!#REF!="予定"),日次管理!#REF!)</f>
        <v>#REF!</v>
      </c>
      <c r="AG12" s="59" t="e">
        <f>SUMPRODUCT((日次管理!#REF!&lt;=$AG$3)*(日次管理!#REF!=$A$12)*(日次管理!#REF!="実施完了")*(日次管理!#REF!="実績"),日次管理!#REF!)</f>
        <v>#REF!</v>
      </c>
      <c r="AH12" s="91" t="e">
        <f>SUMPRODUCT((日次管理!#REF!&lt;=$AH$3)*(日次管理!#REF!=$A$12)*(日次管理!#REF!="実施完了")*(日次管理!#REF!="予定"),日次管理!#REF!)</f>
        <v>#REF!</v>
      </c>
      <c r="AI12" s="59" t="e">
        <f>SUMPRODUCT((日次管理!#REF!&lt;=$AI$3)*(日次管理!#REF!=$A$12)*(日次管理!#REF!="実施完了")*(日次管理!#REF!="実績"),日次管理!#REF!)</f>
        <v>#REF!</v>
      </c>
      <c r="AJ12" s="91" t="e">
        <f>SUMPRODUCT((日次管理!#REF!&lt;=$AJ$3)*(日次管理!#REF!=$A$12)*(日次管理!#REF!="実施完了")*(日次管理!#REF!="予定"),日次管理!#REF!)</f>
        <v>#REF!</v>
      </c>
      <c r="AK12" s="59" t="e">
        <f>SUMPRODUCT((日次管理!#REF!&lt;=$AK$3)*(日次管理!#REF!=$A$12)*(日次管理!#REF!="実施完了")*(日次管理!#REF!="実績"),日次管理!#REF!)</f>
        <v>#REF!</v>
      </c>
      <c r="AL12" s="91" t="e">
        <f>SUMPRODUCT((日次管理!#REF!&lt;=$AL$3)*(日次管理!#REF!=$A$12)*(日次管理!#REF!="実施完了")*(日次管理!#REF!="予定"),日次管理!#REF!)</f>
        <v>#REF!</v>
      </c>
      <c r="AM12" s="59" t="e">
        <f>SUMPRODUCT((日次管理!#REF!&lt;=$AM$3)*(日次管理!#REF!=$A$12)*(日次管理!#REF!="実施完了")*(日次管理!#REF!="実績"),日次管理!#REF!)</f>
        <v>#REF!</v>
      </c>
      <c r="AN12" s="91" t="e">
        <f>SUMPRODUCT((日次管理!#REF!&lt;=$AN$3)*(日次管理!#REF!=$A$12)*(日次管理!#REF!="実施完了")*(日次管理!#REF!="予定"),日次管理!#REF!)</f>
        <v>#REF!</v>
      </c>
      <c r="AO12" s="59" t="e">
        <f>SUMPRODUCT((日次管理!#REF!&lt;=$AO$3)*(日次管理!#REF!=$A$12)*(日次管理!#REF!="実施完了")*(日次管理!#REF!="実績"),日次管理!#REF!)</f>
        <v>#REF!</v>
      </c>
      <c r="AP12" s="91" t="e">
        <f>SUMPRODUCT((日次管理!#REF!&lt;=$AP$3)*(日次管理!#REF!=$A$12)*(日次管理!#REF!="実施完了")*(日次管理!#REF!="予定"),日次管理!#REF!)</f>
        <v>#REF!</v>
      </c>
      <c r="AQ12" s="59" t="e">
        <f>SUMPRODUCT((日次管理!#REF!&lt;=$AQ$3)*(日次管理!#REF!=$A$12)*(日次管理!#REF!="実施完了")*(日次管理!#REF!="実績"),日次管理!#REF!)</f>
        <v>#REF!</v>
      </c>
      <c r="AR12" s="91" t="e">
        <f>SUMPRODUCT((日次管理!#REF!&lt;=$AR$3)*(日次管理!#REF!=$A$12)*(日次管理!#REF!="実施完了")*(日次管理!#REF!="予定"),日次管理!#REF!)</f>
        <v>#REF!</v>
      </c>
      <c r="AS12" s="59" t="e">
        <f>SUMPRODUCT((日次管理!#REF!&lt;=$AS$3)*(日次管理!#REF!=$A$12)*(日次管理!#REF!="実施完了")*(日次管理!#REF!="実績"),日次管理!#REF!)</f>
        <v>#REF!</v>
      </c>
      <c r="AT12" s="91" t="e">
        <f>SUMPRODUCT((日次管理!#REF!&lt;=$AT$3)*(日次管理!#REF!=$A$12)*(日次管理!#REF!="実施完了")*(日次管理!#REF!="予定"),日次管理!#REF!)</f>
        <v>#REF!</v>
      </c>
      <c r="AU12" s="59" t="e">
        <f>SUMPRODUCT((日次管理!#REF!&lt;=$AU$3)*(日次管理!#REF!=$A$12)*(日次管理!#REF!="実施完了")*(日次管理!#REF!="実績"),日次管理!#REF!)</f>
        <v>#REF!</v>
      </c>
      <c r="AV12" s="91" t="e">
        <f>SUMPRODUCT((日次管理!#REF!&lt;=$AV$3)*(日次管理!#REF!=$A$12)*(日次管理!#REF!="実施完了")*(日次管理!#REF!="予定"),日次管理!#REF!)</f>
        <v>#REF!</v>
      </c>
      <c r="AW12" s="59" t="e">
        <f>SUMPRODUCT((日次管理!#REF!&lt;=$AW$3)*(日次管理!#REF!=$A$12)*(日次管理!#REF!="実施完了")*(日次管理!#REF!="実績"),日次管理!#REF!)</f>
        <v>#REF!</v>
      </c>
      <c r="AX12" s="91" t="e">
        <f>SUMPRODUCT((日次管理!#REF!&lt;=$AX$3)*(日次管理!#REF!=$A$12)*(日次管理!#REF!="実施完了")*(日次管理!#REF!="予定"),日次管理!#REF!)</f>
        <v>#REF!</v>
      </c>
      <c r="AY12" s="59" t="e">
        <f>SUMPRODUCT((日次管理!#REF!&lt;=$AY$3)*(日次管理!#REF!=$A$12)*(日次管理!#REF!="実施完了")*(日次管理!#REF!="実績"),日次管理!#REF!)</f>
        <v>#REF!</v>
      </c>
      <c r="AZ12" s="91" t="e">
        <f>SUMPRODUCT((日次管理!#REF!&lt;=$AZ$3)*(日次管理!#REF!=$A$12)*(日次管理!#REF!="実施完了")*(日次管理!#REF!="予定"),日次管理!#REF!)</f>
        <v>#REF!</v>
      </c>
      <c r="BA12" s="59" t="e">
        <f>SUMPRODUCT((日次管理!#REF!&lt;=$BA$3)*(日次管理!#REF!=$A$12)*(日次管理!#REF!="実施完了")*(日次管理!#REF!="実績"),日次管理!#REF!)</f>
        <v>#REF!</v>
      </c>
      <c r="BB12" s="91" t="e">
        <f>SUMPRODUCT((日次管理!#REF!&lt;=$BB$3)*(日次管理!#REF!=$A$12)*(日次管理!#REF!="実施完了")*(日次管理!#REF!="予定"),日次管理!#REF!)</f>
        <v>#REF!</v>
      </c>
      <c r="BC12" s="59" t="e">
        <f>SUMPRODUCT((日次管理!#REF!&lt;=$BC$3)*(日次管理!#REF!=$A$12)*(日次管理!#REF!="実施完了")*(日次管理!#REF!="実績"),日次管理!#REF!)</f>
        <v>#REF!</v>
      </c>
      <c r="BD12" s="91" t="e">
        <f>SUMPRODUCT((日次管理!#REF!&lt;=$BD$3)*(日次管理!#REF!=$A$12)*(日次管理!#REF!="実施完了")*(日次管理!#REF!="予定"),日次管理!#REF!)</f>
        <v>#REF!</v>
      </c>
      <c r="BE12" s="59" t="e">
        <f>SUMPRODUCT((日次管理!#REF!&lt;=$BE$3)*(日次管理!#REF!=$A$12)*(日次管理!#REF!="実施完了")*(日次管理!#REF!="実績"),日次管理!#REF!)</f>
        <v>#REF!</v>
      </c>
      <c r="BF12" s="91" t="e">
        <f>SUMPRODUCT((日次管理!#REF!&lt;=$BF$3)*(日次管理!#REF!=$A$12)*(日次管理!#REF!="実施完了")*(日次管理!#REF!="予定"),日次管理!#REF!)</f>
        <v>#REF!</v>
      </c>
      <c r="BG12" s="59" t="e">
        <f>SUMPRODUCT((日次管理!#REF!&lt;=$BG$3)*(日次管理!#REF!=$A$12)*(日次管理!#REF!="実施完了")*(日次管理!#REF!="実績"),日次管理!#REF!)</f>
        <v>#REF!</v>
      </c>
      <c r="BH12" s="91" t="e">
        <f>SUMPRODUCT((日次管理!#REF!&lt;=$BH$3)*(日次管理!#REF!=$A$12)*(日次管理!#REF!="実施完了")*(日次管理!#REF!="予定"),日次管理!#REF!)</f>
        <v>#REF!</v>
      </c>
      <c r="BI12" s="59" t="e">
        <f>SUMPRODUCT((日次管理!#REF!&lt;=$BI$3)*(日次管理!#REF!=$A$12)*(日次管理!#REF!="実施完了")*(日次管理!#REF!="実績"),日次管理!#REF!)</f>
        <v>#REF!</v>
      </c>
      <c r="BJ12" s="91" t="e">
        <f>SUMPRODUCT((日次管理!#REF!&lt;=$BJ$3)*(日次管理!#REF!=$A$12)*(日次管理!#REF!="実施完了")*(日次管理!#REF!="予定"),日次管理!#REF!)</f>
        <v>#REF!</v>
      </c>
      <c r="BK12" s="59" t="e">
        <f>SUMPRODUCT((日次管理!#REF!&lt;=$BK$3)*(日次管理!#REF!=$A$12)*(日次管理!#REF!="実施完了")*(日次管理!#REF!="実績"),日次管理!#REF!)</f>
        <v>#REF!</v>
      </c>
      <c r="BL12" s="91" t="e">
        <f>SUMPRODUCT((日次管理!#REF!&lt;=$BL$3)*(日次管理!#REF!=$A$12)*(日次管理!#REF!="実施完了")*(日次管理!#REF!="予定"),日次管理!#REF!)</f>
        <v>#REF!</v>
      </c>
      <c r="BM12" s="59" t="e">
        <f>SUMPRODUCT((日次管理!#REF!&lt;=$BM$3)*(日次管理!#REF!=$A$12)*(日次管理!#REF!="実施完了")*(日次管理!#REF!="実績"),日次管理!#REF!)</f>
        <v>#REF!</v>
      </c>
      <c r="BN12" s="91" t="e">
        <f>SUMPRODUCT((日次管理!#REF!&lt;=$BN$3)*(日次管理!#REF!=$A$12)*(日次管理!#REF!="実施完了")*(日次管理!#REF!="予定"),日次管理!#REF!)</f>
        <v>#REF!</v>
      </c>
      <c r="BO12" s="59" t="e">
        <f>SUMPRODUCT((日次管理!#REF!&lt;=$BO$3)*(日次管理!#REF!=$A$12)*(日次管理!#REF!="実施完了")*(日次管理!#REF!="実績"),日次管理!#REF!)</f>
        <v>#REF!</v>
      </c>
      <c r="BP12" s="91" t="e">
        <f>SUMPRODUCT((日次管理!#REF!&lt;=$BP$3)*(日次管理!#REF!=$A$12)*(日次管理!#REF!="実施完了")*(日次管理!#REF!="予定"),日次管理!#REF!)</f>
        <v>#REF!</v>
      </c>
      <c r="BQ12" s="59" t="e">
        <f>SUMPRODUCT((日次管理!#REF!&lt;=$BQ$3)*(日次管理!#REF!=$A$12)*(日次管理!#REF!="実施完了")*(日次管理!#REF!="実績"),日次管理!#REF!)</f>
        <v>#REF!</v>
      </c>
      <c r="BR12" s="91" t="e">
        <f>SUMPRODUCT((日次管理!#REF!&lt;=$BR$3)*(日次管理!#REF!=$A$12)*(日次管理!#REF!="実施完了")*(日次管理!#REF!="予定"),日次管理!#REF!)</f>
        <v>#REF!</v>
      </c>
      <c r="BS12" s="59" t="e">
        <f>SUMPRODUCT((日次管理!#REF!&lt;=$BS$3)*(日次管理!#REF!=$A$12)*(日次管理!#REF!="実施完了")*(日次管理!#REF!="実績"),日次管理!#REF!)</f>
        <v>#REF!</v>
      </c>
      <c r="BT12" s="91" t="e">
        <f>SUMPRODUCT((日次管理!#REF!&lt;=$BT$3)*(日次管理!#REF!=$A$12)*(日次管理!#REF!="実施完了")*(日次管理!#REF!="予定"),日次管理!#REF!)</f>
        <v>#REF!</v>
      </c>
      <c r="BU12" s="59" t="e">
        <f>SUMPRODUCT((日次管理!#REF!&lt;=$BU$3)*(日次管理!#REF!=$A$12)*(日次管理!#REF!="実施完了")*(日次管理!#REF!="実績"),日次管理!#REF!)</f>
        <v>#REF!</v>
      </c>
      <c r="BV12" s="91" t="e">
        <f>SUMPRODUCT((日次管理!#REF!&lt;=$BV$3)*(日次管理!#REF!=$A$12)*(日次管理!#REF!="実施完了")*(日次管理!#REF!="予定"),日次管理!#REF!)</f>
        <v>#REF!</v>
      </c>
      <c r="BW12" s="59" t="e">
        <f>SUMPRODUCT((日次管理!#REF!&lt;=$BW$3)*(日次管理!#REF!=$A$12)*(日次管理!#REF!="実施完了")*(日次管理!#REF!="実績"),日次管理!#REF!)</f>
        <v>#REF!</v>
      </c>
      <c r="BX12" s="91" t="e">
        <f>SUMPRODUCT((日次管理!#REF!&lt;=$BX$3)*(日次管理!#REF!=$A$12)*(日次管理!#REF!="実施完了")*(日次管理!#REF!="予定"),日次管理!#REF!)</f>
        <v>#REF!</v>
      </c>
      <c r="BY12" s="59" t="e">
        <f>SUMPRODUCT((日次管理!#REF!&lt;=$BY$3)*(日次管理!#REF!=$A$12)*(日次管理!#REF!="実施完了")*(日次管理!#REF!="実績"),日次管理!#REF!)</f>
        <v>#REF!</v>
      </c>
      <c r="BZ12" s="91" t="e">
        <f>SUMPRODUCT((日次管理!#REF!&lt;=$BZ$3)*(日次管理!#REF!=$A$12)*(日次管理!#REF!="実施完了")*(日次管理!#REF!="予定"),日次管理!#REF!)</f>
        <v>#REF!</v>
      </c>
      <c r="CA12" s="59" t="e">
        <f>SUMPRODUCT((日次管理!#REF!&lt;=$CA$3)*(日次管理!#REF!=$A$12)*(日次管理!#REF!="実施完了")*(日次管理!#REF!="実績"),日次管理!#REF!)</f>
        <v>#REF!</v>
      </c>
      <c r="CB12" s="91" t="e">
        <f>SUMPRODUCT((日次管理!#REF!&lt;=$CB$3)*(日次管理!#REF!=$A$12)*(日次管理!#REF!="実施完了")*(日次管理!#REF!="予定"),日次管理!#REF!)</f>
        <v>#REF!</v>
      </c>
      <c r="CC12" s="59" t="e">
        <f>SUMPRODUCT((日次管理!#REF!&lt;=$CC$3)*(日次管理!#REF!=$A$12)*(日次管理!#REF!="実施完了")*(日次管理!#REF!="実績"),日次管理!#REF!)</f>
        <v>#REF!</v>
      </c>
      <c r="CD12" s="91" t="e">
        <f>SUMPRODUCT((日次管理!#REF!&lt;=$CD$3)*(日次管理!#REF!=$A$12)*(日次管理!#REF!="実施完了")*(日次管理!#REF!="予定"),日次管理!#REF!)</f>
        <v>#REF!</v>
      </c>
      <c r="CE12" s="59" t="e">
        <f>SUMPRODUCT((日次管理!#REF!&lt;=$CE$3)*(日次管理!#REF!=$A$12)*(日次管理!#REF!="実施完了")*(日次管理!#REF!="実績"),日次管理!#REF!)</f>
        <v>#REF!</v>
      </c>
      <c r="CF12" s="91" t="e">
        <f>SUMPRODUCT((日次管理!#REF!&lt;=$CF$3)*(日次管理!#REF!=$A$12)*(日次管理!#REF!="実施完了")*(日次管理!#REF!="予定"),日次管理!#REF!)</f>
        <v>#REF!</v>
      </c>
      <c r="CG12" s="59" t="e">
        <f>SUMPRODUCT((日次管理!#REF!&lt;=$CG$3)*(日次管理!#REF!=$A$12)*(日次管理!#REF!="実施完了")*(日次管理!#REF!="実績"),日次管理!#REF!)</f>
        <v>#REF!</v>
      </c>
      <c r="CH12" s="91" t="e">
        <f>SUMPRODUCT((日次管理!#REF!&lt;=$CH$3)*(日次管理!#REF!=$A$12)*(日次管理!#REF!="実施完了")*(日次管理!#REF!="予定"),日次管理!#REF!)</f>
        <v>#REF!</v>
      </c>
      <c r="CI12" s="59" t="e">
        <f>SUMPRODUCT((日次管理!#REF!&lt;=$CI$3)*(日次管理!#REF!=$A$12)*(日次管理!#REF!="実施完了")*(日次管理!#REF!="実績"),日次管理!#REF!)</f>
        <v>#REF!</v>
      </c>
      <c r="CJ12" s="91" t="e">
        <f>SUMPRODUCT((日次管理!#REF!&lt;=$CJ$3)*(日次管理!#REF!=$A$12)*(日次管理!#REF!="実施完了")*(日次管理!#REF!="予定"),日次管理!#REF!)</f>
        <v>#REF!</v>
      </c>
      <c r="CK12" s="59" t="e">
        <f>SUMPRODUCT((日次管理!#REF!&lt;=$CK$3)*(日次管理!#REF!=$A$12)*(日次管理!#REF!="実施完了")*(日次管理!#REF!="実績"),日次管理!#REF!)</f>
        <v>#REF!</v>
      </c>
      <c r="CL12" s="91" t="e">
        <f>SUMPRODUCT((日次管理!#REF!&lt;=$CL$3)*(日次管理!#REF!=$A$12)*(日次管理!#REF!="実施完了")*(日次管理!#REF!="予定"),日次管理!#REF!)</f>
        <v>#REF!</v>
      </c>
      <c r="CM12" s="59" t="e">
        <f>SUMPRODUCT((日次管理!#REF!&lt;=$CM$3)*(日次管理!#REF!=$A$12)*(日次管理!#REF!="実施完了")*(日次管理!#REF!="実績"),日次管理!#REF!)</f>
        <v>#REF!</v>
      </c>
      <c r="CN12" s="91" t="e">
        <f>SUMPRODUCT((日次管理!#REF!&lt;=$CN$3)*(日次管理!#REF!=$A$12)*(日次管理!#REF!="実施完了")*(日次管理!#REF!="予定"),日次管理!#REF!)</f>
        <v>#REF!</v>
      </c>
      <c r="CO12" s="59" t="e">
        <f>SUMPRODUCT((日次管理!#REF!&lt;=$CO$3)*(日次管理!#REF!=$A$12)*(日次管理!#REF!="実施完了")*(日次管理!#REF!="実績"),日次管理!#REF!)</f>
        <v>#REF!</v>
      </c>
      <c r="CP12" s="91" t="e">
        <f>SUMPRODUCT((日次管理!#REF!&lt;=$CP$3)*(日次管理!#REF!=$A$12)*(日次管理!#REF!="実施完了")*(日次管理!#REF!="予定"),日次管理!#REF!)</f>
        <v>#REF!</v>
      </c>
      <c r="CQ12" s="59" t="e">
        <f>SUMPRODUCT((日次管理!#REF!&lt;=$CQ$3)*(日次管理!#REF!=$A$12)*(日次管理!#REF!="実施完了")*(日次管理!#REF!="実績"),日次管理!#REF!)</f>
        <v>#REF!</v>
      </c>
      <c r="CR12" s="91" t="e">
        <f>SUMPRODUCT((日次管理!#REF!&lt;=$CR$3)*(日次管理!#REF!=$A$12)*(日次管理!#REF!="実施完了")*(日次管理!#REF!="予定"),日次管理!#REF!)</f>
        <v>#REF!</v>
      </c>
      <c r="CS12" s="59" t="e">
        <f>SUMPRODUCT((日次管理!#REF!&lt;=$CS$3)*(日次管理!#REF!=$A$12)*(日次管理!#REF!="実施完了")*(日次管理!#REF!="実績"),日次管理!#REF!)</f>
        <v>#REF!</v>
      </c>
      <c r="CT12" s="91" t="e">
        <f>SUMPRODUCT((日次管理!#REF!&lt;=$CT$3)*(日次管理!#REF!=$A$12)*(日次管理!#REF!="実施完了")*(日次管理!#REF!="予定"),日次管理!#REF!)</f>
        <v>#REF!</v>
      </c>
      <c r="CU12" s="59" t="e">
        <f>SUMPRODUCT((日次管理!#REF!&lt;=$CU$3)*(日次管理!#REF!=$A$12)*(日次管理!#REF!="実施完了")*(日次管理!#REF!="実績"),日次管理!#REF!)</f>
        <v>#REF!</v>
      </c>
      <c r="CV12" s="92" t="e">
        <f ca="1">SUMPRODUCT(($A$3- WEEKDAY($A$3) + 6 =$B$3:$CU$3)*("実績"=$B$4:$CU$4),$B$12:$CU$12)/SUMPRODUCT(($A$3- WEEKDAY($A$3) + 6 =$B$3:$CU$3)*("予定"=$B$4:$CU$4),$B$12:$CU$12)</f>
        <v>#REF!</v>
      </c>
      <c r="CW12" s="93" t="e">
        <f>$CU$12/$CT$12</f>
        <v>#REF!</v>
      </c>
    </row>
    <row r="13" spans="1:101" ht="20.149999999999999" customHeight="1">
      <c r="A13" s="94" t="s">
        <v>95</v>
      </c>
      <c r="B13" s="95" t="e">
        <f>SUMPRODUCT((日次管理!#REF!&lt;=$B$3)*(日次管理!#REF!=$A$13)*(日次管理!#REF!="実施完了")*(日次管理!#REF!="予定"),日次管理!#REF!)</f>
        <v>#REF!</v>
      </c>
      <c r="C13" s="60" t="e">
        <f>SUMPRODUCT((日次管理!#REF!&lt;=$C$3)*(日次管理!#REF!=$A$13)*(日次管理!#REF!="実施完了")*(日次管理!#REF!="実績"),日次管理!#REF!)</f>
        <v>#REF!</v>
      </c>
      <c r="D13" s="95" t="e">
        <f>SUMPRODUCT((日次管理!#REF!&lt;=$D$3)*(日次管理!#REF!=$A$13)*(日次管理!#REF!="実施完了")*(日次管理!#REF!="予定"),日次管理!#REF!)</f>
        <v>#REF!</v>
      </c>
      <c r="E13" s="60" t="e">
        <f>SUMPRODUCT((日次管理!#REF!&lt;=$E$3)*(日次管理!#REF!=$A$13)*(日次管理!#REF!="実施完了")*(日次管理!#REF!="実績"),日次管理!#REF!)</f>
        <v>#REF!</v>
      </c>
      <c r="F13" s="95" t="e">
        <f>SUMPRODUCT((日次管理!#REF!&lt;=$F$3)*(日次管理!#REF!=$A$13)*(日次管理!#REF!="実施完了")*(日次管理!#REF!="予定"),日次管理!#REF!)</f>
        <v>#REF!</v>
      </c>
      <c r="G13" s="60" t="e">
        <f>SUMPRODUCT((日次管理!#REF!&lt;=$G$3)*(日次管理!#REF!=$A$13)*(日次管理!#REF!="実施完了")*(日次管理!#REF!="実績"),日次管理!#REF!)</f>
        <v>#REF!</v>
      </c>
      <c r="H13" s="95" t="e">
        <f>SUMPRODUCT((日次管理!#REF!&lt;=$H$3)*(日次管理!#REF!=$A$13)*(日次管理!#REF!="実施完了")*(日次管理!#REF!="予定"),日次管理!#REF!)</f>
        <v>#REF!</v>
      </c>
      <c r="I13" s="60" t="e">
        <f>SUMPRODUCT((日次管理!#REF!&lt;=$I$3)*(日次管理!#REF!=$A$13)*(日次管理!#REF!="実施完了")*(日次管理!#REF!="実績"),日次管理!#REF!)</f>
        <v>#REF!</v>
      </c>
      <c r="J13" s="95" t="e">
        <f>SUMPRODUCT((日次管理!#REF!&lt;=$J$3)*(日次管理!#REF!=$A$13)*(日次管理!#REF!="実施完了")*(日次管理!#REF!="予定"),日次管理!#REF!)</f>
        <v>#REF!</v>
      </c>
      <c r="K13" s="60" t="e">
        <f>SUMPRODUCT((日次管理!#REF!&lt;=$K$3)*(日次管理!#REF!=$A$13)*(日次管理!#REF!="実施完了")*(日次管理!#REF!="実績"),日次管理!#REF!)</f>
        <v>#REF!</v>
      </c>
      <c r="L13" s="95" t="e">
        <f>SUMPRODUCT((日次管理!#REF!&lt;=$L$3)*(日次管理!#REF!=$A$13)*(日次管理!#REF!="実施完了")*(日次管理!#REF!="予定"),日次管理!#REF!)</f>
        <v>#REF!</v>
      </c>
      <c r="M13" s="60" t="e">
        <f>SUMPRODUCT((日次管理!#REF!&lt;=$M$3)*(日次管理!#REF!=$A$13)*(日次管理!#REF!="実施完了")*(日次管理!#REF!="実績"),日次管理!#REF!)</f>
        <v>#REF!</v>
      </c>
      <c r="N13" s="95" t="e">
        <f>SUMPRODUCT((日次管理!#REF!&lt;=$N$3)*(日次管理!#REF!=$A$13)*(日次管理!#REF!="実施完了")*(日次管理!#REF!="予定"),日次管理!#REF!)</f>
        <v>#REF!</v>
      </c>
      <c r="O13" s="60" t="e">
        <f>SUMPRODUCT((日次管理!#REF!&lt;=$O$3)*(日次管理!#REF!=$A$13)*(日次管理!#REF!="実施完了")*(日次管理!#REF!="実績"),日次管理!#REF!)</f>
        <v>#REF!</v>
      </c>
      <c r="P13" s="95" t="e">
        <f>SUMPRODUCT((日次管理!#REF!&lt;=$P$3)*(日次管理!#REF!=$A$13)*(日次管理!#REF!="実施完了")*(日次管理!#REF!="予定"),日次管理!#REF!)</f>
        <v>#REF!</v>
      </c>
      <c r="Q13" s="60" t="e">
        <f>SUMPRODUCT((日次管理!#REF!&lt;=$Q$3)*(日次管理!#REF!=$A$13)*(日次管理!#REF!="実施完了")*(日次管理!#REF!="実績"),日次管理!#REF!)</f>
        <v>#REF!</v>
      </c>
      <c r="R13" s="95" t="e">
        <f>SUMPRODUCT((日次管理!#REF!&lt;=$R$3)*(日次管理!#REF!=$A$13)*(日次管理!#REF!="実施完了")*(日次管理!#REF!="予定"),日次管理!#REF!)</f>
        <v>#REF!</v>
      </c>
      <c r="S13" s="60" t="e">
        <f>SUMPRODUCT((日次管理!#REF!&lt;=$S$3)*(日次管理!#REF!=$A$13)*(日次管理!#REF!="実施完了")*(日次管理!#REF!="実績"),日次管理!#REF!)</f>
        <v>#REF!</v>
      </c>
      <c r="T13" s="95" t="e">
        <f>SUMPRODUCT((日次管理!#REF!&lt;=$T$3)*(日次管理!#REF!=$A$13)*(日次管理!#REF!="実施完了")*(日次管理!#REF!="予定"),日次管理!#REF!)</f>
        <v>#REF!</v>
      </c>
      <c r="U13" s="60" t="e">
        <f>SUMPRODUCT((日次管理!#REF!&lt;=$U$3)*(日次管理!#REF!=$A$13)*(日次管理!#REF!="実施完了")*(日次管理!#REF!="実績"),日次管理!#REF!)</f>
        <v>#REF!</v>
      </c>
      <c r="V13" s="95" t="e">
        <f>SUMPRODUCT((日次管理!#REF!&lt;=$V$3)*(日次管理!#REF!=$A$13)*(日次管理!#REF!="実施完了")*(日次管理!#REF!="予定"),日次管理!#REF!)</f>
        <v>#REF!</v>
      </c>
      <c r="W13" s="60" t="e">
        <f>SUMPRODUCT((日次管理!#REF!&lt;=$W$3)*(日次管理!#REF!=$A$13)*(日次管理!#REF!="実施完了")*(日次管理!#REF!="実績"),日次管理!#REF!)</f>
        <v>#REF!</v>
      </c>
      <c r="X13" s="95" t="e">
        <f>SUMPRODUCT((日次管理!#REF!&lt;=$X$3)*(日次管理!#REF!=$A$13)*(日次管理!#REF!="実施完了")*(日次管理!#REF!="予定"),日次管理!#REF!)</f>
        <v>#REF!</v>
      </c>
      <c r="Y13" s="60" t="e">
        <f>SUMPRODUCT((日次管理!#REF!&lt;=$Y$3)*(日次管理!#REF!=$A$13)*(日次管理!#REF!="実施完了")*(日次管理!#REF!="実績"),日次管理!#REF!)</f>
        <v>#REF!</v>
      </c>
      <c r="Z13" s="95" t="e">
        <f>SUMPRODUCT((日次管理!#REF!&lt;=$Z$3)*(日次管理!#REF!=$A$13)*(日次管理!#REF!="実施完了")*(日次管理!#REF!="予定"),日次管理!#REF!)</f>
        <v>#REF!</v>
      </c>
      <c r="AA13" s="60" t="e">
        <f>SUMPRODUCT((日次管理!#REF!&lt;=$AA$3)*(日次管理!#REF!=$A$13)*(日次管理!#REF!="実施完了")*(日次管理!#REF!="実績"),日次管理!#REF!)</f>
        <v>#REF!</v>
      </c>
      <c r="AB13" s="95" t="e">
        <f>SUMPRODUCT((日次管理!#REF!&lt;=$AB$3)*(日次管理!#REF!=$A$13)*(日次管理!#REF!="実施完了")*(日次管理!#REF!="予定"),日次管理!#REF!)</f>
        <v>#REF!</v>
      </c>
      <c r="AC13" s="60" t="e">
        <f>SUMPRODUCT((日次管理!#REF!&lt;=$AC$3)*(日次管理!#REF!=$A$13)*(日次管理!#REF!="実施完了")*(日次管理!#REF!="実績"),日次管理!#REF!)</f>
        <v>#REF!</v>
      </c>
      <c r="AD13" s="95" t="e">
        <f>SUMPRODUCT((日次管理!#REF!&lt;=$AD$3)*(日次管理!#REF!=$A$13)*(日次管理!#REF!="実施完了")*(日次管理!#REF!="予定"),日次管理!#REF!)</f>
        <v>#REF!</v>
      </c>
      <c r="AE13" s="60" t="e">
        <f>SUMPRODUCT((日次管理!#REF!&lt;=$AE$3)*(日次管理!#REF!=$A$13)*(日次管理!#REF!="実施完了")*(日次管理!#REF!="実績"),日次管理!#REF!)</f>
        <v>#REF!</v>
      </c>
      <c r="AF13" s="95" t="e">
        <f>SUMPRODUCT((日次管理!#REF!&lt;=$AF$3)*(日次管理!#REF!=$A$13)*(日次管理!#REF!="実施完了")*(日次管理!#REF!="予定"),日次管理!#REF!)</f>
        <v>#REF!</v>
      </c>
      <c r="AG13" s="60" t="e">
        <f>SUMPRODUCT((日次管理!#REF!&lt;=$AG$3)*(日次管理!#REF!=$A$13)*(日次管理!#REF!="実施完了")*(日次管理!#REF!="実績"),日次管理!#REF!)</f>
        <v>#REF!</v>
      </c>
      <c r="AH13" s="95" t="e">
        <f>SUMPRODUCT((日次管理!#REF!&lt;=$AH$3)*(日次管理!#REF!=$A$13)*(日次管理!#REF!="実施完了")*(日次管理!#REF!="予定"),日次管理!#REF!)</f>
        <v>#REF!</v>
      </c>
      <c r="AI13" s="60" t="e">
        <f>SUMPRODUCT((日次管理!#REF!&lt;=$AI$3)*(日次管理!#REF!=$A$13)*(日次管理!#REF!="実施完了")*(日次管理!#REF!="実績"),日次管理!#REF!)</f>
        <v>#REF!</v>
      </c>
      <c r="AJ13" s="95" t="e">
        <f>SUMPRODUCT((日次管理!#REF!&lt;=$AJ$3)*(日次管理!#REF!=$A$13)*(日次管理!#REF!="実施完了")*(日次管理!#REF!="予定"),日次管理!#REF!)</f>
        <v>#REF!</v>
      </c>
      <c r="AK13" s="60" t="e">
        <f>SUMPRODUCT((日次管理!#REF!&lt;=$AK$3)*(日次管理!#REF!=$A$13)*(日次管理!#REF!="実施完了")*(日次管理!#REF!="実績"),日次管理!#REF!)</f>
        <v>#REF!</v>
      </c>
      <c r="AL13" s="95" t="e">
        <f>SUMPRODUCT((日次管理!#REF!&lt;=$AL$3)*(日次管理!#REF!=$A$13)*(日次管理!#REF!="実施完了")*(日次管理!#REF!="予定"),日次管理!#REF!)</f>
        <v>#REF!</v>
      </c>
      <c r="AM13" s="60" t="e">
        <f>SUMPRODUCT((日次管理!#REF!&lt;=$AM$3)*(日次管理!#REF!=$A$13)*(日次管理!#REF!="実施完了")*(日次管理!#REF!="実績"),日次管理!#REF!)</f>
        <v>#REF!</v>
      </c>
      <c r="AN13" s="95" t="e">
        <f>SUMPRODUCT((日次管理!#REF!&lt;=$AN$3)*(日次管理!#REF!=$A$13)*(日次管理!#REF!="実施完了")*(日次管理!#REF!="予定"),日次管理!#REF!)</f>
        <v>#REF!</v>
      </c>
      <c r="AO13" s="60" t="e">
        <f>SUMPRODUCT((日次管理!#REF!&lt;=$AO$3)*(日次管理!#REF!=$A$13)*(日次管理!#REF!="実施完了")*(日次管理!#REF!="実績"),日次管理!#REF!)</f>
        <v>#REF!</v>
      </c>
      <c r="AP13" s="95" t="e">
        <f>SUMPRODUCT((日次管理!#REF!&lt;=$AP$3)*(日次管理!#REF!=$A$13)*(日次管理!#REF!="実施完了")*(日次管理!#REF!="予定"),日次管理!#REF!)</f>
        <v>#REF!</v>
      </c>
      <c r="AQ13" s="60" t="e">
        <f>SUMPRODUCT((日次管理!#REF!&lt;=$AQ$3)*(日次管理!#REF!=$A$13)*(日次管理!#REF!="実施完了")*(日次管理!#REF!="実績"),日次管理!#REF!)</f>
        <v>#REF!</v>
      </c>
      <c r="AR13" s="95" t="e">
        <f>SUMPRODUCT((日次管理!#REF!&lt;=$AR$3)*(日次管理!#REF!=$A$13)*(日次管理!#REF!="実施完了")*(日次管理!#REF!="予定"),日次管理!#REF!)</f>
        <v>#REF!</v>
      </c>
      <c r="AS13" s="60" t="e">
        <f>SUMPRODUCT((日次管理!#REF!&lt;=$AS$3)*(日次管理!#REF!=$A$13)*(日次管理!#REF!="実施完了")*(日次管理!#REF!="実績"),日次管理!#REF!)</f>
        <v>#REF!</v>
      </c>
      <c r="AT13" s="95" t="e">
        <f>SUMPRODUCT((日次管理!#REF!&lt;=$AT$3)*(日次管理!#REF!=$A$13)*(日次管理!#REF!="実施完了")*(日次管理!#REF!="予定"),日次管理!#REF!)</f>
        <v>#REF!</v>
      </c>
      <c r="AU13" s="60" t="e">
        <f>SUMPRODUCT((日次管理!#REF!&lt;=$AU$3)*(日次管理!#REF!=$A$13)*(日次管理!#REF!="実施完了")*(日次管理!#REF!="実績"),日次管理!#REF!)</f>
        <v>#REF!</v>
      </c>
      <c r="AV13" s="95" t="e">
        <f>SUMPRODUCT((日次管理!#REF!&lt;=$AV$3)*(日次管理!#REF!=$A$13)*(日次管理!#REF!="実施完了")*(日次管理!#REF!="予定"),日次管理!#REF!)</f>
        <v>#REF!</v>
      </c>
      <c r="AW13" s="60" t="e">
        <f>SUMPRODUCT((日次管理!#REF!&lt;=$AW$3)*(日次管理!#REF!=$A$13)*(日次管理!#REF!="実施完了")*(日次管理!#REF!="実績"),日次管理!#REF!)</f>
        <v>#REF!</v>
      </c>
      <c r="AX13" s="95" t="e">
        <f>SUMPRODUCT((日次管理!#REF!&lt;=$AX$3)*(日次管理!#REF!=$A$13)*(日次管理!#REF!="実施完了")*(日次管理!#REF!="予定"),日次管理!#REF!)</f>
        <v>#REF!</v>
      </c>
      <c r="AY13" s="60" t="e">
        <f>SUMPRODUCT((日次管理!#REF!&lt;=$AY$3)*(日次管理!#REF!=$A$13)*(日次管理!#REF!="実施完了")*(日次管理!#REF!="実績"),日次管理!#REF!)</f>
        <v>#REF!</v>
      </c>
      <c r="AZ13" s="95" t="e">
        <f>SUMPRODUCT((日次管理!#REF!&lt;=$AZ$3)*(日次管理!#REF!=$A$13)*(日次管理!#REF!="実施完了")*(日次管理!#REF!="予定"),日次管理!#REF!)</f>
        <v>#REF!</v>
      </c>
      <c r="BA13" s="60" t="e">
        <f>SUMPRODUCT((日次管理!#REF!&lt;=$BA$3)*(日次管理!#REF!=$A$13)*(日次管理!#REF!="実施完了")*(日次管理!#REF!="実績"),日次管理!#REF!)</f>
        <v>#REF!</v>
      </c>
      <c r="BB13" s="95" t="e">
        <f>SUMPRODUCT((日次管理!#REF!&lt;=$BB$3)*(日次管理!#REF!=$A$13)*(日次管理!#REF!="実施完了")*(日次管理!#REF!="予定"),日次管理!#REF!)</f>
        <v>#REF!</v>
      </c>
      <c r="BC13" s="60" t="e">
        <f>SUMPRODUCT((日次管理!#REF!&lt;=$BC$3)*(日次管理!#REF!=$A$13)*(日次管理!#REF!="実施完了")*(日次管理!#REF!="実績"),日次管理!#REF!)</f>
        <v>#REF!</v>
      </c>
      <c r="BD13" s="95" t="e">
        <f>SUMPRODUCT((日次管理!#REF!&lt;=$BD$3)*(日次管理!#REF!=$A$13)*(日次管理!#REF!="実施完了")*(日次管理!#REF!="予定"),日次管理!#REF!)</f>
        <v>#REF!</v>
      </c>
      <c r="BE13" s="60" t="e">
        <f>SUMPRODUCT((日次管理!#REF!&lt;=$BE$3)*(日次管理!#REF!=$A$13)*(日次管理!#REF!="実施完了")*(日次管理!#REF!="実績"),日次管理!#REF!)</f>
        <v>#REF!</v>
      </c>
      <c r="BF13" s="95" t="e">
        <f>SUMPRODUCT((日次管理!#REF!&lt;=$BF$3)*(日次管理!#REF!=$A$13)*(日次管理!#REF!="実施完了")*(日次管理!#REF!="予定"),日次管理!#REF!)</f>
        <v>#REF!</v>
      </c>
      <c r="BG13" s="60" t="e">
        <f>SUMPRODUCT((日次管理!#REF!&lt;=$BG$3)*(日次管理!#REF!=$A$13)*(日次管理!#REF!="実施完了")*(日次管理!#REF!="実績"),日次管理!#REF!)</f>
        <v>#REF!</v>
      </c>
      <c r="BH13" s="95" t="e">
        <f>SUMPRODUCT((日次管理!#REF!&lt;=$BH$3)*(日次管理!#REF!=$A$13)*(日次管理!#REF!="実施完了")*(日次管理!#REF!="予定"),日次管理!#REF!)</f>
        <v>#REF!</v>
      </c>
      <c r="BI13" s="60" t="e">
        <f>SUMPRODUCT((日次管理!#REF!&lt;=$BI$3)*(日次管理!#REF!=$A$13)*(日次管理!#REF!="実施完了")*(日次管理!#REF!="実績"),日次管理!#REF!)</f>
        <v>#REF!</v>
      </c>
      <c r="BJ13" s="95" t="e">
        <f>SUMPRODUCT((日次管理!#REF!&lt;=$BJ$3)*(日次管理!#REF!=$A$13)*(日次管理!#REF!="実施完了")*(日次管理!#REF!="予定"),日次管理!#REF!)</f>
        <v>#REF!</v>
      </c>
      <c r="BK13" s="60" t="e">
        <f>SUMPRODUCT((日次管理!#REF!&lt;=$BK$3)*(日次管理!#REF!=$A$13)*(日次管理!#REF!="実施完了")*(日次管理!#REF!="実績"),日次管理!#REF!)</f>
        <v>#REF!</v>
      </c>
      <c r="BL13" s="95" t="e">
        <f>SUMPRODUCT((日次管理!#REF!&lt;=$BL$3)*(日次管理!#REF!=$A$13)*(日次管理!#REF!="実施完了")*(日次管理!#REF!="予定"),日次管理!#REF!)</f>
        <v>#REF!</v>
      </c>
      <c r="BM13" s="60" t="e">
        <f>SUMPRODUCT((日次管理!#REF!&lt;=$BM$3)*(日次管理!#REF!=$A$13)*(日次管理!#REF!="実施完了")*(日次管理!#REF!="実績"),日次管理!#REF!)</f>
        <v>#REF!</v>
      </c>
      <c r="BN13" s="95" t="e">
        <f>SUMPRODUCT((日次管理!#REF!&lt;=$BN$3)*(日次管理!#REF!=$A$13)*(日次管理!#REF!="実施完了")*(日次管理!#REF!="予定"),日次管理!#REF!)</f>
        <v>#REF!</v>
      </c>
      <c r="BO13" s="60" t="e">
        <f>SUMPRODUCT((日次管理!#REF!&lt;=$BO$3)*(日次管理!#REF!=$A$13)*(日次管理!#REF!="実施完了")*(日次管理!#REF!="実績"),日次管理!#REF!)</f>
        <v>#REF!</v>
      </c>
      <c r="BP13" s="95" t="e">
        <f>SUMPRODUCT((日次管理!#REF!&lt;=$BP$3)*(日次管理!#REF!=$A$13)*(日次管理!#REF!="実施完了")*(日次管理!#REF!="予定"),日次管理!#REF!)</f>
        <v>#REF!</v>
      </c>
      <c r="BQ13" s="60" t="e">
        <f>SUMPRODUCT((日次管理!#REF!&lt;=$BQ$3)*(日次管理!#REF!=$A$13)*(日次管理!#REF!="実施完了")*(日次管理!#REF!="実績"),日次管理!#REF!)</f>
        <v>#REF!</v>
      </c>
      <c r="BR13" s="95" t="e">
        <f>SUMPRODUCT((日次管理!#REF!&lt;=$BR$3)*(日次管理!#REF!=$A$13)*(日次管理!#REF!="実施完了")*(日次管理!#REF!="予定"),日次管理!#REF!)</f>
        <v>#REF!</v>
      </c>
      <c r="BS13" s="60" t="e">
        <f>SUMPRODUCT((日次管理!#REF!&lt;=$BS$3)*(日次管理!#REF!=$A$13)*(日次管理!#REF!="実施完了")*(日次管理!#REF!="実績"),日次管理!#REF!)</f>
        <v>#REF!</v>
      </c>
      <c r="BT13" s="95" t="e">
        <f>SUMPRODUCT((日次管理!#REF!&lt;=$BT$3)*(日次管理!#REF!=$A$13)*(日次管理!#REF!="実施完了")*(日次管理!#REF!="予定"),日次管理!#REF!)</f>
        <v>#REF!</v>
      </c>
      <c r="BU13" s="60" t="e">
        <f>SUMPRODUCT((日次管理!#REF!&lt;=$BU$3)*(日次管理!#REF!=$A$13)*(日次管理!#REF!="実施完了")*(日次管理!#REF!="実績"),日次管理!#REF!)</f>
        <v>#REF!</v>
      </c>
      <c r="BV13" s="95" t="e">
        <f>SUMPRODUCT((日次管理!#REF!&lt;=$BV$3)*(日次管理!#REF!=$A$13)*(日次管理!#REF!="実施完了")*(日次管理!#REF!="予定"),日次管理!#REF!)</f>
        <v>#REF!</v>
      </c>
      <c r="BW13" s="60" t="e">
        <f>SUMPRODUCT((日次管理!#REF!&lt;=$BW$3)*(日次管理!#REF!=$A$13)*(日次管理!#REF!="実施完了")*(日次管理!#REF!="実績"),日次管理!#REF!)</f>
        <v>#REF!</v>
      </c>
      <c r="BX13" s="95" t="e">
        <f>SUMPRODUCT((日次管理!#REF!&lt;=$BX$3)*(日次管理!#REF!=$A$13)*(日次管理!#REF!="実施完了")*(日次管理!#REF!="予定"),日次管理!#REF!)</f>
        <v>#REF!</v>
      </c>
      <c r="BY13" s="60" t="e">
        <f>SUMPRODUCT((日次管理!#REF!&lt;=$BY$3)*(日次管理!#REF!=$A$13)*(日次管理!#REF!="実施完了")*(日次管理!#REF!="実績"),日次管理!#REF!)</f>
        <v>#REF!</v>
      </c>
      <c r="BZ13" s="95" t="e">
        <f>SUMPRODUCT((日次管理!#REF!&lt;=$BZ$3)*(日次管理!#REF!=$A$13)*(日次管理!#REF!="実施完了")*(日次管理!#REF!="予定"),日次管理!#REF!)</f>
        <v>#REF!</v>
      </c>
      <c r="CA13" s="60" t="e">
        <f>SUMPRODUCT((日次管理!#REF!&lt;=$CA$3)*(日次管理!#REF!=$A$13)*(日次管理!#REF!="実施完了")*(日次管理!#REF!="実績"),日次管理!#REF!)</f>
        <v>#REF!</v>
      </c>
      <c r="CB13" s="95" t="e">
        <f>SUMPRODUCT((日次管理!#REF!&lt;=$CB$3)*(日次管理!#REF!=$A$13)*(日次管理!#REF!="実施完了")*(日次管理!#REF!="予定"),日次管理!#REF!)</f>
        <v>#REF!</v>
      </c>
      <c r="CC13" s="60" t="e">
        <f>SUMPRODUCT((日次管理!#REF!&lt;=$CC$3)*(日次管理!#REF!=$A$13)*(日次管理!#REF!="実施完了")*(日次管理!#REF!="実績"),日次管理!#REF!)</f>
        <v>#REF!</v>
      </c>
      <c r="CD13" s="95" t="e">
        <f>SUMPRODUCT((日次管理!#REF!&lt;=$CD$3)*(日次管理!#REF!=$A$13)*(日次管理!#REF!="実施完了")*(日次管理!#REF!="予定"),日次管理!#REF!)</f>
        <v>#REF!</v>
      </c>
      <c r="CE13" s="60" t="e">
        <f>SUMPRODUCT((日次管理!#REF!&lt;=$CE$3)*(日次管理!#REF!=$A$13)*(日次管理!#REF!="実施完了")*(日次管理!#REF!="実績"),日次管理!#REF!)</f>
        <v>#REF!</v>
      </c>
      <c r="CF13" s="95" t="e">
        <f>SUMPRODUCT((日次管理!#REF!&lt;=$CF$3)*(日次管理!#REF!=$A$13)*(日次管理!#REF!="実施完了")*(日次管理!#REF!="予定"),日次管理!#REF!)</f>
        <v>#REF!</v>
      </c>
      <c r="CG13" s="60" t="e">
        <f>SUMPRODUCT((日次管理!#REF!&lt;=$CG$3)*(日次管理!#REF!=$A$13)*(日次管理!#REF!="実施完了")*(日次管理!#REF!="実績"),日次管理!#REF!)</f>
        <v>#REF!</v>
      </c>
      <c r="CH13" s="95" t="e">
        <f>SUMPRODUCT((日次管理!#REF!&lt;=$CH$3)*(日次管理!#REF!=$A$13)*(日次管理!#REF!="実施完了")*(日次管理!#REF!="予定"),日次管理!#REF!)</f>
        <v>#REF!</v>
      </c>
      <c r="CI13" s="60" t="e">
        <f>SUMPRODUCT((日次管理!#REF!&lt;=$CI$3)*(日次管理!#REF!=$A$13)*(日次管理!#REF!="実施完了")*(日次管理!#REF!="実績"),日次管理!#REF!)</f>
        <v>#REF!</v>
      </c>
      <c r="CJ13" s="95" t="e">
        <f>SUMPRODUCT((日次管理!#REF!&lt;=$CJ$3)*(日次管理!#REF!=$A$13)*(日次管理!#REF!="実施完了")*(日次管理!#REF!="予定"),日次管理!#REF!)</f>
        <v>#REF!</v>
      </c>
      <c r="CK13" s="60" t="e">
        <f>SUMPRODUCT((日次管理!#REF!&lt;=$CK$3)*(日次管理!#REF!=$A$13)*(日次管理!#REF!="実施完了")*(日次管理!#REF!="実績"),日次管理!#REF!)</f>
        <v>#REF!</v>
      </c>
      <c r="CL13" s="95" t="e">
        <f>SUMPRODUCT((日次管理!#REF!&lt;=$CL$3)*(日次管理!#REF!=$A$13)*(日次管理!#REF!="実施完了")*(日次管理!#REF!="予定"),日次管理!#REF!)</f>
        <v>#REF!</v>
      </c>
      <c r="CM13" s="60" t="e">
        <f>SUMPRODUCT((日次管理!#REF!&lt;=$CM$3)*(日次管理!#REF!=$A$13)*(日次管理!#REF!="実施完了")*(日次管理!#REF!="実績"),日次管理!#REF!)</f>
        <v>#REF!</v>
      </c>
      <c r="CN13" s="95" t="e">
        <f>SUMPRODUCT((日次管理!#REF!&lt;=$CN$3)*(日次管理!#REF!=$A$13)*(日次管理!#REF!="実施完了")*(日次管理!#REF!="予定"),日次管理!#REF!)</f>
        <v>#REF!</v>
      </c>
      <c r="CO13" s="60" t="e">
        <f>SUMPRODUCT((日次管理!#REF!&lt;=$CO$3)*(日次管理!#REF!=$A$13)*(日次管理!#REF!="実施完了")*(日次管理!#REF!="実績"),日次管理!#REF!)</f>
        <v>#REF!</v>
      </c>
      <c r="CP13" s="95" t="e">
        <f>SUMPRODUCT((日次管理!#REF!&lt;=$CP$3)*(日次管理!#REF!=$A$13)*(日次管理!#REF!="実施完了")*(日次管理!#REF!="予定"),日次管理!#REF!)</f>
        <v>#REF!</v>
      </c>
      <c r="CQ13" s="60" t="e">
        <f>SUMPRODUCT((日次管理!#REF!&lt;=$CQ$3)*(日次管理!#REF!=$A$13)*(日次管理!#REF!="実施完了")*(日次管理!#REF!="実績"),日次管理!#REF!)</f>
        <v>#REF!</v>
      </c>
      <c r="CR13" s="95" t="e">
        <f>SUMPRODUCT((日次管理!#REF!&lt;=$CR$3)*(日次管理!#REF!=$A$13)*(日次管理!#REF!="実施完了")*(日次管理!#REF!="予定"),日次管理!#REF!)</f>
        <v>#REF!</v>
      </c>
      <c r="CS13" s="60" t="e">
        <f>SUMPRODUCT((日次管理!#REF!&lt;=$CS$3)*(日次管理!#REF!=$A$13)*(日次管理!#REF!="実施完了")*(日次管理!#REF!="実績"),日次管理!#REF!)</f>
        <v>#REF!</v>
      </c>
      <c r="CT13" s="95" t="e">
        <f>SUMPRODUCT((日次管理!#REF!&lt;=$CT$3)*(日次管理!#REF!=$A$13)*(日次管理!#REF!="実施完了")*(日次管理!#REF!="予定"),日次管理!#REF!)</f>
        <v>#REF!</v>
      </c>
      <c r="CU13" s="60" t="e">
        <f>SUMPRODUCT((日次管理!#REF!&lt;=$CU$3)*(日次管理!#REF!=$A$13)*(日次管理!#REF!="実施完了")*(日次管理!#REF!="実績"),日次管理!#REF!)</f>
        <v>#REF!</v>
      </c>
      <c r="CV13" s="96" t="e">
        <f ca="1">SUMPRODUCT(($A$3- WEEKDAY($A$3) + 6 =$B$3:$CU$3)*("実績"=$B$4:$CU$4),$B$13:$CU$13)/SUMPRODUCT(($A$3- WEEKDAY($A$3) + 6 =$B$3:$CU$3)*("予定"=$B$4:$CU$4),$B$13:$CU$13)</f>
        <v>#REF!</v>
      </c>
      <c r="CW13" s="97" t="e">
        <f>$CU$13/$CT$13</f>
        <v>#REF!</v>
      </c>
    </row>
    <row r="14" spans="1:101" ht="20.149999999999999" customHeight="1">
      <c r="A14" s="90" t="s">
        <v>73</v>
      </c>
      <c r="B14" s="91" t="e">
        <f>SUMPRODUCT((日次管理!#REF!&lt;=$B$3)*(日次管理!#REF!=$A$14)*(日次管理!#REF!="実施完了")*(日次管理!#REF!="予定"),日次管理!#REF!)</f>
        <v>#REF!</v>
      </c>
      <c r="C14" s="59" t="e">
        <f>SUMPRODUCT((日次管理!#REF!&lt;=$C$3)*(日次管理!#REF!=$A$14)*(日次管理!#REF!="実施完了")*(日次管理!#REF!="実績"),日次管理!#REF!)</f>
        <v>#REF!</v>
      </c>
      <c r="D14" s="91" t="e">
        <f>SUMPRODUCT((日次管理!#REF!&lt;=$D$3)*(日次管理!#REF!=$A$14)*(日次管理!#REF!="実施完了")*(日次管理!#REF!="予定"),日次管理!#REF!)</f>
        <v>#REF!</v>
      </c>
      <c r="E14" s="59" t="e">
        <f>SUMPRODUCT((日次管理!#REF!&lt;=$E$3)*(日次管理!#REF!=$A$14)*(日次管理!#REF!="実施完了")*(日次管理!#REF!="実績"),日次管理!#REF!)</f>
        <v>#REF!</v>
      </c>
      <c r="F14" s="91" t="e">
        <f>SUMPRODUCT((日次管理!#REF!&lt;=$F$3)*(日次管理!#REF!=$A$14)*(日次管理!#REF!="実施完了")*(日次管理!#REF!="予定"),日次管理!#REF!)</f>
        <v>#REF!</v>
      </c>
      <c r="G14" s="59" t="e">
        <f>SUMPRODUCT((日次管理!#REF!&lt;=$G$3)*(日次管理!#REF!=$A$14)*(日次管理!#REF!="実施完了")*(日次管理!#REF!="実績"),日次管理!#REF!)</f>
        <v>#REF!</v>
      </c>
      <c r="H14" s="91" t="e">
        <f>SUMPRODUCT((日次管理!#REF!&lt;=$H$3)*(日次管理!#REF!=$A$14)*(日次管理!#REF!="実施完了")*(日次管理!#REF!="予定"),日次管理!#REF!)</f>
        <v>#REF!</v>
      </c>
      <c r="I14" s="59" t="e">
        <f>SUMPRODUCT((日次管理!#REF!&lt;=$I$3)*(日次管理!#REF!=$A$14)*(日次管理!#REF!="実施完了")*(日次管理!#REF!="実績"),日次管理!#REF!)</f>
        <v>#REF!</v>
      </c>
      <c r="J14" s="91" t="e">
        <f>SUMPRODUCT((日次管理!#REF!&lt;=$J$3)*(日次管理!#REF!=$A$14)*(日次管理!#REF!="実施完了")*(日次管理!#REF!="予定"),日次管理!#REF!)</f>
        <v>#REF!</v>
      </c>
      <c r="K14" s="59" t="e">
        <f>SUMPRODUCT((日次管理!#REF!&lt;=$K$3)*(日次管理!#REF!=$A$14)*(日次管理!#REF!="実施完了")*(日次管理!#REF!="実績"),日次管理!#REF!)</f>
        <v>#REF!</v>
      </c>
      <c r="L14" s="91" t="e">
        <f>SUMPRODUCT((日次管理!#REF!&lt;=$L$3)*(日次管理!#REF!=$A$14)*(日次管理!#REF!="実施完了")*(日次管理!#REF!="予定"),日次管理!#REF!)</f>
        <v>#REF!</v>
      </c>
      <c r="M14" s="59" t="e">
        <f>SUMPRODUCT((日次管理!#REF!&lt;=$M$3)*(日次管理!#REF!=$A$14)*(日次管理!#REF!="実施完了")*(日次管理!#REF!="実績"),日次管理!#REF!)</f>
        <v>#REF!</v>
      </c>
      <c r="N14" s="91" t="e">
        <f>SUMPRODUCT((日次管理!#REF!&lt;=$N$3)*(日次管理!#REF!=$A$14)*(日次管理!#REF!="実施完了")*(日次管理!#REF!="予定"),日次管理!#REF!)</f>
        <v>#REF!</v>
      </c>
      <c r="O14" s="59" t="e">
        <f>SUMPRODUCT((日次管理!#REF!&lt;=$O$3)*(日次管理!#REF!=$A$14)*(日次管理!#REF!="実施完了")*(日次管理!#REF!="実績"),日次管理!#REF!)</f>
        <v>#REF!</v>
      </c>
      <c r="P14" s="91" t="e">
        <f>SUMPRODUCT((日次管理!#REF!&lt;=$P$3)*(日次管理!#REF!=$A$14)*(日次管理!#REF!="実施完了")*(日次管理!#REF!="予定"),日次管理!#REF!)</f>
        <v>#REF!</v>
      </c>
      <c r="Q14" s="59" t="e">
        <f>SUMPRODUCT((日次管理!#REF!&lt;=$Q$3)*(日次管理!#REF!=$A$14)*(日次管理!#REF!="実施完了")*(日次管理!#REF!="実績"),日次管理!#REF!)</f>
        <v>#REF!</v>
      </c>
      <c r="R14" s="91" t="e">
        <f>SUMPRODUCT((日次管理!#REF!&lt;=$R$3)*(日次管理!#REF!=$A$14)*(日次管理!#REF!="実施完了")*(日次管理!#REF!="予定"),日次管理!#REF!)</f>
        <v>#REF!</v>
      </c>
      <c r="S14" s="59" t="e">
        <f>SUMPRODUCT((日次管理!#REF!&lt;=$S$3)*(日次管理!#REF!=$A$14)*(日次管理!#REF!="実施完了")*(日次管理!#REF!="実績"),日次管理!#REF!)</f>
        <v>#REF!</v>
      </c>
      <c r="T14" s="91" t="e">
        <f>SUMPRODUCT((日次管理!#REF!&lt;=$T$3)*(日次管理!#REF!=$A$14)*(日次管理!#REF!="実施完了")*(日次管理!#REF!="予定"),日次管理!#REF!)</f>
        <v>#REF!</v>
      </c>
      <c r="U14" s="59" t="e">
        <f>SUMPRODUCT((日次管理!#REF!&lt;=$U$3)*(日次管理!#REF!=$A$14)*(日次管理!#REF!="実施完了")*(日次管理!#REF!="実績"),日次管理!#REF!)</f>
        <v>#REF!</v>
      </c>
      <c r="V14" s="91" t="e">
        <f>SUMPRODUCT((日次管理!#REF!&lt;=$V$3)*(日次管理!#REF!=$A$14)*(日次管理!#REF!="実施完了")*(日次管理!#REF!="予定"),日次管理!#REF!)</f>
        <v>#REF!</v>
      </c>
      <c r="W14" s="59" t="e">
        <f>SUMPRODUCT((日次管理!#REF!&lt;=$W$3)*(日次管理!#REF!=$A$14)*(日次管理!#REF!="実施完了")*(日次管理!#REF!="実績"),日次管理!#REF!)</f>
        <v>#REF!</v>
      </c>
      <c r="X14" s="91" t="e">
        <f>SUMPRODUCT((日次管理!#REF!&lt;=$X$3)*(日次管理!#REF!=$A$14)*(日次管理!#REF!="実施完了")*(日次管理!#REF!="予定"),日次管理!#REF!)</f>
        <v>#REF!</v>
      </c>
      <c r="Y14" s="59" t="e">
        <f>SUMPRODUCT((日次管理!#REF!&lt;=$Y$3)*(日次管理!#REF!=$A$14)*(日次管理!#REF!="実施完了")*(日次管理!#REF!="実績"),日次管理!#REF!)</f>
        <v>#REF!</v>
      </c>
      <c r="Z14" s="91" t="e">
        <f>SUMPRODUCT((日次管理!#REF!&lt;=$Z$3)*(日次管理!#REF!=$A$14)*(日次管理!#REF!="実施完了")*(日次管理!#REF!="予定"),日次管理!#REF!)</f>
        <v>#REF!</v>
      </c>
      <c r="AA14" s="59" t="e">
        <f>SUMPRODUCT((日次管理!#REF!&lt;=$AA$3)*(日次管理!#REF!=$A$14)*(日次管理!#REF!="実施完了")*(日次管理!#REF!="実績"),日次管理!#REF!)</f>
        <v>#REF!</v>
      </c>
      <c r="AB14" s="91" t="e">
        <f>SUMPRODUCT((日次管理!#REF!&lt;=$AB$3)*(日次管理!#REF!=$A$14)*(日次管理!#REF!="実施完了")*(日次管理!#REF!="予定"),日次管理!#REF!)</f>
        <v>#REF!</v>
      </c>
      <c r="AC14" s="59" t="e">
        <f>SUMPRODUCT((日次管理!#REF!&lt;=$AC$3)*(日次管理!#REF!=$A$14)*(日次管理!#REF!="実施完了")*(日次管理!#REF!="実績"),日次管理!#REF!)</f>
        <v>#REF!</v>
      </c>
      <c r="AD14" s="91" t="e">
        <f>SUMPRODUCT((日次管理!#REF!&lt;=$AD$3)*(日次管理!#REF!=$A$14)*(日次管理!#REF!="実施完了")*(日次管理!#REF!="予定"),日次管理!#REF!)</f>
        <v>#REF!</v>
      </c>
      <c r="AE14" s="59" t="e">
        <f>SUMPRODUCT((日次管理!#REF!&lt;=$AE$3)*(日次管理!#REF!=$A$14)*(日次管理!#REF!="実施完了")*(日次管理!#REF!="実績"),日次管理!#REF!)</f>
        <v>#REF!</v>
      </c>
      <c r="AF14" s="91" t="e">
        <f>SUMPRODUCT((日次管理!#REF!&lt;=$AF$3)*(日次管理!#REF!=$A$14)*(日次管理!#REF!="実施完了")*(日次管理!#REF!="予定"),日次管理!#REF!)</f>
        <v>#REF!</v>
      </c>
      <c r="AG14" s="59" t="e">
        <f>SUMPRODUCT((日次管理!#REF!&lt;=$AG$3)*(日次管理!#REF!=$A$14)*(日次管理!#REF!="実施完了")*(日次管理!#REF!="実績"),日次管理!#REF!)</f>
        <v>#REF!</v>
      </c>
      <c r="AH14" s="91" t="e">
        <f>SUMPRODUCT((日次管理!#REF!&lt;=$AH$3)*(日次管理!#REF!=$A$14)*(日次管理!#REF!="実施完了")*(日次管理!#REF!="予定"),日次管理!#REF!)</f>
        <v>#REF!</v>
      </c>
      <c r="AI14" s="59" t="e">
        <f>SUMPRODUCT((日次管理!#REF!&lt;=$AI$3)*(日次管理!#REF!=$A$14)*(日次管理!#REF!="実施完了")*(日次管理!#REF!="実績"),日次管理!#REF!)</f>
        <v>#REF!</v>
      </c>
      <c r="AJ14" s="91" t="e">
        <f>SUMPRODUCT((日次管理!#REF!&lt;=$AJ$3)*(日次管理!#REF!=$A$14)*(日次管理!#REF!="実施完了")*(日次管理!#REF!="予定"),日次管理!#REF!)</f>
        <v>#REF!</v>
      </c>
      <c r="AK14" s="59" t="e">
        <f>SUMPRODUCT((日次管理!#REF!&lt;=$AK$3)*(日次管理!#REF!=$A$14)*(日次管理!#REF!="実施完了")*(日次管理!#REF!="実績"),日次管理!#REF!)</f>
        <v>#REF!</v>
      </c>
      <c r="AL14" s="91" t="e">
        <f>SUMPRODUCT((日次管理!#REF!&lt;=$AL$3)*(日次管理!#REF!=$A$14)*(日次管理!#REF!="実施完了")*(日次管理!#REF!="予定"),日次管理!#REF!)</f>
        <v>#REF!</v>
      </c>
      <c r="AM14" s="59" t="e">
        <f>SUMPRODUCT((日次管理!#REF!&lt;=$AM$3)*(日次管理!#REF!=$A$14)*(日次管理!#REF!="実施完了")*(日次管理!#REF!="実績"),日次管理!#REF!)</f>
        <v>#REF!</v>
      </c>
      <c r="AN14" s="91" t="e">
        <f>SUMPRODUCT((日次管理!#REF!&lt;=$AN$3)*(日次管理!#REF!=$A$14)*(日次管理!#REF!="実施完了")*(日次管理!#REF!="予定"),日次管理!#REF!)</f>
        <v>#REF!</v>
      </c>
      <c r="AO14" s="59" t="e">
        <f>SUMPRODUCT((日次管理!#REF!&lt;=$AO$3)*(日次管理!#REF!=$A$14)*(日次管理!#REF!="実施完了")*(日次管理!#REF!="実績"),日次管理!#REF!)</f>
        <v>#REF!</v>
      </c>
      <c r="AP14" s="91" t="e">
        <f>SUMPRODUCT((日次管理!#REF!&lt;=$AP$3)*(日次管理!#REF!=$A$14)*(日次管理!#REF!="実施完了")*(日次管理!#REF!="予定"),日次管理!#REF!)</f>
        <v>#REF!</v>
      </c>
      <c r="AQ14" s="59" t="e">
        <f>SUMPRODUCT((日次管理!#REF!&lt;=$AQ$3)*(日次管理!#REF!=$A$14)*(日次管理!#REF!="実施完了")*(日次管理!#REF!="実績"),日次管理!#REF!)</f>
        <v>#REF!</v>
      </c>
      <c r="AR14" s="91" t="e">
        <f>SUMPRODUCT((日次管理!#REF!&lt;=$AR$3)*(日次管理!#REF!=$A$14)*(日次管理!#REF!="実施完了")*(日次管理!#REF!="予定"),日次管理!#REF!)</f>
        <v>#REF!</v>
      </c>
      <c r="AS14" s="59" t="e">
        <f>SUMPRODUCT((日次管理!#REF!&lt;=$AS$3)*(日次管理!#REF!=$A$14)*(日次管理!#REF!="実施完了")*(日次管理!#REF!="実績"),日次管理!#REF!)</f>
        <v>#REF!</v>
      </c>
      <c r="AT14" s="91" t="e">
        <f>SUMPRODUCT((日次管理!#REF!&lt;=$AT$3)*(日次管理!#REF!=$A$14)*(日次管理!#REF!="実施完了")*(日次管理!#REF!="予定"),日次管理!#REF!)</f>
        <v>#REF!</v>
      </c>
      <c r="AU14" s="59" t="e">
        <f>SUMPRODUCT((日次管理!#REF!&lt;=$AU$3)*(日次管理!#REF!=$A$14)*(日次管理!#REF!="実施完了")*(日次管理!#REF!="実績"),日次管理!#REF!)</f>
        <v>#REF!</v>
      </c>
      <c r="AV14" s="91" t="e">
        <f>SUMPRODUCT((日次管理!#REF!&lt;=$AV$3)*(日次管理!#REF!=$A$14)*(日次管理!#REF!="実施完了")*(日次管理!#REF!="予定"),日次管理!#REF!)</f>
        <v>#REF!</v>
      </c>
      <c r="AW14" s="59" t="e">
        <f>SUMPRODUCT((日次管理!#REF!&lt;=$AW$3)*(日次管理!#REF!=$A$14)*(日次管理!#REF!="実施完了")*(日次管理!#REF!="実績"),日次管理!#REF!)</f>
        <v>#REF!</v>
      </c>
      <c r="AX14" s="91" t="e">
        <f>SUMPRODUCT((日次管理!#REF!&lt;=$AX$3)*(日次管理!#REF!=$A$14)*(日次管理!#REF!="実施完了")*(日次管理!#REF!="予定"),日次管理!#REF!)</f>
        <v>#REF!</v>
      </c>
      <c r="AY14" s="59" t="e">
        <f>SUMPRODUCT((日次管理!#REF!&lt;=$AY$3)*(日次管理!#REF!=$A$14)*(日次管理!#REF!="実施完了")*(日次管理!#REF!="実績"),日次管理!#REF!)</f>
        <v>#REF!</v>
      </c>
      <c r="AZ14" s="91" t="e">
        <f>SUMPRODUCT((日次管理!#REF!&lt;=$AZ$3)*(日次管理!#REF!=$A$14)*(日次管理!#REF!="実施完了")*(日次管理!#REF!="予定"),日次管理!#REF!)</f>
        <v>#REF!</v>
      </c>
      <c r="BA14" s="59" t="e">
        <f>SUMPRODUCT((日次管理!#REF!&lt;=$BA$3)*(日次管理!#REF!=$A$14)*(日次管理!#REF!="実施完了")*(日次管理!#REF!="実績"),日次管理!#REF!)</f>
        <v>#REF!</v>
      </c>
      <c r="BB14" s="91" t="e">
        <f>SUMPRODUCT((日次管理!#REF!&lt;=$BB$3)*(日次管理!#REF!=$A$14)*(日次管理!#REF!="実施完了")*(日次管理!#REF!="予定"),日次管理!#REF!)</f>
        <v>#REF!</v>
      </c>
      <c r="BC14" s="59" t="e">
        <f>SUMPRODUCT((日次管理!#REF!&lt;=$BC$3)*(日次管理!#REF!=$A$14)*(日次管理!#REF!="実施完了")*(日次管理!#REF!="実績"),日次管理!#REF!)</f>
        <v>#REF!</v>
      </c>
      <c r="BD14" s="91" t="e">
        <f>SUMPRODUCT((日次管理!#REF!&lt;=$BD$3)*(日次管理!#REF!=$A$14)*(日次管理!#REF!="実施完了")*(日次管理!#REF!="予定"),日次管理!#REF!)</f>
        <v>#REF!</v>
      </c>
      <c r="BE14" s="59" t="e">
        <f>SUMPRODUCT((日次管理!#REF!&lt;=$BE$3)*(日次管理!#REF!=$A$14)*(日次管理!#REF!="実施完了")*(日次管理!#REF!="実績"),日次管理!#REF!)</f>
        <v>#REF!</v>
      </c>
      <c r="BF14" s="91" t="e">
        <f>SUMPRODUCT((日次管理!#REF!&lt;=$BF$3)*(日次管理!#REF!=$A$14)*(日次管理!#REF!="実施完了")*(日次管理!#REF!="予定"),日次管理!#REF!)</f>
        <v>#REF!</v>
      </c>
      <c r="BG14" s="59" t="e">
        <f>SUMPRODUCT((日次管理!#REF!&lt;=$BG$3)*(日次管理!#REF!=$A$14)*(日次管理!#REF!="実施完了")*(日次管理!#REF!="実績"),日次管理!#REF!)</f>
        <v>#REF!</v>
      </c>
      <c r="BH14" s="91" t="e">
        <f>SUMPRODUCT((日次管理!#REF!&lt;=$BH$3)*(日次管理!#REF!=$A$14)*(日次管理!#REF!="実施完了")*(日次管理!#REF!="予定"),日次管理!#REF!)</f>
        <v>#REF!</v>
      </c>
      <c r="BI14" s="59" t="e">
        <f>SUMPRODUCT((日次管理!#REF!&lt;=$BI$3)*(日次管理!#REF!=$A$14)*(日次管理!#REF!="実施完了")*(日次管理!#REF!="実績"),日次管理!#REF!)</f>
        <v>#REF!</v>
      </c>
      <c r="BJ14" s="91" t="e">
        <f>SUMPRODUCT((日次管理!#REF!&lt;=$BJ$3)*(日次管理!#REF!=$A$14)*(日次管理!#REF!="実施完了")*(日次管理!#REF!="予定"),日次管理!#REF!)</f>
        <v>#REF!</v>
      </c>
      <c r="BK14" s="59" t="e">
        <f>SUMPRODUCT((日次管理!#REF!&lt;=$BK$3)*(日次管理!#REF!=$A$14)*(日次管理!#REF!="実施完了")*(日次管理!#REF!="実績"),日次管理!#REF!)</f>
        <v>#REF!</v>
      </c>
      <c r="BL14" s="91" t="e">
        <f>SUMPRODUCT((日次管理!#REF!&lt;=$BL$3)*(日次管理!#REF!=$A$14)*(日次管理!#REF!="実施完了")*(日次管理!#REF!="予定"),日次管理!#REF!)</f>
        <v>#REF!</v>
      </c>
      <c r="BM14" s="59" t="e">
        <f>SUMPRODUCT((日次管理!#REF!&lt;=$BM$3)*(日次管理!#REF!=$A$14)*(日次管理!#REF!="実施完了")*(日次管理!#REF!="実績"),日次管理!#REF!)</f>
        <v>#REF!</v>
      </c>
      <c r="BN14" s="91" t="e">
        <f>SUMPRODUCT((日次管理!#REF!&lt;=$BN$3)*(日次管理!#REF!=$A$14)*(日次管理!#REF!="実施完了")*(日次管理!#REF!="予定"),日次管理!#REF!)</f>
        <v>#REF!</v>
      </c>
      <c r="BO14" s="59" t="e">
        <f>SUMPRODUCT((日次管理!#REF!&lt;=$BO$3)*(日次管理!#REF!=$A$14)*(日次管理!#REF!="実施完了")*(日次管理!#REF!="実績"),日次管理!#REF!)</f>
        <v>#REF!</v>
      </c>
      <c r="BP14" s="91" t="e">
        <f>SUMPRODUCT((日次管理!#REF!&lt;=$BP$3)*(日次管理!#REF!=$A$14)*(日次管理!#REF!="実施完了")*(日次管理!#REF!="予定"),日次管理!#REF!)</f>
        <v>#REF!</v>
      </c>
      <c r="BQ14" s="59" t="e">
        <f>SUMPRODUCT((日次管理!#REF!&lt;=$BQ$3)*(日次管理!#REF!=$A$14)*(日次管理!#REF!="実施完了")*(日次管理!#REF!="実績"),日次管理!#REF!)</f>
        <v>#REF!</v>
      </c>
      <c r="BR14" s="91" t="e">
        <f>SUMPRODUCT((日次管理!#REF!&lt;=$BR$3)*(日次管理!#REF!=$A$14)*(日次管理!#REF!="実施完了")*(日次管理!#REF!="予定"),日次管理!#REF!)</f>
        <v>#REF!</v>
      </c>
      <c r="BS14" s="59" t="e">
        <f>SUMPRODUCT((日次管理!#REF!&lt;=$BS$3)*(日次管理!#REF!=$A$14)*(日次管理!#REF!="実施完了")*(日次管理!#REF!="実績"),日次管理!#REF!)</f>
        <v>#REF!</v>
      </c>
      <c r="BT14" s="91" t="e">
        <f>SUMPRODUCT((日次管理!#REF!&lt;=$BT$3)*(日次管理!#REF!=$A$14)*(日次管理!#REF!="実施完了")*(日次管理!#REF!="予定"),日次管理!#REF!)</f>
        <v>#REF!</v>
      </c>
      <c r="BU14" s="59" t="e">
        <f>SUMPRODUCT((日次管理!#REF!&lt;=$BU$3)*(日次管理!#REF!=$A$14)*(日次管理!#REF!="実施完了")*(日次管理!#REF!="実績"),日次管理!#REF!)</f>
        <v>#REF!</v>
      </c>
      <c r="BV14" s="91" t="e">
        <f>SUMPRODUCT((日次管理!#REF!&lt;=$BV$3)*(日次管理!#REF!=$A$14)*(日次管理!#REF!="実施完了")*(日次管理!#REF!="予定"),日次管理!#REF!)</f>
        <v>#REF!</v>
      </c>
      <c r="BW14" s="59" t="e">
        <f>SUMPRODUCT((日次管理!#REF!&lt;=$BW$3)*(日次管理!#REF!=$A$14)*(日次管理!#REF!="実施完了")*(日次管理!#REF!="実績"),日次管理!#REF!)</f>
        <v>#REF!</v>
      </c>
      <c r="BX14" s="91" t="e">
        <f>SUMPRODUCT((日次管理!#REF!&lt;=$BX$3)*(日次管理!#REF!=$A$14)*(日次管理!#REF!="実施完了")*(日次管理!#REF!="予定"),日次管理!#REF!)</f>
        <v>#REF!</v>
      </c>
      <c r="BY14" s="59" t="e">
        <f>SUMPRODUCT((日次管理!#REF!&lt;=$BY$3)*(日次管理!#REF!=$A$14)*(日次管理!#REF!="実施完了")*(日次管理!#REF!="実績"),日次管理!#REF!)</f>
        <v>#REF!</v>
      </c>
      <c r="BZ14" s="91" t="e">
        <f>SUMPRODUCT((日次管理!#REF!&lt;=$BZ$3)*(日次管理!#REF!=$A$14)*(日次管理!#REF!="実施完了")*(日次管理!#REF!="予定"),日次管理!#REF!)</f>
        <v>#REF!</v>
      </c>
      <c r="CA14" s="59" t="e">
        <f>SUMPRODUCT((日次管理!#REF!&lt;=$CA$3)*(日次管理!#REF!=$A$14)*(日次管理!#REF!="実施完了")*(日次管理!#REF!="実績"),日次管理!#REF!)</f>
        <v>#REF!</v>
      </c>
      <c r="CB14" s="91" t="e">
        <f>SUMPRODUCT((日次管理!#REF!&lt;=$CB$3)*(日次管理!#REF!=$A$14)*(日次管理!#REF!="実施完了")*(日次管理!#REF!="予定"),日次管理!#REF!)</f>
        <v>#REF!</v>
      </c>
      <c r="CC14" s="59" t="e">
        <f>SUMPRODUCT((日次管理!#REF!&lt;=$CC$3)*(日次管理!#REF!=$A$14)*(日次管理!#REF!="実施完了")*(日次管理!#REF!="実績"),日次管理!#REF!)</f>
        <v>#REF!</v>
      </c>
      <c r="CD14" s="91" t="e">
        <f>SUMPRODUCT((日次管理!#REF!&lt;=$CD$3)*(日次管理!#REF!=$A$14)*(日次管理!#REF!="実施完了")*(日次管理!#REF!="予定"),日次管理!#REF!)</f>
        <v>#REF!</v>
      </c>
      <c r="CE14" s="59" t="e">
        <f>SUMPRODUCT((日次管理!#REF!&lt;=$CE$3)*(日次管理!#REF!=$A$14)*(日次管理!#REF!="実施完了")*(日次管理!#REF!="実績"),日次管理!#REF!)</f>
        <v>#REF!</v>
      </c>
      <c r="CF14" s="91" t="e">
        <f>SUMPRODUCT((日次管理!#REF!&lt;=$CF$3)*(日次管理!#REF!=$A$14)*(日次管理!#REF!="実施完了")*(日次管理!#REF!="予定"),日次管理!#REF!)</f>
        <v>#REF!</v>
      </c>
      <c r="CG14" s="59" t="e">
        <f>SUMPRODUCT((日次管理!#REF!&lt;=$CG$3)*(日次管理!#REF!=$A$14)*(日次管理!#REF!="実施完了")*(日次管理!#REF!="実績"),日次管理!#REF!)</f>
        <v>#REF!</v>
      </c>
      <c r="CH14" s="91" t="e">
        <f>SUMPRODUCT((日次管理!#REF!&lt;=$CH$3)*(日次管理!#REF!=$A$14)*(日次管理!#REF!="実施完了")*(日次管理!#REF!="予定"),日次管理!#REF!)</f>
        <v>#REF!</v>
      </c>
      <c r="CI14" s="59" t="e">
        <f>SUMPRODUCT((日次管理!#REF!&lt;=$CI$3)*(日次管理!#REF!=$A$14)*(日次管理!#REF!="実施完了")*(日次管理!#REF!="実績"),日次管理!#REF!)</f>
        <v>#REF!</v>
      </c>
      <c r="CJ14" s="91" t="e">
        <f>SUMPRODUCT((日次管理!#REF!&lt;=$CJ$3)*(日次管理!#REF!=$A$14)*(日次管理!#REF!="実施完了")*(日次管理!#REF!="予定"),日次管理!#REF!)</f>
        <v>#REF!</v>
      </c>
      <c r="CK14" s="59" t="e">
        <f>SUMPRODUCT((日次管理!#REF!&lt;=$CK$3)*(日次管理!#REF!=$A$14)*(日次管理!#REF!="実施完了")*(日次管理!#REF!="実績"),日次管理!#REF!)</f>
        <v>#REF!</v>
      </c>
      <c r="CL14" s="91" t="e">
        <f>SUMPRODUCT((日次管理!#REF!&lt;=$CL$3)*(日次管理!#REF!=$A$14)*(日次管理!#REF!="実施完了")*(日次管理!#REF!="予定"),日次管理!#REF!)</f>
        <v>#REF!</v>
      </c>
      <c r="CM14" s="59" t="e">
        <f>SUMPRODUCT((日次管理!#REF!&lt;=$CM$3)*(日次管理!#REF!=$A$14)*(日次管理!#REF!="実施完了")*(日次管理!#REF!="実績"),日次管理!#REF!)</f>
        <v>#REF!</v>
      </c>
      <c r="CN14" s="91" t="e">
        <f>SUMPRODUCT((日次管理!#REF!&lt;=$CN$3)*(日次管理!#REF!=$A$14)*(日次管理!#REF!="実施完了")*(日次管理!#REF!="予定"),日次管理!#REF!)</f>
        <v>#REF!</v>
      </c>
      <c r="CO14" s="59" t="e">
        <f>SUMPRODUCT((日次管理!#REF!&lt;=$CO$3)*(日次管理!#REF!=$A$14)*(日次管理!#REF!="実施完了")*(日次管理!#REF!="実績"),日次管理!#REF!)</f>
        <v>#REF!</v>
      </c>
      <c r="CP14" s="91" t="e">
        <f>SUMPRODUCT((日次管理!#REF!&lt;=$CP$3)*(日次管理!#REF!=$A$14)*(日次管理!#REF!="実施完了")*(日次管理!#REF!="予定"),日次管理!#REF!)</f>
        <v>#REF!</v>
      </c>
      <c r="CQ14" s="59" t="e">
        <f>SUMPRODUCT((日次管理!#REF!&lt;=$CQ$3)*(日次管理!#REF!=$A$14)*(日次管理!#REF!="実施完了")*(日次管理!#REF!="実績"),日次管理!#REF!)</f>
        <v>#REF!</v>
      </c>
      <c r="CR14" s="91" t="e">
        <f>SUMPRODUCT((日次管理!#REF!&lt;=$CR$3)*(日次管理!#REF!=$A$14)*(日次管理!#REF!="実施完了")*(日次管理!#REF!="予定"),日次管理!#REF!)</f>
        <v>#REF!</v>
      </c>
      <c r="CS14" s="59" t="e">
        <f>SUMPRODUCT((日次管理!#REF!&lt;=$CS$3)*(日次管理!#REF!=$A$14)*(日次管理!#REF!="実施完了")*(日次管理!#REF!="実績"),日次管理!#REF!)</f>
        <v>#REF!</v>
      </c>
      <c r="CT14" s="91" t="e">
        <f>SUMPRODUCT((日次管理!#REF!&lt;=$CT$3)*(日次管理!#REF!=$A$14)*(日次管理!#REF!="実施完了")*(日次管理!#REF!="予定"),日次管理!#REF!)</f>
        <v>#REF!</v>
      </c>
      <c r="CU14" s="59" t="e">
        <f>SUMPRODUCT((日次管理!#REF!&lt;=$CU$3)*(日次管理!#REF!=$A$14)*(日次管理!#REF!="実施完了")*(日次管理!#REF!="実績"),日次管理!#REF!)</f>
        <v>#REF!</v>
      </c>
      <c r="CV14" s="92" t="e">
        <f ca="1">SUMPRODUCT(($A$3- WEEKDAY($A$3) + 6 =$B$3:$CU$3)*("実績"=$B$4:$CU$4),$B$14:$CU$14)/SUMPRODUCT(($A$3- WEEKDAY($A$3) + 6 =$B$3:$CU$3)*("予定"=$B$4:$CU$4),$B$14:$CU$14)</f>
        <v>#REF!</v>
      </c>
      <c r="CW14" s="93" t="e">
        <f>$CU$14/$CT$14</f>
        <v>#REF!</v>
      </c>
    </row>
    <row r="15" spans="1:101" ht="20.149999999999999" customHeight="1">
      <c r="A15" s="94" t="s">
        <v>74</v>
      </c>
      <c r="B15" s="95" t="e">
        <f>SUMPRODUCT((日次管理!#REF!&lt;=$B$3)*(日次管理!#REF!=$A$15)*(日次管理!#REF!="実施完了")*(日次管理!#REF!="予定"),日次管理!#REF!)</f>
        <v>#REF!</v>
      </c>
      <c r="C15" s="60" t="e">
        <f>SUMPRODUCT((日次管理!#REF!&lt;=$C$3)*(日次管理!#REF!=$A$15)*(日次管理!#REF!="実施完了")*(日次管理!#REF!="実績"),日次管理!#REF!)</f>
        <v>#REF!</v>
      </c>
      <c r="D15" s="95" t="e">
        <f>SUMPRODUCT((日次管理!#REF!&lt;=$D$3)*(日次管理!#REF!=$A$15)*(日次管理!#REF!="実施完了")*(日次管理!#REF!="予定"),日次管理!#REF!)</f>
        <v>#REF!</v>
      </c>
      <c r="E15" s="60" t="e">
        <f>SUMPRODUCT((日次管理!#REF!&lt;=$E$3)*(日次管理!#REF!=$A$15)*(日次管理!#REF!="実施完了")*(日次管理!#REF!="実績"),日次管理!#REF!)</f>
        <v>#REF!</v>
      </c>
      <c r="F15" s="95" t="e">
        <f>SUMPRODUCT((日次管理!#REF!&lt;=$F$3)*(日次管理!#REF!=$A$15)*(日次管理!#REF!="実施完了")*(日次管理!#REF!="予定"),日次管理!#REF!)</f>
        <v>#REF!</v>
      </c>
      <c r="G15" s="60" t="e">
        <f>SUMPRODUCT((日次管理!#REF!&lt;=$G$3)*(日次管理!#REF!=$A$15)*(日次管理!#REF!="実施完了")*(日次管理!#REF!="実績"),日次管理!#REF!)</f>
        <v>#REF!</v>
      </c>
      <c r="H15" s="95" t="e">
        <f>SUMPRODUCT((日次管理!#REF!&lt;=$H$3)*(日次管理!#REF!=$A$15)*(日次管理!#REF!="実施完了")*(日次管理!#REF!="予定"),日次管理!#REF!)</f>
        <v>#REF!</v>
      </c>
      <c r="I15" s="60" t="e">
        <f>SUMPRODUCT((日次管理!#REF!&lt;=$I$3)*(日次管理!#REF!=$A$15)*(日次管理!#REF!="実施完了")*(日次管理!#REF!="実績"),日次管理!#REF!)</f>
        <v>#REF!</v>
      </c>
      <c r="J15" s="95" t="e">
        <f>SUMPRODUCT((日次管理!#REF!&lt;=$J$3)*(日次管理!#REF!=$A$15)*(日次管理!#REF!="実施完了")*(日次管理!#REF!="予定"),日次管理!#REF!)</f>
        <v>#REF!</v>
      </c>
      <c r="K15" s="60" t="e">
        <f>SUMPRODUCT((日次管理!#REF!&lt;=$K$3)*(日次管理!#REF!=$A$15)*(日次管理!#REF!="実施完了")*(日次管理!#REF!="実績"),日次管理!#REF!)</f>
        <v>#REF!</v>
      </c>
      <c r="L15" s="95" t="e">
        <f>SUMPRODUCT((日次管理!#REF!&lt;=$L$3)*(日次管理!#REF!=$A$15)*(日次管理!#REF!="実施完了")*(日次管理!#REF!="予定"),日次管理!#REF!)</f>
        <v>#REF!</v>
      </c>
      <c r="M15" s="60" t="e">
        <f>SUMPRODUCT((日次管理!#REF!&lt;=$M$3)*(日次管理!#REF!=$A$15)*(日次管理!#REF!="実施完了")*(日次管理!#REF!="実績"),日次管理!#REF!)</f>
        <v>#REF!</v>
      </c>
      <c r="N15" s="95" t="e">
        <f>SUMPRODUCT((日次管理!#REF!&lt;=$N$3)*(日次管理!#REF!=$A$15)*(日次管理!#REF!="実施完了")*(日次管理!#REF!="予定"),日次管理!#REF!)</f>
        <v>#REF!</v>
      </c>
      <c r="O15" s="60" t="e">
        <f>SUMPRODUCT((日次管理!#REF!&lt;=$O$3)*(日次管理!#REF!=$A$15)*(日次管理!#REF!="実施完了")*(日次管理!#REF!="実績"),日次管理!#REF!)</f>
        <v>#REF!</v>
      </c>
      <c r="P15" s="95" t="e">
        <f>SUMPRODUCT((日次管理!#REF!&lt;=$P$3)*(日次管理!#REF!=$A$15)*(日次管理!#REF!="実施完了")*(日次管理!#REF!="予定"),日次管理!#REF!)</f>
        <v>#REF!</v>
      </c>
      <c r="Q15" s="60" t="e">
        <f>SUMPRODUCT((日次管理!#REF!&lt;=$Q$3)*(日次管理!#REF!=$A$15)*(日次管理!#REF!="実施完了")*(日次管理!#REF!="実績"),日次管理!#REF!)</f>
        <v>#REF!</v>
      </c>
      <c r="R15" s="95" t="e">
        <f>SUMPRODUCT((日次管理!#REF!&lt;=$R$3)*(日次管理!#REF!=$A$15)*(日次管理!#REF!="実施完了")*(日次管理!#REF!="予定"),日次管理!#REF!)</f>
        <v>#REF!</v>
      </c>
      <c r="S15" s="60" t="e">
        <f>SUMPRODUCT((日次管理!#REF!&lt;=$S$3)*(日次管理!#REF!=$A$15)*(日次管理!#REF!="実施完了")*(日次管理!#REF!="実績"),日次管理!#REF!)</f>
        <v>#REF!</v>
      </c>
      <c r="T15" s="95" t="e">
        <f>SUMPRODUCT((日次管理!#REF!&lt;=$T$3)*(日次管理!#REF!=$A$15)*(日次管理!#REF!="実施完了")*(日次管理!#REF!="予定"),日次管理!#REF!)</f>
        <v>#REF!</v>
      </c>
      <c r="U15" s="60" t="e">
        <f>SUMPRODUCT((日次管理!#REF!&lt;=$U$3)*(日次管理!#REF!=$A$15)*(日次管理!#REF!="実施完了")*(日次管理!#REF!="実績"),日次管理!#REF!)</f>
        <v>#REF!</v>
      </c>
      <c r="V15" s="95" t="e">
        <f>SUMPRODUCT((日次管理!#REF!&lt;=$V$3)*(日次管理!#REF!=$A$15)*(日次管理!#REF!="実施完了")*(日次管理!#REF!="予定"),日次管理!#REF!)</f>
        <v>#REF!</v>
      </c>
      <c r="W15" s="60" t="e">
        <f>SUMPRODUCT((日次管理!#REF!&lt;=$W$3)*(日次管理!#REF!=$A$15)*(日次管理!#REF!="実施完了")*(日次管理!#REF!="実績"),日次管理!#REF!)</f>
        <v>#REF!</v>
      </c>
      <c r="X15" s="95" t="e">
        <f>SUMPRODUCT((日次管理!#REF!&lt;=$X$3)*(日次管理!#REF!=$A$15)*(日次管理!#REF!="実施完了")*(日次管理!#REF!="予定"),日次管理!#REF!)</f>
        <v>#REF!</v>
      </c>
      <c r="Y15" s="60" t="e">
        <f>SUMPRODUCT((日次管理!#REF!&lt;=$Y$3)*(日次管理!#REF!=$A$15)*(日次管理!#REF!="実施完了")*(日次管理!#REF!="実績"),日次管理!#REF!)</f>
        <v>#REF!</v>
      </c>
      <c r="Z15" s="95" t="e">
        <f>SUMPRODUCT((日次管理!#REF!&lt;=$Z$3)*(日次管理!#REF!=$A$15)*(日次管理!#REF!="実施完了")*(日次管理!#REF!="予定"),日次管理!#REF!)</f>
        <v>#REF!</v>
      </c>
      <c r="AA15" s="60" t="e">
        <f>SUMPRODUCT((日次管理!#REF!&lt;=$AA$3)*(日次管理!#REF!=$A$15)*(日次管理!#REF!="実施完了")*(日次管理!#REF!="実績"),日次管理!#REF!)</f>
        <v>#REF!</v>
      </c>
      <c r="AB15" s="95" t="e">
        <f>SUMPRODUCT((日次管理!#REF!&lt;=$AB$3)*(日次管理!#REF!=$A$15)*(日次管理!#REF!="実施完了")*(日次管理!#REF!="予定"),日次管理!#REF!)</f>
        <v>#REF!</v>
      </c>
      <c r="AC15" s="60" t="e">
        <f>SUMPRODUCT((日次管理!#REF!&lt;=$AC$3)*(日次管理!#REF!=$A$15)*(日次管理!#REF!="実施完了")*(日次管理!#REF!="実績"),日次管理!#REF!)</f>
        <v>#REF!</v>
      </c>
      <c r="AD15" s="95" t="e">
        <f>SUMPRODUCT((日次管理!#REF!&lt;=$AD$3)*(日次管理!#REF!=$A$15)*(日次管理!#REF!="実施完了")*(日次管理!#REF!="予定"),日次管理!#REF!)</f>
        <v>#REF!</v>
      </c>
      <c r="AE15" s="60" t="e">
        <f>SUMPRODUCT((日次管理!#REF!&lt;=$AE$3)*(日次管理!#REF!=$A$15)*(日次管理!#REF!="実施完了")*(日次管理!#REF!="実績"),日次管理!#REF!)</f>
        <v>#REF!</v>
      </c>
      <c r="AF15" s="95" t="e">
        <f>SUMPRODUCT((日次管理!#REF!&lt;=$AF$3)*(日次管理!#REF!=$A$15)*(日次管理!#REF!="実施完了")*(日次管理!#REF!="予定"),日次管理!#REF!)</f>
        <v>#REF!</v>
      </c>
      <c r="AG15" s="60" t="e">
        <f>SUMPRODUCT((日次管理!#REF!&lt;=$AG$3)*(日次管理!#REF!=$A$15)*(日次管理!#REF!="実施完了")*(日次管理!#REF!="実績"),日次管理!#REF!)</f>
        <v>#REF!</v>
      </c>
      <c r="AH15" s="95" t="e">
        <f>SUMPRODUCT((日次管理!#REF!&lt;=$AH$3)*(日次管理!#REF!=$A$15)*(日次管理!#REF!="実施完了")*(日次管理!#REF!="予定"),日次管理!#REF!)</f>
        <v>#REF!</v>
      </c>
      <c r="AI15" s="60" t="e">
        <f>SUMPRODUCT((日次管理!#REF!&lt;=$AI$3)*(日次管理!#REF!=$A$15)*(日次管理!#REF!="実施完了")*(日次管理!#REF!="実績"),日次管理!#REF!)</f>
        <v>#REF!</v>
      </c>
      <c r="AJ15" s="95" t="e">
        <f>SUMPRODUCT((日次管理!#REF!&lt;=$AJ$3)*(日次管理!#REF!=$A$15)*(日次管理!#REF!="実施完了")*(日次管理!#REF!="予定"),日次管理!#REF!)</f>
        <v>#REF!</v>
      </c>
      <c r="AK15" s="60" t="e">
        <f>SUMPRODUCT((日次管理!#REF!&lt;=$AK$3)*(日次管理!#REF!=$A$15)*(日次管理!#REF!="実施完了")*(日次管理!#REF!="実績"),日次管理!#REF!)</f>
        <v>#REF!</v>
      </c>
      <c r="AL15" s="95" t="e">
        <f>SUMPRODUCT((日次管理!#REF!&lt;=$AL$3)*(日次管理!#REF!=$A$15)*(日次管理!#REF!="実施完了")*(日次管理!#REF!="予定"),日次管理!#REF!)</f>
        <v>#REF!</v>
      </c>
      <c r="AM15" s="60" t="e">
        <f>SUMPRODUCT((日次管理!#REF!&lt;=$AM$3)*(日次管理!#REF!=$A$15)*(日次管理!#REF!="実施完了")*(日次管理!#REF!="実績"),日次管理!#REF!)</f>
        <v>#REF!</v>
      </c>
      <c r="AN15" s="95" t="e">
        <f>SUMPRODUCT((日次管理!#REF!&lt;=$AN$3)*(日次管理!#REF!=$A$15)*(日次管理!#REF!="実施完了")*(日次管理!#REF!="予定"),日次管理!#REF!)</f>
        <v>#REF!</v>
      </c>
      <c r="AO15" s="60" t="e">
        <f>SUMPRODUCT((日次管理!#REF!&lt;=$AO$3)*(日次管理!#REF!=$A$15)*(日次管理!#REF!="実施完了")*(日次管理!#REF!="実績"),日次管理!#REF!)</f>
        <v>#REF!</v>
      </c>
      <c r="AP15" s="95" t="e">
        <f>SUMPRODUCT((日次管理!#REF!&lt;=$AP$3)*(日次管理!#REF!=$A$15)*(日次管理!#REF!="実施完了")*(日次管理!#REF!="予定"),日次管理!#REF!)</f>
        <v>#REF!</v>
      </c>
      <c r="AQ15" s="60" t="e">
        <f>SUMPRODUCT((日次管理!#REF!&lt;=$AQ$3)*(日次管理!#REF!=$A$15)*(日次管理!#REF!="実施完了")*(日次管理!#REF!="実績"),日次管理!#REF!)</f>
        <v>#REF!</v>
      </c>
      <c r="AR15" s="95" t="e">
        <f>SUMPRODUCT((日次管理!#REF!&lt;=$AR$3)*(日次管理!#REF!=$A$15)*(日次管理!#REF!="実施完了")*(日次管理!#REF!="予定"),日次管理!#REF!)</f>
        <v>#REF!</v>
      </c>
      <c r="AS15" s="60" t="e">
        <f>SUMPRODUCT((日次管理!#REF!&lt;=$AS$3)*(日次管理!#REF!=$A$15)*(日次管理!#REF!="実施完了")*(日次管理!#REF!="実績"),日次管理!#REF!)</f>
        <v>#REF!</v>
      </c>
      <c r="AT15" s="95" t="e">
        <f>SUMPRODUCT((日次管理!#REF!&lt;=$AT$3)*(日次管理!#REF!=$A$15)*(日次管理!#REF!="実施完了")*(日次管理!#REF!="予定"),日次管理!#REF!)</f>
        <v>#REF!</v>
      </c>
      <c r="AU15" s="60" t="e">
        <f>SUMPRODUCT((日次管理!#REF!&lt;=$AU$3)*(日次管理!#REF!=$A$15)*(日次管理!#REF!="実施完了")*(日次管理!#REF!="実績"),日次管理!#REF!)</f>
        <v>#REF!</v>
      </c>
      <c r="AV15" s="95" t="e">
        <f>SUMPRODUCT((日次管理!#REF!&lt;=$AV$3)*(日次管理!#REF!=$A$15)*(日次管理!#REF!="実施完了")*(日次管理!#REF!="予定"),日次管理!#REF!)</f>
        <v>#REF!</v>
      </c>
      <c r="AW15" s="60" t="e">
        <f>SUMPRODUCT((日次管理!#REF!&lt;=$AW$3)*(日次管理!#REF!=$A$15)*(日次管理!#REF!="実施完了")*(日次管理!#REF!="実績"),日次管理!#REF!)</f>
        <v>#REF!</v>
      </c>
      <c r="AX15" s="95" t="e">
        <f>SUMPRODUCT((日次管理!#REF!&lt;=$AX$3)*(日次管理!#REF!=$A$15)*(日次管理!#REF!="実施完了")*(日次管理!#REF!="予定"),日次管理!#REF!)</f>
        <v>#REF!</v>
      </c>
      <c r="AY15" s="60" t="e">
        <f>SUMPRODUCT((日次管理!#REF!&lt;=$AY$3)*(日次管理!#REF!=$A$15)*(日次管理!#REF!="実施完了")*(日次管理!#REF!="実績"),日次管理!#REF!)</f>
        <v>#REF!</v>
      </c>
      <c r="AZ15" s="95" t="e">
        <f>SUMPRODUCT((日次管理!#REF!&lt;=$AZ$3)*(日次管理!#REF!=$A$15)*(日次管理!#REF!="実施完了")*(日次管理!#REF!="予定"),日次管理!#REF!)</f>
        <v>#REF!</v>
      </c>
      <c r="BA15" s="60" t="e">
        <f>SUMPRODUCT((日次管理!#REF!&lt;=$BA$3)*(日次管理!#REF!=$A$15)*(日次管理!#REF!="実施完了")*(日次管理!#REF!="実績"),日次管理!#REF!)</f>
        <v>#REF!</v>
      </c>
      <c r="BB15" s="95" t="e">
        <f>SUMPRODUCT((日次管理!#REF!&lt;=$BB$3)*(日次管理!#REF!=$A$15)*(日次管理!#REF!="実施完了")*(日次管理!#REF!="予定"),日次管理!#REF!)</f>
        <v>#REF!</v>
      </c>
      <c r="BC15" s="60" t="e">
        <f>SUMPRODUCT((日次管理!#REF!&lt;=$BC$3)*(日次管理!#REF!=$A$15)*(日次管理!#REF!="実施完了")*(日次管理!#REF!="実績"),日次管理!#REF!)</f>
        <v>#REF!</v>
      </c>
      <c r="BD15" s="95" t="e">
        <f>SUMPRODUCT((日次管理!#REF!&lt;=$BD$3)*(日次管理!#REF!=$A$15)*(日次管理!#REF!="実施完了")*(日次管理!#REF!="予定"),日次管理!#REF!)</f>
        <v>#REF!</v>
      </c>
      <c r="BE15" s="60" t="e">
        <f>SUMPRODUCT((日次管理!#REF!&lt;=$BE$3)*(日次管理!#REF!=$A$15)*(日次管理!#REF!="実施完了")*(日次管理!#REF!="実績"),日次管理!#REF!)</f>
        <v>#REF!</v>
      </c>
      <c r="BF15" s="95" t="e">
        <f>SUMPRODUCT((日次管理!#REF!&lt;=$BF$3)*(日次管理!#REF!=$A$15)*(日次管理!#REF!="実施完了")*(日次管理!#REF!="予定"),日次管理!#REF!)</f>
        <v>#REF!</v>
      </c>
      <c r="BG15" s="60" t="e">
        <f>SUMPRODUCT((日次管理!#REF!&lt;=$BG$3)*(日次管理!#REF!=$A$15)*(日次管理!#REF!="実施完了")*(日次管理!#REF!="実績"),日次管理!#REF!)</f>
        <v>#REF!</v>
      </c>
      <c r="BH15" s="95" t="e">
        <f>SUMPRODUCT((日次管理!#REF!&lt;=$BH$3)*(日次管理!#REF!=$A$15)*(日次管理!#REF!="実施完了")*(日次管理!#REF!="予定"),日次管理!#REF!)</f>
        <v>#REF!</v>
      </c>
      <c r="BI15" s="60" t="e">
        <f>SUMPRODUCT((日次管理!#REF!&lt;=$BI$3)*(日次管理!#REF!=$A$15)*(日次管理!#REF!="実施完了")*(日次管理!#REF!="実績"),日次管理!#REF!)</f>
        <v>#REF!</v>
      </c>
      <c r="BJ15" s="95" t="e">
        <f>SUMPRODUCT((日次管理!#REF!&lt;=$BJ$3)*(日次管理!#REF!=$A$15)*(日次管理!#REF!="実施完了")*(日次管理!#REF!="予定"),日次管理!#REF!)</f>
        <v>#REF!</v>
      </c>
      <c r="BK15" s="60" t="e">
        <f>SUMPRODUCT((日次管理!#REF!&lt;=$BK$3)*(日次管理!#REF!=$A$15)*(日次管理!#REF!="実施完了")*(日次管理!#REF!="実績"),日次管理!#REF!)</f>
        <v>#REF!</v>
      </c>
      <c r="BL15" s="95" t="e">
        <f>SUMPRODUCT((日次管理!#REF!&lt;=$BL$3)*(日次管理!#REF!=$A$15)*(日次管理!#REF!="実施完了")*(日次管理!#REF!="予定"),日次管理!#REF!)</f>
        <v>#REF!</v>
      </c>
      <c r="BM15" s="60" t="e">
        <f>SUMPRODUCT((日次管理!#REF!&lt;=$BM$3)*(日次管理!#REF!=$A$15)*(日次管理!#REF!="実施完了")*(日次管理!#REF!="実績"),日次管理!#REF!)</f>
        <v>#REF!</v>
      </c>
      <c r="BN15" s="95" t="e">
        <f>SUMPRODUCT((日次管理!#REF!&lt;=$BN$3)*(日次管理!#REF!=$A$15)*(日次管理!#REF!="実施完了")*(日次管理!#REF!="予定"),日次管理!#REF!)</f>
        <v>#REF!</v>
      </c>
      <c r="BO15" s="60" t="e">
        <f>SUMPRODUCT((日次管理!#REF!&lt;=$BO$3)*(日次管理!#REF!=$A$15)*(日次管理!#REF!="実施完了")*(日次管理!#REF!="実績"),日次管理!#REF!)</f>
        <v>#REF!</v>
      </c>
      <c r="BP15" s="95" t="e">
        <f>SUMPRODUCT((日次管理!#REF!&lt;=$BP$3)*(日次管理!#REF!=$A$15)*(日次管理!#REF!="実施完了")*(日次管理!#REF!="予定"),日次管理!#REF!)</f>
        <v>#REF!</v>
      </c>
      <c r="BQ15" s="60" t="e">
        <f>SUMPRODUCT((日次管理!#REF!&lt;=$BQ$3)*(日次管理!#REF!=$A$15)*(日次管理!#REF!="実施完了")*(日次管理!#REF!="実績"),日次管理!#REF!)</f>
        <v>#REF!</v>
      </c>
      <c r="BR15" s="95" t="e">
        <f>SUMPRODUCT((日次管理!#REF!&lt;=$BR$3)*(日次管理!#REF!=$A$15)*(日次管理!#REF!="実施完了")*(日次管理!#REF!="予定"),日次管理!#REF!)</f>
        <v>#REF!</v>
      </c>
      <c r="BS15" s="60" t="e">
        <f>SUMPRODUCT((日次管理!#REF!&lt;=$BS$3)*(日次管理!#REF!=$A$15)*(日次管理!#REF!="実施完了")*(日次管理!#REF!="実績"),日次管理!#REF!)</f>
        <v>#REF!</v>
      </c>
      <c r="BT15" s="95" t="e">
        <f>SUMPRODUCT((日次管理!#REF!&lt;=$BT$3)*(日次管理!#REF!=$A$15)*(日次管理!#REF!="実施完了")*(日次管理!#REF!="予定"),日次管理!#REF!)</f>
        <v>#REF!</v>
      </c>
      <c r="BU15" s="60" t="e">
        <f>SUMPRODUCT((日次管理!#REF!&lt;=$BU$3)*(日次管理!#REF!=$A$15)*(日次管理!#REF!="実施完了")*(日次管理!#REF!="実績"),日次管理!#REF!)</f>
        <v>#REF!</v>
      </c>
      <c r="BV15" s="95" t="e">
        <f>SUMPRODUCT((日次管理!#REF!&lt;=$BV$3)*(日次管理!#REF!=$A$15)*(日次管理!#REF!="実施完了")*(日次管理!#REF!="予定"),日次管理!#REF!)</f>
        <v>#REF!</v>
      </c>
      <c r="BW15" s="60" t="e">
        <f>SUMPRODUCT((日次管理!#REF!&lt;=$BW$3)*(日次管理!#REF!=$A$15)*(日次管理!#REF!="実施完了")*(日次管理!#REF!="実績"),日次管理!#REF!)</f>
        <v>#REF!</v>
      </c>
      <c r="BX15" s="95" t="e">
        <f>SUMPRODUCT((日次管理!#REF!&lt;=$BX$3)*(日次管理!#REF!=$A$15)*(日次管理!#REF!="実施完了")*(日次管理!#REF!="予定"),日次管理!#REF!)</f>
        <v>#REF!</v>
      </c>
      <c r="BY15" s="60" t="e">
        <f>SUMPRODUCT((日次管理!#REF!&lt;=$BY$3)*(日次管理!#REF!=$A$15)*(日次管理!#REF!="実施完了")*(日次管理!#REF!="実績"),日次管理!#REF!)</f>
        <v>#REF!</v>
      </c>
      <c r="BZ15" s="95" t="e">
        <f>SUMPRODUCT((日次管理!#REF!&lt;=$BZ$3)*(日次管理!#REF!=$A$15)*(日次管理!#REF!="実施完了")*(日次管理!#REF!="予定"),日次管理!#REF!)</f>
        <v>#REF!</v>
      </c>
      <c r="CA15" s="60" t="e">
        <f>SUMPRODUCT((日次管理!#REF!&lt;=$CA$3)*(日次管理!#REF!=$A$15)*(日次管理!#REF!="実施完了")*(日次管理!#REF!="実績"),日次管理!#REF!)</f>
        <v>#REF!</v>
      </c>
      <c r="CB15" s="95" t="e">
        <f>SUMPRODUCT((日次管理!#REF!&lt;=$CB$3)*(日次管理!#REF!=$A$15)*(日次管理!#REF!="実施完了")*(日次管理!#REF!="予定"),日次管理!#REF!)</f>
        <v>#REF!</v>
      </c>
      <c r="CC15" s="60" t="e">
        <f>SUMPRODUCT((日次管理!#REF!&lt;=$CC$3)*(日次管理!#REF!=$A$15)*(日次管理!#REF!="実施完了")*(日次管理!#REF!="実績"),日次管理!#REF!)</f>
        <v>#REF!</v>
      </c>
      <c r="CD15" s="95" t="e">
        <f>SUMPRODUCT((日次管理!#REF!&lt;=$CD$3)*(日次管理!#REF!=$A$15)*(日次管理!#REF!="実施完了")*(日次管理!#REF!="予定"),日次管理!#REF!)</f>
        <v>#REF!</v>
      </c>
      <c r="CE15" s="60" t="e">
        <f>SUMPRODUCT((日次管理!#REF!&lt;=$CE$3)*(日次管理!#REF!=$A$15)*(日次管理!#REF!="実施完了")*(日次管理!#REF!="実績"),日次管理!#REF!)</f>
        <v>#REF!</v>
      </c>
      <c r="CF15" s="95" t="e">
        <f>SUMPRODUCT((日次管理!#REF!&lt;=$CF$3)*(日次管理!#REF!=$A$15)*(日次管理!#REF!="実施完了")*(日次管理!#REF!="予定"),日次管理!#REF!)</f>
        <v>#REF!</v>
      </c>
      <c r="CG15" s="60" t="e">
        <f>SUMPRODUCT((日次管理!#REF!&lt;=$CG$3)*(日次管理!#REF!=$A$15)*(日次管理!#REF!="実施完了")*(日次管理!#REF!="実績"),日次管理!#REF!)</f>
        <v>#REF!</v>
      </c>
      <c r="CH15" s="95" t="e">
        <f>SUMPRODUCT((日次管理!#REF!&lt;=$CH$3)*(日次管理!#REF!=$A$15)*(日次管理!#REF!="実施完了")*(日次管理!#REF!="予定"),日次管理!#REF!)</f>
        <v>#REF!</v>
      </c>
      <c r="CI15" s="60" t="e">
        <f>SUMPRODUCT((日次管理!#REF!&lt;=$CI$3)*(日次管理!#REF!=$A$15)*(日次管理!#REF!="実施完了")*(日次管理!#REF!="実績"),日次管理!#REF!)</f>
        <v>#REF!</v>
      </c>
      <c r="CJ15" s="95" t="e">
        <f>SUMPRODUCT((日次管理!#REF!&lt;=$CJ$3)*(日次管理!#REF!=$A$15)*(日次管理!#REF!="実施完了")*(日次管理!#REF!="予定"),日次管理!#REF!)</f>
        <v>#REF!</v>
      </c>
      <c r="CK15" s="60" t="e">
        <f>SUMPRODUCT((日次管理!#REF!&lt;=$CK$3)*(日次管理!#REF!=$A$15)*(日次管理!#REF!="実施完了")*(日次管理!#REF!="実績"),日次管理!#REF!)</f>
        <v>#REF!</v>
      </c>
      <c r="CL15" s="95" t="e">
        <f>SUMPRODUCT((日次管理!#REF!&lt;=$CL$3)*(日次管理!#REF!=$A$15)*(日次管理!#REF!="実施完了")*(日次管理!#REF!="予定"),日次管理!#REF!)</f>
        <v>#REF!</v>
      </c>
      <c r="CM15" s="60" t="e">
        <f>SUMPRODUCT((日次管理!#REF!&lt;=$CM$3)*(日次管理!#REF!=$A$15)*(日次管理!#REF!="実施完了")*(日次管理!#REF!="実績"),日次管理!#REF!)</f>
        <v>#REF!</v>
      </c>
      <c r="CN15" s="95" t="e">
        <f>SUMPRODUCT((日次管理!#REF!&lt;=$CN$3)*(日次管理!#REF!=$A$15)*(日次管理!#REF!="実施完了")*(日次管理!#REF!="予定"),日次管理!#REF!)</f>
        <v>#REF!</v>
      </c>
      <c r="CO15" s="60" t="e">
        <f>SUMPRODUCT((日次管理!#REF!&lt;=$CO$3)*(日次管理!#REF!=$A$15)*(日次管理!#REF!="実施完了")*(日次管理!#REF!="実績"),日次管理!#REF!)</f>
        <v>#REF!</v>
      </c>
      <c r="CP15" s="95" t="e">
        <f>SUMPRODUCT((日次管理!#REF!&lt;=$CP$3)*(日次管理!#REF!=$A$15)*(日次管理!#REF!="実施完了")*(日次管理!#REF!="予定"),日次管理!#REF!)</f>
        <v>#REF!</v>
      </c>
      <c r="CQ15" s="60" t="e">
        <f>SUMPRODUCT((日次管理!#REF!&lt;=$CQ$3)*(日次管理!#REF!=$A$15)*(日次管理!#REF!="実施完了")*(日次管理!#REF!="実績"),日次管理!#REF!)</f>
        <v>#REF!</v>
      </c>
      <c r="CR15" s="95" t="e">
        <f>SUMPRODUCT((日次管理!#REF!&lt;=$CR$3)*(日次管理!#REF!=$A$15)*(日次管理!#REF!="実施完了")*(日次管理!#REF!="予定"),日次管理!#REF!)</f>
        <v>#REF!</v>
      </c>
      <c r="CS15" s="60" t="e">
        <f>SUMPRODUCT((日次管理!#REF!&lt;=$CS$3)*(日次管理!#REF!=$A$15)*(日次管理!#REF!="実施完了")*(日次管理!#REF!="実績"),日次管理!#REF!)</f>
        <v>#REF!</v>
      </c>
      <c r="CT15" s="95" t="e">
        <f>SUMPRODUCT((日次管理!#REF!&lt;=$CT$3)*(日次管理!#REF!=$A$15)*(日次管理!#REF!="実施完了")*(日次管理!#REF!="予定"),日次管理!#REF!)</f>
        <v>#REF!</v>
      </c>
      <c r="CU15" s="60" t="e">
        <f>SUMPRODUCT((日次管理!#REF!&lt;=$CU$3)*(日次管理!#REF!=$A$15)*(日次管理!#REF!="実施完了")*(日次管理!#REF!="実績"),日次管理!#REF!)</f>
        <v>#REF!</v>
      </c>
      <c r="CV15" s="96" t="e">
        <f ca="1">SUMPRODUCT(($A$3- WEEKDAY($A$3) + 6 =$B$3:$CU$3)*("実績"=$B$4:$CU$4),$B$15:$CU$15)/SUMPRODUCT(($A$3- WEEKDAY($A$3) + 6 =$B$3:$CU$3)*("予定"=$B$4:$CU$4),$B$15:$CU$15)</f>
        <v>#REF!</v>
      </c>
      <c r="CW15" s="97" t="e">
        <f>$CU$15/$CT$15</f>
        <v>#REF!</v>
      </c>
    </row>
    <row r="16" spans="1:101" ht="20.149999999999999" customHeight="1" thickBot="1">
      <c r="A16" s="98" t="s">
        <v>65</v>
      </c>
      <c r="B16" s="99" t="e">
        <f>SUM($B$5:$B$15)</f>
        <v>#REF!</v>
      </c>
      <c r="C16" s="100" t="e">
        <f>SUM($C$5:$C$15)</f>
        <v>#REF!</v>
      </c>
      <c r="D16" s="99" t="e">
        <f>SUM($D$5:$D$15)</f>
        <v>#REF!</v>
      </c>
      <c r="E16" s="100" t="e">
        <f>SUM($E$5:$E$15)</f>
        <v>#REF!</v>
      </c>
      <c r="F16" s="99" t="e">
        <f>SUM($F$5:$F$15)</f>
        <v>#REF!</v>
      </c>
      <c r="G16" s="100" t="e">
        <f>SUM($G$5:$G$15)</f>
        <v>#REF!</v>
      </c>
      <c r="H16" s="99" t="e">
        <f>SUM($H$5:$H$15)</f>
        <v>#REF!</v>
      </c>
      <c r="I16" s="100" t="e">
        <f>SUM($I$5:$I$15)</f>
        <v>#REF!</v>
      </c>
      <c r="J16" s="99" t="e">
        <f>SUM($J$5:$J$15)</f>
        <v>#REF!</v>
      </c>
      <c r="K16" s="100" t="e">
        <f>SUM($K$5:$K$15)</f>
        <v>#REF!</v>
      </c>
      <c r="L16" s="99" t="e">
        <f>SUM($L$5:$L$15)</f>
        <v>#REF!</v>
      </c>
      <c r="M16" s="100" t="e">
        <f>SUM($M$5:$M$15)</f>
        <v>#REF!</v>
      </c>
      <c r="N16" s="99" t="e">
        <f>SUM($N$5:$N$15)</f>
        <v>#REF!</v>
      </c>
      <c r="O16" s="100" t="e">
        <f>SUM($O$5:$O$15)</f>
        <v>#REF!</v>
      </c>
      <c r="P16" s="99" t="e">
        <f>SUM($P$5:$P$15)</f>
        <v>#REF!</v>
      </c>
      <c r="Q16" s="100" t="e">
        <f>SUM($Q$5:$Q$15)</f>
        <v>#REF!</v>
      </c>
      <c r="R16" s="99" t="e">
        <f>SUM($R$5:$R$15)</f>
        <v>#REF!</v>
      </c>
      <c r="S16" s="100" t="e">
        <f>SUM($S$5:$S$15)</f>
        <v>#REF!</v>
      </c>
      <c r="T16" s="99" t="e">
        <f>SUM($T$5:$T$15)</f>
        <v>#REF!</v>
      </c>
      <c r="U16" s="100" t="e">
        <f>SUM($U$5:$U$15)</f>
        <v>#REF!</v>
      </c>
      <c r="V16" s="99" t="e">
        <f>SUM($V$5:$V$15)</f>
        <v>#REF!</v>
      </c>
      <c r="W16" s="100" t="e">
        <f>SUM($W$5:$W$15)</f>
        <v>#REF!</v>
      </c>
      <c r="X16" s="99" t="e">
        <f>SUM($X$5:$X$15)</f>
        <v>#REF!</v>
      </c>
      <c r="Y16" s="100" t="e">
        <f>SUM($Y$5:$Y$15)</f>
        <v>#REF!</v>
      </c>
      <c r="Z16" s="99" t="e">
        <f>SUM($Z$5:$Z$15)</f>
        <v>#REF!</v>
      </c>
      <c r="AA16" s="100" t="e">
        <f>SUM($AA$5:$AA$15)</f>
        <v>#REF!</v>
      </c>
      <c r="AB16" s="99" t="e">
        <f>SUM($AB$5:$AB$15)</f>
        <v>#REF!</v>
      </c>
      <c r="AC16" s="100" t="e">
        <f>SUM($AC$5:$AC$15)</f>
        <v>#REF!</v>
      </c>
      <c r="AD16" s="99" t="e">
        <f>SUM($AD$5:$AD$15)</f>
        <v>#REF!</v>
      </c>
      <c r="AE16" s="100" t="e">
        <f>SUM($AE$5:$AE$15)</f>
        <v>#REF!</v>
      </c>
      <c r="AF16" s="99" t="e">
        <f>SUM($AF$5:$AF$15)</f>
        <v>#REF!</v>
      </c>
      <c r="AG16" s="100" t="e">
        <f>SUM($AG$5:$AG$15)</f>
        <v>#REF!</v>
      </c>
      <c r="AH16" s="99" t="e">
        <f>SUM($AH$5:$AH$15)</f>
        <v>#REF!</v>
      </c>
      <c r="AI16" s="100" t="e">
        <f>SUM($AI$5:$AI$15)</f>
        <v>#REF!</v>
      </c>
      <c r="AJ16" s="99" t="e">
        <f>SUM($AJ$5:$AJ$15)</f>
        <v>#REF!</v>
      </c>
      <c r="AK16" s="100" t="e">
        <f>SUM($AK$5:$AK$15)</f>
        <v>#REF!</v>
      </c>
      <c r="AL16" s="99" t="e">
        <f>SUM($AL$5:$AL$15)</f>
        <v>#REF!</v>
      </c>
      <c r="AM16" s="100" t="e">
        <f>SUM($AM$5:$AM$15)</f>
        <v>#REF!</v>
      </c>
      <c r="AN16" s="99" t="e">
        <f>SUM($AN$5:$AN$15)</f>
        <v>#REF!</v>
      </c>
      <c r="AO16" s="100" t="e">
        <f>SUM($AO$5:$AO$15)</f>
        <v>#REF!</v>
      </c>
      <c r="AP16" s="99" t="e">
        <f>SUM($AP$5:$AP$15)</f>
        <v>#REF!</v>
      </c>
      <c r="AQ16" s="100" t="e">
        <f>SUM($AQ$5:$AQ$15)</f>
        <v>#REF!</v>
      </c>
      <c r="AR16" s="99" t="e">
        <f>SUM($AR$5:$AR$15)</f>
        <v>#REF!</v>
      </c>
      <c r="AS16" s="100" t="e">
        <f>SUM($AS$5:$AS$15)</f>
        <v>#REF!</v>
      </c>
      <c r="AT16" s="99" t="e">
        <f>SUM($AT$5:$AT$15)</f>
        <v>#REF!</v>
      </c>
      <c r="AU16" s="100" t="e">
        <f>SUM($AU$5:$AU$15)</f>
        <v>#REF!</v>
      </c>
      <c r="AV16" s="99" t="e">
        <f>SUM($AV$5:$AV$15)</f>
        <v>#REF!</v>
      </c>
      <c r="AW16" s="100" t="e">
        <f>SUM($AW$5:$AW$15)</f>
        <v>#REF!</v>
      </c>
      <c r="AX16" s="99" t="e">
        <f>SUM($AX$5:$AX$15)</f>
        <v>#REF!</v>
      </c>
      <c r="AY16" s="100" t="e">
        <f>SUM($AY$5:$AY$15)</f>
        <v>#REF!</v>
      </c>
      <c r="AZ16" s="99" t="e">
        <f>SUM($AZ$5:$AZ$15)</f>
        <v>#REF!</v>
      </c>
      <c r="BA16" s="100" t="e">
        <f>SUM($BA$5:$BA$15)</f>
        <v>#REF!</v>
      </c>
      <c r="BB16" s="99" t="e">
        <f>SUM($BB$5:$BB$15)</f>
        <v>#REF!</v>
      </c>
      <c r="BC16" s="100" t="e">
        <f>SUM($BC$5:$BC$15)</f>
        <v>#REF!</v>
      </c>
      <c r="BD16" s="99" t="e">
        <f>SUM($BD$5:$BD$15)</f>
        <v>#REF!</v>
      </c>
      <c r="BE16" s="100" t="e">
        <f>SUM($BE$5:$BE$15)</f>
        <v>#REF!</v>
      </c>
      <c r="BF16" s="99" t="e">
        <f>SUM($BF$5:$BF$15)</f>
        <v>#REF!</v>
      </c>
      <c r="BG16" s="100" t="e">
        <f>SUM($BG$5:$BG$15)</f>
        <v>#REF!</v>
      </c>
      <c r="BH16" s="99" t="e">
        <f>SUM($BH$5:$BH$15)</f>
        <v>#REF!</v>
      </c>
      <c r="BI16" s="100" t="e">
        <f>SUM($BI$5:$BI$15)</f>
        <v>#REF!</v>
      </c>
      <c r="BJ16" s="99" t="e">
        <f>SUM($BJ$5:$BJ$15)</f>
        <v>#REF!</v>
      </c>
      <c r="BK16" s="100" t="e">
        <f>SUM($BK$5:$BK$15)</f>
        <v>#REF!</v>
      </c>
      <c r="BL16" s="99" t="e">
        <f>SUM($BL$5:$BL$15)</f>
        <v>#REF!</v>
      </c>
      <c r="BM16" s="100" t="e">
        <f>SUM($BM$5:$BM$15)</f>
        <v>#REF!</v>
      </c>
      <c r="BN16" s="99" t="e">
        <f>SUM($BN$5:$BN$15)</f>
        <v>#REF!</v>
      </c>
      <c r="BO16" s="100" t="e">
        <f>SUM($BO$5:$BO$15)</f>
        <v>#REF!</v>
      </c>
      <c r="BP16" s="99" t="e">
        <f>SUM($BP$5:$BP$15)</f>
        <v>#REF!</v>
      </c>
      <c r="BQ16" s="100" t="e">
        <f>SUM($BQ$5:$BQ$15)</f>
        <v>#REF!</v>
      </c>
      <c r="BR16" s="99" t="e">
        <f>SUM($BR$5:$BR$15)</f>
        <v>#REF!</v>
      </c>
      <c r="BS16" s="100" t="e">
        <f>SUM($BS$5:$BS$15)</f>
        <v>#REF!</v>
      </c>
      <c r="BT16" s="99" t="e">
        <f>SUM($BT$5:$BT$15)</f>
        <v>#REF!</v>
      </c>
      <c r="BU16" s="100" t="e">
        <f>SUM($BU$5:$BU$15)</f>
        <v>#REF!</v>
      </c>
      <c r="BV16" s="99" t="e">
        <f>SUM($BV$5:$BV$15)</f>
        <v>#REF!</v>
      </c>
      <c r="BW16" s="100" t="e">
        <f>SUM($BW$5:$BW$15)</f>
        <v>#REF!</v>
      </c>
      <c r="BX16" s="99" t="e">
        <f>SUM($BX$5:$BX$15)</f>
        <v>#REF!</v>
      </c>
      <c r="BY16" s="100" t="e">
        <f>SUM($BY$5:$BY$15)</f>
        <v>#REF!</v>
      </c>
      <c r="BZ16" s="99" t="e">
        <f>SUM($BZ$5:$BZ$15)</f>
        <v>#REF!</v>
      </c>
      <c r="CA16" s="100" t="e">
        <f>SUM($CA$5:$CA$15)</f>
        <v>#REF!</v>
      </c>
      <c r="CB16" s="99" t="e">
        <f>SUM($CB$5:$CB$15)</f>
        <v>#REF!</v>
      </c>
      <c r="CC16" s="100" t="e">
        <f>SUM($CC$5:$CC$15)</f>
        <v>#REF!</v>
      </c>
      <c r="CD16" s="99" t="e">
        <f>SUM($CD$5:$CD$15)</f>
        <v>#REF!</v>
      </c>
      <c r="CE16" s="100" t="e">
        <f>SUM($CE$5:$CE$15)</f>
        <v>#REF!</v>
      </c>
      <c r="CF16" s="99" t="e">
        <f>SUM($CF$5:$CF$15)</f>
        <v>#REF!</v>
      </c>
      <c r="CG16" s="100" t="e">
        <f>SUM($CG$5:$CG$15)</f>
        <v>#REF!</v>
      </c>
      <c r="CH16" s="99" t="e">
        <f>SUM($CH$5:$CH$15)</f>
        <v>#REF!</v>
      </c>
      <c r="CI16" s="100" t="e">
        <f>SUM($CI$5:$CI$15)</f>
        <v>#REF!</v>
      </c>
      <c r="CJ16" s="99" t="e">
        <f>SUM($CJ$5:$CJ$15)</f>
        <v>#REF!</v>
      </c>
      <c r="CK16" s="100" t="e">
        <f>SUM($CK$5:$CK$15)</f>
        <v>#REF!</v>
      </c>
      <c r="CL16" s="99" t="e">
        <f>SUM($CL$5:$CL$15)</f>
        <v>#REF!</v>
      </c>
      <c r="CM16" s="100" t="e">
        <f>SUM($CM$5:$CM$15)</f>
        <v>#REF!</v>
      </c>
      <c r="CN16" s="99" t="e">
        <f>SUM($CN$5:$CN$15)</f>
        <v>#REF!</v>
      </c>
      <c r="CO16" s="100" t="e">
        <f>SUM($CO$5:$CO$15)</f>
        <v>#REF!</v>
      </c>
      <c r="CP16" s="99" t="e">
        <f>SUM($CP$5:$CP$15)</f>
        <v>#REF!</v>
      </c>
      <c r="CQ16" s="100" t="e">
        <f>SUM($CQ$5:$CQ$15)</f>
        <v>#REF!</v>
      </c>
      <c r="CR16" s="99" t="e">
        <f>SUM($CR$5:$CR$15)</f>
        <v>#REF!</v>
      </c>
      <c r="CS16" s="100" t="e">
        <f>SUM($CS$5:$CS$15)</f>
        <v>#REF!</v>
      </c>
      <c r="CT16" s="99" t="e">
        <f>SUM($CT$5:$CT$15)</f>
        <v>#REF!</v>
      </c>
      <c r="CU16" s="100" t="e">
        <f>SUM($CU$5:$CU$15)</f>
        <v>#REF!</v>
      </c>
      <c r="CV16" s="101" t="e">
        <f ca="1">SUMPRODUCT(($A$3- WEEKDAY($A$3) + 6 =$B$3:$CU$3)*("実績"=$B$4:$CU$4),$B$16:$CU$16)/SUMPRODUCT(($A$3- WEEKDAY($A$3) + 6 =$B$3:$CU$3)*("予定"=$B$4:$CU$4),$B$16:$CU$16)</f>
        <v>#REF!</v>
      </c>
      <c r="CW16" s="102" t="e">
        <f>$CU$16/$CT$16</f>
        <v>#REF!</v>
      </c>
    </row>
    <row r="19" spans="1:101" ht="20.149999999999999" customHeight="1" thickBot="1">
      <c r="A19" s="43" t="s">
        <v>69</v>
      </c>
      <c r="B19" s="43" t="s">
        <v>63</v>
      </c>
    </row>
    <row r="20" spans="1:101" ht="40" customHeight="1">
      <c r="A20" s="62">
        <f ca="1">TODAY()</f>
        <v>43566</v>
      </c>
      <c r="B20" s="82">
        <v>43528</v>
      </c>
      <c r="C20" s="53">
        <v>43528</v>
      </c>
      <c r="D20" s="83">
        <v>43529</v>
      </c>
      <c r="E20" s="63">
        <v>43529</v>
      </c>
      <c r="F20" s="82">
        <v>43530</v>
      </c>
      <c r="G20" s="53">
        <v>43530</v>
      </c>
      <c r="H20" s="83">
        <v>43531</v>
      </c>
      <c r="I20" s="63">
        <v>43531</v>
      </c>
      <c r="J20" s="82">
        <v>43532</v>
      </c>
      <c r="K20" s="53">
        <v>43532</v>
      </c>
      <c r="L20" s="83">
        <v>43533</v>
      </c>
      <c r="M20" s="63">
        <v>43533</v>
      </c>
      <c r="N20" s="82">
        <v>43534</v>
      </c>
      <c r="O20" s="53">
        <v>43534</v>
      </c>
      <c r="P20" s="83">
        <v>43535</v>
      </c>
      <c r="Q20" s="63">
        <v>43535</v>
      </c>
      <c r="R20" s="82">
        <v>43536</v>
      </c>
      <c r="S20" s="53">
        <v>43536</v>
      </c>
      <c r="T20" s="83">
        <v>43537</v>
      </c>
      <c r="U20" s="63">
        <v>43537</v>
      </c>
      <c r="V20" s="82">
        <v>43538</v>
      </c>
      <c r="W20" s="53">
        <v>43538</v>
      </c>
      <c r="X20" s="83">
        <v>43539</v>
      </c>
      <c r="Y20" s="63">
        <v>43539</v>
      </c>
      <c r="Z20" s="82">
        <v>43540</v>
      </c>
      <c r="AA20" s="53">
        <v>43540</v>
      </c>
      <c r="AB20" s="83">
        <v>43541</v>
      </c>
      <c r="AC20" s="63">
        <v>43541</v>
      </c>
      <c r="AD20" s="82">
        <v>43542</v>
      </c>
      <c r="AE20" s="53">
        <v>43542</v>
      </c>
      <c r="AF20" s="83">
        <v>43543</v>
      </c>
      <c r="AG20" s="63">
        <v>43543</v>
      </c>
      <c r="AH20" s="82">
        <v>43544</v>
      </c>
      <c r="AI20" s="53">
        <v>43544</v>
      </c>
      <c r="AJ20" s="83">
        <v>43545</v>
      </c>
      <c r="AK20" s="63">
        <v>43545</v>
      </c>
      <c r="AL20" s="82">
        <v>43546</v>
      </c>
      <c r="AM20" s="53">
        <v>43546</v>
      </c>
      <c r="AN20" s="83">
        <v>43547</v>
      </c>
      <c r="AO20" s="63">
        <v>43547</v>
      </c>
      <c r="AP20" s="82">
        <v>43548</v>
      </c>
      <c r="AQ20" s="53">
        <v>43548</v>
      </c>
      <c r="AR20" s="83">
        <v>43549</v>
      </c>
      <c r="AS20" s="63">
        <v>43549</v>
      </c>
      <c r="AT20" s="82">
        <v>43550</v>
      </c>
      <c r="AU20" s="53">
        <v>43550</v>
      </c>
      <c r="AV20" s="83">
        <v>43551</v>
      </c>
      <c r="AW20" s="63">
        <v>43551</v>
      </c>
      <c r="AX20" s="82">
        <v>43552</v>
      </c>
      <c r="AY20" s="53">
        <v>43552</v>
      </c>
      <c r="AZ20" s="83">
        <v>43553</v>
      </c>
      <c r="BA20" s="63">
        <v>43553</v>
      </c>
      <c r="BB20" s="82">
        <v>43554</v>
      </c>
      <c r="BC20" s="53">
        <v>43554</v>
      </c>
      <c r="BD20" s="83">
        <v>43555</v>
      </c>
      <c r="BE20" s="63">
        <v>43555</v>
      </c>
      <c r="BF20" s="82">
        <v>43556</v>
      </c>
      <c r="BG20" s="53">
        <v>43556</v>
      </c>
      <c r="BH20" s="83">
        <v>43557</v>
      </c>
      <c r="BI20" s="63">
        <v>43557</v>
      </c>
      <c r="BJ20" s="82">
        <v>43558</v>
      </c>
      <c r="BK20" s="53">
        <v>43558</v>
      </c>
      <c r="BL20" s="83">
        <v>43559</v>
      </c>
      <c r="BM20" s="63">
        <v>43559</v>
      </c>
      <c r="BN20" s="82">
        <v>43560</v>
      </c>
      <c r="BO20" s="53">
        <v>43560</v>
      </c>
      <c r="BP20" s="83">
        <v>43561</v>
      </c>
      <c r="BQ20" s="63">
        <v>43561</v>
      </c>
      <c r="BR20" s="82">
        <v>43562</v>
      </c>
      <c r="BS20" s="53">
        <v>43562</v>
      </c>
      <c r="BT20" s="83">
        <v>43563</v>
      </c>
      <c r="BU20" s="63">
        <v>43563</v>
      </c>
      <c r="BV20" s="82">
        <v>43564</v>
      </c>
      <c r="BW20" s="53">
        <v>43564</v>
      </c>
      <c r="BX20" s="83">
        <v>43565</v>
      </c>
      <c r="BY20" s="63">
        <v>43565</v>
      </c>
      <c r="BZ20" s="82">
        <v>43566</v>
      </c>
      <c r="CA20" s="53">
        <v>43566</v>
      </c>
      <c r="CB20" s="83">
        <v>43567</v>
      </c>
      <c r="CC20" s="63">
        <v>43567</v>
      </c>
      <c r="CD20" s="82">
        <v>43568</v>
      </c>
      <c r="CE20" s="53">
        <v>43568</v>
      </c>
      <c r="CF20" s="83">
        <v>43569</v>
      </c>
      <c r="CG20" s="63">
        <v>43569</v>
      </c>
      <c r="CH20" s="82">
        <v>43570</v>
      </c>
      <c r="CI20" s="53">
        <v>43570</v>
      </c>
      <c r="CJ20" s="83">
        <v>43571</v>
      </c>
      <c r="CK20" s="63">
        <v>43571</v>
      </c>
      <c r="CL20" s="82">
        <v>43572</v>
      </c>
      <c r="CM20" s="53">
        <v>43572</v>
      </c>
      <c r="CN20" s="83">
        <v>43573</v>
      </c>
      <c r="CO20" s="63">
        <v>43573</v>
      </c>
      <c r="CP20" s="82">
        <v>43574</v>
      </c>
      <c r="CQ20" s="53">
        <v>43574</v>
      </c>
      <c r="CR20" s="83">
        <v>43575</v>
      </c>
      <c r="CS20" s="63">
        <v>43575</v>
      </c>
      <c r="CT20" s="82">
        <v>43576</v>
      </c>
      <c r="CU20" s="53">
        <v>43576</v>
      </c>
      <c r="CV20" s="141" t="s">
        <v>66</v>
      </c>
      <c r="CW20" s="142"/>
    </row>
    <row r="21" spans="1:101" ht="20.149999999999999" customHeight="1" thickBot="1">
      <c r="A21" s="84" t="s">
        <v>64</v>
      </c>
      <c r="B21" s="85" t="s">
        <v>60</v>
      </c>
      <c r="C21" s="86" t="s">
        <v>61</v>
      </c>
      <c r="D21" s="87" t="s">
        <v>60</v>
      </c>
      <c r="E21" s="88" t="s">
        <v>61</v>
      </c>
      <c r="F21" s="85" t="s">
        <v>60</v>
      </c>
      <c r="G21" s="86" t="s">
        <v>61</v>
      </c>
      <c r="H21" s="87" t="s">
        <v>60</v>
      </c>
      <c r="I21" s="88" t="s">
        <v>61</v>
      </c>
      <c r="J21" s="85" t="s">
        <v>60</v>
      </c>
      <c r="K21" s="86" t="s">
        <v>61</v>
      </c>
      <c r="L21" s="87" t="s">
        <v>60</v>
      </c>
      <c r="M21" s="88" t="s">
        <v>61</v>
      </c>
      <c r="N21" s="85" t="s">
        <v>60</v>
      </c>
      <c r="O21" s="86" t="s">
        <v>61</v>
      </c>
      <c r="P21" s="87" t="s">
        <v>60</v>
      </c>
      <c r="Q21" s="88" t="s">
        <v>61</v>
      </c>
      <c r="R21" s="85" t="s">
        <v>60</v>
      </c>
      <c r="S21" s="86" t="s">
        <v>61</v>
      </c>
      <c r="T21" s="87" t="s">
        <v>60</v>
      </c>
      <c r="U21" s="88" t="s">
        <v>61</v>
      </c>
      <c r="V21" s="85" t="s">
        <v>60</v>
      </c>
      <c r="W21" s="86" t="s">
        <v>61</v>
      </c>
      <c r="X21" s="87" t="s">
        <v>60</v>
      </c>
      <c r="Y21" s="88" t="s">
        <v>61</v>
      </c>
      <c r="Z21" s="85" t="s">
        <v>60</v>
      </c>
      <c r="AA21" s="86" t="s">
        <v>61</v>
      </c>
      <c r="AB21" s="87" t="s">
        <v>60</v>
      </c>
      <c r="AC21" s="88" t="s">
        <v>61</v>
      </c>
      <c r="AD21" s="85" t="s">
        <v>60</v>
      </c>
      <c r="AE21" s="86" t="s">
        <v>61</v>
      </c>
      <c r="AF21" s="87" t="s">
        <v>60</v>
      </c>
      <c r="AG21" s="88" t="s">
        <v>61</v>
      </c>
      <c r="AH21" s="85" t="s">
        <v>60</v>
      </c>
      <c r="AI21" s="86" t="s">
        <v>61</v>
      </c>
      <c r="AJ21" s="87" t="s">
        <v>60</v>
      </c>
      <c r="AK21" s="88" t="s">
        <v>61</v>
      </c>
      <c r="AL21" s="85" t="s">
        <v>60</v>
      </c>
      <c r="AM21" s="86" t="s">
        <v>61</v>
      </c>
      <c r="AN21" s="87" t="s">
        <v>60</v>
      </c>
      <c r="AO21" s="88" t="s">
        <v>61</v>
      </c>
      <c r="AP21" s="85" t="s">
        <v>60</v>
      </c>
      <c r="AQ21" s="86" t="s">
        <v>61</v>
      </c>
      <c r="AR21" s="87" t="s">
        <v>60</v>
      </c>
      <c r="AS21" s="88" t="s">
        <v>61</v>
      </c>
      <c r="AT21" s="85" t="s">
        <v>60</v>
      </c>
      <c r="AU21" s="86" t="s">
        <v>61</v>
      </c>
      <c r="AV21" s="87" t="s">
        <v>60</v>
      </c>
      <c r="AW21" s="88" t="s">
        <v>61</v>
      </c>
      <c r="AX21" s="85" t="s">
        <v>60</v>
      </c>
      <c r="AY21" s="86" t="s">
        <v>61</v>
      </c>
      <c r="AZ21" s="87" t="s">
        <v>60</v>
      </c>
      <c r="BA21" s="88" t="s">
        <v>61</v>
      </c>
      <c r="BB21" s="85" t="s">
        <v>60</v>
      </c>
      <c r="BC21" s="86" t="s">
        <v>61</v>
      </c>
      <c r="BD21" s="87" t="s">
        <v>60</v>
      </c>
      <c r="BE21" s="88" t="s">
        <v>61</v>
      </c>
      <c r="BF21" s="85" t="s">
        <v>60</v>
      </c>
      <c r="BG21" s="86" t="s">
        <v>61</v>
      </c>
      <c r="BH21" s="87" t="s">
        <v>60</v>
      </c>
      <c r="BI21" s="88" t="s">
        <v>61</v>
      </c>
      <c r="BJ21" s="85" t="s">
        <v>60</v>
      </c>
      <c r="BK21" s="86" t="s">
        <v>61</v>
      </c>
      <c r="BL21" s="87" t="s">
        <v>60</v>
      </c>
      <c r="BM21" s="88" t="s">
        <v>61</v>
      </c>
      <c r="BN21" s="85" t="s">
        <v>60</v>
      </c>
      <c r="BO21" s="86" t="s">
        <v>61</v>
      </c>
      <c r="BP21" s="87" t="s">
        <v>60</v>
      </c>
      <c r="BQ21" s="88" t="s">
        <v>61</v>
      </c>
      <c r="BR21" s="85" t="s">
        <v>60</v>
      </c>
      <c r="BS21" s="86" t="s">
        <v>61</v>
      </c>
      <c r="BT21" s="87" t="s">
        <v>60</v>
      </c>
      <c r="BU21" s="88" t="s">
        <v>61</v>
      </c>
      <c r="BV21" s="85" t="s">
        <v>60</v>
      </c>
      <c r="BW21" s="86" t="s">
        <v>61</v>
      </c>
      <c r="BX21" s="87" t="s">
        <v>60</v>
      </c>
      <c r="BY21" s="88" t="s">
        <v>61</v>
      </c>
      <c r="BZ21" s="85" t="s">
        <v>60</v>
      </c>
      <c r="CA21" s="86" t="s">
        <v>61</v>
      </c>
      <c r="CB21" s="87" t="s">
        <v>60</v>
      </c>
      <c r="CC21" s="88" t="s">
        <v>61</v>
      </c>
      <c r="CD21" s="85" t="s">
        <v>60</v>
      </c>
      <c r="CE21" s="86" t="s">
        <v>61</v>
      </c>
      <c r="CF21" s="87" t="s">
        <v>60</v>
      </c>
      <c r="CG21" s="88" t="s">
        <v>61</v>
      </c>
      <c r="CH21" s="85" t="s">
        <v>60</v>
      </c>
      <c r="CI21" s="86" t="s">
        <v>61</v>
      </c>
      <c r="CJ21" s="87" t="s">
        <v>60</v>
      </c>
      <c r="CK21" s="88" t="s">
        <v>61</v>
      </c>
      <c r="CL21" s="85" t="s">
        <v>60</v>
      </c>
      <c r="CM21" s="86" t="s">
        <v>61</v>
      </c>
      <c r="CN21" s="87" t="s">
        <v>60</v>
      </c>
      <c r="CO21" s="88" t="s">
        <v>61</v>
      </c>
      <c r="CP21" s="85" t="s">
        <v>60</v>
      </c>
      <c r="CQ21" s="86" t="s">
        <v>61</v>
      </c>
      <c r="CR21" s="87" t="s">
        <v>60</v>
      </c>
      <c r="CS21" s="88" t="s">
        <v>61</v>
      </c>
      <c r="CT21" s="85" t="s">
        <v>60</v>
      </c>
      <c r="CU21" s="86" t="s">
        <v>61</v>
      </c>
      <c r="CV21" s="87" t="s">
        <v>67</v>
      </c>
      <c r="CW21" s="89" t="s">
        <v>68</v>
      </c>
    </row>
    <row r="22" spans="1:101" ht="20.149999999999999" customHeight="1">
      <c r="A22" s="54" t="s">
        <v>81</v>
      </c>
      <c r="B22" s="55" t="e">
        <f>SUMPRODUCT((日次管理!#REF!&lt;=$B$20)*(日次管理!#REF!=$A$22)*(日次管理!#REF!="精査完了")*(日次管理!#REF!="予定"),日次管理!#REF!)</f>
        <v>#REF!</v>
      </c>
      <c r="C22" s="56" t="e">
        <f>SUMPRODUCT((日次管理!#REF!&lt;=$C$20)*(日次管理!#REF!=$A$22)*(日次管理!#REF!="精査完了")*(日次管理!#REF!="実績"),日次管理!#REF!)</f>
        <v>#REF!</v>
      </c>
      <c r="D22" s="55" t="e">
        <f>SUMPRODUCT((日次管理!#REF!&lt;=$D$20)*(日次管理!#REF!=$A$22)*(日次管理!#REF!="精査完了")*(日次管理!#REF!="予定"),日次管理!#REF!)</f>
        <v>#REF!</v>
      </c>
      <c r="E22" s="56" t="e">
        <f>SUMPRODUCT((日次管理!#REF!&lt;=$E$20)*(日次管理!#REF!=$A$22)*(日次管理!#REF!="精査完了")*(日次管理!#REF!="実績"),日次管理!#REF!)</f>
        <v>#REF!</v>
      </c>
      <c r="F22" s="55" t="e">
        <f>SUMPRODUCT((日次管理!#REF!&lt;=$F$20)*(日次管理!#REF!=$A$22)*(日次管理!#REF!="精査完了")*(日次管理!#REF!="予定"),日次管理!#REF!)</f>
        <v>#REF!</v>
      </c>
      <c r="G22" s="56" t="e">
        <f>SUMPRODUCT((日次管理!#REF!&lt;=$G$20)*(日次管理!#REF!=$A$22)*(日次管理!#REF!="精査完了")*(日次管理!#REF!="実績"),日次管理!#REF!)</f>
        <v>#REF!</v>
      </c>
      <c r="H22" s="55" t="e">
        <f>SUMPRODUCT((日次管理!#REF!&lt;=$H$20)*(日次管理!#REF!=$A$22)*(日次管理!#REF!="精査完了")*(日次管理!#REF!="予定"),日次管理!#REF!)</f>
        <v>#REF!</v>
      </c>
      <c r="I22" s="56" t="e">
        <f>SUMPRODUCT((日次管理!#REF!&lt;=$I$20)*(日次管理!#REF!=$A$22)*(日次管理!#REF!="精査完了")*(日次管理!#REF!="実績"),日次管理!#REF!)</f>
        <v>#REF!</v>
      </c>
      <c r="J22" s="55" t="e">
        <f>SUMPRODUCT((日次管理!#REF!&lt;=$J$20)*(日次管理!#REF!=$A$22)*(日次管理!#REF!="精査完了")*(日次管理!#REF!="予定"),日次管理!#REF!)</f>
        <v>#REF!</v>
      </c>
      <c r="K22" s="56" t="e">
        <f>SUMPRODUCT((日次管理!#REF!&lt;=$K$20)*(日次管理!#REF!=$A$22)*(日次管理!#REF!="精査完了")*(日次管理!#REF!="実績"),日次管理!#REF!)</f>
        <v>#REF!</v>
      </c>
      <c r="L22" s="55" t="e">
        <f>SUMPRODUCT((日次管理!#REF!&lt;=$L$20)*(日次管理!#REF!=$A$22)*(日次管理!#REF!="精査完了")*(日次管理!#REF!="予定"),日次管理!#REF!)</f>
        <v>#REF!</v>
      </c>
      <c r="M22" s="56" t="e">
        <f>SUMPRODUCT((日次管理!#REF!&lt;=$M$20)*(日次管理!#REF!=$A$22)*(日次管理!#REF!="精査完了")*(日次管理!#REF!="実績"),日次管理!#REF!)</f>
        <v>#REF!</v>
      </c>
      <c r="N22" s="55" t="e">
        <f>SUMPRODUCT((日次管理!#REF!&lt;=$N$20)*(日次管理!#REF!=$A$22)*(日次管理!#REF!="精査完了")*(日次管理!#REF!="予定"),日次管理!#REF!)</f>
        <v>#REF!</v>
      </c>
      <c r="O22" s="56" t="e">
        <f>SUMPRODUCT((日次管理!#REF!&lt;=$O$20)*(日次管理!#REF!=$A$22)*(日次管理!#REF!="精査完了")*(日次管理!#REF!="実績"),日次管理!#REF!)</f>
        <v>#REF!</v>
      </c>
      <c r="P22" s="55" t="e">
        <f>SUMPRODUCT((日次管理!#REF!&lt;=$P$20)*(日次管理!#REF!=$A$22)*(日次管理!#REF!="精査完了")*(日次管理!#REF!="予定"),日次管理!#REF!)</f>
        <v>#REF!</v>
      </c>
      <c r="Q22" s="56" t="e">
        <f>SUMPRODUCT((日次管理!#REF!&lt;=$Q$20)*(日次管理!#REF!=$A$22)*(日次管理!#REF!="精査完了")*(日次管理!#REF!="実績"),日次管理!#REF!)</f>
        <v>#REF!</v>
      </c>
      <c r="R22" s="55" t="e">
        <f>SUMPRODUCT((日次管理!#REF!&lt;=$R$20)*(日次管理!#REF!=$A$22)*(日次管理!#REF!="精査完了")*(日次管理!#REF!="予定"),日次管理!#REF!)</f>
        <v>#REF!</v>
      </c>
      <c r="S22" s="56" t="e">
        <f>SUMPRODUCT((日次管理!#REF!&lt;=$S$20)*(日次管理!#REF!=$A$22)*(日次管理!#REF!="精査完了")*(日次管理!#REF!="実績"),日次管理!#REF!)</f>
        <v>#REF!</v>
      </c>
      <c r="T22" s="55" t="e">
        <f>SUMPRODUCT((日次管理!#REF!&lt;=$T$20)*(日次管理!#REF!=$A$22)*(日次管理!#REF!="精査完了")*(日次管理!#REF!="予定"),日次管理!#REF!)</f>
        <v>#REF!</v>
      </c>
      <c r="U22" s="56" t="e">
        <f>SUMPRODUCT((日次管理!#REF!&lt;=$U$20)*(日次管理!#REF!=$A$22)*(日次管理!#REF!="精査完了")*(日次管理!#REF!="実績"),日次管理!#REF!)</f>
        <v>#REF!</v>
      </c>
      <c r="V22" s="55" t="e">
        <f>SUMPRODUCT((日次管理!#REF!&lt;=$V$20)*(日次管理!#REF!=$A$22)*(日次管理!#REF!="精査完了")*(日次管理!#REF!="予定"),日次管理!#REF!)</f>
        <v>#REF!</v>
      </c>
      <c r="W22" s="56" t="e">
        <f>SUMPRODUCT((日次管理!#REF!&lt;=$W$20)*(日次管理!#REF!=$A$22)*(日次管理!#REF!="精査完了")*(日次管理!#REF!="実績"),日次管理!#REF!)</f>
        <v>#REF!</v>
      </c>
      <c r="X22" s="55" t="e">
        <f>SUMPRODUCT((日次管理!#REF!&lt;=$X$20)*(日次管理!#REF!=$A$22)*(日次管理!#REF!="精査完了")*(日次管理!#REF!="予定"),日次管理!#REF!)</f>
        <v>#REF!</v>
      </c>
      <c r="Y22" s="56" t="e">
        <f>SUMPRODUCT((日次管理!#REF!&lt;=$Y$20)*(日次管理!#REF!=$A$22)*(日次管理!#REF!="精査完了")*(日次管理!#REF!="実績"),日次管理!#REF!)</f>
        <v>#REF!</v>
      </c>
      <c r="Z22" s="55" t="e">
        <f>SUMPRODUCT((日次管理!#REF!&lt;=$Z$20)*(日次管理!#REF!=$A$22)*(日次管理!#REF!="精査完了")*(日次管理!#REF!="予定"),日次管理!#REF!)</f>
        <v>#REF!</v>
      </c>
      <c r="AA22" s="56" t="e">
        <f>SUMPRODUCT((日次管理!#REF!&lt;=$AA$20)*(日次管理!#REF!=$A$22)*(日次管理!#REF!="精査完了")*(日次管理!#REF!="実績"),日次管理!#REF!)</f>
        <v>#REF!</v>
      </c>
      <c r="AB22" s="55" t="e">
        <f>SUMPRODUCT((日次管理!#REF!&lt;=$AB$20)*(日次管理!#REF!=$A$22)*(日次管理!#REF!="精査完了")*(日次管理!#REF!="予定"),日次管理!#REF!)</f>
        <v>#REF!</v>
      </c>
      <c r="AC22" s="56" t="e">
        <f>SUMPRODUCT((日次管理!#REF!&lt;=$AC$20)*(日次管理!#REF!=$A$22)*(日次管理!#REF!="精査完了")*(日次管理!#REF!="実績"),日次管理!#REF!)</f>
        <v>#REF!</v>
      </c>
      <c r="AD22" s="55" t="e">
        <f>SUMPRODUCT((日次管理!#REF!&lt;=$AD$20)*(日次管理!#REF!=$A$22)*(日次管理!#REF!="精査完了")*(日次管理!#REF!="予定"),日次管理!#REF!)</f>
        <v>#REF!</v>
      </c>
      <c r="AE22" s="56" t="e">
        <f>SUMPRODUCT((日次管理!#REF!&lt;=$AE$20)*(日次管理!#REF!=$A$22)*(日次管理!#REF!="精査完了")*(日次管理!#REF!="実績"),日次管理!#REF!)</f>
        <v>#REF!</v>
      </c>
      <c r="AF22" s="55" t="e">
        <f>SUMPRODUCT((日次管理!#REF!&lt;=$AF$20)*(日次管理!#REF!=$A$22)*(日次管理!#REF!="精査完了")*(日次管理!#REF!="予定"),日次管理!#REF!)</f>
        <v>#REF!</v>
      </c>
      <c r="AG22" s="56" t="e">
        <f>SUMPRODUCT((日次管理!#REF!&lt;=$AG$20)*(日次管理!#REF!=$A$22)*(日次管理!#REF!="精査完了")*(日次管理!#REF!="実績"),日次管理!#REF!)</f>
        <v>#REF!</v>
      </c>
      <c r="AH22" s="55" t="e">
        <f>SUMPRODUCT((日次管理!#REF!&lt;=$AH$20)*(日次管理!#REF!=$A$22)*(日次管理!#REF!="精査完了")*(日次管理!#REF!="予定"),日次管理!#REF!)</f>
        <v>#REF!</v>
      </c>
      <c r="AI22" s="56" t="e">
        <f>SUMPRODUCT((日次管理!#REF!&lt;=$AI$20)*(日次管理!#REF!=$A$22)*(日次管理!#REF!="精査完了")*(日次管理!#REF!="実績"),日次管理!#REF!)</f>
        <v>#REF!</v>
      </c>
      <c r="AJ22" s="55" t="e">
        <f>SUMPRODUCT((日次管理!#REF!&lt;=$AJ$20)*(日次管理!#REF!=$A$22)*(日次管理!#REF!="精査完了")*(日次管理!#REF!="予定"),日次管理!#REF!)</f>
        <v>#REF!</v>
      </c>
      <c r="AK22" s="56" t="e">
        <f>SUMPRODUCT((日次管理!#REF!&lt;=$AK$20)*(日次管理!#REF!=$A$22)*(日次管理!#REF!="精査完了")*(日次管理!#REF!="実績"),日次管理!#REF!)</f>
        <v>#REF!</v>
      </c>
      <c r="AL22" s="55" t="e">
        <f>SUMPRODUCT((日次管理!#REF!&lt;=$AL$20)*(日次管理!#REF!=$A$22)*(日次管理!#REF!="精査完了")*(日次管理!#REF!="予定"),日次管理!#REF!)</f>
        <v>#REF!</v>
      </c>
      <c r="AM22" s="56" t="e">
        <f>SUMPRODUCT((日次管理!#REF!&lt;=$AM$20)*(日次管理!#REF!=$A$22)*(日次管理!#REF!="精査完了")*(日次管理!#REF!="実績"),日次管理!#REF!)</f>
        <v>#REF!</v>
      </c>
      <c r="AN22" s="55" t="e">
        <f>SUMPRODUCT((日次管理!#REF!&lt;=$AN$20)*(日次管理!#REF!=$A$22)*(日次管理!#REF!="精査完了")*(日次管理!#REF!="予定"),日次管理!#REF!)</f>
        <v>#REF!</v>
      </c>
      <c r="AO22" s="56" t="e">
        <f>SUMPRODUCT((日次管理!#REF!&lt;=$AO$20)*(日次管理!#REF!=$A$22)*(日次管理!#REF!="精査完了")*(日次管理!#REF!="実績"),日次管理!#REF!)</f>
        <v>#REF!</v>
      </c>
      <c r="AP22" s="55" t="e">
        <f>SUMPRODUCT((日次管理!#REF!&lt;=$AP$20)*(日次管理!#REF!=$A$22)*(日次管理!#REF!="精査完了")*(日次管理!#REF!="予定"),日次管理!#REF!)</f>
        <v>#REF!</v>
      </c>
      <c r="AQ22" s="56" t="e">
        <f>SUMPRODUCT((日次管理!#REF!&lt;=$AQ$20)*(日次管理!#REF!=$A$22)*(日次管理!#REF!="精査完了")*(日次管理!#REF!="実績"),日次管理!#REF!)</f>
        <v>#REF!</v>
      </c>
      <c r="AR22" s="55" t="e">
        <f>SUMPRODUCT((日次管理!#REF!&lt;=$AR$20)*(日次管理!#REF!=$A$22)*(日次管理!#REF!="精査完了")*(日次管理!#REF!="予定"),日次管理!#REF!)</f>
        <v>#REF!</v>
      </c>
      <c r="AS22" s="56" t="e">
        <f>SUMPRODUCT((日次管理!#REF!&lt;=$AS$20)*(日次管理!#REF!=$A$22)*(日次管理!#REF!="精査完了")*(日次管理!#REF!="実績"),日次管理!#REF!)</f>
        <v>#REF!</v>
      </c>
      <c r="AT22" s="55" t="e">
        <f>SUMPRODUCT((日次管理!#REF!&lt;=$AT$20)*(日次管理!#REF!=$A$22)*(日次管理!#REF!="精査完了")*(日次管理!#REF!="予定"),日次管理!#REF!)</f>
        <v>#REF!</v>
      </c>
      <c r="AU22" s="56" t="e">
        <f>SUMPRODUCT((日次管理!#REF!&lt;=$AU$20)*(日次管理!#REF!=$A$22)*(日次管理!#REF!="精査完了")*(日次管理!#REF!="実績"),日次管理!#REF!)</f>
        <v>#REF!</v>
      </c>
      <c r="AV22" s="55" t="e">
        <f>SUMPRODUCT((日次管理!#REF!&lt;=$AV$20)*(日次管理!#REF!=$A$22)*(日次管理!#REF!="精査完了")*(日次管理!#REF!="予定"),日次管理!#REF!)</f>
        <v>#REF!</v>
      </c>
      <c r="AW22" s="56" t="e">
        <f>SUMPRODUCT((日次管理!#REF!&lt;=$AW$20)*(日次管理!#REF!=$A$22)*(日次管理!#REF!="精査完了")*(日次管理!#REF!="実績"),日次管理!#REF!)</f>
        <v>#REF!</v>
      </c>
      <c r="AX22" s="55" t="e">
        <f>SUMPRODUCT((日次管理!#REF!&lt;=$AX$20)*(日次管理!#REF!=$A$22)*(日次管理!#REF!="精査完了")*(日次管理!#REF!="予定"),日次管理!#REF!)</f>
        <v>#REF!</v>
      </c>
      <c r="AY22" s="56" t="e">
        <f>SUMPRODUCT((日次管理!#REF!&lt;=$AY$20)*(日次管理!#REF!=$A$22)*(日次管理!#REF!="精査完了")*(日次管理!#REF!="実績"),日次管理!#REF!)</f>
        <v>#REF!</v>
      </c>
      <c r="AZ22" s="55" t="e">
        <f>SUMPRODUCT((日次管理!#REF!&lt;=$AZ$20)*(日次管理!#REF!=$A$22)*(日次管理!#REF!="精査完了")*(日次管理!#REF!="予定"),日次管理!#REF!)</f>
        <v>#REF!</v>
      </c>
      <c r="BA22" s="56" t="e">
        <f>SUMPRODUCT((日次管理!#REF!&lt;=$BA$20)*(日次管理!#REF!=$A$22)*(日次管理!#REF!="精査完了")*(日次管理!#REF!="実績"),日次管理!#REF!)</f>
        <v>#REF!</v>
      </c>
      <c r="BB22" s="55" t="e">
        <f>SUMPRODUCT((日次管理!#REF!&lt;=$BB$20)*(日次管理!#REF!=$A$22)*(日次管理!#REF!="精査完了")*(日次管理!#REF!="予定"),日次管理!#REF!)</f>
        <v>#REF!</v>
      </c>
      <c r="BC22" s="56" t="e">
        <f>SUMPRODUCT((日次管理!#REF!&lt;=$BC$20)*(日次管理!#REF!=$A$22)*(日次管理!#REF!="精査完了")*(日次管理!#REF!="実績"),日次管理!#REF!)</f>
        <v>#REF!</v>
      </c>
      <c r="BD22" s="55" t="e">
        <f>SUMPRODUCT((日次管理!#REF!&lt;=$BD$20)*(日次管理!#REF!=$A$22)*(日次管理!#REF!="精査完了")*(日次管理!#REF!="予定"),日次管理!#REF!)</f>
        <v>#REF!</v>
      </c>
      <c r="BE22" s="56" t="e">
        <f>SUMPRODUCT((日次管理!#REF!&lt;=$BE$20)*(日次管理!#REF!=$A$22)*(日次管理!#REF!="精査完了")*(日次管理!#REF!="実績"),日次管理!#REF!)</f>
        <v>#REF!</v>
      </c>
      <c r="BF22" s="55" t="e">
        <f>SUMPRODUCT((日次管理!#REF!&lt;=$BF$20)*(日次管理!#REF!=$A$22)*(日次管理!#REF!="精査完了")*(日次管理!#REF!="予定"),日次管理!#REF!)</f>
        <v>#REF!</v>
      </c>
      <c r="BG22" s="56" t="e">
        <f>SUMPRODUCT((日次管理!#REF!&lt;=$BG$20)*(日次管理!#REF!=$A$22)*(日次管理!#REF!="精査完了")*(日次管理!#REF!="実績"),日次管理!#REF!)</f>
        <v>#REF!</v>
      </c>
      <c r="BH22" s="55" t="e">
        <f>SUMPRODUCT((日次管理!#REF!&lt;=$BH$20)*(日次管理!#REF!=$A$22)*(日次管理!#REF!="精査完了")*(日次管理!#REF!="予定"),日次管理!#REF!)</f>
        <v>#REF!</v>
      </c>
      <c r="BI22" s="56" t="e">
        <f>SUMPRODUCT((日次管理!#REF!&lt;=$BI$20)*(日次管理!#REF!=$A$22)*(日次管理!#REF!="精査完了")*(日次管理!#REF!="実績"),日次管理!#REF!)</f>
        <v>#REF!</v>
      </c>
      <c r="BJ22" s="55" t="e">
        <f>SUMPRODUCT((日次管理!#REF!&lt;=$BJ$20)*(日次管理!#REF!=$A$22)*(日次管理!#REF!="精査完了")*(日次管理!#REF!="予定"),日次管理!#REF!)</f>
        <v>#REF!</v>
      </c>
      <c r="BK22" s="56" t="e">
        <f>SUMPRODUCT((日次管理!#REF!&lt;=$BK$20)*(日次管理!#REF!=$A$22)*(日次管理!#REF!="精査完了")*(日次管理!#REF!="実績"),日次管理!#REF!)</f>
        <v>#REF!</v>
      </c>
      <c r="BL22" s="55" t="e">
        <f>SUMPRODUCT((日次管理!#REF!&lt;=$BL$20)*(日次管理!#REF!=$A$22)*(日次管理!#REF!="精査完了")*(日次管理!#REF!="予定"),日次管理!#REF!)</f>
        <v>#REF!</v>
      </c>
      <c r="BM22" s="56" t="e">
        <f>SUMPRODUCT((日次管理!#REF!&lt;=$BM$20)*(日次管理!#REF!=$A$22)*(日次管理!#REF!="精査完了")*(日次管理!#REF!="実績"),日次管理!#REF!)</f>
        <v>#REF!</v>
      </c>
      <c r="BN22" s="55" t="e">
        <f>SUMPRODUCT((日次管理!#REF!&lt;=$BN$20)*(日次管理!#REF!=$A$22)*(日次管理!#REF!="精査完了")*(日次管理!#REF!="予定"),日次管理!#REF!)</f>
        <v>#REF!</v>
      </c>
      <c r="BO22" s="56" t="e">
        <f>SUMPRODUCT((日次管理!#REF!&lt;=$BO$20)*(日次管理!#REF!=$A$22)*(日次管理!#REF!="精査完了")*(日次管理!#REF!="実績"),日次管理!#REF!)</f>
        <v>#REF!</v>
      </c>
      <c r="BP22" s="55" t="e">
        <f>SUMPRODUCT((日次管理!#REF!&lt;=$BP$20)*(日次管理!#REF!=$A$22)*(日次管理!#REF!="精査完了")*(日次管理!#REF!="予定"),日次管理!#REF!)</f>
        <v>#REF!</v>
      </c>
      <c r="BQ22" s="56" t="e">
        <f>SUMPRODUCT((日次管理!#REF!&lt;=$BQ$20)*(日次管理!#REF!=$A$22)*(日次管理!#REF!="精査完了")*(日次管理!#REF!="実績"),日次管理!#REF!)</f>
        <v>#REF!</v>
      </c>
      <c r="BR22" s="55" t="e">
        <f>SUMPRODUCT((日次管理!#REF!&lt;=$BR$20)*(日次管理!#REF!=$A$22)*(日次管理!#REF!="精査完了")*(日次管理!#REF!="予定"),日次管理!#REF!)</f>
        <v>#REF!</v>
      </c>
      <c r="BS22" s="56" t="e">
        <f>SUMPRODUCT((日次管理!#REF!&lt;=$BS$20)*(日次管理!#REF!=$A$22)*(日次管理!#REF!="精査完了")*(日次管理!#REF!="実績"),日次管理!#REF!)</f>
        <v>#REF!</v>
      </c>
      <c r="BT22" s="55" t="e">
        <f>SUMPRODUCT((日次管理!#REF!&lt;=$BT$20)*(日次管理!#REF!=$A$22)*(日次管理!#REF!="精査完了")*(日次管理!#REF!="予定"),日次管理!#REF!)</f>
        <v>#REF!</v>
      </c>
      <c r="BU22" s="56" t="e">
        <f>SUMPRODUCT((日次管理!#REF!&lt;=$BU$20)*(日次管理!#REF!=$A$22)*(日次管理!#REF!="精査完了")*(日次管理!#REF!="実績"),日次管理!#REF!)</f>
        <v>#REF!</v>
      </c>
      <c r="BV22" s="55" t="e">
        <f>SUMPRODUCT((日次管理!#REF!&lt;=$BV$20)*(日次管理!#REF!=$A$22)*(日次管理!#REF!="精査完了")*(日次管理!#REF!="予定"),日次管理!#REF!)</f>
        <v>#REF!</v>
      </c>
      <c r="BW22" s="56" t="e">
        <f>SUMPRODUCT((日次管理!#REF!&lt;=$BW$20)*(日次管理!#REF!=$A$22)*(日次管理!#REF!="精査完了")*(日次管理!#REF!="実績"),日次管理!#REF!)</f>
        <v>#REF!</v>
      </c>
      <c r="BX22" s="55" t="e">
        <f>SUMPRODUCT((日次管理!#REF!&lt;=$BX$20)*(日次管理!#REF!=$A$22)*(日次管理!#REF!="精査完了")*(日次管理!#REF!="予定"),日次管理!#REF!)</f>
        <v>#REF!</v>
      </c>
      <c r="BY22" s="56" t="e">
        <f>SUMPRODUCT((日次管理!#REF!&lt;=$BY$20)*(日次管理!#REF!=$A$22)*(日次管理!#REF!="精査完了")*(日次管理!#REF!="実績"),日次管理!#REF!)</f>
        <v>#REF!</v>
      </c>
      <c r="BZ22" s="55" t="e">
        <f>SUMPRODUCT((日次管理!#REF!&lt;=$BZ$20)*(日次管理!#REF!=$A$22)*(日次管理!#REF!="精査完了")*(日次管理!#REF!="予定"),日次管理!#REF!)</f>
        <v>#REF!</v>
      </c>
      <c r="CA22" s="56" t="e">
        <f>SUMPRODUCT((日次管理!#REF!&lt;=$CA$20)*(日次管理!#REF!=$A$22)*(日次管理!#REF!="精査完了")*(日次管理!#REF!="実績"),日次管理!#REF!)</f>
        <v>#REF!</v>
      </c>
      <c r="CB22" s="55" t="e">
        <f>SUMPRODUCT((日次管理!#REF!&lt;=$CB$20)*(日次管理!#REF!=$A$22)*(日次管理!#REF!="精査完了")*(日次管理!#REF!="予定"),日次管理!#REF!)</f>
        <v>#REF!</v>
      </c>
      <c r="CC22" s="56" t="e">
        <f>SUMPRODUCT((日次管理!#REF!&lt;=$CC$20)*(日次管理!#REF!=$A$22)*(日次管理!#REF!="精査完了")*(日次管理!#REF!="実績"),日次管理!#REF!)</f>
        <v>#REF!</v>
      </c>
      <c r="CD22" s="55" t="e">
        <f>SUMPRODUCT((日次管理!#REF!&lt;=$CD$20)*(日次管理!#REF!=$A$22)*(日次管理!#REF!="精査完了")*(日次管理!#REF!="予定"),日次管理!#REF!)</f>
        <v>#REF!</v>
      </c>
      <c r="CE22" s="56" t="e">
        <f>SUMPRODUCT((日次管理!#REF!&lt;=$CE$20)*(日次管理!#REF!=$A$22)*(日次管理!#REF!="精査完了")*(日次管理!#REF!="実績"),日次管理!#REF!)</f>
        <v>#REF!</v>
      </c>
      <c r="CF22" s="55" t="e">
        <f>SUMPRODUCT((日次管理!#REF!&lt;=$CF$20)*(日次管理!#REF!=$A$22)*(日次管理!#REF!="精査完了")*(日次管理!#REF!="予定"),日次管理!#REF!)</f>
        <v>#REF!</v>
      </c>
      <c r="CG22" s="56" t="e">
        <f>SUMPRODUCT((日次管理!#REF!&lt;=$CG$20)*(日次管理!#REF!=$A$22)*(日次管理!#REF!="精査完了")*(日次管理!#REF!="実績"),日次管理!#REF!)</f>
        <v>#REF!</v>
      </c>
      <c r="CH22" s="55" t="e">
        <f>SUMPRODUCT((日次管理!#REF!&lt;=$CH$20)*(日次管理!#REF!=$A$22)*(日次管理!#REF!="精査完了")*(日次管理!#REF!="予定"),日次管理!#REF!)</f>
        <v>#REF!</v>
      </c>
      <c r="CI22" s="56" t="e">
        <f>SUMPRODUCT((日次管理!#REF!&lt;=$CI$20)*(日次管理!#REF!=$A$22)*(日次管理!#REF!="精査完了")*(日次管理!#REF!="実績"),日次管理!#REF!)</f>
        <v>#REF!</v>
      </c>
      <c r="CJ22" s="55" t="e">
        <f>SUMPRODUCT((日次管理!#REF!&lt;=$CJ$20)*(日次管理!#REF!=$A$22)*(日次管理!#REF!="精査完了")*(日次管理!#REF!="予定"),日次管理!#REF!)</f>
        <v>#REF!</v>
      </c>
      <c r="CK22" s="56" t="e">
        <f>SUMPRODUCT((日次管理!#REF!&lt;=$CK$20)*(日次管理!#REF!=$A$22)*(日次管理!#REF!="精査完了")*(日次管理!#REF!="実績"),日次管理!#REF!)</f>
        <v>#REF!</v>
      </c>
      <c r="CL22" s="55" t="e">
        <f>SUMPRODUCT((日次管理!#REF!&lt;=$CL$20)*(日次管理!#REF!=$A$22)*(日次管理!#REF!="精査完了")*(日次管理!#REF!="予定"),日次管理!#REF!)</f>
        <v>#REF!</v>
      </c>
      <c r="CM22" s="56" t="e">
        <f>SUMPRODUCT((日次管理!#REF!&lt;=$CM$20)*(日次管理!#REF!=$A$22)*(日次管理!#REF!="精査完了")*(日次管理!#REF!="実績"),日次管理!#REF!)</f>
        <v>#REF!</v>
      </c>
      <c r="CN22" s="55" t="e">
        <f>SUMPRODUCT((日次管理!#REF!&lt;=$CN$20)*(日次管理!#REF!=$A$22)*(日次管理!#REF!="精査完了")*(日次管理!#REF!="予定"),日次管理!#REF!)</f>
        <v>#REF!</v>
      </c>
      <c r="CO22" s="56" t="e">
        <f>SUMPRODUCT((日次管理!#REF!&lt;=$CO$20)*(日次管理!#REF!=$A$22)*(日次管理!#REF!="精査完了")*(日次管理!#REF!="実績"),日次管理!#REF!)</f>
        <v>#REF!</v>
      </c>
      <c r="CP22" s="55" t="e">
        <f>SUMPRODUCT((日次管理!#REF!&lt;=$CP$20)*(日次管理!#REF!=$A$22)*(日次管理!#REF!="精査完了")*(日次管理!#REF!="予定"),日次管理!#REF!)</f>
        <v>#REF!</v>
      </c>
      <c r="CQ22" s="56" t="e">
        <f>SUMPRODUCT((日次管理!#REF!&lt;=$CQ$20)*(日次管理!#REF!=$A$22)*(日次管理!#REF!="精査完了")*(日次管理!#REF!="実績"),日次管理!#REF!)</f>
        <v>#REF!</v>
      </c>
      <c r="CR22" s="55" t="e">
        <f>SUMPRODUCT((日次管理!#REF!&lt;=$CR$20)*(日次管理!#REF!=$A$22)*(日次管理!#REF!="精査完了")*(日次管理!#REF!="予定"),日次管理!#REF!)</f>
        <v>#REF!</v>
      </c>
      <c r="CS22" s="56" t="e">
        <f>SUMPRODUCT((日次管理!#REF!&lt;=$CS$20)*(日次管理!#REF!=$A$22)*(日次管理!#REF!="精査完了")*(日次管理!#REF!="実績"),日次管理!#REF!)</f>
        <v>#REF!</v>
      </c>
      <c r="CT22" s="55" t="e">
        <f>SUMPRODUCT((日次管理!#REF!&lt;=$CT$20)*(日次管理!#REF!=$A$22)*(日次管理!#REF!="精査完了")*(日次管理!#REF!="予定"),日次管理!#REF!)</f>
        <v>#REF!</v>
      </c>
      <c r="CU22" s="56" t="e">
        <f>SUMPRODUCT((日次管理!#REF!&lt;=$CU$20)*(日次管理!#REF!=$A$22)*(日次管理!#REF!="精査完了")*(日次管理!#REF!="実績"),日次管理!#REF!)</f>
        <v>#REF!</v>
      </c>
      <c r="CV22" s="57" t="e">
        <f ca="1">SUMPRODUCT(($A$20- WEEKDAY($A$20) + 6 =$B$20:$CU$20)*("実績"=$B$21:$CU$21),$B$22:$CU$22)/SUMPRODUCT(($A$20- WEEKDAY($A$20) + 6 =$B$20:$CU$20)*("予定"=$B$21:$CU$21),$B$22:$CU$22)</f>
        <v>#REF!</v>
      </c>
      <c r="CW22" s="58" t="e">
        <f>$CU$22/$CT$22</f>
        <v>#REF!</v>
      </c>
    </row>
    <row r="23" spans="1:101" ht="20.149999999999999" customHeight="1">
      <c r="A23" s="90" t="s">
        <v>75</v>
      </c>
      <c r="B23" s="91" t="e">
        <f>SUMPRODUCT((日次管理!#REF!&lt;=$B$20)*(日次管理!#REF!=$A$23)*(日次管理!#REF!="精査完了")*(日次管理!#REF!="予定"),日次管理!#REF!)</f>
        <v>#REF!</v>
      </c>
      <c r="C23" s="59" t="e">
        <f>SUMPRODUCT((日次管理!#REF!&lt;=$C$20)*(日次管理!#REF!=$A$23)*(日次管理!#REF!="精査完了")*(日次管理!#REF!="実績"),日次管理!#REF!)</f>
        <v>#REF!</v>
      </c>
      <c r="D23" s="91" t="e">
        <f>SUMPRODUCT((日次管理!#REF!&lt;=$D$20)*(日次管理!#REF!=$A$23)*(日次管理!#REF!="精査完了")*(日次管理!#REF!="予定"),日次管理!#REF!)</f>
        <v>#REF!</v>
      </c>
      <c r="E23" s="59" t="e">
        <f>SUMPRODUCT((日次管理!#REF!&lt;=$E$20)*(日次管理!#REF!=$A$23)*(日次管理!#REF!="精査完了")*(日次管理!#REF!="実績"),日次管理!#REF!)</f>
        <v>#REF!</v>
      </c>
      <c r="F23" s="91" t="e">
        <f>SUMPRODUCT((日次管理!#REF!&lt;=$F$20)*(日次管理!#REF!=$A$23)*(日次管理!#REF!="精査完了")*(日次管理!#REF!="予定"),日次管理!#REF!)</f>
        <v>#REF!</v>
      </c>
      <c r="G23" s="59" t="e">
        <f>SUMPRODUCT((日次管理!#REF!&lt;=$G$20)*(日次管理!#REF!=$A$23)*(日次管理!#REF!="精査完了")*(日次管理!#REF!="実績"),日次管理!#REF!)</f>
        <v>#REF!</v>
      </c>
      <c r="H23" s="91" t="e">
        <f>SUMPRODUCT((日次管理!#REF!&lt;=$H$20)*(日次管理!#REF!=$A$23)*(日次管理!#REF!="精査完了")*(日次管理!#REF!="予定"),日次管理!#REF!)</f>
        <v>#REF!</v>
      </c>
      <c r="I23" s="59" t="e">
        <f>SUMPRODUCT((日次管理!#REF!&lt;=$I$20)*(日次管理!#REF!=$A$23)*(日次管理!#REF!="精査完了")*(日次管理!#REF!="実績"),日次管理!#REF!)</f>
        <v>#REF!</v>
      </c>
      <c r="J23" s="91" t="e">
        <f>SUMPRODUCT((日次管理!#REF!&lt;=$J$20)*(日次管理!#REF!=$A$23)*(日次管理!#REF!="精査完了")*(日次管理!#REF!="予定"),日次管理!#REF!)</f>
        <v>#REF!</v>
      </c>
      <c r="K23" s="59" t="e">
        <f>SUMPRODUCT((日次管理!#REF!&lt;=$K$20)*(日次管理!#REF!=$A$23)*(日次管理!#REF!="精査完了")*(日次管理!#REF!="実績"),日次管理!#REF!)</f>
        <v>#REF!</v>
      </c>
      <c r="L23" s="91" t="e">
        <f>SUMPRODUCT((日次管理!#REF!&lt;=$L$20)*(日次管理!#REF!=$A$23)*(日次管理!#REF!="精査完了")*(日次管理!#REF!="予定"),日次管理!#REF!)</f>
        <v>#REF!</v>
      </c>
      <c r="M23" s="59" t="e">
        <f>SUMPRODUCT((日次管理!#REF!&lt;=$M$20)*(日次管理!#REF!=$A$23)*(日次管理!#REF!="精査完了")*(日次管理!#REF!="実績"),日次管理!#REF!)</f>
        <v>#REF!</v>
      </c>
      <c r="N23" s="91" t="e">
        <f>SUMPRODUCT((日次管理!#REF!&lt;=$N$20)*(日次管理!#REF!=$A$23)*(日次管理!#REF!="精査完了")*(日次管理!#REF!="予定"),日次管理!#REF!)</f>
        <v>#REF!</v>
      </c>
      <c r="O23" s="59" t="e">
        <f>SUMPRODUCT((日次管理!#REF!&lt;=$O$20)*(日次管理!#REF!=$A$23)*(日次管理!#REF!="精査完了")*(日次管理!#REF!="実績"),日次管理!#REF!)</f>
        <v>#REF!</v>
      </c>
      <c r="P23" s="91" t="e">
        <f>SUMPRODUCT((日次管理!#REF!&lt;=$P$20)*(日次管理!#REF!=$A$23)*(日次管理!#REF!="精査完了")*(日次管理!#REF!="予定"),日次管理!#REF!)</f>
        <v>#REF!</v>
      </c>
      <c r="Q23" s="59" t="e">
        <f>SUMPRODUCT((日次管理!#REF!&lt;=$Q$20)*(日次管理!#REF!=$A$23)*(日次管理!#REF!="精査完了")*(日次管理!#REF!="実績"),日次管理!#REF!)</f>
        <v>#REF!</v>
      </c>
      <c r="R23" s="91" t="e">
        <f>SUMPRODUCT((日次管理!#REF!&lt;=$R$20)*(日次管理!#REF!=$A$23)*(日次管理!#REF!="精査完了")*(日次管理!#REF!="予定"),日次管理!#REF!)</f>
        <v>#REF!</v>
      </c>
      <c r="S23" s="59" t="e">
        <f>SUMPRODUCT((日次管理!#REF!&lt;=$S$20)*(日次管理!#REF!=$A$23)*(日次管理!#REF!="精査完了")*(日次管理!#REF!="実績"),日次管理!#REF!)</f>
        <v>#REF!</v>
      </c>
      <c r="T23" s="91" t="e">
        <f>SUMPRODUCT((日次管理!#REF!&lt;=$T$20)*(日次管理!#REF!=$A$23)*(日次管理!#REF!="精査完了")*(日次管理!#REF!="予定"),日次管理!#REF!)</f>
        <v>#REF!</v>
      </c>
      <c r="U23" s="59" t="e">
        <f>SUMPRODUCT((日次管理!#REF!&lt;=$U$20)*(日次管理!#REF!=$A$23)*(日次管理!#REF!="精査完了")*(日次管理!#REF!="実績"),日次管理!#REF!)</f>
        <v>#REF!</v>
      </c>
      <c r="V23" s="91" t="e">
        <f>SUMPRODUCT((日次管理!#REF!&lt;=$V$20)*(日次管理!#REF!=$A$23)*(日次管理!#REF!="精査完了")*(日次管理!#REF!="予定"),日次管理!#REF!)</f>
        <v>#REF!</v>
      </c>
      <c r="W23" s="59" t="e">
        <f>SUMPRODUCT((日次管理!#REF!&lt;=$W$20)*(日次管理!#REF!=$A$23)*(日次管理!#REF!="精査完了")*(日次管理!#REF!="実績"),日次管理!#REF!)</f>
        <v>#REF!</v>
      </c>
      <c r="X23" s="91" t="e">
        <f>SUMPRODUCT((日次管理!#REF!&lt;=$X$20)*(日次管理!#REF!=$A$23)*(日次管理!#REF!="精査完了")*(日次管理!#REF!="予定"),日次管理!#REF!)</f>
        <v>#REF!</v>
      </c>
      <c r="Y23" s="59" t="e">
        <f>SUMPRODUCT((日次管理!#REF!&lt;=$Y$20)*(日次管理!#REF!=$A$23)*(日次管理!#REF!="精査完了")*(日次管理!#REF!="実績"),日次管理!#REF!)</f>
        <v>#REF!</v>
      </c>
      <c r="Z23" s="91" t="e">
        <f>SUMPRODUCT((日次管理!#REF!&lt;=$Z$20)*(日次管理!#REF!=$A$23)*(日次管理!#REF!="精査完了")*(日次管理!#REF!="予定"),日次管理!#REF!)</f>
        <v>#REF!</v>
      </c>
      <c r="AA23" s="59" t="e">
        <f>SUMPRODUCT((日次管理!#REF!&lt;=$AA$20)*(日次管理!#REF!=$A$23)*(日次管理!#REF!="精査完了")*(日次管理!#REF!="実績"),日次管理!#REF!)</f>
        <v>#REF!</v>
      </c>
      <c r="AB23" s="91" t="e">
        <f>SUMPRODUCT((日次管理!#REF!&lt;=$AB$20)*(日次管理!#REF!=$A$23)*(日次管理!#REF!="精査完了")*(日次管理!#REF!="予定"),日次管理!#REF!)</f>
        <v>#REF!</v>
      </c>
      <c r="AC23" s="59" t="e">
        <f>SUMPRODUCT((日次管理!#REF!&lt;=$AC$20)*(日次管理!#REF!=$A$23)*(日次管理!#REF!="精査完了")*(日次管理!#REF!="実績"),日次管理!#REF!)</f>
        <v>#REF!</v>
      </c>
      <c r="AD23" s="91" t="e">
        <f>SUMPRODUCT((日次管理!#REF!&lt;=$AD$20)*(日次管理!#REF!=$A$23)*(日次管理!#REF!="精査完了")*(日次管理!#REF!="予定"),日次管理!#REF!)</f>
        <v>#REF!</v>
      </c>
      <c r="AE23" s="59" t="e">
        <f>SUMPRODUCT((日次管理!#REF!&lt;=$AE$20)*(日次管理!#REF!=$A$23)*(日次管理!#REF!="精査完了")*(日次管理!#REF!="実績"),日次管理!#REF!)</f>
        <v>#REF!</v>
      </c>
      <c r="AF23" s="91" t="e">
        <f>SUMPRODUCT((日次管理!#REF!&lt;=$AF$20)*(日次管理!#REF!=$A$23)*(日次管理!#REF!="精査完了")*(日次管理!#REF!="予定"),日次管理!#REF!)</f>
        <v>#REF!</v>
      </c>
      <c r="AG23" s="59" t="e">
        <f>SUMPRODUCT((日次管理!#REF!&lt;=$AG$20)*(日次管理!#REF!=$A$23)*(日次管理!#REF!="精査完了")*(日次管理!#REF!="実績"),日次管理!#REF!)</f>
        <v>#REF!</v>
      </c>
      <c r="AH23" s="91" t="e">
        <f>SUMPRODUCT((日次管理!#REF!&lt;=$AH$20)*(日次管理!#REF!=$A$23)*(日次管理!#REF!="精査完了")*(日次管理!#REF!="予定"),日次管理!#REF!)</f>
        <v>#REF!</v>
      </c>
      <c r="AI23" s="59" t="e">
        <f>SUMPRODUCT((日次管理!#REF!&lt;=$AI$20)*(日次管理!#REF!=$A$23)*(日次管理!#REF!="精査完了")*(日次管理!#REF!="実績"),日次管理!#REF!)</f>
        <v>#REF!</v>
      </c>
      <c r="AJ23" s="91" t="e">
        <f>SUMPRODUCT((日次管理!#REF!&lt;=$AJ$20)*(日次管理!#REF!=$A$23)*(日次管理!#REF!="精査完了")*(日次管理!#REF!="予定"),日次管理!#REF!)</f>
        <v>#REF!</v>
      </c>
      <c r="AK23" s="59" t="e">
        <f>SUMPRODUCT((日次管理!#REF!&lt;=$AK$20)*(日次管理!#REF!=$A$23)*(日次管理!#REF!="精査完了")*(日次管理!#REF!="実績"),日次管理!#REF!)</f>
        <v>#REF!</v>
      </c>
      <c r="AL23" s="91" t="e">
        <f>SUMPRODUCT((日次管理!#REF!&lt;=$AL$20)*(日次管理!#REF!=$A$23)*(日次管理!#REF!="精査完了")*(日次管理!#REF!="予定"),日次管理!#REF!)</f>
        <v>#REF!</v>
      </c>
      <c r="AM23" s="59" t="e">
        <f>SUMPRODUCT((日次管理!#REF!&lt;=$AM$20)*(日次管理!#REF!=$A$23)*(日次管理!#REF!="精査完了")*(日次管理!#REF!="実績"),日次管理!#REF!)</f>
        <v>#REF!</v>
      </c>
      <c r="AN23" s="91" t="e">
        <f>SUMPRODUCT((日次管理!#REF!&lt;=$AN$20)*(日次管理!#REF!=$A$23)*(日次管理!#REF!="精査完了")*(日次管理!#REF!="予定"),日次管理!#REF!)</f>
        <v>#REF!</v>
      </c>
      <c r="AO23" s="59" t="e">
        <f>SUMPRODUCT((日次管理!#REF!&lt;=$AO$20)*(日次管理!#REF!=$A$23)*(日次管理!#REF!="精査完了")*(日次管理!#REF!="実績"),日次管理!#REF!)</f>
        <v>#REF!</v>
      </c>
      <c r="AP23" s="91" t="e">
        <f>SUMPRODUCT((日次管理!#REF!&lt;=$AP$20)*(日次管理!#REF!=$A$23)*(日次管理!#REF!="精査完了")*(日次管理!#REF!="予定"),日次管理!#REF!)</f>
        <v>#REF!</v>
      </c>
      <c r="AQ23" s="59" t="e">
        <f>SUMPRODUCT((日次管理!#REF!&lt;=$AQ$20)*(日次管理!#REF!=$A$23)*(日次管理!#REF!="精査完了")*(日次管理!#REF!="実績"),日次管理!#REF!)</f>
        <v>#REF!</v>
      </c>
      <c r="AR23" s="91" t="e">
        <f>SUMPRODUCT((日次管理!#REF!&lt;=$AR$20)*(日次管理!#REF!=$A$23)*(日次管理!#REF!="精査完了")*(日次管理!#REF!="予定"),日次管理!#REF!)</f>
        <v>#REF!</v>
      </c>
      <c r="AS23" s="59" t="e">
        <f>SUMPRODUCT((日次管理!#REF!&lt;=$AS$20)*(日次管理!#REF!=$A$23)*(日次管理!#REF!="精査完了")*(日次管理!#REF!="実績"),日次管理!#REF!)</f>
        <v>#REF!</v>
      </c>
      <c r="AT23" s="91" t="e">
        <f>SUMPRODUCT((日次管理!#REF!&lt;=$AT$20)*(日次管理!#REF!=$A$23)*(日次管理!#REF!="精査完了")*(日次管理!#REF!="予定"),日次管理!#REF!)</f>
        <v>#REF!</v>
      </c>
      <c r="AU23" s="59" t="e">
        <f>SUMPRODUCT((日次管理!#REF!&lt;=$AU$20)*(日次管理!#REF!=$A$23)*(日次管理!#REF!="精査完了")*(日次管理!#REF!="実績"),日次管理!#REF!)</f>
        <v>#REF!</v>
      </c>
      <c r="AV23" s="91" t="e">
        <f>SUMPRODUCT((日次管理!#REF!&lt;=$AV$20)*(日次管理!#REF!=$A$23)*(日次管理!#REF!="精査完了")*(日次管理!#REF!="予定"),日次管理!#REF!)</f>
        <v>#REF!</v>
      </c>
      <c r="AW23" s="59" t="e">
        <f>SUMPRODUCT((日次管理!#REF!&lt;=$AW$20)*(日次管理!#REF!=$A$23)*(日次管理!#REF!="精査完了")*(日次管理!#REF!="実績"),日次管理!#REF!)</f>
        <v>#REF!</v>
      </c>
      <c r="AX23" s="91" t="e">
        <f>SUMPRODUCT((日次管理!#REF!&lt;=$AX$20)*(日次管理!#REF!=$A$23)*(日次管理!#REF!="精査完了")*(日次管理!#REF!="予定"),日次管理!#REF!)</f>
        <v>#REF!</v>
      </c>
      <c r="AY23" s="59" t="e">
        <f>SUMPRODUCT((日次管理!#REF!&lt;=$AY$20)*(日次管理!#REF!=$A$23)*(日次管理!#REF!="精査完了")*(日次管理!#REF!="実績"),日次管理!#REF!)</f>
        <v>#REF!</v>
      </c>
      <c r="AZ23" s="91" t="e">
        <f>SUMPRODUCT((日次管理!#REF!&lt;=$AZ$20)*(日次管理!#REF!=$A$23)*(日次管理!#REF!="精査完了")*(日次管理!#REF!="予定"),日次管理!#REF!)</f>
        <v>#REF!</v>
      </c>
      <c r="BA23" s="59" t="e">
        <f>SUMPRODUCT((日次管理!#REF!&lt;=$BA$20)*(日次管理!#REF!=$A$23)*(日次管理!#REF!="精査完了")*(日次管理!#REF!="実績"),日次管理!#REF!)</f>
        <v>#REF!</v>
      </c>
      <c r="BB23" s="91" t="e">
        <f>SUMPRODUCT((日次管理!#REF!&lt;=$BB$20)*(日次管理!#REF!=$A$23)*(日次管理!#REF!="精査完了")*(日次管理!#REF!="予定"),日次管理!#REF!)</f>
        <v>#REF!</v>
      </c>
      <c r="BC23" s="59" t="e">
        <f>SUMPRODUCT((日次管理!#REF!&lt;=$BC$20)*(日次管理!#REF!=$A$23)*(日次管理!#REF!="精査完了")*(日次管理!#REF!="実績"),日次管理!#REF!)</f>
        <v>#REF!</v>
      </c>
      <c r="BD23" s="91" t="e">
        <f>SUMPRODUCT((日次管理!#REF!&lt;=$BD$20)*(日次管理!#REF!=$A$23)*(日次管理!#REF!="精査完了")*(日次管理!#REF!="予定"),日次管理!#REF!)</f>
        <v>#REF!</v>
      </c>
      <c r="BE23" s="59" t="e">
        <f>SUMPRODUCT((日次管理!#REF!&lt;=$BE$20)*(日次管理!#REF!=$A$23)*(日次管理!#REF!="精査完了")*(日次管理!#REF!="実績"),日次管理!#REF!)</f>
        <v>#REF!</v>
      </c>
      <c r="BF23" s="91" t="e">
        <f>SUMPRODUCT((日次管理!#REF!&lt;=$BF$20)*(日次管理!#REF!=$A$23)*(日次管理!#REF!="精査完了")*(日次管理!#REF!="予定"),日次管理!#REF!)</f>
        <v>#REF!</v>
      </c>
      <c r="BG23" s="59" t="e">
        <f>SUMPRODUCT((日次管理!#REF!&lt;=$BG$20)*(日次管理!#REF!=$A$23)*(日次管理!#REF!="精査完了")*(日次管理!#REF!="実績"),日次管理!#REF!)</f>
        <v>#REF!</v>
      </c>
      <c r="BH23" s="91" t="e">
        <f>SUMPRODUCT((日次管理!#REF!&lt;=$BH$20)*(日次管理!#REF!=$A$23)*(日次管理!#REF!="精査完了")*(日次管理!#REF!="予定"),日次管理!#REF!)</f>
        <v>#REF!</v>
      </c>
      <c r="BI23" s="59" t="e">
        <f>SUMPRODUCT((日次管理!#REF!&lt;=$BI$20)*(日次管理!#REF!=$A$23)*(日次管理!#REF!="精査完了")*(日次管理!#REF!="実績"),日次管理!#REF!)</f>
        <v>#REF!</v>
      </c>
      <c r="BJ23" s="91" t="e">
        <f>SUMPRODUCT((日次管理!#REF!&lt;=$BJ$20)*(日次管理!#REF!=$A$23)*(日次管理!#REF!="精査完了")*(日次管理!#REF!="予定"),日次管理!#REF!)</f>
        <v>#REF!</v>
      </c>
      <c r="BK23" s="59" t="e">
        <f>SUMPRODUCT((日次管理!#REF!&lt;=$BK$20)*(日次管理!#REF!=$A$23)*(日次管理!#REF!="精査完了")*(日次管理!#REF!="実績"),日次管理!#REF!)</f>
        <v>#REF!</v>
      </c>
      <c r="BL23" s="91" t="e">
        <f>SUMPRODUCT((日次管理!#REF!&lt;=$BL$20)*(日次管理!#REF!=$A$23)*(日次管理!#REF!="精査完了")*(日次管理!#REF!="予定"),日次管理!#REF!)</f>
        <v>#REF!</v>
      </c>
      <c r="BM23" s="59" t="e">
        <f>SUMPRODUCT((日次管理!#REF!&lt;=$BM$20)*(日次管理!#REF!=$A$23)*(日次管理!#REF!="精査完了")*(日次管理!#REF!="実績"),日次管理!#REF!)</f>
        <v>#REF!</v>
      </c>
      <c r="BN23" s="91" t="e">
        <f>SUMPRODUCT((日次管理!#REF!&lt;=$BN$20)*(日次管理!#REF!=$A$23)*(日次管理!#REF!="精査完了")*(日次管理!#REF!="予定"),日次管理!#REF!)</f>
        <v>#REF!</v>
      </c>
      <c r="BO23" s="59" t="e">
        <f>SUMPRODUCT((日次管理!#REF!&lt;=$BO$20)*(日次管理!#REF!=$A$23)*(日次管理!#REF!="精査完了")*(日次管理!#REF!="実績"),日次管理!#REF!)</f>
        <v>#REF!</v>
      </c>
      <c r="BP23" s="91" t="e">
        <f>SUMPRODUCT((日次管理!#REF!&lt;=$BP$20)*(日次管理!#REF!=$A$23)*(日次管理!#REF!="精査完了")*(日次管理!#REF!="予定"),日次管理!#REF!)</f>
        <v>#REF!</v>
      </c>
      <c r="BQ23" s="59" t="e">
        <f>SUMPRODUCT((日次管理!#REF!&lt;=$BQ$20)*(日次管理!#REF!=$A$23)*(日次管理!#REF!="精査完了")*(日次管理!#REF!="実績"),日次管理!#REF!)</f>
        <v>#REF!</v>
      </c>
      <c r="BR23" s="91" t="e">
        <f>SUMPRODUCT((日次管理!#REF!&lt;=$BR$20)*(日次管理!#REF!=$A$23)*(日次管理!#REF!="精査完了")*(日次管理!#REF!="予定"),日次管理!#REF!)</f>
        <v>#REF!</v>
      </c>
      <c r="BS23" s="59" t="e">
        <f>SUMPRODUCT((日次管理!#REF!&lt;=$BS$20)*(日次管理!#REF!=$A$23)*(日次管理!#REF!="精査完了")*(日次管理!#REF!="実績"),日次管理!#REF!)</f>
        <v>#REF!</v>
      </c>
      <c r="BT23" s="91" t="e">
        <f>SUMPRODUCT((日次管理!#REF!&lt;=$BT$20)*(日次管理!#REF!=$A$23)*(日次管理!#REF!="精査完了")*(日次管理!#REF!="予定"),日次管理!#REF!)</f>
        <v>#REF!</v>
      </c>
      <c r="BU23" s="59" t="e">
        <f>SUMPRODUCT((日次管理!#REF!&lt;=$BU$20)*(日次管理!#REF!=$A$23)*(日次管理!#REF!="精査完了")*(日次管理!#REF!="実績"),日次管理!#REF!)</f>
        <v>#REF!</v>
      </c>
      <c r="BV23" s="91" t="e">
        <f>SUMPRODUCT((日次管理!#REF!&lt;=$BV$20)*(日次管理!#REF!=$A$23)*(日次管理!#REF!="精査完了")*(日次管理!#REF!="予定"),日次管理!#REF!)</f>
        <v>#REF!</v>
      </c>
      <c r="BW23" s="59" t="e">
        <f>SUMPRODUCT((日次管理!#REF!&lt;=$BW$20)*(日次管理!#REF!=$A$23)*(日次管理!#REF!="精査完了")*(日次管理!#REF!="実績"),日次管理!#REF!)</f>
        <v>#REF!</v>
      </c>
      <c r="BX23" s="91" t="e">
        <f>SUMPRODUCT((日次管理!#REF!&lt;=$BX$20)*(日次管理!#REF!=$A$23)*(日次管理!#REF!="精査完了")*(日次管理!#REF!="予定"),日次管理!#REF!)</f>
        <v>#REF!</v>
      </c>
      <c r="BY23" s="59" t="e">
        <f>SUMPRODUCT((日次管理!#REF!&lt;=$BY$20)*(日次管理!#REF!=$A$23)*(日次管理!#REF!="精査完了")*(日次管理!#REF!="実績"),日次管理!#REF!)</f>
        <v>#REF!</v>
      </c>
      <c r="BZ23" s="91" t="e">
        <f>SUMPRODUCT((日次管理!#REF!&lt;=$BZ$20)*(日次管理!#REF!=$A$23)*(日次管理!#REF!="精査完了")*(日次管理!#REF!="予定"),日次管理!#REF!)</f>
        <v>#REF!</v>
      </c>
      <c r="CA23" s="59" t="e">
        <f>SUMPRODUCT((日次管理!#REF!&lt;=$CA$20)*(日次管理!#REF!=$A$23)*(日次管理!#REF!="精査完了")*(日次管理!#REF!="実績"),日次管理!#REF!)</f>
        <v>#REF!</v>
      </c>
      <c r="CB23" s="91" t="e">
        <f>SUMPRODUCT((日次管理!#REF!&lt;=$CB$20)*(日次管理!#REF!=$A$23)*(日次管理!#REF!="精査完了")*(日次管理!#REF!="予定"),日次管理!#REF!)</f>
        <v>#REF!</v>
      </c>
      <c r="CC23" s="59" t="e">
        <f>SUMPRODUCT((日次管理!#REF!&lt;=$CC$20)*(日次管理!#REF!=$A$23)*(日次管理!#REF!="精査完了")*(日次管理!#REF!="実績"),日次管理!#REF!)</f>
        <v>#REF!</v>
      </c>
      <c r="CD23" s="91" t="e">
        <f>SUMPRODUCT((日次管理!#REF!&lt;=$CD$20)*(日次管理!#REF!=$A$23)*(日次管理!#REF!="精査完了")*(日次管理!#REF!="予定"),日次管理!#REF!)</f>
        <v>#REF!</v>
      </c>
      <c r="CE23" s="59" t="e">
        <f>SUMPRODUCT((日次管理!#REF!&lt;=$CE$20)*(日次管理!#REF!=$A$23)*(日次管理!#REF!="精査完了")*(日次管理!#REF!="実績"),日次管理!#REF!)</f>
        <v>#REF!</v>
      </c>
      <c r="CF23" s="91" t="e">
        <f>SUMPRODUCT((日次管理!#REF!&lt;=$CF$20)*(日次管理!#REF!=$A$23)*(日次管理!#REF!="精査完了")*(日次管理!#REF!="予定"),日次管理!#REF!)</f>
        <v>#REF!</v>
      </c>
      <c r="CG23" s="59" t="e">
        <f>SUMPRODUCT((日次管理!#REF!&lt;=$CG$20)*(日次管理!#REF!=$A$23)*(日次管理!#REF!="精査完了")*(日次管理!#REF!="実績"),日次管理!#REF!)</f>
        <v>#REF!</v>
      </c>
      <c r="CH23" s="91" t="e">
        <f>SUMPRODUCT((日次管理!#REF!&lt;=$CH$20)*(日次管理!#REF!=$A$23)*(日次管理!#REF!="精査完了")*(日次管理!#REF!="予定"),日次管理!#REF!)</f>
        <v>#REF!</v>
      </c>
      <c r="CI23" s="59" t="e">
        <f>SUMPRODUCT((日次管理!#REF!&lt;=$CI$20)*(日次管理!#REF!=$A$23)*(日次管理!#REF!="精査完了")*(日次管理!#REF!="実績"),日次管理!#REF!)</f>
        <v>#REF!</v>
      </c>
      <c r="CJ23" s="91" t="e">
        <f>SUMPRODUCT((日次管理!#REF!&lt;=$CJ$20)*(日次管理!#REF!=$A$23)*(日次管理!#REF!="精査完了")*(日次管理!#REF!="予定"),日次管理!#REF!)</f>
        <v>#REF!</v>
      </c>
      <c r="CK23" s="59" t="e">
        <f>SUMPRODUCT((日次管理!#REF!&lt;=$CK$20)*(日次管理!#REF!=$A$23)*(日次管理!#REF!="精査完了")*(日次管理!#REF!="実績"),日次管理!#REF!)</f>
        <v>#REF!</v>
      </c>
      <c r="CL23" s="91" t="e">
        <f>SUMPRODUCT((日次管理!#REF!&lt;=$CL$20)*(日次管理!#REF!=$A$23)*(日次管理!#REF!="精査完了")*(日次管理!#REF!="予定"),日次管理!#REF!)</f>
        <v>#REF!</v>
      </c>
      <c r="CM23" s="59" t="e">
        <f>SUMPRODUCT((日次管理!#REF!&lt;=$CM$20)*(日次管理!#REF!=$A$23)*(日次管理!#REF!="精査完了")*(日次管理!#REF!="実績"),日次管理!#REF!)</f>
        <v>#REF!</v>
      </c>
      <c r="CN23" s="91" t="e">
        <f>SUMPRODUCT((日次管理!#REF!&lt;=$CN$20)*(日次管理!#REF!=$A$23)*(日次管理!#REF!="精査完了")*(日次管理!#REF!="予定"),日次管理!#REF!)</f>
        <v>#REF!</v>
      </c>
      <c r="CO23" s="59" t="e">
        <f>SUMPRODUCT((日次管理!#REF!&lt;=$CO$20)*(日次管理!#REF!=$A$23)*(日次管理!#REF!="精査完了")*(日次管理!#REF!="実績"),日次管理!#REF!)</f>
        <v>#REF!</v>
      </c>
      <c r="CP23" s="91" t="e">
        <f>SUMPRODUCT((日次管理!#REF!&lt;=$CP$20)*(日次管理!#REF!=$A$23)*(日次管理!#REF!="精査完了")*(日次管理!#REF!="予定"),日次管理!#REF!)</f>
        <v>#REF!</v>
      </c>
      <c r="CQ23" s="59" t="e">
        <f>SUMPRODUCT((日次管理!#REF!&lt;=$CQ$20)*(日次管理!#REF!=$A$23)*(日次管理!#REF!="精査完了")*(日次管理!#REF!="実績"),日次管理!#REF!)</f>
        <v>#REF!</v>
      </c>
      <c r="CR23" s="91" t="e">
        <f>SUMPRODUCT((日次管理!#REF!&lt;=$CR$20)*(日次管理!#REF!=$A$23)*(日次管理!#REF!="精査完了")*(日次管理!#REF!="予定"),日次管理!#REF!)</f>
        <v>#REF!</v>
      </c>
      <c r="CS23" s="59" t="e">
        <f>SUMPRODUCT((日次管理!#REF!&lt;=$CS$20)*(日次管理!#REF!=$A$23)*(日次管理!#REF!="精査完了")*(日次管理!#REF!="実績"),日次管理!#REF!)</f>
        <v>#REF!</v>
      </c>
      <c r="CT23" s="91" t="e">
        <f>SUMPRODUCT((日次管理!#REF!&lt;=$CT$20)*(日次管理!#REF!=$A$23)*(日次管理!#REF!="精査完了")*(日次管理!#REF!="予定"),日次管理!#REF!)</f>
        <v>#REF!</v>
      </c>
      <c r="CU23" s="59" t="e">
        <f>SUMPRODUCT((日次管理!#REF!&lt;=$CU$20)*(日次管理!#REF!=$A$23)*(日次管理!#REF!="精査完了")*(日次管理!#REF!="実績"),日次管理!#REF!)</f>
        <v>#REF!</v>
      </c>
      <c r="CV23" s="92" t="e">
        <f ca="1">SUMPRODUCT(($A$20- WEEKDAY($A$20) + 6 =$B$20:$CU$20)*("実績"=$B$21:$CU$21),$B$23:$CU$23)/SUMPRODUCT(($A$20- WEEKDAY($A$20) + 6 =$B$20:$CU$20)*("予定"=$B$21:$CU$21),$B$23:$CU$23)</f>
        <v>#REF!</v>
      </c>
      <c r="CW23" s="93" t="e">
        <f>$CU$23/$CT$23</f>
        <v>#REF!</v>
      </c>
    </row>
    <row r="24" spans="1:101" ht="20.149999999999999" customHeight="1">
      <c r="A24" s="94" t="s">
        <v>80</v>
      </c>
      <c r="B24" s="95" t="e">
        <f>SUMPRODUCT((日次管理!#REF!&lt;=$B$20)*(日次管理!#REF!=$A$24)*(日次管理!#REF!="精査完了")*(日次管理!#REF!="予定"),日次管理!#REF!)</f>
        <v>#REF!</v>
      </c>
      <c r="C24" s="60" t="e">
        <f>SUMPRODUCT((日次管理!#REF!&lt;=$C$20)*(日次管理!#REF!=$A$24)*(日次管理!#REF!="精査完了")*(日次管理!#REF!="実績"),日次管理!#REF!)</f>
        <v>#REF!</v>
      </c>
      <c r="D24" s="95" t="e">
        <f>SUMPRODUCT((日次管理!#REF!&lt;=$D$20)*(日次管理!#REF!=$A$24)*(日次管理!#REF!="精査完了")*(日次管理!#REF!="予定"),日次管理!#REF!)</f>
        <v>#REF!</v>
      </c>
      <c r="E24" s="60" t="e">
        <f>SUMPRODUCT((日次管理!#REF!&lt;=$E$20)*(日次管理!#REF!=$A$24)*(日次管理!#REF!="精査完了")*(日次管理!#REF!="実績"),日次管理!#REF!)</f>
        <v>#REF!</v>
      </c>
      <c r="F24" s="95" t="e">
        <f>SUMPRODUCT((日次管理!#REF!&lt;=$F$20)*(日次管理!#REF!=$A$24)*(日次管理!#REF!="精査完了")*(日次管理!#REF!="予定"),日次管理!#REF!)</f>
        <v>#REF!</v>
      </c>
      <c r="G24" s="60" t="e">
        <f>SUMPRODUCT((日次管理!#REF!&lt;=$G$20)*(日次管理!#REF!=$A$24)*(日次管理!#REF!="精査完了")*(日次管理!#REF!="実績"),日次管理!#REF!)</f>
        <v>#REF!</v>
      </c>
      <c r="H24" s="95" t="e">
        <f>SUMPRODUCT((日次管理!#REF!&lt;=$H$20)*(日次管理!#REF!=$A$24)*(日次管理!#REF!="精査完了")*(日次管理!#REF!="予定"),日次管理!#REF!)</f>
        <v>#REF!</v>
      </c>
      <c r="I24" s="60" t="e">
        <f>SUMPRODUCT((日次管理!#REF!&lt;=$I$20)*(日次管理!#REF!=$A$24)*(日次管理!#REF!="精査完了")*(日次管理!#REF!="実績"),日次管理!#REF!)</f>
        <v>#REF!</v>
      </c>
      <c r="J24" s="95" t="e">
        <f>SUMPRODUCT((日次管理!#REF!&lt;=$J$20)*(日次管理!#REF!=$A$24)*(日次管理!#REF!="精査完了")*(日次管理!#REF!="予定"),日次管理!#REF!)</f>
        <v>#REF!</v>
      </c>
      <c r="K24" s="60" t="e">
        <f>SUMPRODUCT((日次管理!#REF!&lt;=$K$20)*(日次管理!#REF!=$A$24)*(日次管理!#REF!="精査完了")*(日次管理!#REF!="実績"),日次管理!#REF!)</f>
        <v>#REF!</v>
      </c>
      <c r="L24" s="95" t="e">
        <f>SUMPRODUCT((日次管理!#REF!&lt;=$L$20)*(日次管理!#REF!=$A$24)*(日次管理!#REF!="精査完了")*(日次管理!#REF!="予定"),日次管理!#REF!)</f>
        <v>#REF!</v>
      </c>
      <c r="M24" s="60" t="e">
        <f>SUMPRODUCT((日次管理!#REF!&lt;=$M$20)*(日次管理!#REF!=$A$24)*(日次管理!#REF!="精査完了")*(日次管理!#REF!="実績"),日次管理!#REF!)</f>
        <v>#REF!</v>
      </c>
      <c r="N24" s="95" t="e">
        <f>SUMPRODUCT((日次管理!#REF!&lt;=$N$20)*(日次管理!#REF!=$A$24)*(日次管理!#REF!="精査完了")*(日次管理!#REF!="予定"),日次管理!#REF!)</f>
        <v>#REF!</v>
      </c>
      <c r="O24" s="60" t="e">
        <f>SUMPRODUCT((日次管理!#REF!&lt;=$O$20)*(日次管理!#REF!=$A$24)*(日次管理!#REF!="精査完了")*(日次管理!#REF!="実績"),日次管理!#REF!)</f>
        <v>#REF!</v>
      </c>
      <c r="P24" s="95" t="e">
        <f>SUMPRODUCT((日次管理!#REF!&lt;=$P$20)*(日次管理!#REF!=$A$24)*(日次管理!#REF!="精査完了")*(日次管理!#REF!="予定"),日次管理!#REF!)</f>
        <v>#REF!</v>
      </c>
      <c r="Q24" s="60" t="e">
        <f>SUMPRODUCT((日次管理!#REF!&lt;=$Q$20)*(日次管理!#REF!=$A$24)*(日次管理!#REF!="精査完了")*(日次管理!#REF!="実績"),日次管理!#REF!)</f>
        <v>#REF!</v>
      </c>
      <c r="R24" s="95" t="e">
        <f>SUMPRODUCT((日次管理!#REF!&lt;=$R$20)*(日次管理!#REF!=$A$24)*(日次管理!#REF!="精査完了")*(日次管理!#REF!="予定"),日次管理!#REF!)</f>
        <v>#REF!</v>
      </c>
      <c r="S24" s="60" t="e">
        <f>SUMPRODUCT((日次管理!#REF!&lt;=$S$20)*(日次管理!#REF!=$A$24)*(日次管理!#REF!="精査完了")*(日次管理!#REF!="実績"),日次管理!#REF!)</f>
        <v>#REF!</v>
      </c>
      <c r="T24" s="95" t="e">
        <f>SUMPRODUCT((日次管理!#REF!&lt;=$T$20)*(日次管理!#REF!=$A$24)*(日次管理!#REF!="精査完了")*(日次管理!#REF!="予定"),日次管理!#REF!)</f>
        <v>#REF!</v>
      </c>
      <c r="U24" s="60" t="e">
        <f>SUMPRODUCT((日次管理!#REF!&lt;=$U$20)*(日次管理!#REF!=$A$24)*(日次管理!#REF!="精査完了")*(日次管理!#REF!="実績"),日次管理!#REF!)</f>
        <v>#REF!</v>
      </c>
      <c r="V24" s="95" t="e">
        <f>SUMPRODUCT((日次管理!#REF!&lt;=$V$20)*(日次管理!#REF!=$A$24)*(日次管理!#REF!="精査完了")*(日次管理!#REF!="予定"),日次管理!#REF!)</f>
        <v>#REF!</v>
      </c>
      <c r="W24" s="60" t="e">
        <f>SUMPRODUCT((日次管理!#REF!&lt;=$W$20)*(日次管理!#REF!=$A$24)*(日次管理!#REF!="精査完了")*(日次管理!#REF!="実績"),日次管理!#REF!)</f>
        <v>#REF!</v>
      </c>
      <c r="X24" s="95" t="e">
        <f>SUMPRODUCT((日次管理!#REF!&lt;=$X$20)*(日次管理!#REF!=$A$24)*(日次管理!#REF!="精査完了")*(日次管理!#REF!="予定"),日次管理!#REF!)</f>
        <v>#REF!</v>
      </c>
      <c r="Y24" s="60" t="e">
        <f>SUMPRODUCT((日次管理!#REF!&lt;=$Y$20)*(日次管理!#REF!=$A$24)*(日次管理!#REF!="精査完了")*(日次管理!#REF!="実績"),日次管理!#REF!)</f>
        <v>#REF!</v>
      </c>
      <c r="Z24" s="95" t="e">
        <f>SUMPRODUCT((日次管理!#REF!&lt;=$Z$20)*(日次管理!#REF!=$A$24)*(日次管理!#REF!="精査完了")*(日次管理!#REF!="予定"),日次管理!#REF!)</f>
        <v>#REF!</v>
      </c>
      <c r="AA24" s="60" t="e">
        <f>SUMPRODUCT((日次管理!#REF!&lt;=$AA$20)*(日次管理!#REF!=$A$24)*(日次管理!#REF!="精査完了")*(日次管理!#REF!="実績"),日次管理!#REF!)</f>
        <v>#REF!</v>
      </c>
      <c r="AB24" s="95" t="e">
        <f>SUMPRODUCT((日次管理!#REF!&lt;=$AB$20)*(日次管理!#REF!=$A$24)*(日次管理!#REF!="精査完了")*(日次管理!#REF!="予定"),日次管理!#REF!)</f>
        <v>#REF!</v>
      </c>
      <c r="AC24" s="60" t="e">
        <f>SUMPRODUCT((日次管理!#REF!&lt;=$AC$20)*(日次管理!#REF!=$A$24)*(日次管理!#REF!="精査完了")*(日次管理!#REF!="実績"),日次管理!#REF!)</f>
        <v>#REF!</v>
      </c>
      <c r="AD24" s="95" t="e">
        <f>SUMPRODUCT((日次管理!#REF!&lt;=$AD$20)*(日次管理!#REF!=$A$24)*(日次管理!#REF!="精査完了")*(日次管理!#REF!="予定"),日次管理!#REF!)</f>
        <v>#REF!</v>
      </c>
      <c r="AE24" s="60" t="e">
        <f>SUMPRODUCT((日次管理!#REF!&lt;=$AE$20)*(日次管理!#REF!=$A$24)*(日次管理!#REF!="精査完了")*(日次管理!#REF!="実績"),日次管理!#REF!)</f>
        <v>#REF!</v>
      </c>
      <c r="AF24" s="95" t="e">
        <f>SUMPRODUCT((日次管理!#REF!&lt;=$AF$20)*(日次管理!#REF!=$A$24)*(日次管理!#REF!="精査完了")*(日次管理!#REF!="予定"),日次管理!#REF!)</f>
        <v>#REF!</v>
      </c>
      <c r="AG24" s="60" t="e">
        <f>SUMPRODUCT((日次管理!#REF!&lt;=$AG$20)*(日次管理!#REF!=$A$24)*(日次管理!#REF!="精査完了")*(日次管理!#REF!="実績"),日次管理!#REF!)</f>
        <v>#REF!</v>
      </c>
      <c r="AH24" s="95" t="e">
        <f>SUMPRODUCT((日次管理!#REF!&lt;=$AH$20)*(日次管理!#REF!=$A$24)*(日次管理!#REF!="精査完了")*(日次管理!#REF!="予定"),日次管理!#REF!)</f>
        <v>#REF!</v>
      </c>
      <c r="AI24" s="60" t="e">
        <f>SUMPRODUCT((日次管理!#REF!&lt;=$AI$20)*(日次管理!#REF!=$A$24)*(日次管理!#REF!="精査完了")*(日次管理!#REF!="実績"),日次管理!#REF!)</f>
        <v>#REF!</v>
      </c>
      <c r="AJ24" s="95" t="e">
        <f>SUMPRODUCT((日次管理!#REF!&lt;=$AJ$20)*(日次管理!#REF!=$A$24)*(日次管理!#REF!="精査完了")*(日次管理!#REF!="予定"),日次管理!#REF!)</f>
        <v>#REF!</v>
      </c>
      <c r="AK24" s="60" t="e">
        <f>SUMPRODUCT((日次管理!#REF!&lt;=$AK$20)*(日次管理!#REF!=$A$24)*(日次管理!#REF!="精査完了")*(日次管理!#REF!="実績"),日次管理!#REF!)</f>
        <v>#REF!</v>
      </c>
      <c r="AL24" s="95" t="e">
        <f>SUMPRODUCT((日次管理!#REF!&lt;=$AL$20)*(日次管理!#REF!=$A$24)*(日次管理!#REF!="精査完了")*(日次管理!#REF!="予定"),日次管理!#REF!)</f>
        <v>#REF!</v>
      </c>
      <c r="AM24" s="60" t="e">
        <f>SUMPRODUCT((日次管理!#REF!&lt;=$AM$20)*(日次管理!#REF!=$A$24)*(日次管理!#REF!="精査完了")*(日次管理!#REF!="実績"),日次管理!#REF!)</f>
        <v>#REF!</v>
      </c>
      <c r="AN24" s="95" t="e">
        <f>SUMPRODUCT((日次管理!#REF!&lt;=$AN$20)*(日次管理!#REF!=$A$24)*(日次管理!#REF!="精査完了")*(日次管理!#REF!="予定"),日次管理!#REF!)</f>
        <v>#REF!</v>
      </c>
      <c r="AO24" s="60" t="e">
        <f>SUMPRODUCT((日次管理!#REF!&lt;=$AO$20)*(日次管理!#REF!=$A$24)*(日次管理!#REF!="精査完了")*(日次管理!#REF!="実績"),日次管理!#REF!)</f>
        <v>#REF!</v>
      </c>
      <c r="AP24" s="95" t="e">
        <f>SUMPRODUCT((日次管理!#REF!&lt;=$AP$20)*(日次管理!#REF!=$A$24)*(日次管理!#REF!="精査完了")*(日次管理!#REF!="予定"),日次管理!#REF!)</f>
        <v>#REF!</v>
      </c>
      <c r="AQ24" s="60" t="e">
        <f>SUMPRODUCT((日次管理!#REF!&lt;=$AQ$20)*(日次管理!#REF!=$A$24)*(日次管理!#REF!="精査完了")*(日次管理!#REF!="実績"),日次管理!#REF!)</f>
        <v>#REF!</v>
      </c>
      <c r="AR24" s="95" t="e">
        <f>SUMPRODUCT((日次管理!#REF!&lt;=$AR$20)*(日次管理!#REF!=$A$24)*(日次管理!#REF!="精査完了")*(日次管理!#REF!="予定"),日次管理!#REF!)</f>
        <v>#REF!</v>
      </c>
      <c r="AS24" s="60" t="e">
        <f>SUMPRODUCT((日次管理!#REF!&lt;=$AS$20)*(日次管理!#REF!=$A$24)*(日次管理!#REF!="精査完了")*(日次管理!#REF!="実績"),日次管理!#REF!)</f>
        <v>#REF!</v>
      </c>
      <c r="AT24" s="95" t="e">
        <f>SUMPRODUCT((日次管理!#REF!&lt;=$AT$20)*(日次管理!#REF!=$A$24)*(日次管理!#REF!="精査完了")*(日次管理!#REF!="予定"),日次管理!#REF!)</f>
        <v>#REF!</v>
      </c>
      <c r="AU24" s="60" t="e">
        <f>SUMPRODUCT((日次管理!#REF!&lt;=$AU$20)*(日次管理!#REF!=$A$24)*(日次管理!#REF!="精査完了")*(日次管理!#REF!="実績"),日次管理!#REF!)</f>
        <v>#REF!</v>
      </c>
      <c r="AV24" s="95" t="e">
        <f>SUMPRODUCT((日次管理!#REF!&lt;=$AV$20)*(日次管理!#REF!=$A$24)*(日次管理!#REF!="精査完了")*(日次管理!#REF!="予定"),日次管理!#REF!)</f>
        <v>#REF!</v>
      </c>
      <c r="AW24" s="60" t="e">
        <f>SUMPRODUCT((日次管理!#REF!&lt;=$AW$20)*(日次管理!#REF!=$A$24)*(日次管理!#REF!="精査完了")*(日次管理!#REF!="実績"),日次管理!#REF!)</f>
        <v>#REF!</v>
      </c>
      <c r="AX24" s="95" t="e">
        <f>SUMPRODUCT((日次管理!#REF!&lt;=$AX$20)*(日次管理!#REF!=$A$24)*(日次管理!#REF!="精査完了")*(日次管理!#REF!="予定"),日次管理!#REF!)</f>
        <v>#REF!</v>
      </c>
      <c r="AY24" s="60" t="e">
        <f>SUMPRODUCT((日次管理!#REF!&lt;=$AY$20)*(日次管理!#REF!=$A$24)*(日次管理!#REF!="精査完了")*(日次管理!#REF!="実績"),日次管理!#REF!)</f>
        <v>#REF!</v>
      </c>
      <c r="AZ24" s="95" t="e">
        <f>SUMPRODUCT((日次管理!#REF!&lt;=$AZ$20)*(日次管理!#REF!=$A$24)*(日次管理!#REF!="精査完了")*(日次管理!#REF!="予定"),日次管理!#REF!)</f>
        <v>#REF!</v>
      </c>
      <c r="BA24" s="60" t="e">
        <f>SUMPRODUCT((日次管理!#REF!&lt;=$BA$20)*(日次管理!#REF!=$A$24)*(日次管理!#REF!="精査完了")*(日次管理!#REF!="実績"),日次管理!#REF!)</f>
        <v>#REF!</v>
      </c>
      <c r="BB24" s="95" t="e">
        <f>SUMPRODUCT((日次管理!#REF!&lt;=$BB$20)*(日次管理!#REF!=$A$24)*(日次管理!#REF!="精査完了")*(日次管理!#REF!="予定"),日次管理!#REF!)</f>
        <v>#REF!</v>
      </c>
      <c r="BC24" s="60" t="e">
        <f>SUMPRODUCT((日次管理!#REF!&lt;=$BC$20)*(日次管理!#REF!=$A$24)*(日次管理!#REF!="精査完了")*(日次管理!#REF!="実績"),日次管理!#REF!)</f>
        <v>#REF!</v>
      </c>
      <c r="BD24" s="95" t="e">
        <f>SUMPRODUCT((日次管理!#REF!&lt;=$BD$20)*(日次管理!#REF!=$A$24)*(日次管理!#REF!="精査完了")*(日次管理!#REF!="予定"),日次管理!#REF!)</f>
        <v>#REF!</v>
      </c>
      <c r="BE24" s="60" t="e">
        <f>SUMPRODUCT((日次管理!#REF!&lt;=$BE$20)*(日次管理!#REF!=$A$24)*(日次管理!#REF!="精査完了")*(日次管理!#REF!="実績"),日次管理!#REF!)</f>
        <v>#REF!</v>
      </c>
      <c r="BF24" s="95" t="e">
        <f>SUMPRODUCT((日次管理!#REF!&lt;=$BF$20)*(日次管理!#REF!=$A$24)*(日次管理!#REF!="精査完了")*(日次管理!#REF!="予定"),日次管理!#REF!)</f>
        <v>#REF!</v>
      </c>
      <c r="BG24" s="60" t="e">
        <f>SUMPRODUCT((日次管理!#REF!&lt;=$BG$20)*(日次管理!#REF!=$A$24)*(日次管理!#REF!="精査完了")*(日次管理!#REF!="実績"),日次管理!#REF!)</f>
        <v>#REF!</v>
      </c>
      <c r="BH24" s="95" t="e">
        <f>SUMPRODUCT((日次管理!#REF!&lt;=$BH$20)*(日次管理!#REF!=$A$24)*(日次管理!#REF!="精査完了")*(日次管理!#REF!="予定"),日次管理!#REF!)</f>
        <v>#REF!</v>
      </c>
      <c r="BI24" s="60" t="e">
        <f>SUMPRODUCT((日次管理!#REF!&lt;=$BI$20)*(日次管理!#REF!=$A$24)*(日次管理!#REF!="精査完了")*(日次管理!#REF!="実績"),日次管理!#REF!)</f>
        <v>#REF!</v>
      </c>
      <c r="BJ24" s="95" t="e">
        <f>SUMPRODUCT((日次管理!#REF!&lt;=$BJ$20)*(日次管理!#REF!=$A$24)*(日次管理!#REF!="精査完了")*(日次管理!#REF!="予定"),日次管理!#REF!)</f>
        <v>#REF!</v>
      </c>
      <c r="BK24" s="60" t="e">
        <f>SUMPRODUCT((日次管理!#REF!&lt;=$BK$20)*(日次管理!#REF!=$A$24)*(日次管理!#REF!="精査完了")*(日次管理!#REF!="実績"),日次管理!#REF!)</f>
        <v>#REF!</v>
      </c>
      <c r="BL24" s="95" t="e">
        <f>SUMPRODUCT((日次管理!#REF!&lt;=$BL$20)*(日次管理!#REF!=$A$24)*(日次管理!#REF!="精査完了")*(日次管理!#REF!="予定"),日次管理!#REF!)</f>
        <v>#REF!</v>
      </c>
      <c r="BM24" s="60" t="e">
        <f>SUMPRODUCT((日次管理!#REF!&lt;=$BM$20)*(日次管理!#REF!=$A$24)*(日次管理!#REF!="精査完了")*(日次管理!#REF!="実績"),日次管理!#REF!)</f>
        <v>#REF!</v>
      </c>
      <c r="BN24" s="95" t="e">
        <f>SUMPRODUCT((日次管理!#REF!&lt;=$BN$20)*(日次管理!#REF!=$A$24)*(日次管理!#REF!="精査完了")*(日次管理!#REF!="予定"),日次管理!#REF!)</f>
        <v>#REF!</v>
      </c>
      <c r="BO24" s="60" t="e">
        <f>SUMPRODUCT((日次管理!#REF!&lt;=$BO$20)*(日次管理!#REF!=$A$24)*(日次管理!#REF!="精査完了")*(日次管理!#REF!="実績"),日次管理!#REF!)</f>
        <v>#REF!</v>
      </c>
      <c r="BP24" s="95" t="e">
        <f>SUMPRODUCT((日次管理!#REF!&lt;=$BP$20)*(日次管理!#REF!=$A$24)*(日次管理!#REF!="精査完了")*(日次管理!#REF!="予定"),日次管理!#REF!)</f>
        <v>#REF!</v>
      </c>
      <c r="BQ24" s="60" t="e">
        <f>SUMPRODUCT((日次管理!#REF!&lt;=$BQ$20)*(日次管理!#REF!=$A$24)*(日次管理!#REF!="精査完了")*(日次管理!#REF!="実績"),日次管理!#REF!)</f>
        <v>#REF!</v>
      </c>
      <c r="BR24" s="95" t="e">
        <f>SUMPRODUCT((日次管理!#REF!&lt;=$BR$20)*(日次管理!#REF!=$A$24)*(日次管理!#REF!="精査完了")*(日次管理!#REF!="予定"),日次管理!#REF!)</f>
        <v>#REF!</v>
      </c>
      <c r="BS24" s="60" t="e">
        <f>SUMPRODUCT((日次管理!#REF!&lt;=$BS$20)*(日次管理!#REF!=$A$24)*(日次管理!#REF!="精査完了")*(日次管理!#REF!="実績"),日次管理!#REF!)</f>
        <v>#REF!</v>
      </c>
      <c r="BT24" s="95" t="e">
        <f>SUMPRODUCT((日次管理!#REF!&lt;=$BT$20)*(日次管理!#REF!=$A$24)*(日次管理!#REF!="精査完了")*(日次管理!#REF!="予定"),日次管理!#REF!)</f>
        <v>#REF!</v>
      </c>
      <c r="BU24" s="60" t="e">
        <f>SUMPRODUCT((日次管理!#REF!&lt;=$BU$20)*(日次管理!#REF!=$A$24)*(日次管理!#REF!="精査完了")*(日次管理!#REF!="実績"),日次管理!#REF!)</f>
        <v>#REF!</v>
      </c>
      <c r="BV24" s="95" t="e">
        <f>SUMPRODUCT((日次管理!#REF!&lt;=$BV$20)*(日次管理!#REF!=$A$24)*(日次管理!#REF!="精査完了")*(日次管理!#REF!="予定"),日次管理!#REF!)</f>
        <v>#REF!</v>
      </c>
      <c r="BW24" s="60" t="e">
        <f>SUMPRODUCT((日次管理!#REF!&lt;=$BW$20)*(日次管理!#REF!=$A$24)*(日次管理!#REF!="精査完了")*(日次管理!#REF!="実績"),日次管理!#REF!)</f>
        <v>#REF!</v>
      </c>
      <c r="BX24" s="95" t="e">
        <f>SUMPRODUCT((日次管理!#REF!&lt;=$BX$20)*(日次管理!#REF!=$A$24)*(日次管理!#REF!="精査完了")*(日次管理!#REF!="予定"),日次管理!#REF!)</f>
        <v>#REF!</v>
      </c>
      <c r="BY24" s="60" t="e">
        <f>SUMPRODUCT((日次管理!#REF!&lt;=$BY$20)*(日次管理!#REF!=$A$24)*(日次管理!#REF!="精査完了")*(日次管理!#REF!="実績"),日次管理!#REF!)</f>
        <v>#REF!</v>
      </c>
      <c r="BZ24" s="95" t="e">
        <f>SUMPRODUCT((日次管理!#REF!&lt;=$BZ$20)*(日次管理!#REF!=$A$24)*(日次管理!#REF!="精査完了")*(日次管理!#REF!="予定"),日次管理!#REF!)</f>
        <v>#REF!</v>
      </c>
      <c r="CA24" s="60" t="e">
        <f>SUMPRODUCT((日次管理!#REF!&lt;=$CA$20)*(日次管理!#REF!=$A$24)*(日次管理!#REF!="精査完了")*(日次管理!#REF!="実績"),日次管理!#REF!)</f>
        <v>#REF!</v>
      </c>
      <c r="CB24" s="95" t="e">
        <f>SUMPRODUCT((日次管理!#REF!&lt;=$CB$20)*(日次管理!#REF!=$A$24)*(日次管理!#REF!="精査完了")*(日次管理!#REF!="予定"),日次管理!#REF!)</f>
        <v>#REF!</v>
      </c>
      <c r="CC24" s="60" t="e">
        <f>SUMPRODUCT((日次管理!#REF!&lt;=$CC$20)*(日次管理!#REF!=$A$24)*(日次管理!#REF!="精査完了")*(日次管理!#REF!="実績"),日次管理!#REF!)</f>
        <v>#REF!</v>
      </c>
      <c r="CD24" s="95" t="e">
        <f>SUMPRODUCT((日次管理!#REF!&lt;=$CD$20)*(日次管理!#REF!=$A$24)*(日次管理!#REF!="精査完了")*(日次管理!#REF!="予定"),日次管理!#REF!)</f>
        <v>#REF!</v>
      </c>
      <c r="CE24" s="60" t="e">
        <f>SUMPRODUCT((日次管理!#REF!&lt;=$CE$20)*(日次管理!#REF!=$A$24)*(日次管理!#REF!="精査完了")*(日次管理!#REF!="実績"),日次管理!#REF!)</f>
        <v>#REF!</v>
      </c>
      <c r="CF24" s="95" t="e">
        <f>SUMPRODUCT((日次管理!#REF!&lt;=$CF$20)*(日次管理!#REF!=$A$24)*(日次管理!#REF!="精査完了")*(日次管理!#REF!="予定"),日次管理!#REF!)</f>
        <v>#REF!</v>
      </c>
      <c r="CG24" s="60" t="e">
        <f>SUMPRODUCT((日次管理!#REF!&lt;=$CG$20)*(日次管理!#REF!=$A$24)*(日次管理!#REF!="精査完了")*(日次管理!#REF!="実績"),日次管理!#REF!)</f>
        <v>#REF!</v>
      </c>
      <c r="CH24" s="95" t="e">
        <f>SUMPRODUCT((日次管理!#REF!&lt;=$CH$20)*(日次管理!#REF!=$A$24)*(日次管理!#REF!="精査完了")*(日次管理!#REF!="予定"),日次管理!#REF!)</f>
        <v>#REF!</v>
      </c>
      <c r="CI24" s="60" t="e">
        <f>SUMPRODUCT((日次管理!#REF!&lt;=$CI$20)*(日次管理!#REF!=$A$24)*(日次管理!#REF!="精査完了")*(日次管理!#REF!="実績"),日次管理!#REF!)</f>
        <v>#REF!</v>
      </c>
      <c r="CJ24" s="95" t="e">
        <f>SUMPRODUCT((日次管理!#REF!&lt;=$CJ$20)*(日次管理!#REF!=$A$24)*(日次管理!#REF!="精査完了")*(日次管理!#REF!="予定"),日次管理!#REF!)</f>
        <v>#REF!</v>
      </c>
      <c r="CK24" s="60" t="e">
        <f>SUMPRODUCT((日次管理!#REF!&lt;=$CK$20)*(日次管理!#REF!=$A$24)*(日次管理!#REF!="精査完了")*(日次管理!#REF!="実績"),日次管理!#REF!)</f>
        <v>#REF!</v>
      </c>
      <c r="CL24" s="95" t="e">
        <f>SUMPRODUCT((日次管理!#REF!&lt;=$CL$20)*(日次管理!#REF!=$A$24)*(日次管理!#REF!="精査完了")*(日次管理!#REF!="予定"),日次管理!#REF!)</f>
        <v>#REF!</v>
      </c>
      <c r="CM24" s="60" t="e">
        <f>SUMPRODUCT((日次管理!#REF!&lt;=$CM$20)*(日次管理!#REF!=$A$24)*(日次管理!#REF!="精査完了")*(日次管理!#REF!="実績"),日次管理!#REF!)</f>
        <v>#REF!</v>
      </c>
      <c r="CN24" s="95" t="e">
        <f>SUMPRODUCT((日次管理!#REF!&lt;=$CN$20)*(日次管理!#REF!=$A$24)*(日次管理!#REF!="精査完了")*(日次管理!#REF!="予定"),日次管理!#REF!)</f>
        <v>#REF!</v>
      </c>
      <c r="CO24" s="60" t="e">
        <f>SUMPRODUCT((日次管理!#REF!&lt;=$CO$20)*(日次管理!#REF!=$A$24)*(日次管理!#REF!="精査完了")*(日次管理!#REF!="実績"),日次管理!#REF!)</f>
        <v>#REF!</v>
      </c>
      <c r="CP24" s="95" t="e">
        <f>SUMPRODUCT((日次管理!#REF!&lt;=$CP$20)*(日次管理!#REF!=$A$24)*(日次管理!#REF!="精査完了")*(日次管理!#REF!="予定"),日次管理!#REF!)</f>
        <v>#REF!</v>
      </c>
      <c r="CQ24" s="60" t="e">
        <f>SUMPRODUCT((日次管理!#REF!&lt;=$CQ$20)*(日次管理!#REF!=$A$24)*(日次管理!#REF!="精査完了")*(日次管理!#REF!="実績"),日次管理!#REF!)</f>
        <v>#REF!</v>
      </c>
      <c r="CR24" s="95" t="e">
        <f>SUMPRODUCT((日次管理!#REF!&lt;=$CR$20)*(日次管理!#REF!=$A$24)*(日次管理!#REF!="精査完了")*(日次管理!#REF!="予定"),日次管理!#REF!)</f>
        <v>#REF!</v>
      </c>
      <c r="CS24" s="60" t="e">
        <f>SUMPRODUCT((日次管理!#REF!&lt;=$CS$20)*(日次管理!#REF!=$A$24)*(日次管理!#REF!="精査完了")*(日次管理!#REF!="実績"),日次管理!#REF!)</f>
        <v>#REF!</v>
      </c>
      <c r="CT24" s="95" t="e">
        <f>SUMPRODUCT((日次管理!#REF!&lt;=$CT$20)*(日次管理!#REF!=$A$24)*(日次管理!#REF!="精査完了")*(日次管理!#REF!="予定"),日次管理!#REF!)</f>
        <v>#REF!</v>
      </c>
      <c r="CU24" s="60" t="e">
        <f>SUMPRODUCT((日次管理!#REF!&lt;=$CU$20)*(日次管理!#REF!=$A$24)*(日次管理!#REF!="精査完了")*(日次管理!#REF!="実績"),日次管理!#REF!)</f>
        <v>#REF!</v>
      </c>
      <c r="CV24" s="96" t="e">
        <f ca="1">SUMPRODUCT(($A$20- WEEKDAY($A$20) + 6 =$B$20:$CU$20)*("実績"=$B$21:$CU$21),$B$24:$CU$24)/SUMPRODUCT(($A$20- WEEKDAY($A$20) + 6 =$B$20:$CU$20)*("予定"=$B$21:$CU$21),$B$24:$CU$24)</f>
        <v>#REF!</v>
      </c>
      <c r="CW24" s="97" t="e">
        <f>$CU$24/$CT$24</f>
        <v>#REF!</v>
      </c>
    </row>
    <row r="25" spans="1:101" ht="20.149999999999999" customHeight="1">
      <c r="A25" s="90" t="s">
        <v>76</v>
      </c>
      <c r="B25" s="91" t="e">
        <f>SUMPRODUCT((日次管理!#REF!&lt;=$B$20)*(日次管理!#REF!=$A$25)*(日次管理!#REF!="精査完了")*(日次管理!#REF!="予定"),日次管理!#REF!)</f>
        <v>#REF!</v>
      </c>
      <c r="C25" s="59" t="e">
        <f>SUMPRODUCT((日次管理!#REF!&lt;=$C$20)*(日次管理!#REF!=$A$25)*(日次管理!#REF!="精査完了")*(日次管理!#REF!="実績"),日次管理!#REF!)</f>
        <v>#REF!</v>
      </c>
      <c r="D25" s="91" t="e">
        <f>SUMPRODUCT((日次管理!#REF!&lt;=$D$20)*(日次管理!#REF!=$A$25)*(日次管理!#REF!="精査完了")*(日次管理!#REF!="予定"),日次管理!#REF!)</f>
        <v>#REF!</v>
      </c>
      <c r="E25" s="59" t="e">
        <f>SUMPRODUCT((日次管理!#REF!&lt;=$E$20)*(日次管理!#REF!=$A$25)*(日次管理!#REF!="精査完了")*(日次管理!#REF!="実績"),日次管理!#REF!)</f>
        <v>#REF!</v>
      </c>
      <c r="F25" s="91" t="e">
        <f>SUMPRODUCT((日次管理!#REF!&lt;=$F$20)*(日次管理!#REF!=$A$25)*(日次管理!#REF!="精査完了")*(日次管理!#REF!="予定"),日次管理!#REF!)</f>
        <v>#REF!</v>
      </c>
      <c r="G25" s="59" t="e">
        <f>SUMPRODUCT((日次管理!#REF!&lt;=$G$20)*(日次管理!#REF!=$A$25)*(日次管理!#REF!="精査完了")*(日次管理!#REF!="実績"),日次管理!#REF!)</f>
        <v>#REF!</v>
      </c>
      <c r="H25" s="91" t="e">
        <f>SUMPRODUCT((日次管理!#REF!&lt;=$H$20)*(日次管理!#REF!=$A$25)*(日次管理!#REF!="精査完了")*(日次管理!#REF!="予定"),日次管理!#REF!)</f>
        <v>#REF!</v>
      </c>
      <c r="I25" s="59" t="e">
        <f>SUMPRODUCT((日次管理!#REF!&lt;=$I$20)*(日次管理!#REF!=$A$25)*(日次管理!#REF!="精査完了")*(日次管理!#REF!="実績"),日次管理!#REF!)</f>
        <v>#REF!</v>
      </c>
      <c r="J25" s="91" t="e">
        <f>SUMPRODUCT((日次管理!#REF!&lt;=$J$20)*(日次管理!#REF!=$A$25)*(日次管理!#REF!="精査完了")*(日次管理!#REF!="予定"),日次管理!#REF!)</f>
        <v>#REF!</v>
      </c>
      <c r="K25" s="59" t="e">
        <f>SUMPRODUCT((日次管理!#REF!&lt;=$K$20)*(日次管理!#REF!=$A$25)*(日次管理!#REF!="精査完了")*(日次管理!#REF!="実績"),日次管理!#REF!)</f>
        <v>#REF!</v>
      </c>
      <c r="L25" s="91" t="e">
        <f>SUMPRODUCT((日次管理!#REF!&lt;=$L$20)*(日次管理!#REF!=$A$25)*(日次管理!#REF!="精査完了")*(日次管理!#REF!="予定"),日次管理!#REF!)</f>
        <v>#REF!</v>
      </c>
      <c r="M25" s="59" t="e">
        <f>SUMPRODUCT((日次管理!#REF!&lt;=$M$20)*(日次管理!#REF!=$A$25)*(日次管理!#REF!="精査完了")*(日次管理!#REF!="実績"),日次管理!#REF!)</f>
        <v>#REF!</v>
      </c>
      <c r="N25" s="91" t="e">
        <f>SUMPRODUCT((日次管理!#REF!&lt;=$N$20)*(日次管理!#REF!=$A$25)*(日次管理!#REF!="精査完了")*(日次管理!#REF!="予定"),日次管理!#REF!)</f>
        <v>#REF!</v>
      </c>
      <c r="O25" s="59" t="e">
        <f>SUMPRODUCT((日次管理!#REF!&lt;=$O$20)*(日次管理!#REF!=$A$25)*(日次管理!#REF!="精査完了")*(日次管理!#REF!="実績"),日次管理!#REF!)</f>
        <v>#REF!</v>
      </c>
      <c r="P25" s="91" t="e">
        <f>SUMPRODUCT((日次管理!#REF!&lt;=$P$20)*(日次管理!#REF!=$A$25)*(日次管理!#REF!="精査完了")*(日次管理!#REF!="予定"),日次管理!#REF!)</f>
        <v>#REF!</v>
      </c>
      <c r="Q25" s="59" t="e">
        <f>SUMPRODUCT((日次管理!#REF!&lt;=$Q$20)*(日次管理!#REF!=$A$25)*(日次管理!#REF!="精査完了")*(日次管理!#REF!="実績"),日次管理!#REF!)</f>
        <v>#REF!</v>
      </c>
      <c r="R25" s="91" t="e">
        <f>SUMPRODUCT((日次管理!#REF!&lt;=$R$20)*(日次管理!#REF!=$A$25)*(日次管理!#REF!="精査完了")*(日次管理!#REF!="予定"),日次管理!#REF!)</f>
        <v>#REF!</v>
      </c>
      <c r="S25" s="59" t="e">
        <f>SUMPRODUCT((日次管理!#REF!&lt;=$S$20)*(日次管理!#REF!=$A$25)*(日次管理!#REF!="精査完了")*(日次管理!#REF!="実績"),日次管理!#REF!)</f>
        <v>#REF!</v>
      </c>
      <c r="T25" s="91" t="e">
        <f>SUMPRODUCT((日次管理!#REF!&lt;=$T$20)*(日次管理!#REF!=$A$25)*(日次管理!#REF!="精査完了")*(日次管理!#REF!="予定"),日次管理!#REF!)</f>
        <v>#REF!</v>
      </c>
      <c r="U25" s="59" t="e">
        <f>SUMPRODUCT((日次管理!#REF!&lt;=$U$20)*(日次管理!#REF!=$A$25)*(日次管理!#REF!="精査完了")*(日次管理!#REF!="実績"),日次管理!#REF!)</f>
        <v>#REF!</v>
      </c>
      <c r="V25" s="91" t="e">
        <f>SUMPRODUCT((日次管理!#REF!&lt;=$V$20)*(日次管理!#REF!=$A$25)*(日次管理!#REF!="精査完了")*(日次管理!#REF!="予定"),日次管理!#REF!)</f>
        <v>#REF!</v>
      </c>
      <c r="W25" s="59" t="e">
        <f>SUMPRODUCT((日次管理!#REF!&lt;=$W$20)*(日次管理!#REF!=$A$25)*(日次管理!#REF!="精査完了")*(日次管理!#REF!="実績"),日次管理!#REF!)</f>
        <v>#REF!</v>
      </c>
      <c r="X25" s="91" t="e">
        <f>SUMPRODUCT((日次管理!#REF!&lt;=$X$20)*(日次管理!#REF!=$A$25)*(日次管理!#REF!="精査完了")*(日次管理!#REF!="予定"),日次管理!#REF!)</f>
        <v>#REF!</v>
      </c>
      <c r="Y25" s="59" t="e">
        <f>SUMPRODUCT((日次管理!#REF!&lt;=$Y$20)*(日次管理!#REF!=$A$25)*(日次管理!#REF!="精査完了")*(日次管理!#REF!="実績"),日次管理!#REF!)</f>
        <v>#REF!</v>
      </c>
      <c r="Z25" s="91" t="e">
        <f>SUMPRODUCT((日次管理!#REF!&lt;=$Z$20)*(日次管理!#REF!=$A$25)*(日次管理!#REF!="精査完了")*(日次管理!#REF!="予定"),日次管理!#REF!)</f>
        <v>#REF!</v>
      </c>
      <c r="AA25" s="59" t="e">
        <f>SUMPRODUCT((日次管理!#REF!&lt;=$AA$20)*(日次管理!#REF!=$A$25)*(日次管理!#REF!="精査完了")*(日次管理!#REF!="実績"),日次管理!#REF!)</f>
        <v>#REF!</v>
      </c>
      <c r="AB25" s="91" t="e">
        <f>SUMPRODUCT((日次管理!#REF!&lt;=$AB$20)*(日次管理!#REF!=$A$25)*(日次管理!#REF!="精査完了")*(日次管理!#REF!="予定"),日次管理!#REF!)</f>
        <v>#REF!</v>
      </c>
      <c r="AC25" s="59" t="e">
        <f>SUMPRODUCT((日次管理!#REF!&lt;=$AC$20)*(日次管理!#REF!=$A$25)*(日次管理!#REF!="精査完了")*(日次管理!#REF!="実績"),日次管理!#REF!)</f>
        <v>#REF!</v>
      </c>
      <c r="AD25" s="91" t="e">
        <f>SUMPRODUCT((日次管理!#REF!&lt;=$AD$20)*(日次管理!#REF!=$A$25)*(日次管理!#REF!="精査完了")*(日次管理!#REF!="予定"),日次管理!#REF!)</f>
        <v>#REF!</v>
      </c>
      <c r="AE25" s="59" t="e">
        <f>SUMPRODUCT((日次管理!#REF!&lt;=$AE$20)*(日次管理!#REF!=$A$25)*(日次管理!#REF!="精査完了")*(日次管理!#REF!="実績"),日次管理!#REF!)</f>
        <v>#REF!</v>
      </c>
      <c r="AF25" s="91" t="e">
        <f>SUMPRODUCT((日次管理!#REF!&lt;=$AF$20)*(日次管理!#REF!=$A$25)*(日次管理!#REF!="精査完了")*(日次管理!#REF!="予定"),日次管理!#REF!)</f>
        <v>#REF!</v>
      </c>
      <c r="AG25" s="59" t="e">
        <f>SUMPRODUCT((日次管理!#REF!&lt;=$AG$20)*(日次管理!#REF!=$A$25)*(日次管理!#REF!="精査完了")*(日次管理!#REF!="実績"),日次管理!#REF!)</f>
        <v>#REF!</v>
      </c>
      <c r="AH25" s="91" t="e">
        <f>SUMPRODUCT((日次管理!#REF!&lt;=$AH$20)*(日次管理!#REF!=$A$25)*(日次管理!#REF!="精査完了")*(日次管理!#REF!="予定"),日次管理!#REF!)</f>
        <v>#REF!</v>
      </c>
      <c r="AI25" s="59" t="e">
        <f>SUMPRODUCT((日次管理!#REF!&lt;=$AI$20)*(日次管理!#REF!=$A$25)*(日次管理!#REF!="精査完了")*(日次管理!#REF!="実績"),日次管理!#REF!)</f>
        <v>#REF!</v>
      </c>
      <c r="AJ25" s="91" t="e">
        <f>SUMPRODUCT((日次管理!#REF!&lt;=$AJ$20)*(日次管理!#REF!=$A$25)*(日次管理!#REF!="精査完了")*(日次管理!#REF!="予定"),日次管理!#REF!)</f>
        <v>#REF!</v>
      </c>
      <c r="AK25" s="59" t="e">
        <f>SUMPRODUCT((日次管理!#REF!&lt;=$AK$20)*(日次管理!#REF!=$A$25)*(日次管理!#REF!="精査完了")*(日次管理!#REF!="実績"),日次管理!#REF!)</f>
        <v>#REF!</v>
      </c>
      <c r="AL25" s="91" t="e">
        <f>SUMPRODUCT((日次管理!#REF!&lt;=$AL$20)*(日次管理!#REF!=$A$25)*(日次管理!#REF!="精査完了")*(日次管理!#REF!="予定"),日次管理!#REF!)</f>
        <v>#REF!</v>
      </c>
      <c r="AM25" s="59" t="e">
        <f>SUMPRODUCT((日次管理!#REF!&lt;=$AM$20)*(日次管理!#REF!=$A$25)*(日次管理!#REF!="精査完了")*(日次管理!#REF!="実績"),日次管理!#REF!)</f>
        <v>#REF!</v>
      </c>
      <c r="AN25" s="91" t="e">
        <f>SUMPRODUCT((日次管理!#REF!&lt;=$AN$20)*(日次管理!#REF!=$A$25)*(日次管理!#REF!="精査完了")*(日次管理!#REF!="予定"),日次管理!#REF!)</f>
        <v>#REF!</v>
      </c>
      <c r="AO25" s="59" t="e">
        <f>SUMPRODUCT((日次管理!#REF!&lt;=$AO$20)*(日次管理!#REF!=$A$25)*(日次管理!#REF!="精査完了")*(日次管理!#REF!="実績"),日次管理!#REF!)</f>
        <v>#REF!</v>
      </c>
      <c r="AP25" s="91" t="e">
        <f>SUMPRODUCT((日次管理!#REF!&lt;=$AP$20)*(日次管理!#REF!=$A$25)*(日次管理!#REF!="精査完了")*(日次管理!#REF!="予定"),日次管理!#REF!)</f>
        <v>#REF!</v>
      </c>
      <c r="AQ25" s="59" t="e">
        <f>SUMPRODUCT((日次管理!#REF!&lt;=$AQ$20)*(日次管理!#REF!=$A$25)*(日次管理!#REF!="精査完了")*(日次管理!#REF!="実績"),日次管理!#REF!)</f>
        <v>#REF!</v>
      </c>
      <c r="AR25" s="91" t="e">
        <f>SUMPRODUCT((日次管理!#REF!&lt;=$AR$20)*(日次管理!#REF!=$A$25)*(日次管理!#REF!="精査完了")*(日次管理!#REF!="予定"),日次管理!#REF!)</f>
        <v>#REF!</v>
      </c>
      <c r="AS25" s="59" t="e">
        <f>SUMPRODUCT((日次管理!#REF!&lt;=$AS$20)*(日次管理!#REF!=$A$25)*(日次管理!#REF!="精査完了")*(日次管理!#REF!="実績"),日次管理!#REF!)</f>
        <v>#REF!</v>
      </c>
      <c r="AT25" s="91" t="e">
        <f>SUMPRODUCT((日次管理!#REF!&lt;=$AT$20)*(日次管理!#REF!=$A$25)*(日次管理!#REF!="精査完了")*(日次管理!#REF!="予定"),日次管理!#REF!)</f>
        <v>#REF!</v>
      </c>
      <c r="AU25" s="59" t="e">
        <f>SUMPRODUCT((日次管理!#REF!&lt;=$AU$20)*(日次管理!#REF!=$A$25)*(日次管理!#REF!="精査完了")*(日次管理!#REF!="実績"),日次管理!#REF!)</f>
        <v>#REF!</v>
      </c>
      <c r="AV25" s="91" t="e">
        <f>SUMPRODUCT((日次管理!#REF!&lt;=$AV$20)*(日次管理!#REF!=$A$25)*(日次管理!#REF!="精査完了")*(日次管理!#REF!="予定"),日次管理!#REF!)</f>
        <v>#REF!</v>
      </c>
      <c r="AW25" s="59" t="e">
        <f>SUMPRODUCT((日次管理!#REF!&lt;=$AW$20)*(日次管理!#REF!=$A$25)*(日次管理!#REF!="精査完了")*(日次管理!#REF!="実績"),日次管理!#REF!)</f>
        <v>#REF!</v>
      </c>
      <c r="AX25" s="91" t="e">
        <f>SUMPRODUCT((日次管理!#REF!&lt;=$AX$20)*(日次管理!#REF!=$A$25)*(日次管理!#REF!="精査完了")*(日次管理!#REF!="予定"),日次管理!#REF!)</f>
        <v>#REF!</v>
      </c>
      <c r="AY25" s="59" t="e">
        <f>SUMPRODUCT((日次管理!#REF!&lt;=$AY$20)*(日次管理!#REF!=$A$25)*(日次管理!#REF!="精査完了")*(日次管理!#REF!="実績"),日次管理!#REF!)</f>
        <v>#REF!</v>
      </c>
      <c r="AZ25" s="91" t="e">
        <f>SUMPRODUCT((日次管理!#REF!&lt;=$AZ$20)*(日次管理!#REF!=$A$25)*(日次管理!#REF!="精査完了")*(日次管理!#REF!="予定"),日次管理!#REF!)</f>
        <v>#REF!</v>
      </c>
      <c r="BA25" s="59" t="e">
        <f>SUMPRODUCT((日次管理!#REF!&lt;=$BA$20)*(日次管理!#REF!=$A$25)*(日次管理!#REF!="精査完了")*(日次管理!#REF!="実績"),日次管理!#REF!)</f>
        <v>#REF!</v>
      </c>
      <c r="BB25" s="91" t="e">
        <f>SUMPRODUCT((日次管理!#REF!&lt;=$BB$20)*(日次管理!#REF!=$A$25)*(日次管理!#REF!="精査完了")*(日次管理!#REF!="予定"),日次管理!#REF!)</f>
        <v>#REF!</v>
      </c>
      <c r="BC25" s="59" t="e">
        <f>SUMPRODUCT((日次管理!#REF!&lt;=$BC$20)*(日次管理!#REF!=$A$25)*(日次管理!#REF!="精査完了")*(日次管理!#REF!="実績"),日次管理!#REF!)</f>
        <v>#REF!</v>
      </c>
      <c r="BD25" s="91" t="e">
        <f>SUMPRODUCT((日次管理!#REF!&lt;=$BD$20)*(日次管理!#REF!=$A$25)*(日次管理!#REF!="精査完了")*(日次管理!#REF!="予定"),日次管理!#REF!)</f>
        <v>#REF!</v>
      </c>
      <c r="BE25" s="59" t="e">
        <f>SUMPRODUCT((日次管理!#REF!&lt;=$BE$20)*(日次管理!#REF!=$A$25)*(日次管理!#REF!="精査完了")*(日次管理!#REF!="実績"),日次管理!#REF!)</f>
        <v>#REF!</v>
      </c>
      <c r="BF25" s="91" t="e">
        <f>SUMPRODUCT((日次管理!#REF!&lt;=$BF$20)*(日次管理!#REF!=$A$25)*(日次管理!#REF!="精査完了")*(日次管理!#REF!="予定"),日次管理!#REF!)</f>
        <v>#REF!</v>
      </c>
      <c r="BG25" s="59" t="e">
        <f>SUMPRODUCT((日次管理!#REF!&lt;=$BG$20)*(日次管理!#REF!=$A$25)*(日次管理!#REF!="精査完了")*(日次管理!#REF!="実績"),日次管理!#REF!)</f>
        <v>#REF!</v>
      </c>
      <c r="BH25" s="91" t="e">
        <f>SUMPRODUCT((日次管理!#REF!&lt;=$BH$20)*(日次管理!#REF!=$A$25)*(日次管理!#REF!="精査完了")*(日次管理!#REF!="予定"),日次管理!#REF!)</f>
        <v>#REF!</v>
      </c>
      <c r="BI25" s="59" t="e">
        <f>SUMPRODUCT((日次管理!#REF!&lt;=$BI$20)*(日次管理!#REF!=$A$25)*(日次管理!#REF!="精査完了")*(日次管理!#REF!="実績"),日次管理!#REF!)</f>
        <v>#REF!</v>
      </c>
      <c r="BJ25" s="91" t="e">
        <f>SUMPRODUCT((日次管理!#REF!&lt;=$BJ$20)*(日次管理!#REF!=$A$25)*(日次管理!#REF!="精査完了")*(日次管理!#REF!="予定"),日次管理!#REF!)</f>
        <v>#REF!</v>
      </c>
      <c r="BK25" s="59" t="e">
        <f>SUMPRODUCT((日次管理!#REF!&lt;=$BK$20)*(日次管理!#REF!=$A$25)*(日次管理!#REF!="精査完了")*(日次管理!#REF!="実績"),日次管理!#REF!)</f>
        <v>#REF!</v>
      </c>
      <c r="BL25" s="91" t="e">
        <f>SUMPRODUCT((日次管理!#REF!&lt;=$BL$20)*(日次管理!#REF!=$A$25)*(日次管理!#REF!="精査完了")*(日次管理!#REF!="予定"),日次管理!#REF!)</f>
        <v>#REF!</v>
      </c>
      <c r="BM25" s="59" t="e">
        <f>SUMPRODUCT((日次管理!#REF!&lt;=$BM$20)*(日次管理!#REF!=$A$25)*(日次管理!#REF!="精査完了")*(日次管理!#REF!="実績"),日次管理!#REF!)</f>
        <v>#REF!</v>
      </c>
      <c r="BN25" s="91" t="e">
        <f>SUMPRODUCT((日次管理!#REF!&lt;=$BN$20)*(日次管理!#REF!=$A$25)*(日次管理!#REF!="精査完了")*(日次管理!#REF!="予定"),日次管理!#REF!)</f>
        <v>#REF!</v>
      </c>
      <c r="BO25" s="59" t="e">
        <f>SUMPRODUCT((日次管理!#REF!&lt;=$BO$20)*(日次管理!#REF!=$A$25)*(日次管理!#REF!="精査完了")*(日次管理!#REF!="実績"),日次管理!#REF!)</f>
        <v>#REF!</v>
      </c>
      <c r="BP25" s="91" t="e">
        <f>SUMPRODUCT((日次管理!#REF!&lt;=$BP$20)*(日次管理!#REF!=$A$25)*(日次管理!#REF!="精査完了")*(日次管理!#REF!="予定"),日次管理!#REF!)</f>
        <v>#REF!</v>
      </c>
      <c r="BQ25" s="59" t="e">
        <f>SUMPRODUCT((日次管理!#REF!&lt;=$BQ$20)*(日次管理!#REF!=$A$25)*(日次管理!#REF!="精査完了")*(日次管理!#REF!="実績"),日次管理!#REF!)</f>
        <v>#REF!</v>
      </c>
      <c r="BR25" s="91" t="e">
        <f>SUMPRODUCT((日次管理!#REF!&lt;=$BR$20)*(日次管理!#REF!=$A$25)*(日次管理!#REF!="精査完了")*(日次管理!#REF!="予定"),日次管理!#REF!)</f>
        <v>#REF!</v>
      </c>
      <c r="BS25" s="59" t="e">
        <f>SUMPRODUCT((日次管理!#REF!&lt;=$BS$20)*(日次管理!#REF!=$A$25)*(日次管理!#REF!="精査完了")*(日次管理!#REF!="実績"),日次管理!#REF!)</f>
        <v>#REF!</v>
      </c>
      <c r="BT25" s="91" t="e">
        <f>SUMPRODUCT((日次管理!#REF!&lt;=$BT$20)*(日次管理!#REF!=$A$25)*(日次管理!#REF!="精査完了")*(日次管理!#REF!="予定"),日次管理!#REF!)</f>
        <v>#REF!</v>
      </c>
      <c r="BU25" s="59" t="e">
        <f>SUMPRODUCT((日次管理!#REF!&lt;=$BU$20)*(日次管理!#REF!=$A$25)*(日次管理!#REF!="精査完了")*(日次管理!#REF!="実績"),日次管理!#REF!)</f>
        <v>#REF!</v>
      </c>
      <c r="BV25" s="91" t="e">
        <f>SUMPRODUCT((日次管理!#REF!&lt;=$BV$20)*(日次管理!#REF!=$A$25)*(日次管理!#REF!="精査完了")*(日次管理!#REF!="予定"),日次管理!#REF!)</f>
        <v>#REF!</v>
      </c>
      <c r="BW25" s="59" t="e">
        <f>SUMPRODUCT((日次管理!#REF!&lt;=$BW$20)*(日次管理!#REF!=$A$25)*(日次管理!#REF!="精査完了")*(日次管理!#REF!="実績"),日次管理!#REF!)</f>
        <v>#REF!</v>
      </c>
      <c r="BX25" s="91" t="e">
        <f>SUMPRODUCT((日次管理!#REF!&lt;=$BX$20)*(日次管理!#REF!=$A$25)*(日次管理!#REF!="精査完了")*(日次管理!#REF!="予定"),日次管理!#REF!)</f>
        <v>#REF!</v>
      </c>
      <c r="BY25" s="59" t="e">
        <f>SUMPRODUCT((日次管理!#REF!&lt;=$BY$20)*(日次管理!#REF!=$A$25)*(日次管理!#REF!="精査完了")*(日次管理!#REF!="実績"),日次管理!#REF!)</f>
        <v>#REF!</v>
      </c>
      <c r="BZ25" s="91" t="e">
        <f>SUMPRODUCT((日次管理!#REF!&lt;=$BZ$20)*(日次管理!#REF!=$A$25)*(日次管理!#REF!="精査完了")*(日次管理!#REF!="予定"),日次管理!#REF!)</f>
        <v>#REF!</v>
      </c>
      <c r="CA25" s="59" t="e">
        <f>SUMPRODUCT((日次管理!#REF!&lt;=$CA$20)*(日次管理!#REF!=$A$25)*(日次管理!#REF!="精査完了")*(日次管理!#REF!="実績"),日次管理!#REF!)</f>
        <v>#REF!</v>
      </c>
      <c r="CB25" s="91" t="e">
        <f>SUMPRODUCT((日次管理!#REF!&lt;=$CB$20)*(日次管理!#REF!=$A$25)*(日次管理!#REF!="精査完了")*(日次管理!#REF!="予定"),日次管理!#REF!)</f>
        <v>#REF!</v>
      </c>
      <c r="CC25" s="59" t="e">
        <f>SUMPRODUCT((日次管理!#REF!&lt;=$CC$20)*(日次管理!#REF!=$A$25)*(日次管理!#REF!="精査完了")*(日次管理!#REF!="実績"),日次管理!#REF!)</f>
        <v>#REF!</v>
      </c>
      <c r="CD25" s="91" t="e">
        <f>SUMPRODUCT((日次管理!#REF!&lt;=$CD$20)*(日次管理!#REF!=$A$25)*(日次管理!#REF!="精査完了")*(日次管理!#REF!="予定"),日次管理!#REF!)</f>
        <v>#REF!</v>
      </c>
      <c r="CE25" s="59" t="e">
        <f>SUMPRODUCT((日次管理!#REF!&lt;=$CE$20)*(日次管理!#REF!=$A$25)*(日次管理!#REF!="精査完了")*(日次管理!#REF!="実績"),日次管理!#REF!)</f>
        <v>#REF!</v>
      </c>
      <c r="CF25" s="91" t="e">
        <f>SUMPRODUCT((日次管理!#REF!&lt;=$CF$20)*(日次管理!#REF!=$A$25)*(日次管理!#REF!="精査完了")*(日次管理!#REF!="予定"),日次管理!#REF!)</f>
        <v>#REF!</v>
      </c>
      <c r="CG25" s="59" t="e">
        <f>SUMPRODUCT((日次管理!#REF!&lt;=$CG$20)*(日次管理!#REF!=$A$25)*(日次管理!#REF!="精査完了")*(日次管理!#REF!="実績"),日次管理!#REF!)</f>
        <v>#REF!</v>
      </c>
      <c r="CH25" s="91" t="e">
        <f>SUMPRODUCT((日次管理!#REF!&lt;=$CH$20)*(日次管理!#REF!=$A$25)*(日次管理!#REF!="精査完了")*(日次管理!#REF!="予定"),日次管理!#REF!)</f>
        <v>#REF!</v>
      </c>
      <c r="CI25" s="59" t="e">
        <f>SUMPRODUCT((日次管理!#REF!&lt;=$CI$20)*(日次管理!#REF!=$A$25)*(日次管理!#REF!="精査完了")*(日次管理!#REF!="実績"),日次管理!#REF!)</f>
        <v>#REF!</v>
      </c>
      <c r="CJ25" s="91" t="e">
        <f>SUMPRODUCT((日次管理!#REF!&lt;=$CJ$20)*(日次管理!#REF!=$A$25)*(日次管理!#REF!="精査完了")*(日次管理!#REF!="予定"),日次管理!#REF!)</f>
        <v>#REF!</v>
      </c>
      <c r="CK25" s="59" t="e">
        <f>SUMPRODUCT((日次管理!#REF!&lt;=$CK$20)*(日次管理!#REF!=$A$25)*(日次管理!#REF!="精査完了")*(日次管理!#REF!="実績"),日次管理!#REF!)</f>
        <v>#REF!</v>
      </c>
      <c r="CL25" s="91" t="e">
        <f>SUMPRODUCT((日次管理!#REF!&lt;=$CL$20)*(日次管理!#REF!=$A$25)*(日次管理!#REF!="精査完了")*(日次管理!#REF!="予定"),日次管理!#REF!)</f>
        <v>#REF!</v>
      </c>
      <c r="CM25" s="59" t="e">
        <f>SUMPRODUCT((日次管理!#REF!&lt;=$CM$20)*(日次管理!#REF!=$A$25)*(日次管理!#REF!="精査完了")*(日次管理!#REF!="実績"),日次管理!#REF!)</f>
        <v>#REF!</v>
      </c>
      <c r="CN25" s="91" t="e">
        <f>SUMPRODUCT((日次管理!#REF!&lt;=$CN$20)*(日次管理!#REF!=$A$25)*(日次管理!#REF!="精査完了")*(日次管理!#REF!="予定"),日次管理!#REF!)</f>
        <v>#REF!</v>
      </c>
      <c r="CO25" s="59" t="e">
        <f>SUMPRODUCT((日次管理!#REF!&lt;=$CO$20)*(日次管理!#REF!=$A$25)*(日次管理!#REF!="精査完了")*(日次管理!#REF!="実績"),日次管理!#REF!)</f>
        <v>#REF!</v>
      </c>
      <c r="CP25" s="91" t="e">
        <f>SUMPRODUCT((日次管理!#REF!&lt;=$CP$20)*(日次管理!#REF!=$A$25)*(日次管理!#REF!="精査完了")*(日次管理!#REF!="予定"),日次管理!#REF!)</f>
        <v>#REF!</v>
      </c>
      <c r="CQ25" s="59" t="e">
        <f>SUMPRODUCT((日次管理!#REF!&lt;=$CQ$20)*(日次管理!#REF!=$A$25)*(日次管理!#REF!="精査完了")*(日次管理!#REF!="実績"),日次管理!#REF!)</f>
        <v>#REF!</v>
      </c>
      <c r="CR25" s="91" t="e">
        <f>SUMPRODUCT((日次管理!#REF!&lt;=$CR$20)*(日次管理!#REF!=$A$25)*(日次管理!#REF!="精査完了")*(日次管理!#REF!="予定"),日次管理!#REF!)</f>
        <v>#REF!</v>
      </c>
      <c r="CS25" s="59" t="e">
        <f>SUMPRODUCT((日次管理!#REF!&lt;=$CS$20)*(日次管理!#REF!=$A$25)*(日次管理!#REF!="精査完了")*(日次管理!#REF!="実績"),日次管理!#REF!)</f>
        <v>#REF!</v>
      </c>
      <c r="CT25" s="91" t="e">
        <f>SUMPRODUCT((日次管理!#REF!&lt;=$CT$20)*(日次管理!#REF!=$A$25)*(日次管理!#REF!="精査完了")*(日次管理!#REF!="予定"),日次管理!#REF!)</f>
        <v>#REF!</v>
      </c>
      <c r="CU25" s="59" t="e">
        <f>SUMPRODUCT((日次管理!#REF!&lt;=$CU$20)*(日次管理!#REF!=$A$25)*(日次管理!#REF!="精査完了")*(日次管理!#REF!="実績"),日次管理!#REF!)</f>
        <v>#REF!</v>
      </c>
      <c r="CV25" s="92" t="e">
        <f ca="1">SUMPRODUCT(($A$20- WEEKDAY($A$20) + 6 =$B$20:$CU$20)*("実績"=$B$21:$CU$21),$B$25:$CU$25)/SUMPRODUCT(($A$20- WEEKDAY($A$20) + 6 =$B$20:$CU$20)*("予定"=$B$21:$CU$21),$B$25:$CU$25)</f>
        <v>#REF!</v>
      </c>
      <c r="CW25" s="93" t="e">
        <f>$CU$25/$CT$25</f>
        <v>#REF!</v>
      </c>
    </row>
    <row r="26" spans="1:101" ht="20.149999999999999" customHeight="1">
      <c r="A26" s="94" t="s">
        <v>77</v>
      </c>
      <c r="B26" s="95" t="e">
        <f>SUMPRODUCT((日次管理!#REF!&lt;=$B$20)*(日次管理!#REF!=$A$26)*(日次管理!#REF!="精査完了")*(日次管理!#REF!="予定"),日次管理!#REF!)</f>
        <v>#REF!</v>
      </c>
      <c r="C26" s="60" t="e">
        <f>SUMPRODUCT((日次管理!#REF!&lt;=$C$20)*(日次管理!#REF!=$A$26)*(日次管理!#REF!="精査完了")*(日次管理!#REF!="実績"),日次管理!#REF!)</f>
        <v>#REF!</v>
      </c>
      <c r="D26" s="95" t="e">
        <f>SUMPRODUCT((日次管理!#REF!&lt;=$D$20)*(日次管理!#REF!=$A$26)*(日次管理!#REF!="精査完了")*(日次管理!#REF!="予定"),日次管理!#REF!)</f>
        <v>#REF!</v>
      </c>
      <c r="E26" s="60" t="e">
        <f>SUMPRODUCT((日次管理!#REF!&lt;=$E$20)*(日次管理!#REF!=$A$26)*(日次管理!#REF!="精査完了")*(日次管理!#REF!="実績"),日次管理!#REF!)</f>
        <v>#REF!</v>
      </c>
      <c r="F26" s="95" t="e">
        <f>SUMPRODUCT((日次管理!#REF!&lt;=$F$20)*(日次管理!#REF!=$A$26)*(日次管理!#REF!="精査完了")*(日次管理!#REF!="予定"),日次管理!#REF!)</f>
        <v>#REF!</v>
      </c>
      <c r="G26" s="60" t="e">
        <f>SUMPRODUCT((日次管理!#REF!&lt;=$G$20)*(日次管理!#REF!=$A$26)*(日次管理!#REF!="精査完了")*(日次管理!#REF!="実績"),日次管理!#REF!)</f>
        <v>#REF!</v>
      </c>
      <c r="H26" s="95" t="e">
        <f>SUMPRODUCT((日次管理!#REF!&lt;=$H$20)*(日次管理!#REF!=$A$26)*(日次管理!#REF!="精査完了")*(日次管理!#REF!="予定"),日次管理!#REF!)</f>
        <v>#REF!</v>
      </c>
      <c r="I26" s="60" t="e">
        <f>SUMPRODUCT((日次管理!#REF!&lt;=$I$20)*(日次管理!#REF!=$A$26)*(日次管理!#REF!="精査完了")*(日次管理!#REF!="実績"),日次管理!#REF!)</f>
        <v>#REF!</v>
      </c>
      <c r="J26" s="95" t="e">
        <f>SUMPRODUCT((日次管理!#REF!&lt;=$J$20)*(日次管理!#REF!=$A$26)*(日次管理!#REF!="精査完了")*(日次管理!#REF!="予定"),日次管理!#REF!)</f>
        <v>#REF!</v>
      </c>
      <c r="K26" s="60" t="e">
        <f>SUMPRODUCT((日次管理!#REF!&lt;=$K$20)*(日次管理!#REF!=$A$26)*(日次管理!#REF!="精査完了")*(日次管理!#REF!="実績"),日次管理!#REF!)</f>
        <v>#REF!</v>
      </c>
      <c r="L26" s="95" t="e">
        <f>SUMPRODUCT((日次管理!#REF!&lt;=$L$20)*(日次管理!#REF!=$A$26)*(日次管理!#REF!="精査完了")*(日次管理!#REF!="予定"),日次管理!#REF!)</f>
        <v>#REF!</v>
      </c>
      <c r="M26" s="60" t="e">
        <f>SUMPRODUCT((日次管理!#REF!&lt;=$M$20)*(日次管理!#REF!=$A$26)*(日次管理!#REF!="精査完了")*(日次管理!#REF!="実績"),日次管理!#REF!)</f>
        <v>#REF!</v>
      </c>
      <c r="N26" s="95" t="e">
        <f>SUMPRODUCT((日次管理!#REF!&lt;=$N$20)*(日次管理!#REF!=$A$26)*(日次管理!#REF!="精査完了")*(日次管理!#REF!="予定"),日次管理!#REF!)</f>
        <v>#REF!</v>
      </c>
      <c r="O26" s="60" t="e">
        <f>SUMPRODUCT((日次管理!#REF!&lt;=$O$20)*(日次管理!#REF!=$A$26)*(日次管理!#REF!="精査完了")*(日次管理!#REF!="実績"),日次管理!#REF!)</f>
        <v>#REF!</v>
      </c>
      <c r="P26" s="95" t="e">
        <f>SUMPRODUCT((日次管理!#REF!&lt;=$P$20)*(日次管理!#REF!=$A$26)*(日次管理!#REF!="精査完了")*(日次管理!#REF!="予定"),日次管理!#REF!)</f>
        <v>#REF!</v>
      </c>
      <c r="Q26" s="60" t="e">
        <f>SUMPRODUCT((日次管理!#REF!&lt;=$Q$20)*(日次管理!#REF!=$A$26)*(日次管理!#REF!="精査完了")*(日次管理!#REF!="実績"),日次管理!#REF!)</f>
        <v>#REF!</v>
      </c>
      <c r="R26" s="95" t="e">
        <f>SUMPRODUCT((日次管理!#REF!&lt;=$R$20)*(日次管理!#REF!=$A$26)*(日次管理!#REF!="精査完了")*(日次管理!#REF!="予定"),日次管理!#REF!)</f>
        <v>#REF!</v>
      </c>
      <c r="S26" s="60" t="e">
        <f>SUMPRODUCT((日次管理!#REF!&lt;=$S$20)*(日次管理!#REF!=$A$26)*(日次管理!#REF!="精査完了")*(日次管理!#REF!="実績"),日次管理!#REF!)</f>
        <v>#REF!</v>
      </c>
      <c r="T26" s="95" t="e">
        <f>SUMPRODUCT((日次管理!#REF!&lt;=$T$20)*(日次管理!#REF!=$A$26)*(日次管理!#REF!="精査完了")*(日次管理!#REF!="予定"),日次管理!#REF!)</f>
        <v>#REF!</v>
      </c>
      <c r="U26" s="60" t="e">
        <f>SUMPRODUCT((日次管理!#REF!&lt;=$U$20)*(日次管理!#REF!=$A$26)*(日次管理!#REF!="精査完了")*(日次管理!#REF!="実績"),日次管理!#REF!)</f>
        <v>#REF!</v>
      </c>
      <c r="V26" s="95" t="e">
        <f>SUMPRODUCT((日次管理!#REF!&lt;=$V$20)*(日次管理!#REF!=$A$26)*(日次管理!#REF!="精査完了")*(日次管理!#REF!="予定"),日次管理!#REF!)</f>
        <v>#REF!</v>
      </c>
      <c r="W26" s="60" t="e">
        <f>SUMPRODUCT((日次管理!#REF!&lt;=$W$20)*(日次管理!#REF!=$A$26)*(日次管理!#REF!="精査完了")*(日次管理!#REF!="実績"),日次管理!#REF!)</f>
        <v>#REF!</v>
      </c>
      <c r="X26" s="95" t="e">
        <f>SUMPRODUCT((日次管理!#REF!&lt;=$X$20)*(日次管理!#REF!=$A$26)*(日次管理!#REF!="精査完了")*(日次管理!#REF!="予定"),日次管理!#REF!)</f>
        <v>#REF!</v>
      </c>
      <c r="Y26" s="60" t="e">
        <f>SUMPRODUCT((日次管理!#REF!&lt;=$Y$20)*(日次管理!#REF!=$A$26)*(日次管理!#REF!="精査完了")*(日次管理!#REF!="実績"),日次管理!#REF!)</f>
        <v>#REF!</v>
      </c>
      <c r="Z26" s="95" t="e">
        <f>SUMPRODUCT((日次管理!#REF!&lt;=$Z$20)*(日次管理!#REF!=$A$26)*(日次管理!#REF!="精査完了")*(日次管理!#REF!="予定"),日次管理!#REF!)</f>
        <v>#REF!</v>
      </c>
      <c r="AA26" s="60" t="e">
        <f>SUMPRODUCT((日次管理!#REF!&lt;=$AA$20)*(日次管理!#REF!=$A$26)*(日次管理!#REF!="精査完了")*(日次管理!#REF!="実績"),日次管理!#REF!)</f>
        <v>#REF!</v>
      </c>
      <c r="AB26" s="95" t="e">
        <f>SUMPRODUCT((日次管理!#REF!&lt;=$AB$20)*(日次管理!#REF!=$A$26)*(日次管理!#REF!="精査完了")*(日次管理!#REF!="予定"),日次管理!#REF!)</f>
        <v>#REF!</v>
      </c>
      <c r="AC26" s="60" t="e">
        <f>SUMPRODUCT((日次管理!#REF!&lt;=$AC$20)*(日次管理!#REF!=$A$26)*(日次管理!#REF!="精査完了")*(日次管理!#REF!="実績"),日次管理!#REF!)</f>
        <v>#REF!</v>
      </c>
      <c r="AD26" s="95" t="e">
        <f>SUMPRODUCT((日次管理!#REF!&lt;=$AD$20)*(日次管理!#REF!=$A$26)*(日次管理!#REF!="精査完了")*(日次管理!#REF!="予定"),日次管理!#REF!)</f>
        <v>#REF!</v>
      </c>
      <c r="AE26" s="60" t="e">
        <f>SUMPRODUCT((日次管理!#REF!&lt;=$AE$20)*(日次管理!#REF!=$A$26)*(日次管理!#REF!="精査完了")*(日次管理!#REF!="実績"),日次管理!#REF!)</f>
        <v>#REF!</v>
      </c>
      <c r="AF26" s="95" t="e">
        <f>SUMPRODUCT((日次管理!#REF!&lt;=$AF$20)*(日次管理!#REF!=$A$26)*(日次管理!#REF!="精査完了")*(日次管理!#REF!="予定"),日次管理!#REF!)</f>
        <v>#REF!</v>
      </c>
      <c r="AG26" s="60" t="e">
        <f>SUMPRODUCT((日次管理!#REF!&lt;=$AG$20)*(日次管理!#REF!=$A$26)*(日次管理!#REF!="精査完了")*(日次管理!#REF!="実績"),日次管理!#REF!)</f>
        <v>#REF!</v>
      </c>
      <c r="AH26" s="95" t="e">
        <f>SUMPRODUCT((日次管理!#REF!&lt;=$AH$20)*(日次管理!#REF!=$A$26)*(日次管理!#REF!="精査完了")*(日次管理!#REF!="予定"),日次管理!#REF!)</f>
        <v>#REF!</v>
      </c>
      <c r="AI26" s="60" t="e">
        <f>SUMPRODUCT((日次管理!#REF!&lt;=$AI$20)*(日次管理!#REF!=$A$26)*(日次管理!#REF!="精査完了")*(日次管理!#REF!="実績"),日次管理!#REF!)</f>
        <v>#REF!</v>
      </c>
      <c r="AJ26" s="95" t="e">
        <f>SUMPRODUCT((日次管理!#REF!&lt;=$AJ$20)*(日次管理!#REF!=$A$26)*(日次管理!#REF!="精査完了")*(日次管理!#REF!="予定"),日次管理!#REF!)</f>
        <v>#REF!</v>
      </c>
      <c r="AK26" s="60" t="e">
        <f>SUMPRODUCT((日次管理!#REF!&lt;=$AK$20)*(日次管理!#REF!=$A$26)*(日次管理!#REF!="精査完了")*(日次管理!#REF!="実績"),日次管理!#REF!)</f>
        <v>#REF!</v>
      </c>
      <c r="AL26" s="95" t="e">
        <f>SUMPRODUCT((日次管理!#REF!&lt;=$AL$20)*(日次管理!#REF!=$A$26)*(日次管理!#REF!="精査完了")*(日次管理!#REF!="予定"),日次管理!#REF!)</f>
        <v>#REF!</v>
      </c>
      <c r="AM26" s="60" t="e">
        <f>SUMPRODUCT((日次管理!#REF!&lt;=$AM$20)*(日次管理!#REF!=$A$26)*(日次管理!#REF!="精査完了")*(日次管理!#REF!="実績"),日次管理!#REF!)</f>
        <v>#REF!</v>
      </c>
      <c r="AN26" s="95" t="e">
        <f>SUMPRODUCT((日次管理!#REF!&lt;=$AN$20)*(日次管理!#REF!=$A$26)*(日次管理!#REF!="精査完了")*(日次管理!#REF!="予定"),日次管理!#REF!)</f>
        <v>#REF!</v>
      </c>
      <c r="AO26" s="60" t="e">
        <f>SUMPRODUCT((日次管理!#REF!&lt;=$AO$20)*(日次管理!#REF!=$A$26)*(日次管理!#REF!="精査完了")*(日次管理!#REF!="実績"),日次管理!#REF!)</f>
        <v>#REF!</v>
      </c>
      <c r="AP26" s="95" t="e">
        <f>SUMPRODUCT((日次管理!#REF!&lt;=$AP$20)*(日次管理!#REF!=$A$26)*(日次管理!#REF!="精査完了")*(日次管理!#REF!="予定"),日次管理!#REF!)</f>
        <v>#REF!</v>
      </c>
      <c r="AQ26" s="60" t="e">
        <f>SUMPRODUCT((日次管理!#REF!&lt;=$AQ$20)*(日次管理!#REF!=$A$26)*(日次管理!#REF!="精査完了")*(日次管理!#REF!="実績"),日次管理!#REF!)</f>
        <v>#REF!</v>
      </c>
      <c r="AR26" s="95" t="e">
        <f>SUMPRODUCT((日次管理!#REF!&lt;=$AR$20)*(日次管理!#REF!=$A$26)*(日次管理!#REF!="精査完了")*(日次管理!#REF!="予定"),日次管理!#REF!)</f>
        <v>#REF!</v>
      </c>
      <c r="AS26" s="60" t="e">
        <f>SUMPRODUCT((日次管理!#REF!&lt;=$AS$20)*(日次管理!#REF!=$A$26)*(日次管理!#REF!="精査完了")*(日次管理!#REF!="実績"),日次管理!#REF!)</f>
        <v>#REF!</v>
      </c>
      <c r="AT26" s="95" t="e">
        <f>SUMPRODUCT((日次管理!#REF!&lt;=$AT$20)*(日次管理!#REF!=$A$26)*(日次管理!#REF!="精査完了")*(日次管理!#REF!="予定"),日次管理!#REF!)</f>
        <v>#REF!</v>
      </c>
      <c r="AU26" s="60" t="e">
        <f>SUMPRODUCT((日次管理!#REF!&lt;=$AU$20)*(日次管理!#REF!=$A$26)*(日次管理!#REF!="精査完了")*(日次管理!#REF!="実績"),日次管理!#REF!)</f>
        <v>#REF!</v>
      </c>
      <c r="AV26" s="95" t="e">
        <f>SUMPRODUCT((日次管理!#REF!&lt;=$AV$20)*(日次管理!#REF!=$A$26)*(日次管理!#REF!="精査完了")*(日次管理!#REF!="予定"),日次管理!#REF!)</f>
        <v>#REF!</v>
      </c>
      <c r="AW26" s="60" t="e">
        <f>SUMPRODUCT((日次管理!#REF!&lt;=$AW$20)*(日次管理!#REF!=$A$26)*(日次管理!#REF!="精査完了")*(日次管理!#REF!="実績"),日次管理!#REF!)</f>
        <v>#REF!</v>
      </c>
      <c r="AX26" s="95" t="e">
        <f>SUMPRODUCT((日次管理!#REF!&lt;=$AX$20)*(日次管理!#REF!=$A$26)*(日次管理!#REF!="精査完了")*(日次管理!#REF!="予定"),日次管理!#REF!)</f>
        <v>#REF!</v>
      </c>
      <c r="AY26" s="60" t="e">
        <f>SUMPRODUCT((日次管理!#REF!&lt;=$AY$20)*(日次管理!#REF!=$A$26)*(日次管理!#REF!="精査完了")*(日次管理!#REF!="実績"),日次管理!#REF!)</f>
        <v>#REF!</v>
      </c>
      <c r="AZ26" s="95" t="e">
        <f>SUMPRODUCT((日次管理!#REF!&lt;=$AZ$20)*(日次管理!#REF!=$A$26)*(日次管理!#REF!="精査完了")*(日次管理!#REF!="予定"),日次管理!#REF!)</f>
        <v>#REF!</v>
      </c>
      <c r="BA26" s="60" t="e">
        <f>SUMPRODUCT((日次管理!#REF!&lt;=$BA$20)*(日次管理!#REF!=$A$26)*(日次管理!#REF!="精査完了")*(日次管理!#REF!="実績"),日次管理!#REF!)</f>
        <v>#REF!</v>
      </c>
      <c r="BB26" s="95" t="e">
        <f>SUMPRODUCT((日次管理!#REF!&lt;=$BB$20)*(日次管理!#REF!=$A$26)*(日次管理!#REF!="精査完了")*(日次管理!#REF!="予定"),日次管理!#REF!)</f>
        <v>#REF!</v>
      </c>
      <c r="BC26" s="60" t="e">
        <f>SUMPRODUCT((日次管理!#REF!&lt;=$BC$20)*(日次管理!#REF!=$A$26)*(日次管理!#REF!="精査完了")*(日次管理!#REF!="実績"),日次管理!#REF!)</f>
        <v>#REF!</v>
      </c>
      <c r="BD26" s="95" t="e">
        <f>SUMPRODUCT((日次管理!#REF!&lt;=$BD$20)*(日次管理!#REF!=$A$26)*(日次管理!#REF!="精査完了")*(日次管理!#REF!="予定"),日次管理!#REF!)</f>
        <v>#REF!</v>
      </c>
      <c r="BE26" s="60" t="e">
        <f>SUMPRODUCT((日次管理!#REF!&lt;=$BE$20)*(日次管理!#REF!=$A$26)*(日次管理!#REF!="精査完了")*(日次管理!#REF!="実績"),日次管理!#REF!)</f>
        <v>#REF!</v>
      </c>
      <c r="BF26" s="95" t="e">
        <f>SUMPRODUCT((日次管理!#REF!&lt;=$BF$20)*(日次管理!#REF!=$A$26)*(日次管理!#REF!="精査完了")*(日次管理!#REF!="予定"),日次管理!#REF!)</f>
        <v>#REF!</v>
      </c>
      <c r="BG26" s="60" t="e">
        <f>SUMPRODUCT((日次管理!#REF!&lt;=$BG$20)*(日次管理!#REF!=$A$26)*(日次管理!#REF!="精査完了")*(日次管理!#REF!="実績"),日次管理!#REF!)</f>
        <v>#REF!</v>
      </c>
      <c r="BH26" s="95" t="e">
        <f>SUMPRODUCT((日次管理!#REF!&lt;=$BH$20)*(日次管理!#REF!=$A$26)*(日次管理!#REF!="精査完了")*(日次管理!#REF!="予定"),日次管理!#REF!)</f>
        <v>#REF!</v>
      </c>
      <c r="BI26" s="60" t="e">
        <f>SUMPRODUCT((日次管理!#REF!&lt;=$BI$20)*(日次管理!#REF!=$A$26)*(日次管理!#REF!="精査完了")*(日次管理!#REF!="実績"),日次管理!#REF!)</f>
        <v>#REF!</v>
      </c>
      <c r="BJ26" s="95" t="e">
        <f>SUMPRODUCT((日次管理!#REF!&lt;=$BJ$20)*(日次管理!#REF!=$A$26)*(日次管理!#REF!="精査完了")*(日次管理!#REF!="予定"),日次管理!#REF!)</f>
        <v>#REF!</v>
      </c>
      <c r="BK26" s="60" t="e">
        <f>SUMPRODUCT((日次管理!#REF!&lt;=$BK$20)*(日次管理!#REF!=$A$26)*(日次管理!#REF!="精査完了")*(日次管理!#REF!="実績"),日次管理!#REF!)</f>
        <v>#REF!</v>
      </c>
      <c r="BL26" s="95" t="e">
        <f>SUMPRODUCT((日次管理!#REF!&lt;=$BL$20)*(日次管理!#REF!=$A$26)*(日次管理!#REF!="精査完了")*(日次管理!#REF!="予定"),日次管理!#REF!)</f>
        <v>#REF!</v>
      </c>
      <c r="BM26" s="60" t="e">
        <f>SUMPRODUCT((日次管理!#REF!&lt;=$BM$20)*(日次管理!#REF!=$A$26)*(日次管理!#REF!="精査完了")*(日次管理!#REF!="実績"),日次管理!#REF!)</f>
        <v>#REF!</v>
      </c>
      <c r="BN26" s="95" t="e">
        <f>SUMPRODUCT((日次管理!#REF!&lt;=$BN$20)*(日次管理!#REF!=$A$26)*(日次管理!#REF!="精査完了")*(日次管理!#REF!="予定"),日次管理!#REF!)</f>
        <v>#REF!</v>
      </c>
      <c r="BO26" s="60" t="e">
        <f>SUMPRODUCT((日次管理!#REF!&lt;=$BO$20)*(日次管理!#REF!=$A$26)*(日次管理!#REF!="精査完了")*(日次管理!#REF!="実績"),日次管理!#REF!)</f>
        <v>#REF!</v>
      </c>
      <c r="BP26" s="95" t="e">
        <f>SUMPRODUCT((日次管理!#REF!&lt;=$BP$20)*(日次管理!#REF!=$A$26)*(日次管理!#REF!="精査完了")*(日次管理!#REF!="予定"),日次管理!#REF!)</f>
        <v>#REF!</v>
      </c>
      <c r="BQ26" s="60" t="e">
        <f>SUMPRODUCT((日次管理!#REF!&lt;=$BQ$20)*(日次管理!#REF!=$A$26)*(日次管理!#REF!="精査完了")*(日次管理!#REF!="実績"),日次管理!#REF!)</f>
        <v>#REF!</v>
      </c>
      <c r="BR26" s="95" t="e">
        <f>SUMPRODUCT((日次管理!#REF!&lt;=$BR$20)*(日次管理!#REF!=$A$26)*(日次管理!#REF!="精査完了")*(日次管理!#REF!="予定"),日次管理!#REF!)</f>
        <v>#REF!</v>
      </c>
      <c r="BS26" s="60" t="e">
        <f>SUMPRODUCT((日次管理!#REF!&lt;=$BS$20)*(日次管理!#REF!=$A$26)*(日次管理!#REF!="精査完了")*(日次管理!#REF!="実績"),日次管理!#REF!)</f>
        <v>#REF!</v>
      </c>
      <c r="BT26" s="95" t="e">
        <f>SUMPRODUCT((日次管理!#REF!&lt;=$BT$20)*(日次管理!#REF!=$A$26)*(日次管理!#REF!="精査完了")*(日次管理!#REF!="予定"),日次管理!#REF!)</f>
        <v>#REF!</v>
      </c>
      <c r="BU26" s="60" t="e">
        <f>SUMPRODUCT((日次管理!#REF!&lt;=$BU$20)*(日次管理!#REF!=$A$26)*(日次管理!#REF!="精査完了")*(日次管理!#REF!="実績"),日次管理!#REF!)</f>
        <v>#REF!</v>
      </c>
      <c r="BV26" s="95" t="e">
        <f>SUMPRODUCT((日次管理!#REF!&lt;=$BV$20)*(日次管理!#REF!=$A$26)*(日次管理!#REF!="精査完了")*(日次管理!#REF!="予定"),日次管理!#REF!)</f>
        <v>#REF!</v>
      </c>
      <c r="BW26" s="60" t="e">
        <f>SUMPRODUCT((日次管理!#REF!&lt;=$BW$20)*(日次管理!#REF!=$A$26)*(日次管理!#REF!="精査完了")*(日次管理!#REF!="実績"),日次管理!#REF!)</f>
        <v>#REF!</v>
      </c>
      <c r="BX26" s="95" t="e">
        <f>SUMPRODUCT((日次管理!#REF!&lt;=$BX$20)*(日次管理!#REF!=$A$26)*(日次管理!#REF!="精査完了")*(日次管理!#REF!="予定"),日次管理!#REF!)</f>
        <v>#REF!</v>
      </c>
      <c r="BY26" s="60" t="e">
        <f>SUMPRODUCT((日次管理!#REF!&lt;=$BY$20)*(日次管理!#REF!=$A$26)*(日次管理!#REF!="精査完了")*(日次管理!#REF!="実績"),日次管理!#REF!)</f>
        <v>#REF!</v>
      </c>
      <c r="BZ26" s="95" t="e">
        <f>SUMPRODUCT((日次管理!#REF!&lt;=$BZ$20)*(日次管理!#REF!=$A$26)*(日次管理!#REF!="精査完了")*(日次管理!#REF!="予定"),日次管理!#REF!)</f>
        <v>#REF!</v>
      </c>
      <c r="CA26" s="60" t="e">
        <f>SUMPRODUCT((日次管理!#REF!&lt;=$CA$20)*(日次管理!#REF!=$A$26)*(日次管理!#REF!="精査完了")*(日次管理!#REF!="実績"),日次管理!#REF!)</f>
        <v>#REF!</v>
      </c>
      <c r="CB26" s="95" t="e">
        <f>SUMPRODUCT((日次管理!#REF!&lt;=$CB$20)*(日次管理!#REF!=$A$26)*(日次管理!#REF!="精査完了")*(日次管理!#REF!="予定"),日次管理!#REF!)</f>
        <v>#REF!</v>
      </c>
      <c r="CC26" s="60" t="e">
        <f>SUMPRODUCT((日次管理!#REF!&lt;=$CC$20)*(日次管理!#REF!=$A$26)*(日次管理!#REF!="精査完了")*(日次管理!#REF!="実績"),日次管理!#REF!)</f>
        <v>#REF!</v>
      </c>
      <c r="CD26" s="95" t="e">
        <f>SUMPRODUCT((日次管理!#REF!&lt;=$CD$20)*(日次管理!#REF!=$A$26)*(日次管理!#REF!="精査完了")*(日次管理!#REF!="予定"),日次管理!#REF!)</f>
        <v>#REF!</v>
      </c>
      <c r="CE26" s="60" t="e">
        <f>SUMPRODUCT((日次管理!#REF!&lt;=$CE$20)*(日次管理!#REF!=$A$26)*(日次管理!#REF!="精査完了")*(日次管理!#REF!="実績"),日次管理!#REF!)</f>
        <v>#REF!</v>
      </c>
      <c r="CF26" s="95" t="e">
        <f>SUMPRODUCT((日次管理!#REF!&lt;=$CF$20)*(日次管理!#REF!=$A$26)*(日次管理!#REF!="精査完了")*(日次管理!#REF!="予定"),日次管理!#REF!)</f>
        <v>#REF!</v>
      </c>
      <c r="CG26" s="60" t="e">
        <f>SUMPRODUCT((日次管理!#REF!&lt;=$CG$20)*(日次管理!#REF!=$A$26)*(日次管理!#REF!="精査完了")*(日次管理!#REF!="実績"),日次管理!#REF!)</f>
        <v>#REF!</v>
      </c>
      <c r="CH26" s="95" t="e">
        <f>SUMPRODUCT((日次管理!#REF!&lt;=$CH$20)*(日次管理!#REF!=$A$26)*(日次管理!#REF!="精査完了")*(日次管理!#REF!="予定"),日次管理!#REF!)</f>
        <v>#REF!</v>
      </c>
      <c r="CI26" s="60" t="e">
        <f>SUMPRODUCT((日次管理!#REF!&lt;=$CI$20)*(日次管理!#REF!=$A$26)*(日次管理!#REF!="精査完了")*(日次管理!#REF!="実績"),日次管理!#REF!)</f>
        <v>#REF!</v>
      </c>
      <c r="CJ26" s="95" t="e">
        <f>SUMPRODUCT((日次管理!#REF!&lt;=$CJ$20)*(日次管理!#REF!=$A$26)*(日次管理!#REF!="精査完了")*(日次管理!#REF!="予定"),日次管理!#REF!)</f>
        <v>#REF!</v>
      </c>
      <c r="CK26" s="60" t="e">
        <f>SUMPRODUCT((日次管理!#REF!&lt;=$CK$20)*(日次管理!#REF!=$A$26)*(日次管理!#REF!="精査完了")*(日次管理!#REF!="実績"),日次管理!#REF!)</f>
        <v>#REF!</v>
      </c>
      <c r="CL26" s="95" t="e">
        <f>SUMPRODUCT((日次管理!#REF!&lt;=$CL$20)*(日次管理!#REF!=$A$26)*(日次管理!#REF!="精査完了")*(日次管理!#REF!="予定"),日次管理!#REF!)</f>
        <v>#REF!</v>
      </c>
      <c r="CM26" s="60" t="e">
        <f>SUMPRODUCT((日次管理!#REF!&lt;=$CM$20)*(日次管理!#REF!=$A$26)*(日次管理!#REF!="精査完了")*(日次管理!#REF!="実績"),日次管理!#REF!)</f>
        <v>#REF!</v>
      </c>
      <c r="CN26" s="95" t="e">
        <f>SUMPRODUCT((日次管理!#REF!&lt;=$CN$20)*(日次管理!#REF!=$A$26)*(日次管理!#REF!="精査完了")*(日次管理!#REF!="予定"),日次管理!#REF!)</f>
        <v>#REF!</v>
      </c>
      <c r="CO26" s="60" t="e">
        <f>SUMPRODUCT((日次管理!#REF!&lt;=$CO$20)*(日次管理!#REF!=$A$26)*(日次管理!#REF!="精査完了")*(日次管理!#REF!="実績"),日次管理!#REF!)</f>
        <v>#REF!</v>
      </c>
      <c r="CP26" s="95" t="e">
        <f>SUMPRODUCT((日次管理!#REF!&lt;=$CP$20)*(日次管理!#REF!=$A$26)*(日次管理!#REF!="精査完了")*(日次管理!#REF!="予定"),日次管理!#REF!)</f>
        <v>#REF!</v>
      </c>
      <c r="CQ26" s="60" t="e">
        <f>SUMPRODUCT((日次管理!#REF!&lt;=$CQ$20)*(日次管理!#REF!=$A$26)*(日次管理!#REF!="精査完了")*(日次管理!#REF!="実績"),日次管理!#REF!)</f>
        <v>#REF!</v>
      </c>
      <c r="CR26" s="95" t="e">
        <f>SUMPRODUCT((日次管理!#REF!&lt;=$CR$20)*(日次管理!#REF!=$A$26)*(日次管理!#REF!="精査完了")*(日次管理!#REF!="予定"),日次管理!#REF!)</f>
        <v>#REF!</v>
      </c>
      <c r="CS26" s="60" t="e">
        <f>SUMPRODUCT((日次管理!#REF!&lt;=$CS$20)*(日次管理!#REF!=$A$26)*(日次管理!#REF!="精査完了")*(日次管理!#REF!="実績"),日次管理!#REF!)</f>
        <v>#REF!</v>
      </c>
      <c r="CT26" s="95" t="e">
        <f>SUMPRODUCT((日次管理!#REF!&lt;=$CT$20)*(日次管理!#REF!=$A$26)*(日次管理!#REF!="精査完了")*(日次管理!#REF!="予定"),日次管理!#REF!)</f>
        <v>#REF!</v>
      </c>
      <c r="CU26" s="60" t="e">
        <f>SUMPRODUCT((日次管理!#REF!&lt;=$CU$20)*(日次管理!#REF!=$A$26)*(日次管理!#REF!="精査完了")*(日次管理!#REF!="実績"),日次管理!#REF!)</f>
        <v>#REF!</v>
      </c>
      <c r="CV26" s="96" t="e">
        <f ca="1">SUMPRODUCT(($A$20- WEEKDAY($A$20) + 6 =$B$20:$CU$20)*("実績"=$B$21:$CU$21),$B$26:$CU$26)/SUMPRODUCT(($A$20- WEEKDAY($A$20) + 6 =$B$20:$CU$20)*("予定"=$B$21:$CU$21),$B$26:$CU$26)</f>
        <v>#REF!</v>
      </c>
      <c r="CW26" s="97" t="e">
        <f>$CU$26/$CT$26</f>
        <v>#REF!</v>
      </c>
    </row>
    <row r="27" spans="1:101" ht="20.149999999999999" customHeight="1">
      <c r="A27" s="90" t="s">
        <v>78</v>
      </c>
      <c r="B27" s="91" t="e">
        <f>SUMPRODUCT((日次管理!#REF!&lt;=$B$20)*(日次管理!#REF!=$A$27)*(日次管理!#REF!="精査完了")*(日次管理!#REF!="予定"),日次管理!#REF!)</f>
        <v>#REF!</v>
      </c>
      <c r="C27" s="59" t="e">
        <f>SUMPRODUCT((日次管理!#REF!&lt;=$C$20)*(日次管理!#REF!=$A$27)*(日次管理!#REF!="精査完了")*(日次管理!#REF!="実績"),日次管理!#REF!)</f>
        <v>#REF!</v>
      </c>
      <c r="D27" s="91" t="e">
        <f>SUMPRODUCT((日次管理!#REF!&lt;=$D$20)*(日次管理!#REF!=$A$27)*(日次管理!#REF!="精査完了")*(日次管理!#REF!="予定"),日次管理!#REF!)</f>
        <v>#REF!</v>
      </c>
      <c r="E27" s="59" t="e">
        <f>SUMPRODUCT((日次管理!#REF!&lt;=$E$20)*(日次管理!#REF!=$A$27)*(日次管理!#REF!="精査完了")*(日次管理!#REF!="実績"),日次管理!#REF!)</f>
        <v>#REF!</v>
      </c>
      <c r="F27" s="91" t="e">
        <f>SUMPRODUCT((日次管理!#REF!&lt;=$F$20)*(日次管理!#REF!=$A$27)*(日次管理!#REF!="精査完了")*(日次管理!#REF!="予定"),日次管理!#REF!)</f>
        <v>#REF!</v>
      </c>
      <c r="G27" s="59" t="e">
        <f>SUMPRODUCT((日次管理!#REF!&lt;=$G$20)*(日次管理!#REF!=$A$27)*(日次管理!#REF!="精査完了")*(日次管理!#REF!="実績"),日次管理!#REF!)</f>
        <v>#REF!</v>
      </c>
      <c r="H27" s="91" t="e">
        <f>SUMPRODUCT((日次管理!#REF!&lt;=$H$20)*(日次管理!#REF!=$A$27)*(日次管理!#REF!="精査完了")*(日次管理!#REF!="予定"),日次管理!#REF!)</f>
        <v>#REF!</v>
      </c>
      <c r="I27" s="59" t="e">
        <f>SUMPRODUCT((日次管理!#REF!&lt;=$I$20)*(日次管理!#REF!=$A$27)*(日次管理!#REF!="精査完了")*(日次管理!#REF!="実績"),日次管理!#REF!)</f>
        <v>#REF!</v>
      </c>
      <c r="J27" s="91" t="e">
        <f>SUMPRODUCT((日次管理!#REF!&lt;=$J$20)*(日次管理!#REF!=$A$27)*(日次管理!#REF!="精査完了")*(日次管理!#REF!="予定"),日次管理!#REF!)</f>
        <v>#REF!</v>
      </c>
      <c r="K27" s="59" t="e">
        <f>SUMPRODUCT((日次管理!#REF!&lt;=$K$20)*(日次管理!#REF!=$A$27)*(日次管理!#REF!="精査完了")*(日次管理!#REF!="実績"),日次管理!#REF!)</f>
        <v>#REF!</v>
      </c>
      <c r="L27" s="91" t="e">
        <f>SUMPRODUCT((日次管理!#REF!&lt;=$L$20)*(日次管理!#REF!=$A$27)*(日次管理!#REF!="精査完了")*(日次管理!#REF!="予定"),日次管理!#REF!)</f>
        <v>#REF!</v>
      </c>
      <c r="M27" s="59" t="e">
        <f>SUMPRODUCT((日次管理!#REF!&lt;=$M$20)*(日次管理!#REF!=$A$27)*(日次管理!#REF!="精査完了")*(日次管理!#REF!="実績"),日次管理!#REF!)</f>
        <v>#REF!</v>
      </c>
      <c r="N27" s="91" t="e">
        <f>SUMPRODUCT((日次管理!#REF!&lt;=$N$20)*(日次管理!#REF!=$A$27)*(日次管理!#REF!="精査完了")*(日次管理!#REF!="予定"),日次管理!#REF!)</f>
        <v>#REF!</v>
      </c>
      <c r="O27" s="59" t="e">
        <f>SUMPRODUCT((日次管理!#REF!&lt;=$O$20)*(日次管理!#REF!=$A$27)*(日次管理!#REF!="精査完了")*(日次管理!#REF!="実績"),日次管理!#REF!)</f>
        <v>#REF!</v>
      </c>
      <c r="P27" s="91" t="e">
        <f>SUMPRODUCT((日次管理!#REF!&lt;=$P$20)*(日次管理!#REF!=$A$27)*(日次管理!#REF!="精査完了")*(日次管理!#REF!="予定"),日次管理!#REF!)</f>
        <v>#REF!</v>
      </c>
      <c r="Q27" s="59" t="e">
        <f>SUMPRODUCT((日次管理!#REF!&lt;=$Q$20)*(日次管理!#REF!=$A$27)*(日次管理!#REF!="精査完了")*(日次管理!#REF!="実績"),日次管理!#REF!)</f>
        <v>#REF!</v>
      </c>
      <c r="R27" s="91" t="e">
        <f>SUMPRODUCT((日次管理!#REF!&lt;=$R$20)*(日次管理!#REF!=$A$27)*(日次管理!#REF!="精査完了")*(日次管理!#REF!="予定"),日次管理!#REF!)</f>
        <v>#REF!</v>
      </c>
      <c r="S27" s="59" t="e">
        <f>SUMPRODUCT((日次管理!#REF!&lt;=$S$20)*(日次管理!#REF!=$A$27)*(日次管理!#REF!="精査完了")*(日次管理!#REF!="実績"),日次管理!#REF!)</f>
        <v>#REF!</v>
      </c>
      <c r="T27" s="91" t="e">
        <f>SUMPRODUCT((日次管理!#REF!&lt;=$T$20)*(日次管理!#REF!=$A$27)*(日次管理!#REF!="精査完了")*(日次管理!#REF!="予定"),日次管理!#REF!)</f>
        <v>#REF!</v>
      </c>
      <c r="U27" s="59" t="e">
        <f>SUMPRODUCT((日次管理!#REF!&lt;=$U$20)*(日次管理!#REF!=$A$27)*(日次管理!#REF!="精査完了")*(日次管理!#REF!="実績"),日次管理!#REF!)</f>
        <v>#REF!</v>
      </c>
      <c r="V27" s="91" t="e">
        <f>SUMPRODUCT((日次管理!#REF!&lt;=$V$20)*(日次管理!#REF!=$A$27)*(日次管理!#REF!="精査完了")*(日次管理!#REF!="予定"),日次管理!#REF!)</f>
        <v>#REF!</v>
      </c>
      <c r="W27" s="59" t="e">
        <f>SUMPRODUCT((日次管理!#REF!&lt;=$W$20)*(日次管理!#REF!=$A$27)*(日次管理!#REF!="精査完了")*(日次管理!#REF!="実績"),日次管理!#REF!)</f>
        <v>#REF!</v>
      </c>
      <c r="X27" s="91" t="e">
        <f>SUMPRODUCT((日次管理!#REF!&lt;=$X$20)*(日次管理!#REF!=$A$27)*(日次管理!#REF!="精査完了")*(日次管理!#REF!="予定"),日次管理!#REF!)</f>
        <v>#REF!</v>
      </c>
      <c r="Y27" s="59" t="e">
        <f>SUMPRODUCT((日次管理!#REF!&lt;=$Y$20)*(日次管理!#REF!=$A$27)*(日次管理!#REF!="精査完了")*(日次管理!#REF!="実績"),日次管理!#REF!)</f>
        <v>#REF!</v>
      </c>
      <c r="Z27" s="91" t="e">
        <f>SUMPRODUCT((日次管理!#REF!&lt;=$Z$20)*(日次管理!#REF!=$A$27)*(日次管理!#REF!="精査完了")*(日次管理!#REF!="予定"),日次管理!#REF!)</f>
        <v>#REF!</v>
      </c>
      <c r="AA27" s="59" t="e">
        <f>SUMPRODUCT((日次管理!#REF!&lt;=$AA$20)*(日次管理!#REF!=$A$27)*(日次管理!#REF!="精査完了")*(日次管理!#REF!="実績"),日次管理!#REF!)</f>
        <v>#REF!</v>
      </c>
      <c r="AB27" s="91" t="e">
        <f>SUMPRODUCT((日次管理!#REF!&lt;=$AB$20)*(日次管理!#REF!=$A$27)*(日次管理!#REF!="精査完了")*(日次管理!#REF!="予定"),日次管理!#REF!)</f>
        <v>#REF!</v>
      </c>
      <c r="AC27" s="59" t="e">
        <f>SUMPRODUCT((日次管理!#REF!&lt;=$AC$20)*(日次管理!#REF!=$A$27)*(日次管理!#REF!="精査完了")*(日次管理!#REF!="実績"),日次管理!#REF!)</f>
        <v>#REF!</v>
      </c>
      <c r="AD27" s="91" t="e">
        <f>SUMPRODUCT((日次管理!#REF!&lt;=$AD$20)*(日次管理!#REF!=$A$27)*(日次管理!#REF!="精査完了")*(日次管理!#REF!="予定"),日次管理!#REF!)</f>
        <v>#REF!</v>
      </c>
      <c r="AE27" s="59" t="e">
        <f>SUMPRODUCT((日次管理!#REF!&lt;=$AE$20)*(日次管理!#REF!=$A$27)*(日次管理!#REF!="精査完了")*(日次管理!#REF!="実績"),日次管理!#REF!)</f>
        <v>#REF!</v>
      </c>
      <c r="AF27" s="91" t="e">
        <f>SUMPRODUCT((日次管理!#REF!&lt;=$AF$20)*(日次管理!#REF!=$A$27)*(日次管理!#REF!="精査完了")*(日次管理!#REF!="予定"),日次管理!#REF!)</f>
        <v>#REF!</v>
      </c>
      <c r="AG27" s="59" t="e">
        <f>SUMPRODUCT((日次管理!#REF!&lt;=$AG$20)*(日次管理!#REF!=$A$27)*(日次管理!#REF!="精査完了")*(日次管理!#REF!="実績"),日次管理!#REF!)</f>
        <v>#REF!</v>
      </c>
      <c r="AH27" s="91" t="e">
        <f>SUMPRODUCT((日次管理!#REF!&lt;=$AH$20)*(日次管理!#REF!=$A$27)*(日次管理!#REF!="精査完了")*(日次管理!#REF!="予定"),日次管理!#REF!)</f>
        <v>#REF!</v>
      </c>
      <c r="AI27" s="59" t="e">
        <f>SUMPRODUCT((日次管理!#REF!&lt;=$AI$20)*(日次管理!#REF!=$A$27)*(日次管理!#REF!="精査完了")*(日次管理!#REF!="実績"),日次管理!#REF!)</f>
        <v>#REF!</v>
      </c>
      <c r="AJ27" s="91" t="e">
        <f>SUMPRODUCT((日次管理!#REF!&lt;=$AJ$20)*(日次管理!#REF!=$A$27)*(日次管理!#REF!="精査完了")*(日次管理!#REF!="予定"),日次管理!#REF!)</f>
        <v>#REF!</v>
      </c>
      <c r="AK27" s="59" t="e">
        <f>SUMPRODUCT((日次管理!#REF!&lt;=$AK$20)*(日次管理!#REF!=$A$27)*(日次管理!#REF!="精査完了")*(日次管理!#REF!="実績"),日次管理!#REF!)</f>
        <v>#REF!</v>
      </c>
      <c r="AL27" s="91" t="e">
        <f>SUMPRODUCT((日次管理!#REF!&lt;=$AL$20)*(日次管理!#REF!=$A$27)*(日次管理!#REF!="精査完了")*(日次管理!#REF!="予定"),日次管理!#REF!)</f>
        <v>#REF!</v>
      </c>
      <c r="AM27" s="59" t="e">
        <f>SUMPRODUCT((日次管理!#REF!&lt;=$AM$20)*(日次管理!#REF!=$A$27)*(日次管理!#REF!="精査完了")*(日次管理!#REF!="実績"),日次管理!#REF!)</f>
        <v>#REF!</v>
      </c>
      <c r="AN27" s="91" t="e">
        <f>SUMPRODUCT((日次管理!#REF!&lt;=$AN$20)*(日次管理!#REF!=$A$27)*(日次管理!#REF!="精査完了")*(日次管理!#REF!="予定"),日次管理!#REF!)</f>
        <v>#REF!</v>
      </c>
      <c r="AO27" s="59" t="e">
        <f>SUMPRODUCT((日次管理!#REF!&lt;=$AO$20)*(日次管理!#REF!=$A$27)*(日次管理!#REF!="精査完了")*(日次管理!#REF!="実績"),日次管理!#REF!)</f>
        <v>#REF!</v>
      </c>
      <c r="AP27" s="91" t="e">
        <f>SUMPRODUCT((日次管理!#REF!&lt;=$AP$20)*(日次管理!#REF!=$A$27)*(日次管理!#REF!="精査完了")*(日次管理!#REF!="予定"),日次管理!#REF!)</f>
        <v>#REF!</v>
      </c>
      <c r="AQ27" s="59" t="e">
        <f>SUMPRODUCT((日次管理!#REF!&lt;=$AQ$20)*(日次管理!#REF!=$A$27)*(日次管理!#REF!="精査完了")*(日次管理!#REF!="実績"),日次管理!#REF!)</f>
        <v>#REF!</v>
      </c>
      <c r="AR27" s="91" t="e">
        <f>SUMPRODUCT((日次管理!#REF!&lt;=$AR$20)*(日次管理!#REF!=$A$27)*(日次管理!#REF!="精査完了")*(日次管理!#REF!="予定"),日次管理!#REF!)</f>
        <v>#REF!</v>
      </c>
      <c r="AS27" s="59" t="e">
        <f>SUMPRODUCT((日次管理!#REF!&lt;=$AS$20)*(日次管理!#REF!=$A$27)*(日次管理!#REF!="精査完了")*(日次管理!#REF!="実績"),日次管理!#REF!)</f>
        <v>#REF!</v>
      </c>
      <c r="AT27" s="91" t="e">
        <f>SUMPRODUCT((日次管理!#REF!&lt;=$AT$20)*(日次管理!#REF!=$A$27)*(日次管理!#REF!="精査完了")*(日次管理!#REF!="予定"),日次管理!#REF!)</f>
        <v>#REF!</v>
      </c>
      <c r="AU27" s="59" t="e">
        <f>SUMPRODUCT((日次管理!#REF!&lt;=$AU$20)*(日次管理!#REF!=$A$27)*(日次管理!#REF!="精査完了")*(日次管理!#REF!="実績"),日次管理!#REF!)</f>
        <v>#REF!</v>
      </c>
      <c r="AV27" s="91" t="e">
        <f>SUMPRODUCT((日次管理!#REF!&lt;=$AV$20)*(日次管理!#REF!=$A$27)*(日次管理!#REF!="精査完了")*(日次管理!#REF!="予定"),日次管理!#REF!)</f>
        <v>#REF!</v>
      </c>
      <c r="AW27" s="59" t="e">
        <f>SUMPRODUCT((日次管理!#REF!&lt;=$AW$20)*(日次管理!#REF!=$A$27)*(日次管理!#REF!="精査完了")*(日次管理!#REF!="実績"),日次管理!#REF!)</f>
        <v>#REF!</v>
      </c>
      <c r="AX27" s="91" t="e">
        <f>SUMPRODUCT((日次管理!#REF!&lt;=$AX$20)*(日次管理!#REF!=$A$27)*(日次管理!#REF!="精査完了")*(日次管理!#REF!="予定"),日次管理!#REF!)</f>
        <v>#REF!</v>
      </c>
      <c r="AY27" s="59" t="e">
        <f>SUMPRODUCT((日次管理!#REF!&lt;=$AY$20)*(日次管理!#REF!=$A$27)*(日次管理!#REF!="精査完了")*(日次管理!#REF!="実績"),日次管理!#REF!)</f>
        <v>#REF!</v>
      </c>
      <c r="AZ27" s="91" t="e">
        <f>SUMPRODUCT((日次管理!#REF!&lt;=$AZ$20)*(日次管理!#REF!=$A$27)*(日次管理!#REF!="精査完了")*(日次管理!#REF!="予定"),日次管理!#REF!)</f>
        <v>#REF!</v>
      </c>
      <c r="BA27" s="59" t="e">
        <f>SUMPRODUCT((日次管理!#REF!&lt;=$BA$20)*(日次管理!#REF!=$A$27)*(日次管理!#REF!="精査完了")*(日次管理!#REF!="実績"),日次管理!#REF!)</f>
        <v>#REF!</v>
      </c>
      <c r="BB27" s="91" t="e">
        <f>SUMPRODUCT((日次管理!#REF!&lt;=$BB$20)*(日次管理!#REF!=$A$27)*(日次管理!#REF!="精査完了")*(日次管理!#REF!="予定"),日次管理!#REF!)</f>
        <v>#REF!</v>
      </c>
      <c r="BC27" s="59" t="e">
        <f>SUMPRODUCT((日次管理!#REF!&lt;=$BC$20)*(日次管理!#REF!=$A$27)*(日次管理!#REF!="精査完了")*(日次管理!#REF!="実績"),日次管理!#REF!)</f>
        <v>#REF!</v>
      </c>
      <c r="BD27" s="91" t="e">
        <f>SUMPRODUCT((日次管理!#REF!&lt;=$BD$20)*(日次管理!#REF!=$A$27)*(日次管理!#REF!="精査完了")*(日次管理!#REF!="予定"),日次管理!#REF!)</f>
        <v>#REF!</v>
      </c>
      <c r="BE27" s="59" t="e">
        <f>SUMPRODUCT((日次管理!#REF!&lt;=$BE$20)*(日次管理!#REF!=$A$27)*(日次管理!#REF!="精査完了")*(日次管理!#REF!="実績"),日次管理!#REF!)</f>
        <v>#REF!</v>
      </c>
      <c r="BF27" s="91" t="e">
        <f>SUMPRODUCT((日次管理!#REF!&lt;=$BF$20)*(日次管理!#REF!=$A$27)*(日次管理!#REF!="精査完了")*(日次管理!#REF!="予定"),日次管理!#REF!)</f>
        <v>#REF!</v>
      </c>
      <c r="BG27" s="59" t="e">
        <f>SUMPRODUCT((日次管理!#REF!&lt;=$BG$20)*(日次管理!#REF!=$A$27)*(日次管理!#REF!="精査完了")*(日次管理!#REF!="実績"),日次管理!#REF!)</f>
        <v>#REF!</v>
      </c>
      <c r="BH27" s="91" t="e">
        <f>SUMPRODUCT((日次管理!#REF!&lt;=$BH$20)*(日次管理!#REF!=$A$27)*(日次管理!#REF!="精査完了")*(日次管理!#REF!="予定"),日次管理!#REF!)</f>
        <v>#REF!</v>
      </c>
      <c r="BI27" s="59" t="e">
        <f>SUMPRODUCT((日次管理!#REF!&lt;=$BI$20)*(日次管理!#REF!=$A$27)*(日次管理!#REF!="精査完了")*(日次管理!#REF!="実績"),日次管理!#REF!)</f>
        <v>#REF!</v>
      </c>
      <c r="BJ27" s="91" t="e">
        <f>SUMPRODUCT((日次管理!#REF!&lt;=$BJ$20)*(日次管理!#REF!=$A$27)*(日次管理!#REF!="精査完了")*(日次管理!#REF!="予定"),日次管理!#REF!)</f>
        <v>#REF!</v>
      </c>
      <c r="BK27" s="59" t="e">
        <f>SUMPRODUCT((日次管理!#REF!&lt;=$BK$20)*(日次管理!#REF!=$A$27)*(日次管理!#REF!="精査完了")*(日次管理!#REF!="実績"),日次管理!#REF!)</f>
        <v>#REF!</v>
      </c>
      <c r="BL27" s="91" t="e">
        <f>SUMPRODUCT((日次管理!#REF!&lt;=$BL$20)*(日次管理!#REF!=$A$27)*(日次管理!#REF!="精査完了")*(日次管理!#REF!="予定"),日次管理!#REF!)</f>
        <v>#REF!</v>
      </c>
      <c r="BM27" s="59" t="e">
        <f>SUMPRODUCT((日次管理!#REF!&lt;=$BM$20)*(日次管理!#REF!=$A$27)*(日次管理!#REF!="精査完了")*(日次管理!#REF!="実績"),日次管理!#REF!)</f>
        <v>#REF!</v>
      </c>
      <c r="BN27" s="91" t="e">
        <f>SUMPRODUCT((日次管理!#REF!&lt;=$BN$20)*(日次管理!#REF!=$A$27)*(日次管理!#REF!="精査完了")*(日次管理!#REF!="予定"),日次管理!#REF!)</f>
        <v>#REF!</v>
      </c>
      <c r="BO27" s="59" t="e">
        <f>SUMPRODUCT((日次管理!#REF!&lt;=$BO$20)*(日次管理!#REF!=$A$27)*(日次管理!#REF!="精査完了")*(日次管理!#REF!="実績"),日次管理!#REF!)</f>
        <v>#REF!</v>
      </c>
      <c r="BP27" s="91" t="e">
        <f>SUMPRODUCT((日次管理!#REF!&lt;=$BP$20)*(日次管理!#REF!=$A$27)*(日次管理!#REF!="精査完了")*(日次管理!#REF!="予定"),日次管理!#REF!)</f>
        <v>#REF!</v>
      </c>
      <c r="BQ27" s="59" t="e">
        <f>SUMPRODUCT((日次管理!#REF!&lt;=$BQ$20)*(日次管理!#REF!=$A$27)*(日次管理!#REF!="精査完了")*(日次管理!#REF!="実績"),日次管理!#REF!)</f>
        <v>#REF!</v>
      </c>
      <c r="BR27" s="91" t="e">
        <f>SUMPRODUCT((日次管理!#REF!&lt;=$BR$20)*(日次管理!#REF!=$A$27)*(日次管理!#REF!="精査完了")*(日次管理!#REF!="予定"),日次管理!#REF!)</f>
        <v>#REF!</v>
      </c>
      <c r="BS27" s="59" t="e">
        <f>SUMPRODUCT((日次管理!#REF!&lt;=$BS$20)*(日次管理!#REF!=$A$27)*(日次管理!#REF!="精査完了")*(日次管理!#REF!="実績"),日次管理!#REF!)</f>
        <v>#REF!</v>
      </c>
      <c r="BT27" s="91" t="e">
        <f>SUMPRODUCT((日次管理!#REF!&lt;=$BT$20)*(日次管理!#REF!=$A$27)*(日次管理!#REF!="精査完了")*(日次管理!#REF!="予定"),日次管理!#REF!)</f>
        <v>#REF!</v>
      </c>
      <c r="BU27" s="59" t="e">
        <f>SUMPRODUCT((日次管理!#REF!&lt;=$BU$20)*(日次管理!#REF!=$A$27)*(日次管理!#REF!="精査完了")*(日次管理!#REF!="実績"),日次管理!#REF!)</f>
        <v>#REF!</v>
      </c>
      <c r="BV27" s="91" t="e">
        <f>SUMPRODUCT((日次管理!#REF!&lt;=$BV$20)*(日次管理!#REF!=$A$27)*(日次管理!#REF!="精査完了")*(日次管理!#REF!="予定"),日次管理!#REF!)</f>
        <v>#REF!</v>
      </c>
      <c r="BW27" s="59" t="e">
        <f>SUMPRODUCT((日次管理!#REF!&lt;=$BW$20)*(日次管理!#REF!=$A$27)*(日次管理!#REF!="精査完了")*(日次管理!#REF!="実績"),日次管理!#REF!)</f>
        <v>#REF!</v>
      </c>
      <c r="BX27" s="91" t="e">
        <f>SUMPRODUCT((日次管理!#REF!&lt;=$BX$20)*(日次管理!#REF!=$A$27)*(日次管理!#REF!="精査完了")*(日次管理!#REF!="予定"),日次管理!#REF!)</f>
        <v>#REF!</v>
      </c>
      <c r="BY27" s="59" t="e">
        <f>SUMPRODUCT((日次管理!#REF!&lt;=$BY$20)*(日次管理!#REF!=$A$27)*(日次管理!#REF!="精査完了")*(日次管理!#REF!="実績"),日次管理!#REF!)</f>
        <v>#REF!</v>
      </c>
      <c r="BZ27" s="91" t="e">
        <f>SUMPRODUCT((日次管理!#REF!&lt;=$BZ$20)*(日次管理!#REF!=$A$27)*(日次管理!#REF!="精査完了")*(日次管理!#REF!="予定"),日次管理!#REF!)</f>
        <v>#REF!</v>
      </c>
      <c r="CA27" s="59" t="e">
        <f>SUMPRODUCT((日次管理!#REF!&lt;=$CA$20)*(日次管理!#REF!=$A$27)*(日次管理!#REF!="精査完了")*(日次管理!#REF!="実績"),日次管理!#REF!)</f>
        <v>#REF!</v>
      </c>
      <c r="CB27" s="91" t="e">
        <f>SUMPRODUCT((日次管理!#REF!&lt;=$CB$20)*(日次管理!#REF!=$A$27)*(日次管理!#REF!="精査完了")*(日次管理!#REF!="予定"),日次管理!#REF!)</f>
        <v>#REF!</v>
      </c>
      <c r="CC27" s="59" t="e">
        <f>SUMPRODUCT((日次管理!#REF!&lt;=$CC$20)*(日次管理!#REF!=$A$27)*(日次管理!#REF!="精査完了")*(日次管理!#REF!="実績"),日次管理!#REF!)</f>
        <v>#REF!</v>
      </c>
      <c r="CD27" s="91" t="e">
        <f>SUMPRODUCT((日次管理!#REF!&lt;=$CD$20)*(日次管理!#REF!=$A$27)*(日次管理!#REF!="精査完了")*(日次管理!#REF!="予定"),日次管理!#REF!)</f>
        <v>#REF!</v>
      </c>
      <c r="CE27" s="59" t="e">
        <f>SUMPRODUCT((日次管理!#REF!&lt;=$CE$20)*(日次管理!#REF!=$A$27)*(日次管理!#REF!="精査完了")*(日次管理!#REF!="実績"),日次管理!#REF!)</f>
        <v>#REF!</v>
      </c>
      <c r="CF27" s="91" t="e">
        <f>SUMPRODUCT((日次管理!#REF!&lt;=$CF$20)*(日次管理!#REF!=$A$27)*(日次管理!#REF!="精査完了")*(日次管理!#REF!="予定"),日次管理!#REF!)</f>
        <v>#REF!</v>
      </c>
      <c r="CG27" s="59" t="e">
        <f>SUMPRODUCT((日次管理!#REF!&lt;=$CG$20)*(日次管理!#REF!=$A$27)*(日次管理!#REF!="精査完了")*(日次管理!#REF!="実績"),日次管理!#REF!)</f>
        <v>#REF!</v>
      </c>
      <c r="CH27" s="91" t="e">
        <f>SUMPRODUCT((日次管理!#REF!&lt;=$CH$20)*(日次管理!#REF!=$A$27)*(日次管理!#REF!="精査完了")*(日次管理!#REF!="予定"),日次管理!#REF!)</f>
        <v>#REF!</v>
      </c>
      <c r="CI27" s="59" t="e">
        <f>SUMPRODUCT((日次管理!#REF!&lt;=$CI$20)*(日次管理!#REF!=$A$27)*(日次管理!#REF!="精査完了")*(日次管理!#REF!="実績"),日次管理!#REF!)</f>
        <v>#REF!</v>
      </c>
      <c r="CJ27" s="91" t="e">
        <f>SUMPRODUCT((日次管理!#REF!&lt;=$CJ$20)*(日次管理!#REF!=$A$27)*(日次管理!#REF!="精査完了")*(日次管理!#REF!="予定"),日次管理!#REF!)</f>
        <v>#REF!</v>
      </c>
      <c r="CK27" s="59" t="e">
        <f>SUMPRODUCT((日次管理!#REF!&lt;=$CK$20)*(日次管理!#REF!=$A$27)*(日次管理!#REF!="精査完了")*(日次管理!#REF!="実績"),日次管理!#REF!)</f>
        <v>#REF!</v>
      </c>
      <c r="CL27" s="91" t="e">
        <f>SUMPRODUCT((日次管理!#REF!&lt;=$CL$20)*(日次管理!#REF!=$A$27)*(日次管理!#REF!="精査完了")*(日次管理!#REF!="予定"),日次管理!#REF!)</f>
        <v>#REF!</v>
      </c>
      <c r="CM27" s="59" t="e">
        <f>SUMPRODUCT((日次管理!#REF!&lt;=$CM$20)*(日次管理!#REF!=$A$27)*(日次管理!#REF!="精査完了")*(日次管理!#REF!="実績"),日次管理!#REF!)</f>
        <v>#REF!</v>
      </c>
      <c r="CN27" s="91" t="e">
        <f>SUMPRODUCT((日次管理!#REF!&lt;=$CN$20)*(日次管理!#REF!=$A$27)*(日次管理!#REF!="精査完了")*(日次管理!#REF!="予定"),日次管理!#REF!)</f>
        <v>#REF!</v>
      </c>
      <c r="CO27" s="59" t="e">
        <f>SUMPRODUCT((日次管理!#REF!&lt;=$CO$20)*(日次管理!#REF!=$A$27)*(日次管理!#REF!="精査完了")*(日次管理!#REF!="実績"),日次管理!#REF!)</f>
        <v>#REF!</v>
      </c>
      <c r="CP27" s="91" t="e">
        <f>SUMPRODUCT((日次管理!#REF!&lt;=$CP$20)*(日次管理!#REF!=$A$27)*(日次管理!#REF!="精査完了")*(日次管理!#REF!="予定"),日次管理!#REF!)</f>
        <v>#REF!</v>
      </c>
      <c r="CQ27" s="59" t="e">
        <f>SUMPRODUCT((日次管理!#REF!&lt;=$CQ$20)*(日次管理!#REF!=$A$27)*(日次管理!#REF!="精査完了")*(日次管理!#REF!="実績"),日次管理!#REF!)</f>
        <v>#REF!</v>
      </c>
      <c r="CR27" s="91" t="e">
        <f>SUMPRODUCT((日次管理!#REF!&lt;=$CR$20)*(日次管理!#REF!=$A$27)*(日次管理!#REF!="精査完了")*(日次管理!#REF!="予定"),日次管理!#REF!)</f>
        <v>#REF!</v>
      </c>
      <c r="CS27" s="59" t="e">
        <f>SUMPRODUCT((日次管理!#REF!&lt;=$CS$20)*(日次管理!#REF!=$A$27)*(日次管理!#REF!="精査完了")*(日次管理!#REF!="実績"),日次管理!#REF!)</f>
        <v>#REF!</v>
      </c>
      <c r="CT27" s="91" t="e">
        <f>SUMPRODUCT((日次管理!#REF!&lt;=$CT$20)*(日次管理!#REF!=$A$27)*(日次管理!#REF!="精査完了")*(日次管理!#REF!="予定"),日次管理!#REF!)</f>
        <v>#REF!</v>
      </c>
      <c r="CU27" s="59" t="e">
        <f>SUMPRODUCT((日次管理!#REF!&lt;=$CU$20)*(日次管理!#REF!=$A$27)*(日次管理!#REF!="精査完了")*(日次管理!#REF!="実績"),日次管理!#REF!)</f>
        <v>#REF!</v>
      </c>
      <c r="CV27" s="92" t="e">
        <f ca="1">SUMPRODUCT(($A$20- WEEKDAY($A$20) + 6 =$B$20:$CU$20)*("実績"=$B$21:$CU$21),$B$27:$CU$27)/SUMPRODUCT(($A$20- WEEKDAY($A$20) + 6 =$B$20:$CU$20)*("予定"=$B$21:$CU$21),$B$27:$CU$27)</f>
        <v>#REF!</v>
      </c>
      <c r="CW27" s="93" t="e">
        <f>$CU$27/$CT$27</f>
        <v>#REF!</v>
      </c>
    </row>
    <row r="28" spans="1:101" ht="20.149999999999999" customHeight="1">
      <c r="A28" s="94" t="s">
        <v>113</v>
      </c>
      <c r="B28" s="95" t="e">
        <f>SUMPRODUCT((日次管理!#REF!&lt;=$B$20)*(日次管理!#REF!=$A$28)*(日次管理!#REF!="精査完了")*(日次管理!#REF!="予定"),日次管理!#REF!)</f>
        <v>#REF!</v>
      </c>
      <c r="C28" s="60" t="e">
        <f>SUMPRODUCT((日次管理!#REF!&lt;=$C$20)*(日次管理!#REF!=$A$28)*(日次管理!#REF!="精査完了")*(日次管理!#REF!="実績"),日次管理!#REF!)</f>
        <v>#REF!</v>
      </c>
      <c r="D28" s="95" t="e">
        <f>SUMPRODUCT((日次管理!#REF!&lt;=$D$20)*(日次管理!#REF!=$A$28)*(日次管理!#REF!="精査完了")*(日次管理!#REF!="予定"),日次管理!#REF!)</f>
        <v>#REF!</v>
      </c>
      <c r="E28" s="60" t="e">
        <f>SUMPRODUCT((日次管理!#REF!&lt;=$E$20)*(日次管理!#REF!=$A$28)*(日次管理!#REF!="精査完了")*(日次管理!#REF!="実績"),日次管理!#REF!)</f>
        <v>#REF!</v>
      </c>
      <c r="F28" s="95" t="e">
        <f>SUMPRODUCT((日次管理!#REF!&lt;=$F$20)*(日次管理!#REF!=$A$28)*(日次管理!#REF!="精査完了")*(日次管理!#REF!="予定"),日次管理!#REF!)</f>
        <v>#REF!</v>
      </c>
      <c r="G28" s="60" t="e">
        <f>SUMPRODUCT((日次管理!#REF!&lt;=$G$20)*(日次管理!#REF!=$A$28)*(日次管理!#REF!="精査完了")*(日次管理!#REF!="実績"),日次管理!#REF!)</f>
        <v>#REF!</v>
      </c>
      <c r="H28" s="95" t="e">
        <f>SUMPRODUCT((日次管理!#REF!&lt;=$H$20)*(日次管理!#REF!=$A$28)*(日次管理!#REF!="精査完了")*(日次管理!#REF!="予定"),日次管理!#REF!)</f>
        <v>#REF!</v>
      </c>
      <c r="I28" s="60" t="e">
        <f>SUMPRODUCT((日次管理!#REF!&lt;=$I$20)*(日次管理!#REF!=$A$28)*(日次管理!#REF!="精査完了")*(日次管理!#REF!="実績"),日次管理!#REF!)</f>
        <v>#REF!</v>
      </c>
      <c r="J28" s="95" t="e">
        <f>SUMPRODUCT((日次管理!#REF!&lt;=$J$20)*(日次管理!#REF!=$A$28)*(日次管理!#REF!="精査完了")*(日次管理!#REF!="予定"),日次管理!#REF!)</f>
        <v>#REF!</v>
      </c>
      <c r="K28" s="60" t="e">
        <f>SUMPRODUCT((日次管理!#REF!&lt;=$K$20)*(日次管理!#REF!=$A$28)*(日次管理!#REF!="精査完了")*(日次管理!#REF!="実績"),日次管理!#REF!)</f>
        <v>#REF!</v>
      </c>
      <c r="L28" s="95" t="e">
        <f>SUMPRODUCT((日次管理!#REF!&lt;=$L$20)*(日次管理!#REF!=$A$28)*(日次管理!#REF!="精査完了")*(日次管理!#REF!="予定"),日次管理!#REF!)</f>
        <v>#REF!</v>
      </c>
      <c r="M28" s="60" t="e">
        <f>SUMPRODUCT((日次管理!#REF!&lt;=$M$20)*(日次管理!#REF!=$A$28)*(日次管理!#REF!="精査完了")*(日次管理!#REF!="実績"),日次管理!#REF!)</f>
        <v>#REF!</v>
      </c>
      <c r="N28" s="95" t="e">
        <f>SUMPRODUCT((日次管理!#REF!&lt;=$N$20)*(日次管理!#REF!=$A$28)*(日次管理!#REF!="精査完了")*(日次管理!#REF!="予定"),日次管理!#REF!)</f>
        <v>#REF!</v>
      </c>
      <c r="O28" s="60" t="e">
        <f>SUMPRODUCT((日次管理!#REF!&lt;=$O$20)*(日次管理!#REF!=$A$28)*(日次管理!#REF!="精査完了")*(日次管理!#REF!="実績"),日次管理!#REF!)</f>
        <v>#REF!</v>
      </c>
      <c r="P28" s="95" t="e">
        <f>SUMPRODUCT((日次管理!#REF!&lt;=$P$20)*(日次管理!#REF!=$A$28)*(日次管理!#REF!="精査完了")*(日次管理!#REF!="予定"),日次管理!#REF!)</f>
        <v>#REF!</v>
      </c>
      <c r="Q28" s="60" t="e">
        <f>SUMPRODUCT((日次管理!#REF!&lt;=$Q$20)*(日次管理!#REF!=$A$28)*(日次管理!#REF!="精査完了")*(日次管理!#REF!="実績"),日次管理!#REF!)</f>
        <v>#REF!</v>
      </c>
      <c r="R28" s="95" t="e">
        <f>SUMPRODUCT((日次管理!#REF!&lt;=$R$20)*(日次管理!#REF!=$A$28)*(日次管理!#REF!="精査完了")*(日次管理!#REF!="予定"),日次管理!#REF!)</f>
        <v>#REF!</v>
      </c>
      <c r="S28" s="60" t="e">
        <f>SUMPRODUCT((日次管理!#REF!&lt;=$S$20)*(日次管理!#REF!=$A$28)*(日次管理!#REF!="精査完了")*(日次管理!#REF!="実績"),日次管理!#REF!)</f>
        <v>#REF!</v>
      </c>
      <c r="T28" s="95" t="e">
        <f>SUMPRODUCT((日次管理!#REF!&lt;=$T$20)*(日次管理!#REF!=$A$28)*(日次管理!#REF!="精査完了")*(日次管理!#REF!="予定"),日次管理!#REF!)</f>
        <v>#REF!</v>
      </c>
      <c r="U28" s="60" t="e">
        <f>SUMPRODUCT((日次管理!#REF!&lt;=$U$20)*(日次管理!#REF!=$A$28)*(日次管理!#REF!="精査完了")*(日次管理!#REF!="実績"),日次管理!#REF!)</f>
        <v>#REF!</v>
      </c>
      <c r="V28" s="95" t="e">
        <f>SUMPRODUCT((日次管理!#REF!&lt;=$V$20)*(日次管理!#REF!=$A$28)*(日次管理!#REF!="精査完了")*(日次管理!#REF!="予定"),日次管理!#REF!)</f>
        <v>#REF!</v>
      </c>
      <c r="W28" s="60" t="e">
        <f>SUMPRODUCT((日次管理!#REF!&lt;=$W$20)*(日次管理!#REF!=$A$28)*(日次管理!#REF!="精査完了")*(日次管理!#REF!="実績"),日次管理!#REF!)</f>
        <v>#REF!</v>
      </c>
      <c r="X28" s="95" t="e">
        <f>SUMPRODUCT((日次管理!#REF!&lt;=$X$20)*(日次管理!#REF!=$A$28)*(日次管理!#REF!="精査完了")*(日次管理!#REF!="予定"),日次管理!#REF!)</f>
        <v>#REF!</v>
      </c>
      <c r="Y28" s="60" t="e">
        <f>SUMPRODUCT((日次管理!#REF!&lt;=$Y$20)*(日次管理!#REF!=$A$28)*(日次管理!#REF!="精査完了")*(日次管理!#REF!="実績"),日次管理!#REF!)</f>
        <v>#REF!</v>
      </c>
      <c r="Z28" s="95" t="e">
        <f>SUMPRODUCT((日次管理!#REF!&lt;=$Z$20)*(日次管理!#REF!=$A$28)*(日次管理!#REF!="精査完了")*(日次管理!#REF!="予定"),日次管理!#REF!)</f>
        <v>#REF!</v>
      </c>
      <c r="AA28" s="60" t="e">
        <f>SUMPRODUCT((日次管理!#REF!&lt;=$AA$20)*(日次管理!#REF!=$A$28)*(日次管理!#REF!="精査完了")*(日次管理!#REF!="実績"),日次管理!#REF!)</f>
        <v>#REF!</v>
      </c>
      <c r="AB28" s="95" t="e">
        <f>SUMPRODUCT((日次管理!#REF!&lt;=$AB$20)*(日次管理!#REF!=$A$28)*(日次管理!#REF!="精査完了")*(日次管理!#REF!="予定"),日次管理!#REF!)</f>
        <v>#REF!</v>
      </c>
      <c r="AC28" s="60" t="e">
        <f>SUMPRODUCT((日次管理!#REF!&lt;=$AC$20)*(日次管理!#REF!=$A$28)*(日次管理!#REF!="精査完了")*(日次管理!#REF!="実績"),日次管理!#REF!)</f>
        <v>#REF!</v>
      </c>
      <c r="AD28" s="95" t="e">
        <f>SUMPRODUCT((日次管理!#REF!&lt;=$AD$20)*(日次管理!#REF!=$A$28)*(日次管理!#REF!="精査完了")*(日次管理!#REF!="予定"),日次管理!#REF!)</f>
        <v>#REF!</v>
      </c>
      <c r="AE28" s="60" t="e">
        <f>SUMPRODUCT((日次管理!#REF!&lt;=$AE$20)*(日次管理!#REF!=$A$28)*(日次管理!#REF!="精査完了")*(日次管理!#REF!="実績"),日次管理!#REF!)</f>
        <v>#REF!</v>
      </c>
      <c r="AF28" s="95" t="e">
        <f>SUMPRODUCT((日次管理!#REF!&lt;=$AF$20)*(日次管理!#REF!=$A$28)*(日次管理!#REF!="精査完了")*(日次管理!#REF!="予定"),日次管理!#REF!)</f>
        <v>#REF!</v>
      </c>
      <c r="AG28" s="60" t="e">
        <f>SUMPRODUCT((日次管理!#REF!&lt;=$AG$20)*(日次管理!#REF!=$A$28)*(日次管理!#REF!="精査完了")*(日次管理!#REF!="実績"),日次管理!#REF!)</f>
        <v>#REF!</v>
      </c>
      <c r="AH28" s="95" t="e">
        <f>SUMPRODUCT((日次管理!#REF!&lt;=$AH$20)*(日次管理!#REF!=$A$28)*(日次管理!#REF!="精査完了")*(日次管理!#REF!="予定"),日次管理!#REF!)</f>
        <v>#REF!</v>
      </c>
      <c r="AI28" s="60" t="e">
        <f>SUMPRODUCT((日次管理!#REF!&lt;=$AI$20)*(日次管理!#REF!=$A$28)*(日次管理!#REF!="精査完了")*(日次管理!#REF!="実績"),日次管理!#REF!)</f>
        <v>#REF!</v>
      </c>
      <c r="AJ28" s="95" t="e">
        <f>SUMPRODUCT((日次管理!#REF!&lt;=$AJ$20)*(日次管理!#REF!=$A$28)*(日次管理!#REF!="精査完了")*(日次管理!#REF!="予定"),日次管理!#REF!)</f>
        <v>#REF!</v>
      </c>
      <c r="AK28" s="60" t="e">
        <f>SUMPRODUCT((日次管理!#REF!&lt;=$AK$20)*(日次管理!#REF!=$A$28)*(日次管理!#REF!="精査完了")*(日次管理!#REF!="実績"),日次管理!#REF!)</f>
        <v>#REF!</v>
      </c>
      <c r="AL28" s="95" t="e">
        <f>SUMPRODUCT((日次管理!#REF!&lt;=$AL$20)*(日次管理!#REF!=$A$28)*(日次管理!#REF!="精査完了")*(日次管理!#REF!="予定"),日次管理!#REF!)</f>
        <v>#REF!</v>
      </c>
      <c r="AM28" s="60" t="e">
        <f>SUMPRODUCT((日次管理!#REF!&lt;=$AM$20)*(日次管理!#REF!=$A$28)*(日次管理!#REF!="精査完了")*(日次管理!#REF!="実績"),日次管理!#REF!)</f>
        <v>#REF!</v>
      </c>
      <c r="AN28" s="95" t="e">
        <f>SUMPRODUCT((日次管理!#REF!&lt;=$AN$20)*(日次管理!#REF!=$A$28)*(日次管理!#REF!="精査完了")*(日次管理!#REF!="予定"),日次管理!#REF!)</f>
        <v>#REF!</v>
      </c>
      <c r="AO28" s="60" t="e">
        <f>SUMPRODUCT((日次管理!#REF!&lt;=$AO$20)*(日次管理!#REF!=$A$28)*(日次管理!#REF!="精査完了")*(日次管理!#REF!="実績"),日次管理!#REF!)</f>
        <v>#REF!</v>
      </c>
      <c r="AP28" s="95" t="e">
        <f>SUMPRODUCT((日次管理!#REF!&lt;=$AP$20)*(日次管理!#REF!=$A$28)*(日次管理!#REF!="精査完了")*(日次管理!#REF!="予定"),日次管理!#REF!)</f>
        <v>#REF!</v>
      </c>
      <c r="AQ28" s="60" t="e">
        <f>SUMPRODUCT((日次管理!#REF!&lt;=$AQ$20)*(日次管理!#REF!=$A$28)*(日次管理!#REF!="精査完了")*(日次管理!#REF!="実績"),日次管理!#REF!)</f>
        <v>#REF!</v>
      </c>
      <c r="AR28" s="95" t="e">
        <f>SUMPRODUCT((日次管理!#REF!&lt;=$AR$20)*(日次管理!#REF!=$A$28)*(日次管理!#REF!="精査完了")*(日次管理!#REF!="予定"),日次管理!#REF!)</f>
        <v>#REF!</v>
      </c>
      <c r="AS28" s="60" t="e">
        <f>SUMPRODUCT((日次管理!#REF!&lt;=$AS$20)*(日次管理!#REF!=$A$28)*(日次管理!#REF!="精査完了")*(日次管理!#REF!="実績"),日次管理!#REF!)</f>
        <v>#REF!</v>
      </c>
      <c r="AT28" s="95" t="e">
        <f>SUMPRODUCT((日次管理!#REF!&lt;=$AT$20)*(日次管理!#REF!=$A$28)*(日次管理!#REF!="精査完了")*(日次管理!#REF!="予定"),日次管理!#REF!)</f>
        <v>#REF!</v>
      </c>
      <c r="AU28" s="60" t="e">
        <f>SUMPRODUCT((日次管理!#REF!&lt;=$AU$20)*(日次管理!#REF!=$A$28)*(日次管理!#REF!="精査完了")*(日次管理!#REF!="実績"),日次管理!#REF!)</f>
        <v>#REF!</v>
      </c>
      <c r="AV28" s="95" t="e">
        <f>SUMPRODUCT((日次管理!#REF!&lt;=$AV$20)*(日次管理!#REF!=$A$28)*(日次管理!#REF!="精査完了")*(日次管理!#REF!="予定"),日次管理!#REF!)</f>
        <v>#REF!</v>
      </c>
      <c r="AW28" s="60" t="e">
        <f>SUMPRODUCT((日次管理!#REF!&lt;=$AW$20)*(日次管理!#REF!=$A$28)*(日次管理!#REF!="精査完了")*(日次管理!#REF!="実績"),日次管理!#REF!)</f>
        <v>#REF!</v>
      </c>
      <c r="AX28" s="95" t="e">
        <f>SUMPRODUCT((日次管理!#REF!&lt;=$AX$20)*(日次管理!#REF!=$A$28)*(日次管理!#REF!="精査完了")*(日次管理!#REF!="予定"),日次管理!#REF!)</f>
        <v>#REF!</v>
      </c>
      <c r="AY28" s="60" t="e">
        <f>SUMPRODUCT((日次管理!#REF!&lt;=$AY$20)*(日次管理!#REF!=$A$28)*(日次管理!#REF!="精査完了")*(日次管理!#REF!="実績"),日次管理!#REF!)</f>
        <v>#REF!</v>
      </c>
      <c r="AZ28" s="95" t="e">
        <f>SUMPRODUCT((日次管理!#REF!&lt;=$AZ$20)*(日次管理!#REF!=$A$28)*(日次管理!#REF!="精査完了")*(日次管理!#REF!="予定"),日次管理!#REF!)</f>
        <v>#REF!</v>
      </c>
      <c r="BA28" s="60" t="e">
        <f>SUMPRODUCT((日次管理!#REF!&lt;=$BA$20)*(日次管理!#REF!=$A$28)*(日次管理!#REF!="精査完了")*(日次管理!#REF!="実績"),日次管理!#REF!)</f>
        <v>#REF!</v>
      </c>
      <c r="BB28" s="95" t="e">
        <f>SUMPRODUCT((日次管理!#REF!&lt;=$BB$20)*(日次管理!#REF!=$A$28)*(日次管理!#REF!="精査完了")*(日次管理!#REF!="予定"),日次管理!#REF!)</f>
        <v>#REF!</v>
      </c>
      <c r="BC28" s="60" t="e">
        <f>SUMPRODUCT((日次管理!#REF!&lt;=$BC$20)*(日次管理!#REF!=$A$28)*(日次管理!#REF!="精査完了")*(日次管理!#REF!="実績"),日次管理!#REF!)</f>
        <v>#REF!</v>
      </c>
      <c r="BD28" s="95" t="e">
        <f>SUMPRODUCT((日次管理!#REF!&lt;=$BD$20)*(日次管理!#REF!=$A$28)*(日次管理!#REF!="精査完了")*(日次管理!#REF!="予定"),日次管理!#REF!)</f>
        <v>#REF!</v>
      </c>
      <c r="BE28" s="60" t="e">
        <f>SUMPRODUCT((日次管理!#REF!&lt;=$BE$20)*(日次管理!#REF!=$A$28)*(日次管理!#REF!="精査完了")*(日次管理!#REF!="実績"),日次管理!#REF!)</f>
        <v>#REF!</v>
      </c>
      <c r="BF28" s="95" t="e">
        <f>SUMPRODUCT((日次管理!#REF!&lt;=$BF$20)*(日次管理!#REF!=$A$28)*(日次管理!#REF!="精査完了")*(日次管理!#REF!="予定"),日次管理!#REF!)</f>
        <v>#REF!</v>
      </c>
      <c r="BG28" s="60" t="e">
        <f>SUMPRODUCT((日次管理!#REF!&lt;=$BG$20)*(日次管理!#REF!=$A$28)*(日次管理!#REF!="精査完了")*(日次管理!#REF!="実績"),日次管理!#REF!)</f>
        <v>#REF!</v>
      </c>
      <c r="BH28" s="95" t="e">
        <f>SUMPRODUCT((日次管理!#REF!&lt;=$BH$20)*(日次管理!#REF!=$A$28)*(日次管理!#REF!="精査完了")*(日次管理!#REF!="予定"),日次管理!#REF!)</f>
        <v>#REF!</v>
      </c>
      <c r="BI28" s="60" t="e">
        <f>SUMPRODUCT((日次管理!#REF!&lt;=$BI$20)*(日次管理!#REF!=$A$28)*(日次管理!#REF!="精査完了")*(日次管理!#REF!="実績"),日次管理!#REF!)</f>
        <v>#REF!</v>
      </c>
      <c r="BJ28" s="95" t="e">
        <f>SUMPRODUCT((日次管理!#REF!&lt;=$BJ$20)*(日次管理!#REF!=$A$28)*(日次管理!#REF!="精査完了")*(日次管理!#REF!="予定"),日次管理!#REF!)</f>
        <v>#REF!</v>
      </c>
      <c r="BK28" s="60" t="e">
        <f>SUMPRODUCT((日次管理!#REF!&lt;=$BK$20)*(日次管理!#REF!=$A$28)*(日次管理!#REF!="精査完了")*(日次管理!#REF!="実績"),日次管理!#REF!)</f>
        <v>#REF!</v>
      </c>
      <c r="BL28" s="95" t="e">
        <f>SUMPRODUCT((日次管理!#REF!&lt;=$BL$20)*(日次管理!#REF!=$A$28)*(日次管理!#REF!="精査完了")*(日次管理!#REF!="予定"),日次管理!#REF!)</f>
        <v>#REF!</v>
      </c>
      <c r="BM28" s="60" t="e">
        <f>SUMPRODUCT((日次管理!#REF!&lt;=$BM$20)*(日次管理!#REF!=$A$28)*(日次管理!#REF!="精査完了")*(日次管理!#REF!="実績"),日次管理!#REF!)</f>
        <v>#REF!</v>
      </c>
      <c r="BN28" s="95" t="e">
        <f>SUMPRODUCT((日次管理!#REF!&lt;=$BN$20)*(日次管理!#REF!=$A$28)*(日次管理!#REF!="精査完了")*(日次管理!#REF!="予定"),日次管理!#REF!)</f>
        <v>#REF!</v>
      </c>
      <c r="BO28" s="60" t="e">
        <f>SUMPRODUCT((日次管理!#REF!&lt;=$BO$20)*(日次管理!#REF!=$A$28)*(日次管理!#REF!="精査完了")*(日次管理!#REF!="実績"),日次管理!#REF!)</f>
        <v>#REF!</v>
      </c>
      <c r="BP28" s="95" t="e">
        <f>SUMPRODUCT((日次管理!#REF!&lt;=$BP$20)*(日次管理!#REF!=$A$28)*(日次管理!#REF!="精査完了")*(日次管理!#REF!="予定"),日次管理!#REF!)</f>
        <v>#REF!</v>
      </c>
      <c r="BQ28" s="60" t="e">
        <f>SUMPRODUCT((日次管理!#REF!&lt;=$BQ$20)*(日次管理!#REF!=$A$28)*(日次管理!#REF!="精査完了")*(日次管理!#REF!="実績"),日次管理!#REF!)</f>
        <v>#REF!</v>
      </c>
      <c r="BR28" s="95" t="e">
        <f>SUMPRODUCT((日次管理!#REF!&lt;=$BR$20)*(日次管理!#REF!=$A$28)*(日次管理!#REF!="精査完了")*(日次管理!#REF!="予定"),日次管理!#REF!)</f>
        <v>#REF!</v>
      </c>
      <c r="BS28" s="60" t="e">
        <f>SUMPRODUCT((日次管理!#REF!&lt;=$BS$20)*(日次管理!#REF!=$A$28)*(日次管理!#REF!="精査完了")*(日次管理!#REF!="実績"),日次管理!#REF!)</f>
        <v>#REF!</v>
      </c>
      <c r="BT28" s="95" t="e">
        <f>SUMPRODUCT((日次管理!#REF!&lt;=$BT$20)*(日次管理!#REF!=$A$28)*(日次管理!#REF!="精査完了")*(日次管理!#REF!="予定"),日次管理!#REF!)</f>
        <v>#REF!</v>
      </c>
      <c r="BU28" s="60" t="e">
        <f>SUMPRODUCT((日次管理!#REF!&lt;=$BU$20)*(日次管理!#REF!=$A$28)*(日次管理!#REF!="精査完了")*(日次管理!#REF!="実績"),日次管理!#REF!)</f>
        <v>#REF!</v>
      </c>
      <c r="BV28" s="95" t="e">
        <f>SUMPRODUCT((日次管理!#REF!&lt;=$BV$20)*(日次管理!#REF!=$A$28)*(日次管理!#REF!="精査完了")*(日次管理!#REF!="予定"),日次管理!#REF!)</f>
        <v>#REF!</v>
      </c>
      <c r="BW28" s="60" t="e">
        <f>SUMPRODUCT((日次管理!#REF!&lt;=$BW$20)*(日次管理!#REF!=$A$28)*(日次管理!#REF!="精査完了")*(日次管理!#REF!="実績"),日次管理!#REF!)</f>
        <v>#REF!</v>
      </c>
      <c r="BX28" s="95" t="e">
        <f>SUMPRODUCT((日次管理!#REF!&lt;=$BX$20)*(日次管理!#REF!=$A$28)*(日次管理!#REF!="精査完了")*(日次管理!#REF!="予定"),日次管理!#REF!)</f>
        <v>#REF!</v>
      </c>
      <c r="BY28" s="60" t="e">
        <f>SUMPRODUCT((日次管理!#REF!&lt;=$BY$20)*(日次管理!#REF!=$A$28)*(日次管理!#REF!="精査完了")*(日次管理!#REF!="実績"),日次管理!#REF!)</f>
        <v>#REF!</v>
      </c>
      <c r="BZ28" s="95" t="e">
        <f>SUMPRODUCT((日次管理!#REF!&lt;=$BZ$20)*(日次管理!#REF!=$A$28)*(日次管理!#REF!="精査完了")*(日次管理!#REF!="予定"),日次管理!#REF!)</f>
        <v>#REF!</v>
      </c>
      <c r="CA28" s="60" t="e">
        <f>SUMPRODUCT((日次管理!#REF!&lt;=$CA$20)*(日次管理!#REF!=$A$28)*(日次管理!#REF!="精査完了")*(日次管理!#REF!="実績"),日次管理!#REF!)</f>
        <v>#REF!</v>
      </c>
      <c r="CB28" s="95" t="e">
        <f>SUMPRODUCT((日次管理!#REF!&lt;=$CB$20)*(日次管理!#REF!=$A$28)*(日次管理!#REF!="精査完了")*(日次管理!#REF!="予定"),日次管理!#REF!)</f>
        <v>#REF!</v>
      </c>
      <c r="CC28" s="60" t="e">
        <f>SUMPRODUCT((日次管理!#REF!&lt;=$CC$20)*(日次管理!#REF!=$A$28)*(日次管理!#REF!="精査完了")*(日次管理!#REF!="実績"),日次管理!#REF!)</f>
        <v>#REF!</v>
      </c>
      <c r="CD28" s="95" t="e">
        <f>SUMPRODUCT((日次管理!#REF!&lt;=$CD$20)*(日次管理!#REF!=$A$28)*(日次管理!#REF!="精査完了")*(日次管理!#REF!="予定"),日次管理!#REF!)</f>
        <v>#REF!</v>
      </c>
      <c r="CE28" s="60" t="e">
        <f>SUMPRODUCT((日次管理!#REF!&lt;=$CE$20)*(日次管理!#REF!=$A$28)*(日次管理!#REF!="精査完了")*(日次管理!#REF!="実績"),日次管理!#REF!)</f>
        <v>#REF!</v>
      </c>
      <c r="CF28" s="95" t="e">
        <f>SUMPRODUCT((日次管理!#REF!&lt;=$CF$20)*(日次管理!#REF!=$A$28)*(日次管理!#REF!="精査完了")*(日次管理!#REF!="予定"),日次管理!#REF!)</f>
        <v>#REF!</v>
      </c>
      <c r="CG28" s="60" t="e">
        <f>SUMPRODUCT((日次管理!#REF!&lt;=$CG$20)*(日次管理!#REF!=$A$28)*(日次管理!#REF!="精査完了")*(日次管理!#REF!="実績"),日次管理!#REF!)</f>
        <v>#REF!</v>
      </c>
      <c r="CH28" s="95" t="e">
        <f>SUMPRODUCT((日次管理!#REF!&lt;=$CH$20)*(日次管理!#REF!=$A$28)*(日次管理!#REF!="精査完了")*(日次管理!#REF!="予定"),日次管理!#REF!)</f>
        <v>#REF!</v>
      </c>
      <c r="CI28" s="60" t="e">
        <f>SUMPRODUCT((日次管理!#REF!&lt;=$CI$20)*(日次管理!#REF!=$A$28)*(日次管理!#REF!="精査完了")*(日次管理!#REF!="実績"),日次管理!#REF!)</f>
        <v>#REF!</v>
      </c>
      <c r="CJ28" s="95" t="e">
        <f>SUMPRODUCT((日次管理!#REF!&lt;=$CJ$20)*(日次管理!#REF!=$A$28)*(日次管理!#REF!="精査完了")*(日次管理!#REF!="予定"),日次管理!#REF!)</f>
        <v>#REF!</v>
      </c>
      <c r="CK28" s="60" t="e">
        <f>SUMPRODUCT((日次管理!#REF!&lt;=$CK$20)*(日次管理!#REF!=$A$28)*(日次管理!#REF!="精査完了")*(日次管理!#REF!="実績"),日次管理!#REF!)</f>
        <v>#REF!</v>
      </c>
      <c r="CL28" s="95" t="e">
        <f>SUMPRODUCT((日次管理!#REF!&lt;=$CL$20)*(日次管理!#REF!=$A$28)*(日次管理!#REF!="精査完了")*(日次管理!#REF!="予定"),日次管理!#REF!)</f>
        <v>#REF!</v>
      </c>
      <c r="CM28" s="60" t="e">
        <f>SUMPRODUCT((日次管理!#REF!&lt;=$CM$20)*(日次管理!#REF!=$A$28)*(日次管理!#REF!="精査完了")*(日次管理!#REF!="実績"),日次管理!#REF!)</f>
        <v>#REF!</v>
      </c>
      <c r="CN28" s="95" t="e">
        <f>SUMPRODUCT((日次管理!#REF!&lt;=$CN$20)*(日次管理!#REF!=$A$28)*(日次管理!#REF!="精査完了")*(日次管理!#REF!="予定"),日次管理!#REF!)</f>
        <v>#REF!</v>
      </c>
      <c r="CO28" s="60" t="e">
        <f>SUMPRODUCT((日次管理!#REF!&lt;=$CO$20)*(日次管理!#REF!=$A$28)*(日次管理!#REF!="精査完了")*(日次管理!#REF!="実績"),日次管理!#REF!)</f>
        <v>#REF!</v>
      </c>
      <c r="CP28" s="95" t="e">
        <f>SUMPRODUCT((日次管理!#REF!&lt;=$CP$20)*(日次管理!#REF!=$A$28)*(日次管理!#REF!="精査完了")*(日次管理!#REF!="予定"),日次管理!#REF!)</f>
        <v>#REF!</v>
      </c>
      <c r="CQ28" s="60" t="e">
        <f>SUMPRODUCT((日次管理!#REF!&lt;=$CQ$20)*(日次管理!#REF!=$A$28)*(日次管理!#REF!="精査完了")*(日次管理!#REF!="実績"),日次管理!#REF!)</f>
        <v>#REF!</v>
      </c>
      <c r="CR28" s="95" t="e">
        <f>SUMPRODUCT((日次管理!#REF!&lt;=$CR$20)*(日次管理!#REF!=$A$28)*(日次管理!#REF!="精査完了")*(日次管理!#REF!="予定"),日次管理!#REF!)</f>
        <v>#REF!</v>
      </c>
      <c r="CS28" s="60" t="e">
        <f>SUMPRODUCT((日次管理!#REF!&lt;=$CS$20)*(日次管理!#REF!=$A$28)*(日次管理!#REF!="精査完了")*(日次管理!#REF!="実績"),日次管理!#REF!)</f>
        <v>#REF!</v>
      </c>
      <c r="CT28" s="95" t="e">
        <f>SUMPRODUCT((日次管理!#REF!&lt;=$CT$20)*(日次管理!#REF!=$A$28)*(日次管理!#REF!="精査完了")*(日次管理!#REF!="予定"),日次管理!#REF!)</f>
        <v>#REF!</v>
      </c>
      <c r="CU28" s="60" t="e">
        <f>SUMPRODUCT((日次管理!#REF!&lt;=$CU$20)*(日次管理!#REF!=$A$28)*(日次管理!#REF!="精査完了")*(日次管理!#REF!="実績"),日次管理!#REF!)</f>
        <v>#REF!</v>
      </c>
      <c r="CV28" s="96" t="e">
        <f ca="1">SUMPRODUCT(($A$20- WEEKDAY($A$20) + 6 =$B$20:$CU$20)*("実績"=$B$21:$CU$21),$B$28:$CU$28)/SUMPRODUCT(($A$20- WEEKDAY($A$20) + 6 =$B$20:$CU$20)*("予定"=$B$21:$CU$21),$B$28:$CU$28)</f>
        <v>#REF!</v>
      </c>
      <c r="CW28" s="97" t="e">
        <f>$CU$28/$CT$28</f>
        <v>#REF!</v>
      </c>
    </row>
    <row r="29" spans="1:101" ht="20.149999999999999" customHeight="1">
      <c r="A29" s="90" t="s">
        <v>73</v>
      </c>
      <c r="B29" s="91" t="e">
        <f>SUMPRODUCT((日次管理!#REF!&lt;=$B$20)*(日次管理!#REF!=$A$29)*(日次管理!#REF!="精査完了")*(日次管理!#REF!="予定"),日次管理!#REF!)</f>
        <v>#REF!</v>
      </c>
      <c r="C29" s="59" t="e">
        <f>SUMPRODUCT((日次管理!#REF!&lt;=$C$20)*(日次管理!#REF!=$A$29)*(日次管理!#REF!="精査完了")*(日次管理!#REF!="実績"),日次管理!#REF!)</f>
        <v>#REF!</v>
      </c>
      <c r="D29" s="91" t="e">
        <f>SUMPRODUCT((日次管理!#REF!&lt;=$D$20)*(日次管理!#REF!=$A$29)*(日次管理!#REF!="精査完了")*(日次管理!#REF!="予定"),日次管理!#REF!)</f>
        <v>#REF!</v>
      </c>
      <c r="E29" s="59" t="e">
        <f>SUMPRODUCT((日次管理!#REF!&lt;=$E$20)*(日次管理!#REF!=$A$29)*(日次管理!#REF!="精査完了")*(日次管理!#REF!="実績"),日次管理!#REF!)</f>
        <v>#REF!</v>
      </c>
      <c r="F29" s="91" t="e">
        <f>SUMPRODUCT((日次管理!#REF!&lt;=$F$20)*(日次管理!#REF!=$A$29)*(日次管理!#REF!="精査完了")*(日次管理!#REF!="予定"),日次管理!#REF!)</f>
        <v>#REF!</v>
      </c>
      <c r="G29" s="59" t="e">
        <f>SUMPRODUCT((日次管理!#REF!&lt;=$G$20)*(日次管理!#REF!=$A$29)*(日次管理!#REF!="精査完了")*(日次管理!#REF!="実績"),日次管理!#REF!)</f>
        <v>#REF!</v>
      </c>
      <c r="H29" s="91" t="e">
        <f>SUMPRODUCT((日次管理!#REF!&lt;=$H$20)*(日次管理!#REF!=$A$29)*(日次管理!#REF!="精査完了")*(日次管理!#REF!="予定"),日次管理!#REF!)</f>
        <v>#REF!</v>
      </c>
      <c r="I29" s="59" t="e">
        <f>SUMPRODUCT((日次管理!#REF!&lt;=$I$20)*(日次管理!#REF!=$A$29)*(日次管理!#REF!="精査完了")*(日次管理!#REF!="実績"),日次管理!#REF!)</f>
        <v>#REF!</v>
      </c>
      <c r="J29" s="91" t="e">
        <f>SUMPRODUCT((日次管理!#REF!&lt;=$J$20)*(日次管理!#REF!=$A$29)*(日次管理!#REF!="精査完了")*(日次管理!#REF!="予定"),日次管理!#REF!)</f>
        <v>#REF!</v>
      </c>
      <c r="K29" s="59" t="e">
        <f>SUMPRODUCT((日次管理!#REF!&lt;=$K$20)*(日次管理!#REF!=$A$29)*(日次管理!#REF!="精査完了")*(日次管理!#REF!="実績"),日次管理!#REF!)</f>
        <v>#REF!</v>
      </c>
      <c r="L29" s="91" t="e">
        <f>SUMPRODUCT((日次管理!#REF!&lt;=$L$20)*(日次管理!#REF!=$A$29)*(日次管理!#REF!="精査完了")*(日次管理!#REF!="予定"),日次管理!#REF!)</f>
        <v>#REF!</v>
      </c>
      <c r="M29" s="59" t="e">
        <f>SUMPRODUCT((日次管理!#REF!&lt;=$M$20)*(日次管理!#REF!=$A$29)*(日次管理!#REF!="精査完了")*(日次管理!#REF!="実績"),日次管理!#REF!)</f>
        <v>#REF!</v>
      </c>
      <c r="N29" s="91" t="e">
        <f>SUMPRODUCT((日次管理!#REF!&lt;=$N$20)*(日次管理!#REF!=$A$29)*(日次管理!#REF!="精査完了")*(日次管理!#REF!="予定"),日次管理!#REF!)</f>
        <v>#REF!</v>
      </c>
      <c r="O29" s="59" t="e">
        <f>SUMPRODUCT((日次管理!#REF!&lt;=$O$20)*(日次管理!#REF!=$A$29)*(日次管理!#REF!="精査完了")*(日次管理!#REF!="実績"),日次管理!#REF!)</f>
        <v>#REF!</v>
      </c>
      <c r="P29" s="91" t="e">
        <f>SUMPRODUCT((日次管理!#REF!&lt;=$P$20)*(日次管理!#REF!=$A$29)*(日次管理!#REF!="精査完了")*(日次管理!#REF!="予定"),日次管理!#REF!)</f>
        <v>#REF!</v>
      </c>
      <c r="Q29" s="59" t="e">
        <f>SUMPRODUCT((日次管理!#REF!&lt;=$Q$20)*(日次管理!#REF!=$A$29)*(日次管理!#REF!="精査完了")*(日次管理!#REF!="実績"),日次管理!#REF!)</f>
        <v>#REF!</v>
      </c>
      <c r="R29" s="91" t="e">
        <f>SUMPRODUCT((日次管理!#REF!&lt;=$R$20)*(日次管理!#REF!=$A$29)*(日次管理!#REF!="精査完了")*(日次管理!#REF!="予定"),日次管理!#REF!)</f>
        <v>#REF!</v>
      </c>
      <c r="S29" s="59" t="e">
        <f>SUMPRODUCT((日次管理!#REF!&lt;=$S$20)*(日次管理!#REF!=$A$29)*(日次管理!#REF!="精査完了")*(日次管理!#REF!="実績"),日次管理!#REF!)</f>
        <v>#REF!</v>
      </c>
      <c r="T29" s="91" t="e">
        <f>SUMPRODUCT((日次管理!#REF!&lt;=$T$20)*(日次管理!#REF!=$A$29)*(日次管理!#REF!="精査完了")*(日次管理!#REF!="予定"),日次管理!#REF!)</f>
        <v>#REF!</v>
      </c>
      <c r="U29" s="59" t="e">
        <f>SUMPRODUCT((日次管理!#REF!&lt;=$U$20)*(日次管理!#REF!=$A$29)*(日次管理!#REF!="精査完了")*(日次管理!#REF!="実績"),日次管理!#REF!)</f>
        <v>#REF!</v>
      </c>
      <c r="V29" s="91" t="e">
        <f>SUMPRODUCT((日次管理!#REF!&lt;=$V$20)*(日次管理!#REF!=$A$29)*(日次管理!#REF!="精査完了")*(日次管理!#REF!="予定"),日次管理!#REF!)</f>
        <v>#REF!</v>
      </c>
      <c r="W29" s="59" t="e">
        <f>SUMPRODUCT((日次管理!#REF!&lt;=$W$20)*(日次管理!#REF!=$A$29)*(日次管理!#REF!="精査完了")*(日次管理!#REF!="実績"),日次管理!#REF!)</f>
        <v>#REF!</v>
      </c>
      <c r="X29" s="91" t="e">
        <f>SUMPRODUCT((日次管理!#REF!&lt;=$X$20)*(日次管理!#REF!=$A$29)*(日次管理!#REF!="精査完了")*(日次管理!#REF!="予定"),日次管理!#REF!)</f>
        <v>#REF!</v>
      </c>
      <c r="Y29" s="59" t="e">
        <f>SUMPRODUCT((日次管理!#REF!&lt;=$Y$20)*(日次管理!#REF!=$A$29)*(日次管理!#REF!="精査完了")*(日次管理!#REF!="実績"),日次管理!#REF!)</f>
        <v>#REF!</v>
      </c>
      <c r="Z29" s="91" t="e">
        <f>SUMPRODUCT((日次管理!#REF!&lt;=$Z$20)*(日次管理!#REF!=$A$29)*(日次管理!#REF!="精査完了")*(日次管理!#REF!="予定"),日次管理!#REF!)</f>
        <v>#REF!</v>
      </c>
      <c r="AA29" s="59" t="e">
        <f>SUMPRODUCT((日次管理!#REF!&lt;=$AA$20)*(日次管理!#REF!=$A$29)*(日次管理!#REF!="精査完了")*(日次管理!#REF!="実績"),日次管理!#REF!)</f>
        <v>#REF!</v>
      </c>
      <c r="AB29" s="91" t="e">
        <f>SUMPRODUCT((日次管理!#REF!&lt;=$AB$20)*(日次管理!#REF!=$A$29)*(日次管理!#REF!="精査完了")*(日次管理!#REF!="予定"),日次管理!#REF!)</f>
        <v>#REF!</v>
      </c>
      <c r="AC29" s="59" t="e">
        <f>SUMPRODUCT((日次管理!#REF!&lt;=$AC$20)*(日次管理!#REF!=$A$29)*(日次管理!#REF!="精査完了")*(日次管理!#REF!="実績"),日次管理!#REF!)</f>
        <v>#REF!</v>
      </c>
      <c r="AD29" s="91" t="e">
        <f>SUMPRODUCT((日次管理!#REF!&lt;=$AD$20)*(日次管理!#REF!=$A$29)*(日次管理!#REF!="精査完了")*(日次管理!#REF!="予定"),日次管理!#REF!)</f>
        <v>#REF!</v>
      </c>
      <c r="AE29" s="59" t="e">
        <f>SUMPRODUCT((日次管理!#REF!&lt;=$AE$20)*(日次管理!#REF!=$A$29)*(日次管理!#REF!="精査完了")*(日次管理!#REF!="実績"),日次管理!#REF!)</f>
        <v>#REF!</v>
      </c>
      <c r="AF29" s="91" t="e">
        <f>SUMPRODUCT((日次管理!#REF!&lt;=$AF$20)*(日次管理!#REF!=$A$29)*(日次管理!#REF!="精査完了")*(日次管理!#REF!="予定"),日次管理!#REF!)</f>
        <v>#REF!</v>
      </c>
      <c r="AG29" s="59" t="e">
        <f>SUMPRODUCT((日次管理!#REF!&lt;=$AG$20)*(日次管理!#REF!=$A$29)*(日次管理!#REF!="精査完了")*(日次管理!#REF!="実績"),日次管理!#REF!)</f>
        <v>#REF!</v>
      </c>
      <c r="AH29" s="91" t="e">
        <f>SUMPRODUCT((日次管理!#REF!&lt;=$AH$20)*(日次管理!#REF!=$A$29)*(日次管理!#REF!="精査完了")*(日次管理!#REF!="予定"),日次管理!#REF!)</f>
        <v>#REF!</v>
      </c>
      <c r="AI29" s="59" t="e">
        <f>SUMPRODUCT((日次管理!#REF!&lt;=$AI$20)*(日次管理!#REF!=$A$29)*(日次管理!#REF!="精査完了")*(日次管理!#REF!="実績"),日次管理!#REF!)</f>
        <v>#REF!</v>
      </c>
      <c r="AJ29" s="91" t="e">
        <f>SUMPRODUCT((日次管理!#REF!&lt;=$AJ$20)*(日次管理!#REF!=$A$29)*(日次管理!#REF!="精査完了")*(日次管理!#REF!="予定"),日次管理!#REF!)</f>
        <v>#REF!</v>
      </c>
      <c r="AK29" s="59" t="e">
        <f>SUMPRODUCT((日次管理!#REF!&lt;=$AK$20)*(日次管理!#REF!=$A$29)*(日次管理!#REF!="精査完了")*(日次管理!#REF!="実績"),日次管理!#REF!)</f>
        <v>#REF!</v>
      </c>
      <c r="AL29" s="91" t="e">
        <f>SUMPRODUCT((日次管理!#REF!&lt;=$AL$20)*(日次管理!#REF!=$A$29)*(日次管理!#REF!="精査完了")*(日次管理!#REF!="予定"),日次管理!#REF!)</f>
        <v>#REF!</v>
      </c>
      <c r="AM29" s="59" t="e">
        <f>SUMPRODUCT((日次管理!#REF!&lt;=$AM$20)*(日次管理!#REF!=$A$29)*(日次管理!#REF!="精査完了")*(日次管理!#REF!="実績"),日次管理!#REF!)</f>
        <v>#REF!</v>
      </c>
      <c r="AN29" s="91" t="e">
        <f>SUMPRODUCT((日次管理!#REF!&lt;=$AN$20)*(日次管理!#REF!=$A$29)*(日次管理!#REF!="精査完了")*(日次管理!#REF!="予定"),日次管理!#REF!)</f>
        <v>#REF!</v>
      </c>
      <c r="AO29" s="59" t="e">
        <f>SUMPRODUCT((日次管理!#REF!&lt;=$AO$20)*(日次管理!#REF!=$A$29)*(日次管理!#REF!="精査完了")*(日次管理!#REF!="実績"),日次管理!#REF!)</f>
        <v>#REF!</v>
      </c>
      <c r="AP29" s="91" t="e">
        <f>SUMPRODUCT((日次管理!#REF!&lt;=$AP$20)*(日次管理!#REF!=$A$29)*(日次管理!#REF!="精査完了")*(日次管理!#REF!="予定"),日次管理!#REF!)</f>
        <v>#REF!</v>
      </c>
      <c r="AQ29" s="59" t="e">
        <f>SUMPRODUCT((日次管理!#REF!&lt;=$AQ$20)*(日次管理!#REF!=$A$29)*(日次管理!#REF!="精査完了")*(日次管理!#REF!="実績"),日次管理!#REF!)</f>
        <v>#REF!</v>
      </c>
      <c r="AR29" s="91" t="e">
        <f>SUMPRODUCT((日次管理!#REF!&lt;=$AR$20)*(日次管理!#REF!=$A$29)*(日次管理!#REF!="精査完了")*(日次管理!#REF!="予定"),日次管理!#REF!)</f>
        <v>#REF!</v>
      </c>
      <c r="AS29" s="59" t="e">
        <f>SUMPRODUCT((日次管理!#REF!&lt;=$AS$20)*(日次管理!#REF!=$A$29)*(日次管理!#REF!="精査完了")*(日次管理!#REF!="実績"),日次管理!#REF!)</f>
        <v>#REF!</v>
      </c>
      <c r="AT29" s="91" t="e">
        <f>SUMPRODUCT((日次管理!#REF!&lt;=$AT$20)*(日次管理!#REF!=$A$29)*(日次管理!#REF!="精査完了")*(日次管理!#REF!="予定"),日次管理!#REF!)</f>
        <v>#REF!</v>
      </c>
      <c r="AU29" s="59" t="e">
        <f>SUMPRODUCT((日次管理!#REF!&lt;=$AU$20)*(日次管理!#REF!=$A$29)*(日次管理!#REF!="精査完了")*(日次管理!#REF!="実績"),日次管理!#REF!)</f>
        <v>#REF!</v>
      </c>
      <c r="AV29" s="91" t="e">
        <f>SUMPRODUCT((日次管理!#REF!&lt;=$AV$20)*(日次管理!#REF!=$A$29)*(日次管理!#REF!="精査完了")*(日次管理!#REF!="予定"),日次管理!#REF!)</f>
        <v>#REF!</v>
      </c>
      <c r="AW29" s="59" t="e">
        <f>SUMPRODUCT((日次管理!#REF!&lt;=$AW$20)*(日次管理!#REF!=$A$29)*(日次管理!#REF!="精査完了")*(日次管理!#REF!="実績"),日次管理!#REF!)</f>
        <v>#REF!</v>
      </c>
      <c r="AX29" s="91" t="e">
        <f>SUMPRODUCT((日次管理!#REF!&lt;=$AX$20)*(日次管理!#REF!=$A$29)*(日次管理!#REF!="精査完了")*(日次管理!#REF!="予定"),日次管理!#REF!)</f>
        <v>#REF!</v>
      </c>
      <c r="AY29" s="59" t="e">
        <f>SUMPRODUCT((日次管理!#REF!&lt;=$AY$20)*(日次管理!#REF!=$A$29)*(日次管理!#REF!="精査完了")*(日次管理!#REF!="実績"),日次管理!#REF!)</f>
        <v>#REF!</v>
      </c>
      <c r="AZ29" s="91" t="e">
        <f>SUMPRODUCT((日次管理!#REF!&lt;=$AZ$20)*(日次管理!#REF!=$A$29)*(日次管理!#REF!="精査完了")*(日次管理!#REF!="予定"),日次管理!#REF!)</f>
        <v>#REF!</v>
      </c>
      <c r="BA29" s="59" t="e">
        <f>SUMPRODUCT((日次管理!#REF!&lt;=$BA$20)*(日次管理!#REF!=$A$29)*(日次管理!#REF!="精査完了")*(日次管理!#REF!="実績"),日次管理!#REF!)</f>
        <v>#REF!</v>
      </c>
      <c r="BB29" s="91" t="e">
        <f>SUMPRODUCT((日次管理!#REF!&lt;=$BB$20)*(日次管理!#REF!=$A$29)*(日次管理!#REF!="精査完了")*(日次管理!#REF!="予定"),日次管理!#REF!)</f>
        <v>#REF!</v>
      </c>
      <c r="BC29" s="59" t="e">
        <f>SUMPRODUCT((日次管理!#REF!&lt;=$BC$20)*(日次管理!#REF!=$A$29)*(日次管理!#REF!="精査完了")*(日次管理!#REF!="実績"),日次管理!#REF!)</f>
        <v>#REF!</v>
      </c>
      <c r="BD29" s="91" t="e">
        <f>SUMPRODUCT((日次管理!#REF!&lt;=$BD$20)*(日次管理!#REF!=$A$29)*(日次管理!#REF!="精査完了")*(日次管理!#REF!="予定"),日次管理!#REF!)</f>
        <v>#REF!</v>
      </c>
      <c r="BE29" s="59" t="e">
        <f>SUMPRODUCT((日次管理!#REF!&lt;=$BE$20)*(日次管理!#REF!=$A$29)*(日次管理!#REF!="精査完了")*(日次管理!#REF!="実績"),日次管理!#REF!)</f>
        <v>#REF!</v>
      </c>
      <c r="BF29" s="91" t="e">
        <f>SUMPRODUCT((日次管理!#REF!&lt;=$BF$20)*(日次管理!#REF!=$A$29)*(日次管理!#REF!="精査完了")*(日次管理!#REF!="予定"),日次管理!#REF!)</f>
        <v>#REF!</v>
      </c>
      <c r="BG29" s="59" t="e">
        <f>SUMPRODUCT((日次管理!#REF!&lt;=$BG$20)*(日次管理!#REF!=$A$29)*(日次管理!#REF!="精査完了")*(日次管理!#REF!="実績"),日次管理!#REF!)</f>
        <v>#REF!</v>
      </c>
      <c r="BH29" s="91" t="e">
        <f>SUMPRODUCT((日次管理!#REF!&lt;=$BH$20)*(日次管理!#REF!=$A$29)*(日次管理!#REF!="精査完了")*(日次管理!#REF!="予定"),日次管理!#REF!)</f>
        <v>#REF!</v>
      </c>
      <c r="BI29" s="59" t="e">
        <f>SUMPRODUCT((日次管理!#REF!&lt;=$BI$20)*(日次管理!#REF!=$A$29)*(日次管理!#REF!="精査完了")*(日次管理!#REF!="実績"),日次管理!#REF!)</f>
        <v>#REF!</v>
      </c>
      <c r="BJ29" s="91" t="e">
        <f>SUMPRODUCT((日次管理!#REF!&lt;=$BJ$20)*(日次管理!#REF!=$A$29)*(日次管理!#REF!="精査完了")*(日次管理!#REF!="予定"),日次管理!#REF!)</f>
        <v>#REF!</v>
      </c>
      <c r="BK29" s="59" t="e">
        <f>SUMPRODUCT((日次管理!#REF!&lt;=$BK$20)*(日次管理!#REF!=$A$29)*(日次管理!#REF!="精査完了")*(日次管理!#REF!="実績"),日次管理!#REF!)</f>
        <v>#REF!</v>
      </c>
      <c r="BL29" s="91" t="e">
        <f>SUMPRODUCT((日次管理!#REF!&lt;=$BL$20)*(日次管理!#REF!=$A$29)*(日次管理!#REF!="精査完了")*(日次管理!#REF!="予定"),日次管理!#REF!)</f>
        <v>#REF!</v>
      </c>
      <c r="BM29" s="59" t="e">
        <f>SUMPRODUCT((日次管理!#REF!&lt;=$BM$20)*(日次管理!#REF!=$A$29)*(日次管理!#REF!="精査完了")*(日次管理!#REF!="実績"),日次管理!#REF!)</f>
        <v>#REF!</v>
      </c>
      <c r="BN29" s="91" t="e">
        <f>SUMPRODUCT((日次管理!#REF!&lt;=$BN$20)*(日次管理!#REF!=$A$29)*(日次管理!#REF!="精査完了")*(日次管理!#REF!="予定"),日次管理!#REF!)</f>
        <v>#REF!</v>
      </c>
      <c r="BO29" s="59" t="e">
        <f>SUMPRODUCT((日次管理!#REF!&lt;=$BO$20)*(日次管理!#REF!=$A$29)*(日次管理!#REF!="精査完了")*(日次管理!#REF!="実績"),日次管理!#REF!)</f>
        <v>#REF!</v>
      </c>
      <c r="BP29" s="91" t="e">
        <f>SUMPRODUCT((日次管理!#REF!&lt;=$BP$20)*(日次管理!#REF!=$A$29)*(日次管理!#REF!="精査完了")*(日次管理!#REF!="予定"),日次管理!#REF!)</f>
        <v>#REF!</v>
      </c>
      <c r="BQ29" s="59" t="e">
        <f>SUMPRODUCT((日次管理!#REF!&lt;=$BQ$20)*(日次管理!#REF!=$A$29)*(日次管理!#REF!="精査完了")*(日次管理!#REF!="実績"),日次管理!#REF!)</f>
        <v>#REF!</v>
      </c>
      <c r="BR29" s="91" t="e">
        <f>SUMPRODUCT((日次管理!#REF!&lt;=$BR$20)*(日次管理!#REF!=$A$29)*(日次管理!#REF!="精査完了")*(日次管理!#REF!="予定"),日次管理!#REF!)</f>
        <v>#REF!</v>
      </c>
      <c r="BS29" s="59" t="e">
        <f>SUMPRODUCT((日次管理!#REF!&lt;=$BS$20)*(日次管理!#REF!=$A$29)*(日次管理!#REF!="精査完了")*(日次管理!#REF!="実績"),日次管理!#REF!)</f>
        <v>#REF!</v>
      </c>
      <c r="BT29" s="91" t="e">
        <f>SUMPRODUCT((日次管理!#REF!&lt;=$BT$20)*(日次管理!#REF!=$A$29)*(日次管理!#REF!="精査完了")*(日次管理!#REF!="予定"),日次管理!#REF!)</f>
        <v>#REF!</v>
      </c>
      <c r="BU29" s="59" t="e">
        <f>SUMPRODUCT((日次管理!#REF!&lt;=$BU$20)*(日次管理!#REF!=$A$29)*(日次管理!#REF!="精査完了")*(日次管理!#REF!="実績"),日次管理!#REF!)</f>
        <v>#REF!</v>
      </c>
      <c r="BV29" s="91" t="e">
        <f>SUMPRODUCT((日次管理!#REF!&lt;=$BV$20)*(日次管理!#REF!=$A$29)*(日次管理!#REF!="精査完了")*(日次管理!#REF!="予定"),日次管理!#REF!)</f>
        <v>#REF!</v>
      </c>
      <c r="BW29" s="59" t="e">
        <f>SUMPRODUCT((日次管理!#REF!&lt;=$BW$20)*(日次管理!#REF!=$A$29)*(日次管理!#REF!="精査完了")*(日次管理!#REF!="実績"),日次管理!#REF!)</f>
        <v>#REF!</v>
      </c>
      <c r="BX29" s="91" t="e">
        <f>SUMPRODUCT((日次管理!#REF!&lt;=$BX$20)*(日次管理!#REF!=$A$29)*(日次管理!#REF!="精査完了")*(日次管理!#REF!="予定"),日次管理!#REF!)</f>
        <v>#REF!</v>
      </c>
      <c r="BY29" s="59" t="e">
        <f>SUMPRODUCT((日次管理!#REF!&lt;=$BY$20)*(日次管理!#REF!=$A$29)*(日次管理!#REF!="精査完了")*(日次管理!#REF!="実績"),日次管理!#REF!)</f>
        <v>#REF!</v>
      </c>
      <c r="BZ29" s="91" t="e">
        <f>SUMPRODUCT((日次管理!#REF!&lt;=$BZ$20)*(日次管理!#REF!=$A$29)*(日次管理!#REF!="精査完了")*(日次管理!#REF!="予定"),日次管理!#REF!)</f>
        <v>#REF!</v>
      </c>
      <c r="CA29" s="59" t="e">
        <f>SUMPRODUCT((日次管理!#REF!&lt;=$CA$20)*(日次管理!#REF!=$A$29)*(日次管理!#REF!="精査完了")*(日次管理!#REF!="実績"),日次管理!#REF!)</f>
        <v>#REF!</v>
      </c>
      <c r="CB29" s="91" t="e">
        <f>SUMPRODUCT((日次管理!#REF!&lt;=$CB$20)*(日次管理!#REF!=$A$29)*(日次管理!#REF!="精査完了")*(日次管理!#REF!="予定"),日次管理!#REF!)</f>
        <v>#REF!</v>
      </c>
      <c r="CC29" s="59" t="e">
        <f>SUMPRODUCT((日次管理!#REF!&lt;=$CC$20)*(日次管理!#REF!=$A$29)*(日次管理!#REF!="精査完了")*(日次管理!#REF!="実績"),日次管理!#REF!)</f>
        <v>#REF!</v>
      </c>
      <c r="CD29" s="91" t="e">
        <f>SUMPRODUCT((日次管理!#REF!&lt;=$CD$20)*(日次管理!#REF!=$A$29)*(日次管理!#REF!="精査完了")*(日次管理!#REF!="予定"),日次管理!#REF!)</f>
        <v>#REF!</v>
      </c>
      <c r="CE29" s="59" t="e">
        <f>SUMPRODUCT((日次管理!#REF!&lt;=$CE$20)*(日次管理!#REF!=$A$29)*(日次管理!#REF!="精査完了")*(日次管理!#REF!="実績"),日次管理!#REF!)</f>
        <v>#REF!</v>
      </c>
      <c r="CF29" s="91" t="e">
        <f>SUMPRODUCT((日次管理!#REF!&lt;=$CF$20)*(日次管理!#REF!=$A$29)*(日次管理!#REF!="精査完了")*(日次管理!#REF!="予定"),日次管理!#REF!)</f>
        <v>#REF!</v>
      </c>
      <c r="CG29" s="59" t="e">
        <f>SUMPRODUCT((日次管理!#REF!&lt;=$CG$20)*(日次管理!#REF!=$A$29)*(日次管理!#REF!="精査完了")*(日次管理!#REF!="実績"),日次管理!#REF!)</f>
        <v>#REF!</v>
      </c>
      <c r="CH29" s="91" t="e">
        <f>SUMPRODUCT((日次管理!#REF!&lt;=$CH$20)*(日次管理!#REF!=$A$29)*(日次管理!#REF!="精査完了")*(日次管理!#REF!="予定"),日次管理!#REF!)</f>
        <v>#REF!</v>
      </c>
      <c r="CI29" s="59" t="e">
        <f>SUMPRODUCT((日次管理!#REF!&lt;=$CI$20)*(日次管理!#REF!=$A$29)*(日次管理!#REF!="精査完了")*(日次管理!#REF!="実績"),日次管理!#REF!)</f>
        <v>#REF!</v>
      </c>
      <c r="CJ29" s="91" t="e">
        <f>SUMPRODUCT((日次管理!#REF!&lt;=$CJ$20)*(日次管理!#REF!=$A$29)*(日次管理!#REF!="精査完了")*(日次管理!#REF!="予定"),日次管理!#REF!)</f>
        <v>#REF!</v>
      </c>
      <c r="CK29" s="59" t="e">
        <f>SUMPRODUCT((日次管理!#REF!&lt;=$CK$20)*(日次管理!#REF!=$A$29)*(日次管理!#REF!="精査完了")*(日次管理!#REF!="実績"),日次管理!#REF!)</f>
        <v>#REF!</v>
      </c>
      <c r="CL29" s="91" t="e">
        <f>SUMPRODUCT((日次管理!#REF!&lt;=$CL$20)*(日次管理!#REF!=$A$29)*(日次管理!#REF!="精査完了")*(日次管理!#REF!="予定"),日次管理!#REF!)</f>
        <v>#REF!</v>
      </c>
      <c r="CM29" s="59" t="e">
        <f>SUMPRODUCT((日次管理!#REF!&lt;=$CM$20)*(日次管理!#REF!=$A$29)*(日次管理!#REF!="精査完了")*(日次管理!#REF!="実績"),日次管理!#REF!)</f>
        <v>#REF!</v>
      </c>
      <c r="CN29" s="91" t="e">
        <f>SUMPRODUCT((日次管理!#REF!&lt;=$CN$20)*(日次管理!#REF!=$A$29)*(日次管理!#REF!="精査完了")*(日次管理!#REF!="予定"),日次管理!#REF!)</f>
        <v>#REF!</v>
      </c>
      <c r="CO29" s="59" t="e">
        <f>SUMPRODUCT((日次管理!#REF!&lt;=$CO$20)*(日次管理!#REF!=$A$29)*(日次管理!#REF!="精査完了")*(日次管理!#REF!="実績"),日次管理!#REF!)</f>
        <v>#REF!</v>
      </c>
      <c r="CP29" s="91" t="e">
        <f>SUMPRODUCT((日次管理!#REF!&lt;=$CP$20)*(日次管理!#REF!=$A$29)*(日次管理!#REF!="精査完了")*(日次管理!#REF!="予定"),日次管理!#REF!)</f>
        <v>#REF!</v>
      </c>
      <c r="CQ29" s="59" t="e">
        <f>SUMPRODUCT((日次管理!#REF!&lt;=$CQ$20)*(日次管理!#REF!=$A$29)*(日次管理!#REF!="精査完了")*(日次管理!#REF!="実績"),日次管理!#REF!)</f>
        <v>#REF!</v>
      </c>
      <c r="CR29" s="91" t="e">
        <f>SUMPRODUCT((日次管理!#REF!&lt;=$CR$20)*(日次管理!#REF!=$A$29)*(日次管理!#REF!="精査完了")*(日次管理!#REF!="予定"),日次管理!#REF!)</f>
        <v>#REF!</v>
      </c>
      <c r="CS29" s="59" t="e">
        <f>SUMPRODUCT((日次管理!#REF!&lt;=$CS$20)*(日次管理!#REF!=$A$29)*(日次管理!#REF!="精査完了")*(日次管理!#REF!="実績"),日次管理!#REF!)</f>
        <v>#REF!</v>
      </c>
      <c r="CT29" s="91" t="e">
        <f>SUMPRODUCT((日次管理!#REF!&lt;=$CT$20)*(日次管理!#REF!=$A$29)*(日次管理!#REF!="精査完了")*(日次管理!#REF!="予定"),日次管理!#REF!)</f>
        <v>#REF!</v>
      </c>
      <c r="CU29" s="59" t="e">
        <f>SUMPRODUCT((日次管理!#REF!&lt;=$CU$20)*(日次管理!#REF!=$A$29)*(日次管理!#REF!="精査完了")*(日次管理!#REF!="実績"),日次管理!#REF!)</f>
        <v>#REF!</v>
      </c>
      <c r="CV29" s="92" t="e">
        <f ca="1">SUMPRODUCT(($A$20- WEEKDAY($A$20) + 6 =$B$20:$CU$20)*("実績"=$B$21:$CU$21),$B$29:$CU$29)/SUMPRODUCT(($A$20- WEEKDAY($A$20) + 6 =$B$20:$CU$20)*("予定"=$B$21:$CU$21),$B$29:$CU$29)</f>
        <v>#REF!</v>
      </c>
      <c r="CW29" s="93" t="e">
        <f>$CU$29/$CT$29</f>
        <v>#REF!</v>
      </c>
    </row>
    <row r="30" spans="1:101" ht="20.149999999999999" customHeight="1">
      <c r="A30" s="94" t="s">
        <v>74</v>
      </c>
      <c r="B30" s="95" t="e">
        <f>SUMPRODUCT((日次管理!#REF!&lt;=$B$20)*(日次管理!#REF!=$A$30)*(日次管理!#REF!="精査完了")*(日次管理!#REF!="予定"),日次管理!#REF!)</f>
        <v>#REF!</v>
      </c>
      <c r="C30" s="60" t="e">
        <f>SUMPRODUCT((日次管理!#REF!&lt;=$C$20)*(日次管理!#REF!=$A$30)*(日次管理!#REF!="精査完了")*(日次管理!#REF!="実績"),日次管理!#REF!)</f>
        <v>#REF!</v>
      </c>
      <c r="D30" s="95" t="e">
        <f>SUMPRODUCT((日次管理!#REF!&lt;=$D$20)*(日次管理!#REF!=$A$30)*(日次管理!#REF!="精査完了")*(日次管理!#REF!="予定"),日次管理!#REF!)</f>
        <v>#REF!</v>
      </c>
      <c r="E30" s="60" t="e">
        <f>SUMPRODUCT((日次管理!#REF!&lt;=$E$20)*(日次管理!#REF!=$A$30)*(日次管理!#REF!="精査完了")*(日次管理!#REF!="実績"),日次管理!#REF!)</f>
        <v>#REF!</v>
      </c>
      <c r="F30" s="95" t="e">
        <f>SUMPRODUCT((日次管理!#REF!&lt;=$F$20)*(日次管理!#REF!=$A$30)*(日次管理!#REF!="精査完了")*(日次管理!#REF!="予定"),日次管理!#REF!)</f>
        <v>#REF!</v>
      </c>
      <c r="G30" s="60" t="e">
        <f>SUMPRODUCT((日次管理!#REF!&lt;=$G$20)*(日次管理!#REF!=$A$30)*(日次管理!#REF!="精査完了")*(日次管理!#REF!="実績"),日次管理!#REF!)</f>
        <v>#REF!</v>
      </c>
      <c r="H30" s="95" t="e">
        <f>SUMPRODUCT((日次管理!#REF!&lt;=$H$20)*(日次管理!#REF!=$A$30)*(日次管理!#REF!="精査完了")*(日次管理!#REF!="予定"),日次管理!#REF!)</f>
        <v>#REF!</v>
      </c>
      <c r="I30" s="60" t="e">
        <f>SUMPRODUCT((日次管理!#REF!&lt;=$I$20)*(日次管理!#REF!=$A$30)*(日次管理!#REF!="精査完了")*(日次管理!#REF!="実績"),日次管理!#REF!)</f>
        <v>#REF!</v>
      </c>
      <c r="J30" s="95" t="e">
        <f>SUMPRODUCT((日次管理!#REF!&lt;=$J$20)*(日次管理!#REF!=$A$30)*(日次管理!#REF!="精査完了")*(日次管理!#REF!="予定"),日次管理!#REF!)</f>
        <v>#REF!</v>
      </c>
      <c r="K30" s="60" t="e">
        <f>SUMPRODUCT((日次管理!#REF!&lt;=$K$20)*(日次管理!#REF!=$A$30)*(日次管理!#REF!="精査完了")*(日次管理!#REF!="実績"),日次管理!#REF!)</f>
        <v>#REF!</v>
      </c>
      <c r="L30" s="95" t="e">
        <f>SUMPRODUCT((日次管理!#REF!&lt;=$L$20)*(日次管理!#REF!=$A$30)*(日次管理!#REF!="精査完了")*(日次管理!#REF!="予定"),日次管理!#REF!)</f>
        <v>#REF!</v>
      </c>
      <c r="M30" s="60" t="e">
        <f>SUMPRODUCT((日次管理!#REF!&lt;=$M$20)*(日次管理!#REF!=$A$30)*(日次管理!#REF!="精査完了")*(日次管理!#REF!="実績"),日次管理!#REF!)</f>
        <v>#REF!</v>
      </c>
      <c r="N30" s="95" t="e">
        <f>SUMPRODUCT((日次管理!#REF!&lt;=$N$20)*(日次管理!#REF!=$A$30)*(日次管理!#REF!="精査完了")*(日次管理!#REF!="予定"),日次管理!#REF!)</f>
        <v>#REF!</v>
      </c>
      <c r="O30" s="60" t="e">
        <f>SUMPRODUCT((日次管理!#REF!&lt;=$O$20)*(日次管理!#REF!=$A$30)*(日次管理!#REF!="精査完了")*(日次管理!#REF!="実績"),日次管理!#REF!)</f>
        <v>#REF!</v>
      </c>
      <c r="P30" s="95" t="e">
        <f>SUMPRODUCT((日次管理!#REF!&lt;=$P$20)*(日次管理!#REF!=$A$30)*(日次管理!#REF!="精査完了")*(日次管理!#REF!="予定"),日次管理!#REF!)</f>
        <v>#REF!</v>
      </c>
      <c r="Q30" s="60" t="e">
        <f>SUMPRODUCT((日次管理!#REF!&lt;=$Q$20)*(日次管理!#REF!=$A$30)*(日次管理!#REF!="精査完了")*(日次管理!#REF!="実績"),日次管理!#REF!)</f>
        <v>#REF!</v>
      </c>
      <c r="R30" s="95" t="e">
        <f>SUMPRODUCT((日次管理!#REF!&lt;=$R$20)*(日次管理!#REF!=$A$30)*(日次管理!#REF!="精査完了")*(日次管理!#REF!="予定"),日次管理!#REF!)</f>
        <v>#REF!</v>
      </c>
      <c r="S30" s="60" t="e">
        <f>SUMPRODUCT((日次管理!#REF!&lt;=$S$20)*(日次管理!#REF!=$A$30)*(日次管理!#REF!="精査完了")*(日次管理!#REF!="実績"),日次管理!#REF!)</f>
        <v>#REF!</v>
      </c>
      <c r="T30" s="95" t="e">
        <f>SUMPRODUCT((日次管理!#REF!&lt;=$T$20)*(日次管理!#REF!=$A$30)*(日次管理!#REF!="精査完了")*(日次管理!#REF!="予定"),日次管理!#REF!)</f>
        <v>#REF!</v>
      </c>
      <c r="U30" s="60" t="e">
        <f>SUMPRODUCT((日次管理!#REF!&lt;=$U$20)*(日次管理!#REF!=$A$30)*(日次管理!#REF!="精査完了")*(日次管理!#REF!="実績"),日次管理!#REF!)</f>
        <v>#REF!</v>
      </c>
      <c r="V30" s="95" t="e">
        <f>SUMPRODUCT((日次管理!#REF!&lt;=$V$20)*(日次管理!#REF!=$A$30)*(日次管理!#REF!="精査完了")*(日次管理!#REF!="予定"),日次管理!#REF!)</f>
        <v>#REF!</v>
      </c>
      <c r="W30" s="60" t="e">
        <f>SUMPRODUCT((日次管理!#REF!&lt;=$W$20)*(日次管理!#REF!=$A$30)*(日次管理!#REF!="精査完了")*(日次管理!#REF!="実績"),日次管理!#REF!)</f>
        <v>#REF!</v>
      </c>
      <c r="X30" s="95" t="e">
        <f>SUMPRODUCT((日次管理!#REF!&lt;=$X$20)*(日次管理!#REF!=$A$30)*(日次管理!#REF!="精査完了")*(日次管理!#REF!="予定"),日次管理!#REF!)</f>
        <v>#REF!</v>
      </c>
      <c r="Y30" s="60" t="e">
        <f>SUMPRODUCT((日次管理!#REF!&lt;=$Y$20)*(日次管理!#REF!=$A$30)*(日次管理!#REF!="精査完了")*(日次管理!#REF!="実績"),日次管理!#REF!)</f>
        <v>#REF!</v>
      </c>
      <c r="Z30" s="95" t="e">
        <f>SUMPRODUCT((日次管理!#REF!&lt;=$Z$20)*(日次管理!#REF!=$A$30)*(日次管理!#REF!="精査完了")*(日次管理!#REF!="予定"),日次管理!#REF!)</f>
        <v>#REF!</v>
      </c>
      <c r="AA30" s="60" t="e">
        <f>SUMPRODUCT((日次管理!#REF!&lt;=$AA$20)*(日次管理!#REF!=$A$30)*(日次管理!#REF!="精査完了")*(日次管理!#REF!="実績"),日次管理!#REF!)</f>
        <v>#REF!</v>
      </c>
      <c r="AB30" s="95" t="e">
        <f>SUMPRODUCT((日次管理!#REF!&lt;=$AB$20)*(日次管理!#REF!=$A$30)*(日次管理!#REF!="精査完了")*(日次管理!#REF!="予定"),日次管理!#REF!)</f>
        <v>#REF!</v>
      </c>
      <c r="AC30" s="60" t="e">
        <f>SUMPRODUCT((日次管理!#REF!&lt;=$AC$20)*(日次管理!#REF!=$A$30)*(日次管理!#REF!="精査完了")*(日次管理!#REF!="実績"),日次管理!#REF!)</f>
        <v>#REF!</v>
      </c>
      <c r="AD30" s="95" t="e">
        <f>SUMPRODUCT((日次管理!#REF!&lt;=$AD$20)*(日次管理!#REF!=$A$30)*(日次管理!#REF!="精査完了")*(日次管理!#REF!="予定"),日次管理!#REF!)</f>
        <v>#REF!</v>
      </c>
      <c r="AE30" s="60" t="e">
        <f>SUMPRODUCT((日次管理!#REF!&lt;=$AE$20)*(日次管理!#REF!=$A$30)*(日次管理!#REF!="精査完了")*(日次管理!#REF!="実績"),日次管理!#REF!)</f>
        <v>#REF!</v>
      </c>
      <c r="AF30" s="95" t="e">
        <f>SUMPRODUCT((日次管理!#REF!&lt;=$AF$20)*(日次管理!#REF!=$A$30)*(日次管理!#REF!="精査完了")*(日次管理!#REF!="予定"),日次管理!#REF!)</f>
        <v>#REF!</v>
      </c>
      <c r="AG30" s="60" t="e">
        <f>SUMPRODUCT((日次管理!#REF!&lt;=$AG$20)*(日次管理!#REF!=$A$30)*(日次管理!#REF!="精査完了")*(日次管理!#REF!="実績"),日次管理!#REF!)</f>
        <v>#REF!</v>
      </c>
      <c r="AH30" s="95" t="e">
        <f>SUMPRODUCT((日次管理!#REF!&lt;=$AH$20)*(日次管理!#REF!=$A$30)*(日次管理!#REF!="精査完了")*(日次管理!#REF!="予定"),日次管理!#REF!)</f>
        <v>#REF!</v>
      </c>
      <c r="AI30" s="60" t="e">
        <f>SUMPRODUCT((日次管理!#REF!&lt;=$AI$20)*(日次管理!#REF!=$A$30)*(日次管理!#REF!="精査完了")*(日次管理!#REF!="実績"),日次管理!#REF!)</f>
        <v>#REF!</v>
      </c>
      <c r="AJ30" s="95" t="e">
        <f>SUMPRODUCT((日次管理!#REF!&lt;=$AJ$20)*(日次管理!#REF!=$A$30)*(日次管理!#REF!="精査完了")*(日次管理!#REF!="予定"),日次管理!#REF!)</f>
        <v>#REF!</v>
      </c>
      <c r="AK30" s="60" t="e">
        <f>SUMPRODUCT((日次管理!#REF!&lt;=$AK$20)*(日次管理!#REF!=$A$30)*(日次管理!#REF!="精査完了")*(日次管理!#REF!="実績"),日次管理!#REF!)</f>
        <v>#REF!</v>
      </c>
      <c r="AL30" s="95" t="e">
        <f>SUMPRODUCT((日次管理!#REF!&lt;=$AL$20)*(日次管理!#REF!=$A$30)*(日次管理!#REF!="精査完了")*(日次管理!#REF!="予定"),日次管理!#REF!)</f>
        <v>#REF!</v>
      </c>
      <c r="AM30" s="60" t="e">
        <f>SUMPRODUCT((日次管理!#REF!&lt;=$AM$20)*(日次管理!#REF!=$A$30)*(日次管理!#REF!="精査完了")*(日次管理!#REF!="実績"),日次管理!#REF!)</f>
        <v>#REF!</v>
      </c>
      <c r="AN30" s="95" t="e">
        <f>SUMPRODUCT((日次管理!#REF!&lt;=$AN$20)*(日次管理!#REF!=$A$30)*(日次管理!#REF!="精査完了")*(日次管理!#REF!="予定"),日次管理!#REF!)</f>
        <v>#REF!</v>
      </c>
      <c r="AO30" s="60" t="e">
        <f>SUMPRODUCT((日次管理!#REF!&lt;=$AO$20)*(日次管理!#REF!=$A$30)*(日次管理!#REF!="精査完了")*(日次管理!#REF!="実績"),日次管理!#REF!)</f>
        <v>#REF!</v>
      </c>
      <c r="AP30" s="95" t="e">
        <f>SUMPRODUCT((日次管理!#REF!&lt;=$AP$20)*(日次管理!#REF!=$A$30)*(日次管理!#REF!="精査完了")*(日次管理!#REF!="予定"),日次管理!#REF!)</f>
        <v>#REF!</v>
      </c>
      <c r="AQ30" s="60" t="e">
        <f>SUMPRODUCT((日次管理!#REF!&lt;=$AQ$20)*(日次管理!#REF!=$A$30)*(日次管理!#REF!="精査完了")*(日次管理!#REF!="実績"),日次管理!#REF!)</f>
        <v>#REF!</v>
      </c>
      <c r="AR30" s="95" t="e">
        <f>SUMPRODUCT((日次管理!#REF!&lt;=$AR$20)*(日次管理!#REF!=$A$30)*(日次管理!#REF!="精査完了")*(日次管理!#REF!="予定"),日次管理!#REF!)</f>
        <v>#REF!</v>
      </c>
      <c r="AS30" s="60" t="e">
        <f>SUMPRODUCT((日次管理!#REF!&lt;=$AS$20)*(日次管理!#REF!=$A$30)*(日次管理!#REF!="精査完了")*(日次管理!#REF!="実績"),日次管理!#REF!)</f>
        <v>#REF!</v>
      </c>
      <c r="AT30" s="95" t="e">
        <f>SUMPRODUCT((日次管理!#REF!&lt;=$AT$20)*(日次管理!#REF!=$A$30)*(日次管理!#REF!="精査完了")*(日次管理!#REF!="予定"),日次管理!#REF!)</f>
        <v>#REF!</v>
      </c>
      <c r="AU30" s="60" t="e">
        <f>SUMPRODUCT((日次管理!#REF!&lt;=$AU$20)*(日次管理!#REF!=$A$30)*(日次管理!#REF!="精査完了")*(日次管理!#REF!="実績"),日次管理!#REF!)</f>
        <v>#REF!</v>
      </c>
      <c r="AV30" s="95" t="e">
        <f>SUMPRODUCT((日次管理!#REF!&lt;=$AV$20)*(日次管理!#REF!=$A$30)*(日次管理!#REF!="精査完了")*(日次管理!#REF!="予定"),日次管理!#REF!)</f>
        <v>#REF!</v>
      </c>
      <c r="AW30" s="60" t="e">
        <f>SUMPRODUCT((日次管理!#REF!&lt;=$AW$20)*(日次管理!#REF!=$A$30)*(日次管理!#REF!="精査完了")*(日次管理!#REF!="実績"),日次管理!#REF!)</f>
        <v>#REF!</v>
      </c>
      <c r="AX30" s="95" t="e">
        <f>SUMPRODUCT((日次管理!#REF!&lt;=$AX$20)*(日次管理!#REF!=$A$30)*(日次管理!#REF!="精査完了")*(日次管理!#REF!="予定"),日次管理!#REF!)</f>
        <v>#REF!</v>
      </c>
      <c r="AY30" s="60" t="e">
        <f>SUMPRODUCT((日次管理!#REF!&lt;=$AY$20)*(日次管理!#REF!=$A$30)*(日次管理!#REF!="精査完了")*(日次管理!#REF!="実績"),日次管理!#REF!)</f>
        <v>#REF!</v>
      </c>
      <c r="AZ30" s="95" t="e">
        <f>SUMPRODUCT((日次管理!#REF!&lt;=$AZ$20)*(日次管理!#REF!=$A$30)*(日次管理!#REF!="精査完了")*(日次管理!#REF!="予定"),日次管理!#REF!)</f>
        <v>#REF!</v>
      </c>
      <c r="BA30" s="60" t="e">
        <f>SUMPRODUCT((日次管理!#REF!&lt;=$BA$20)*(日次管理!#REF!=$A$30)*(日次管理!#REF!="精査完了")*(日次管理!#REF!="実績"),日次管理!#REF!)</f>
        <v>#REF!</v>
      </c>
      <c r="BB30" s="95" t="e">
        <f>SUMPRODUCT((日次管理!#REF!&lt;=$BB$20)*(日次管理!#REF!=$A$30)*(日次管理!#REF!="精査完了")*(日次管理!#REF!="予定"),日次管理!#REF!)</f>
        <v>#REF!</v>
      </c>
      <c r="BC30" s="60" t="e">
        <f>SUMPRODUCT((日次管理!#REF!&lt;=$BC$20)*(日次管理!#REF!=$A$30)*(日次管理!#REF!="精査完了")*(日次管理!#REF!="実績"),日次管理!#REF!)</f>
        <v>#REF!</v>
      </c>
      <c r="BD30" s="95" t="e">
        <f>SUMPRODUCT((日次管理!#REF!&lt;=$BD$20)*(日次管理!#REF!=$A$30)*(日次管理!#REF!="精査完了")*(日次管理!#REF!="予定"),日次管理!#REF!)</f>
        <v>#REF!</v>
      </c>
      <c r="BE30" s="60" t="e">
        <f>SUMPRODUCT((日次管理!#REF!&lt;=$BE$20)*(日次管理!#REF!=$A$30)*(日次管理!#REF!="精査完了")*(日次管理!#REF!="実績"),日次管理!#REF!)</f>
        <v>#REF!</v>
      </c>
      <c r="BF30" s="95" t="e">
        <f>SUMPRODUCT((日次管理!#REF!&lt;=$BF$20)*(日次管理!#REF!=$A$30)*(日次管理!#REF!="精査完了")*(日次管理!#REF!="予定"),日次管理!#REF!)</f>
        <v>#REF!</v>
      </c>
      <c r="BG30" s="60" t="e">
        <f>SUMPRODUCT((日次管理!#REF!&lt;=$BG$20)*(日次管理!#REF!=$A$30)*(日次管理!#REF!="精査完了")*(日次管理!#REF!="実績"),日次管理!#REF!)</f>
        <v>#REF!</v>
      </c>
      <c r="BH30" s="95" t="e">
        <f>SUMPRODUCT((日次管理!#REF!&lt;=$BH$20)*(日次管理!#REF!=$A$30)*(日次管理!#REF!="精査完了")*(日次管理!#REF!="予定"),日次管理!#REF!)</f>
        <v>#REF!</v>
      </c>
      <c r="BI30" s="60" t="e">
        <f>SUMPRODUCT((日次管理!#REF!&lt;=$BI$20)*(日次管理!#REF!=$A$30)*(日次管理!#REF!="精査完了")*(日次管理!#REF!="実績"),日次管理!#REF!)</f>
        <v>#REF!</v>
      </c>
      <c r="BJ30" s="95" t="e">
        <f>SUMPRODUCT((日次管理!#REF!&lt;=$BJ$20)*(日次管理!#REF!=$A$30)*(日次管理!#REF!="精査完了")*(日次管理!#REF!="予定"),日次管理!#REF!)</f>
        <v>#REF!</v>
      </c>
      <c r="BK30" s="60" t="e">
        <f>SUMPRODUCT((日次管理!#REF!&lt;=$BK$20)*(日次管理!#REF!=$A$30)*(日次管理!#REF!="精査完了")*(日次管理!#REF!="実績"),日次管理!#REF!)</f>
        <v>#REF!</v>
      </c>
      <c r="BL30" s="95" t="e">
        <f>SUMPRODUCT((日次管理!#REF!&lt;=$BL$20)*(日次管理!#REF!=$A$30)*(日次管理!#REF!="精査完了")*(日次管理!#REF!="予定"),日次管理!#REF!)</f>
        <v>#REF!</v>
      </c>
      <c r="BM30" s="60" t="e">
        <f>SUMPRODUCT((日次管理!#REF!&lt;=$BM$20)*(日次管理!#REF!=$A$30)*(日次管理!#REF!="精査完了")*(日次管理!#REF!="実績"),日次管理!#REF!)</f>
        <v>#REF!</v>
      </c>
      <c r="BN30" s="95" t="e">
        <f>SUMPRODUCT((日次管理!#REF!&lt;=$BN$20)*(日次管理!#REF!=$A$30)*(日次管理!#REF!="精査完了")*(日次管理!#REF!="予定"),日次管理!#REF!)</f>
        <v>#REF!</v>
      </c>
      <c r="BO30" s="60" t="e">
        <f>SUMPRODUCT((日次管理!#REF!&lt;=$BO$20)*(日次管理!#REF!=$A$30)*(日次管理!#REF!="精査完了")*(日次管理!#REF!="実績"),日次管理!#REF!)</f>
        <v>#REF!</v>
      </c>
      <c r="BP30" s="95" t="e">
        <f>SUMPRODUCT((日次管理!#REF!&lt;=$BP$20)*(日次管理!#REF!=$A$30)*(日次管理!#REF!="精査完了")*(日次管理!#REF!="予定"),日次管理!#REF!)</f>
        <v>#REF!</v>
      </c>
      <c r="BQ30" s="60" t="e">
        <f>SUMPRODUCT((日次管理!#REF!&lt;=$BQ$20)*(日次管理!#REF!=$A$30)*(日次管理!#REF!="精査完了")*(日次管理!#REF!="実績"),日次管理!#REF!)</f>
        <v>#REF!</v>
      </c>
      <c r="BR30" s="95" t="e">
        <f>SUMPRODUCT((日次管理!#REF!&lt;=$BR$20)*(日次管理!#REF!=$A$30)*(日次管理!#REF!="精査完了")*(日次管理!#REF!="予定"),日次管理!#REF!)</f>
        <v>#REF!</v>
      </c>
      <c r="BS30" s="60" t="e">
        <f>SUMPRODUCT((日次管理!#REF!&lt;=$BS$20)*(日次管理!#REF!=$A$30)*(日次管理!#REF!="精査完了")*(日次管理!#REF!="実績"),日次管理!#REF!)</f>
        <v>#REF!</v>
      </c>
      <c r="BT30" s="95" t="e">
        <f>SUMPRODUCT((日次管理!#REF!&lt;=$BT$20)*(日次管理!#REF!=$A$30)*(日次管理!#REF!="精査完了")*(日次管理!#REF!="予定"),日次管理!#REF!)</f>
        <v>#REF!</v>
      </c>
      <c r="BU30" s="60" t="e">
        <f>SUMPRODUCT((日次管理!#REF!&lt;=$BU$20)*(日次管理!#REF!=$A$30)*(日次管理!#REF!="精査完了")*(日次管理!#REF!="実績"),日次管理!#REF!)</f>
        <v>#REF!</v>
      </c>
      <c r="BV30" s="95" t="e">
        <f>SUMPRODUCT((日次管理!#REF!&lt;=$BV$20)*(日次管理!#REF!=$A$30)*(日次管理!#REF!="精査完了")*(日次管理!#REF!="予定"),日次管理!#REF!)</f>
        <v>#REF!</v>
      </c>
      <c r="BW30" s="60" t="e">
        <f>SUMPRODUCT((日次管理!#REF!&lt;=$BW$20)*(日次管理!#REF!=$A$30)*(日次管理!#REF!="精査完了")*(日次管理!#REF!="実績"),日次管理!#REF!)</f>
        <v>#REF!</v>
      </c>
      <c r="BX30" s="95" t="e">
        <f>SUMPRODUCT((日次管理!#REF!&lt;=$BX$20)*(日次管理!#REF!=$A$30)*(日次管理!#REF!="精査完了")*(日次管理!#REF!="予定"),日次管理!#REF!)</f>
        <v>#REF!</v>
      </c>
      <c r="BY30" s="60" t="e">
        <f>SUMPRODUCT((日次管理!#REF!&lt;=$BY$20)*(日次管理!#REF!=$A$30)*(日次管理!#REF!="精査完了")*(日次管理!#REF!="実績"),日次管理!#REF!)</f>
        <v>#REF!</v>
      </c>
      <c r="BZ30" s="95" t="e">
        <f>SUMPRODUCT((日次管理!#REF!&lt;=$BZ$20)*(日次管理!#REF!=$A$30)*(日次管理!#REF!="精査完了")*(日次管理!#REF!="予定"),日次管理!#REF!)</f>
        <v>#REF!</v>
      </c>
      <c r="CA30" s="60" t="e">
        <f>SUMPRODUCT((日次管理!#REF!&lt;=$CA$20)*(日次管理!#REF!=$A$30)*(日次管理!#REF!="精査完了")*(日次管理!#REF!="実績"),日次管理!#REF!)</f>
        <v>#REF!</v>
      </c>
      <c r="CB30" s="95" t="e">
        <f>SUMPRODUCT((日次管理!#REF!&lt;=$CB$20)*(日次管理!#REF!=$A$30)*(日次管理!#REF!="精査完了")*(日次管理!#REF!="予定"),日次管理!#REF!)</f>
        <v>#REF!</v>
      </c>
      <c r="CC30" s="60" t="e">
        <f>SUMPRODUCT((日次管理!#REF!&lt;=$CC$20)*(日次管理!#REF!=$A$30)*(日次管理!#REF!="精査完了")*(日次管理!#REF!="実績"),日次管理!#REF!)</f>
        <v>#REF!</v>
      </c>
      <c r="CD30" s="95" t="e">
        <f>SUMPRODUCT((日次管理!#REF!&lt;=$CD$20)*(日次管理!#REF!=$A$30)*(日次管理!#REF!="精査完了")*(日次管理!#REF!="予定"),日次管理!#REF!)</f>
        <v>#REF!</v>
      </c>
      <c r="CE30" s="60" t="e">
        <f>SUMPRODUCT((日次管理!#REF!&lt;=$CE$20)*(日次管理!#REF!=$A$30)*(日次管理!#REF!="精査完了")*(日次管理!#REF!="実績"),日次管理!#REF!)</f>
        <v>#REF!</v>
      </c>
      <c r="CF30" s="95" t="e">
        <f>SUMPRODUCT((日次管理!#REF!&lt;=$CF$20)*(日次管理!#REF!=$A$30)*(日次管理!#REF!="精査完了")*(日次管理!#REF!="予定"),日次管理!#REF!)</f>
        <v>#REF!</v>
      </c>
      <c r="CG30" s="60" t="e">
        <f>SUMPRODUCT((日次管理!#REF!&lt;=$CG$20)*(日次管理!#REF!=$A$30)*(日次管理!#REF!="精査完了")*(日次管理!#REF!="実績"),日次管理!#REF!)</f>
        <v>#REF!</v>
      </c>
      <c r="CH30" s="95" t="e">
        <f>SUMPRODUCT((日次管理!#REF!&lt;=$CH$20)*(日次管理!#REF!=$A$30)*(日次管理!#REF!="精査完了")*(日次管理!#REF!="予定"),日次管理!#REF!)</f>
        <v>#REF!</v>
      </c>
      <c r="CI30" s="60" t="e">
        <f>SUMPRODUCT((日次管理!#REF!&lt;=$CI$20)*(日次管理!#REF!=$A$30)*(日次管理!#REF!="精査完了")*(日次管理!#REF!="実績"),日次管理!#REF!)</f>
        <v>#REF!</v>
      </c>
      <c r="CJ30" s="95" t="e">
        <f>SUMPRODUCT((日次管理!#REF!&lt;=$CJ$20)*(日次管理!#REF!=$A$30)*(日次管理!#REF!="精査完了")*(日次管理!#REF!="予定"),日次管理!#REF!)</f>
        <v>#REF!</v>
      </c>
      <c r="CK30" s="60" t="e">
        <f>SUMPRODUCT((日次管理!#REF!&lt;=$CK$20)*(日次管理!#REF!=$A$30)*(日次管理!#REF!="精査完了")*(日次管理!#REF!="実績"),日次管理!#REF!)</f>
        <v>#REF!</v>
      </c>
      <c r="CL30" s="95" t="e">
        <f>SUMPRODUCT((日次管理!#REF!&lt;=$CL$20)*(日次管理!#REF!=$A$30)*(日次管理!#REF!="精査完了")*(日次管理!#REF!="予定"),日次管理!#REF!)</f>
        <v>#REF!</v>
      </c>
      <c r="CM30" s="60" t="e">
        <f>SUMPRODUCT((日次管理!#REF!&lt;=$CM$20)*(日次管理!#REF!=$A$30)*(日次管理!#REF!="精査完了")*(日次管理!#REF!="実績"),日次管理!#REF!)</f>
        <v>#REF!</v>
      </c>
      <c r="CN30" s="95" t="e">
        <f>SUMPRODUCT((日次管理!#REF!&lt;=$CN$20)*(日次管理!#REF!=$A$30)*(日次管理!#REF!="精査完了")*(日次管理!#REF!="予定"),日次管理!#REF!)</f>
        <v>#REF!</v>
      </c>
      <c r="CO30" s="60" t="e">
        <f>SUMPRODUCT((日次管理!#REF!&lt;=$CO$20)*(日次管理!#REF!=$A$30)*(日次管理!#REF!="精査完了")*(日次管理!#REF!="実績"),日次管理!#REF!)</f>
        <v>#REF!</v>
      </c>
      <c r="CP30" s="95" t="e">
        <f>SUMPRODUCT((日次管理!#REF!&lt;=$CP$20)*(日次管理!#REF!=$A$30)*(日次管理!#REF!="精査完了")*(日次管理!#REF!="予定"),日次管理!#REF!)</f>
        <v>#REF!</v>
      </c>
      <c r="CQ30" s="60" t="e">
        <f>SUMPRODUCT((日次管理!#REF!&lt;=$CQ$20)*(日次管理!#REF!=$A$30)*(日次管理!#REF!="精査完了")*(日次管理!#REF!="実績"),日次管理!#REF!)</f>
        <v>#REF!</v>
      </c>
      <c r="CR30" s="95" t="e">
        <f>SUMPRODUCT((日次管理!#REF!&lt;=$CR$20)*(日次管理!#REF!=$A$30)*(日次管理!#REF!="精査完了")*(日次管理!#REF!="予定"),日次管理!#REF!)</f>
        <v>#REF!</v>
      </c>
      <c r="CS30" s="60" t="e">
        <f>SUMPRODUCT((日次管理!#REF!&lt;=$CS$20)*(日次管理!#REF!=$A$30)*(日次管理!#REF!="精査完了")*(日次管理!#REF!="実績"),日次管理!#REF!)</f>
        <v>#REF!</v>
      </c>
      <c r="CT30" s="95" t="e">
        <f>SUMPRODUCT((日次管理!#REF!&lt;=$CT$20)*(日次管理!#REF!=$A$30)*(日次管理!#REF!="精査完了")*(日次管理!#REF!="予定"),日次管理!#REF!)</f>
        <v>#REF!</v>
      </c>
      <c r="CU30" s="60" t="e">
        <f>SUMPRODUCT((日次管理!#REF!&lt;=$CU$20)*(日次管理!#REF!=$A$30)*(日次管理!#REF!="精査完了")*(日次管理!#REF!="実績"),日次管理!#REF!)</f>
        <v>#REF!</v>
      </c>
      <c r="CV30" s="96" t="e">
        <f ca="1">SUMPRODUCT(($A$20- WEEKDAY($A$20) + 6 =$B$20:$CU$20)*("実績"=$B$21:$CU$21),$B$30:$CU$30)/SUMPRODUCT(($A$20- WEEKDAY($A$20) + 6 =$B$20:$CU$20)*("予定"=$B$21:$CU$21),$B$30:$CU$30)</f>
        <v>#REF!</v>
      </c>
      <c r="CW30" s="97" t="e">
        <f>$CU$30/$CT$30</f>
        <v>#REF!</v>
      </c>
    </row>
    <row r="31" spans="1:101" ht="20.149999999999999" customHeight="1" thickBot="1">
      <c r="A31" s="98" t="s">
        <v>65</v>
      </c>
      <c r="B31" s="99" t="e">
        <f>SUM($B$22:$B$30)</f>
        <v>#REF!</v>
      </c>
      <c r="C31" s="100" t="e">
        <f>SUM($C$22:$C$30)</f>
        <v>#REF!</v>
      </c>
      <c r="D31" s="99" t="e">
        <f>SUM($D$22:$D$30)</f>
        <v>#REF!</v>
      </c>
      <c r="E31" s="100" t="e">
        <f>SUM($E$22:$E$30)</f>
        <v>#REF!</v>
      </c>
      <c r="F31" s="99" t="e">
        <f>SUM($F$22:$F$30)</f>
        <v>#REF!</v>
      </c>
      <c r="G31" s="100" t="e">
        <f>SUM($G$22:$G$30)</f>
        <v>#REF!</v>
      </c>
      <c r="H31" s="99" t="e">
        <f>SUM($H$22:$H$30)</f>
        <v>#REF!</v>
      </c>
      <c r="I31" s="100" t="e">
        <f>SUM($I$22:$I$30)</f>
        <v>#REF!</v>
      </c>
      <c r="J31" s="99" t="e">
        <f>SUM($J$22:$J$30)</f>
        <v>#REF!</v>
      </c>
      <c r="K31" s="100" t="e">
        <f>SUM($K$22:$K$30)</f>
        <v>#REF!</v>
      </c>
      <c r="L31" s="99" t="e">
        <f>SUM($L$22:$L$30)</f>
        <v>#REF!</v>
      </c>
      <c r="M31" s="100" t="e">
        <f>SUM($M$22:$M$30)</f>
        <v>#REF!</v>
      </c>
      <c r="N31" s="99" t="e">
        <f>SUM($N$22:$N$30)</f>
        <v>#REF!</v>
      </c>
      <c r="O31" s="100" t="e">
        <f>SUM($O$22:$O$30)</f>
        <v>#REF!</v>
      </c>
      <c r="P31" s="99" t="e">
        <f>SUM($P$22:$P$30)</f>
        <v>#REF!</v>
      </c>
      <c r="Q31" s="100" t="e">
        <f>SUM($Q$22:$Q$30)</f>
        <v>#REF!</v>
      </c>
      <c r="R31" s="99" t="e">
        <f>SUM($R$22:$R$30)</f>
        <v>#REF!</v>
      </c>
      <c r="S31" s="100" t="e">
        <f>SUM($S$22:$S$30)</f>
        <v>#REF!</v>
      </c>
      <c r="T31" s="99" t="e">
        <f>SUM($T$22:$T$30)</f>
        <v>#REF!</v>
      </c>
      <c r="U31" s="100" t="e">
        <f>SUM($U$22:$U$30)</f>
        <v>#REF!</v>
      </c>
      <c r="V31" s="99" t="e">
        <f>SUM($V$22:$V$30)</f>
        <v>#REF!</v>
      </c>
      <c r="W31" s="100" t="e">
        <f>SUM($W$22:$W$30)</f>
        <v>#REF!</v>
      </c>
      <c r="X31" s="99" t="e">
        <f>SUM($X$22:$X$30)</f>
        <v>#REF!</v>
      </c>
      <c r="Y31" s="100" t="e">
        <f>SUM($Y$22:$Y$30)</f>
        <v>#REF!</v>
      </c>
      <c r="Z31" s="99" t="e">
        <f>SUM($Z$22:$Z$30)</f>
        <v>#REF!</v>
      </c>
      <c r="AA31" s="100" t="e">
        <f>SUM($AA$22:$AA$30)</f>
        <v>#REF!</v>
      </c>
      <c r="AB31" s="99" t="e">
        <f>SUM($AB$22:$AB$30)</f>
        <v>#REF!</v>
      </c>
      <c r="AC31" s="100" t="e">
        <f>SUM($AC$22:$AC$30)</f>
        <v>#REF!</v>
      </c>
      <c r="AD31" s="99" t="e">
        <f>SUM($AD$22:$AD$30)</f>
        <v>#REF!</v>
      </c>
      <c r="AE31" s="100" t="e">
        <f>SUM($AE$22:$AE$30)</f>
        <v>#REF!</v>
      </c>
      <c r="AF31" s="99" t="e">
        <f>SUM($AF$22:$AF$30)</f>
        <v>#REF!</v>
      </c>
      <c r="AG31" s="100" t="e">
        <f>SUM($AG$22:$AG$30)</f>
        <v>#REF!</v>
      </c>
      <c r="AH31" s="99" t="e">
        <f>SUM($AH$22:$AH$30)</f>
        <v>#REF!</v>
      </c>
      <c r="AI31" s="100" t="e">
        <f>SUM($AI$22:$AI$30)</f>
        <v>#REF!</v>
      </c>
      <c r="AJ31" s="99" t="e">
        <f>SUM($AJ$22:$AJ$30)</f>
        <v>#REF!</v>
      </c>
      <c r="AK31" s="100" t="e">
        <f>SUM($AK$22:$AK$30)</f>
        <v>#REF!</v>
      </c>
      <c r="AL31" s="99" t="e">
        <f>SUM($AL$22:$AL$30)</f>
        <v>#REF!</v>
      </c>
      <c r="AM31" s="100" t="e">
        <f>SUM($AM$22:$AM$30)</f>
        <v>#REF!</v>
      </c>
      <c r="AN31" s="99" t="e">
        <f>SUM($AN$22:$AN$30)</f>
        <v>#REF!</v>
      </c>
      <c r="AO31" s="100" t="e">
        <f>SUM($AO$22:$AO$30)</f>
        <v>#REF!</v>
      </c>
      <c r="AP31" s="99" t="e">
        <f>SUM($AP$22:$AP$30)</f>
        <v>#REF!</v>
      </c>
      <c r="AQ31" s="100" t="e">
        <f>SUM($AQ$22:$AQ$30)</f>
        <v>#REF!</v>
      </c>
      <c r="AR31" s="99" t="e">
        <f>SUM($AR$22:$AR$30)</f>
        <v>#REF!</v>
      </c>
      <c r="AS31" s="100" t="e">
        <f>SUM($AS$22:$AS$30)</f>
        <v>#REF!</v>
      </c>
      <c r="AT31" s="99" t="e">
        <f>SUM($AT$22:$AT$30)</f>
        <v>#REF!</v>
      </c>
      <c r="AU31" s="100" t="e">
        <f>SUM($AU$22:$AU$30)</f>
        <v>#REF!</v>
      </c>
      <c r="AV31" s="99" t="e">
        <f>SUM($AV$22:$AV$30)</f>
        <v>#REF!</v>
      </c>
      <c r="AW31" s="100" t="e">
        <f>SUM($AW$22:$AW$30)</f>
        <v>#REF!</v>
      </c>
      <c r="AX31" s="99" t="e">
        <f>SUM($AX$22:$AX$30)</f>
        <v>#REF!</v>
      </c>
      <c r="AY31" s="100" t="e">
        <f>SUM($AY$22:$AY$30)</f>
        <v>#REF!</v>
      </c>
      <c r="AZ31" s="99" t="e">
        <f>SUM($AZ$22:$AZ$30)</f>
        <v>#REF!</v>
      </c>
      <c r="BA31" s="100" t="e">
        <f>SUM($BA$22:$BA$30)</f>
        <v>#REF!</v>
      </c>
      <c r="BB31" s="99" t="e">
        <f>SUM($BB$22:$BB$30)</f>
        <v>#REF!</v>
      </c>
      <c r="BC31" s="100" t="e">
        <f>SUM($BC$22:$BC$30)</f>
        <v>#REF!</v>
      </c>
      <c r="BD31" s="99" t="e">
        <f>SUM($BD$22:$BD$30)</f>
        <v>#REF!</v>
      </c>
      <c r="BE31" s="100" t="e">
        <f>SUM($BE$22:$BE$30)</f>
        <v>#REF!</v>
      </c>
      <c r="BF31" s="99" t="e">
        <f>SUM($BF$22:$BF$30)</f>
        <v>#REF!</v>
      </c>
      <c r="BG31" s="100" t="e">
        <f>SUM($BG$22:$BG$30)</f>
        <v>#REF!</v>
      </c>
      <c r="BH31" s="99" t="e">
        <f>SUM($BH$22:$BH$30)</f>
        <v>#REF!</v>
      </c>
      <c r="BI31" s="100" t="e">
        <f>SUM($BI$22:$BI$30)</f>
        <v>#REF!</v>
      </c>
      <c r="BJ31" s="99" t="e">
        <f>SUM($BJ$22:$BJ$30)</f>
        <v>#REF!</v>
      </c>
      <c r="BK31" s="100" t="e">
        <f>SUM($BK$22:$BK$30)</f>
        <v>#REF!</v>
      </c>
      <c r="BL31" s="99" t="e">
        <f>SUM($BL$22:$BL$30)</f>
        <v>#REF!</v>
      </c>
      <c r="BM31" s="100" t="e">
        <f>SUM($BM$22:$BM$30)</f>
        <v>#REF!</v>
      </c>
      <c r="BN31" s="99" t="e">
        <f>SUM($BN$22:$BN$30)</f>
        <v>#REF!</v>
      </c>
      <c r="BO31" s="100" t="e">
        <f>SUM($BO$22:$BO$30)</f>
        <v>#REF!</v>
      </c>
      <c r="BP31" s="99" t="e">
        <f>SUM($BP$22:$BP$30)</f>
        <v>#REF!</v>
      </c>
      <c r="BQ31" s="100" t="e">
        <f>SUM($BQ$22:$BQ$30)</f>
        <v>#REF!</v>
      </c>
      <c r="BR31" s="99" t="e">
        <f>SUM($BR$22:$BR$30)</f>
        <v>#REF!</v>
      </c>
      <c r="BS31" s="100" t="e">
        <f>SUM($BS$22:$BS$30)</f>
        <v>#REF!</v>
      </c>
      <c r="BT31" s="99" t="e">
        <f>SUM($BT$22:$BT$30)</f>
        <v>#REF!</v>
      </c>
      <c r="BU31" s="100" t="e">
        <f>SUM($BU$22:$BU$30)</f>
        <v>#REF!</v>
      </c>
      <c r="BV31" s="99" t="e">
        <f>SUM($BV$22:$BV$30)</f>
        <v>#REF!</v>
      </c>
      <c r="BW31" s="100" t="e">
        <f>SUM($BW$22:$BW$30)</f>
        <v>#REF!</v>
      </c>
      <c r="BX31" s="99" t="e">
        <f>SUM($BX$22:$BX$30)</f>
        <v>#REF!</v>
      </c>
      <c r="BY31" s="100" t="e">
        <f>SUM($BY$22:$BY$30)</f>
        <v>#REF!</v>
      </c>
      <c r="BZ31" s="99" t="e">
        <f>SUM($BZ$22:$BZ$30)</f>
        <v>#REF!</v>
      </c>
      <c r="CA31" s="100" t="e">
        <f>SUM($CA$22:$CA$30)</f>
        <v>#REF!</v>
      </c>
      <c r="CB31" s="99" t="e">
        <f>SUM($CB$22:$CB$30)</f>
        <v>#REF!</v>
      </c>
      <c r="CC31" s="100" t="e">
        <f>SUM($CC$22:$CC$30)</f>
        <v>#REF!</v>
      </c>
      <c r="CD31" s="99" t="e">
        <f>SUM($CD$22:$CD$30)</f>
        <v>#REF!</v>
      </c>
      <c r="CE31" s="100" t="e">
        <f>SUM($CE$22:$CE$30)</f>
        <v>#REF!</v>
      </c>
      <c r="CF31" s="99" t="e">
        <f>SUM($CF$22:$CF$30)</f>
        <v>#REF!</v>
      </c>
      <c r="CG31" s="100" t="e">
        <f>SUM($CG$22:$CG$30)</f>
        <v>#REF!</v>
      </c>
      <c r="CH31" s="99" t="e">
        <f>SUM($CH$22:$CH$30)</f>
        <v>#REF!</v>
      </c>
      <c r="CI31" s="100" t="e">
        <f>SUM($CI$22:$CI$30)</f>
        <v>#REF!</v>
      </c>
      <c r="CJ31" s="99" t="e">
        <f>SUM($CJ$22:$CJ$30)</f>
        <v>#REF!</v>
      </c>
      <c r="CK31" s="100" t="e">
        <f>SUM($CK$22:$CK$30)</f>
        <v>#REF!</v>
      </c>
      <c r="CL31" s="99" t="e">
        <f>SUM($CL$22:$CL$30)</f>
        <v>#REF!</v>
      </c>
      <c r="CM31" s="100" t="e">
        <f>SUM($CM$22:$CM$30)</f>
        <v>#REF!</v>
      </c>
      <c r="CN31" s="99" t="e">
        <f>SUM($CN$22:$CN$30)</f>
        <v>#REF!</v>
      </c>
      <c r="CO31" s="100" t="e">
        <f>SUM($CO$22:$CO$30)</f>
        <v>#REF!</v>
      </c>
      <c r="CP31" s="99" t="e">
        <f>SUM($CP$22:$CP$30)</f>
        <v>#REF!</v>
      </c>
      <c r="CQ31" s="100" t="e">
        <f>SUM($CQ$22:$CQ$30)</f>
        <v>#REF!</v>
      </c>
      <c r="CR31" s="99" t="e">
        <f>SUM($CR$22:$CR$30)</f>
        <v>#REF!</v>
      </c>
      <c r="CS31" s="100" t="e">
        <f>SUM($CS$22:$CS$30)</f>
        <v>#REF!</v>
      </c>
      <c r="CT31" s="99" t="e">
        <f>SUM($CT$22:$CT$30)</f>
        <v>#REF!</v>
      </c>
      <c r="CU31" s="100" t="e">
        <f>SUM($CU$22:$CU$30)</f>
        <v>#REF!</v>
      </c>
      <c r="CV31" s="101" t="e">
        <f ca="1">SUMPRODUCT(($A$20- WEEKDAY($A$20) + 6 =$B$20:$CU$20)*("実績"=$B$21:$CU$21),$B$31:$CU$31)/SUMPRODUCT(($A$20- WEEKDAY($A$20) + 6 =$B$20:$CU$20)*("予定"=$B$21:$CU$21),$B$31:$CU$31)</f>
        <v>#REF!</v>
      </c>
      <c r="CW31" s="102" t="e">
        <f>$CU$31/$CT$31</f>
        <v>#REF!</v>
      </c>
    </row>
  </sheetData>
  <mergeCells count="2">
    <mergeCell ref="CV3:CW3"/>
    <mergeCell ref="CV20:CW20"/>
  </mergeCells>
  <phoneticPr fontId="2"/>
  <pageMargins left="0.7" right="0.7" top="0.75" bottom="0.75" header="0.3" footer="0.3"/>
  <pageSetup paperSize="9" orientation="portrait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W85"/>
  <sheetViews>
    <sheetView zoomScale="85" zoomScaleNormal="85" workbookViewId="0">
      <pane xSplit="1" topLeftCell="AB1" activePane="topRight" state="frozen"/>
      <selection activeCell="A56" sqref="A56"/>
      <selection pane="topRight" activeCell="B56" sqref="B1:B1048576"/>
    </sheetView>
  </sheetViews>
  <sheetFormatPr defaultColWidth="5.6328125" defaultRowHeight="20.149999999999999" customHeight="1" outlineLevelCol="1"/>
  <cols>
    <col min="1" max="1" width="14.26953125" style="61" customWidth="1"/>
    <col min="2" max="13" width="11.26953125" style="44" hidden="1" customWidth="1" outlineLevel="1"/>
    <col min="14" max="14" width="12.453125" style="44" customWidth="1" collapsed="1"/>
    <col min="15" max="15" width="12.453125" style="44" customWidth="1"/>
    <col min="16" max="27" width="12.453125" style="44" hidden="1" customWidth="1" outlineLevel="1"/>
    <col min="28" max="28" width="12.453125" style="44" customWidth="1" collapsed="1"/>
    <col min="29" max="29" width="12.453125" style="44" customWidth="1"/>
    <col min="30" max="41" width="12.453125" style="44" hidden="1" customWidth="1" outlineLevel="1"/>
    <col min="42" max="42" width="12.453125" style="44" customWidth="1" collapsed="1"/>
    <col min="43" max="43" width="12.453125" style="44" customWidth="1"/>
    <col min="44" max="55" width="12.453125" style="44" hidden="1" customWidth="1" outlineLevel="1"/>
    <col min="56" max="56" width="12.453125" style="44" customWidth="1" collapsed="1"/>
    <col min="57" max="57" width="12.453125" style="44" customWidth="1"/>
    <col min="58" max="69" width="11.26953125" style="44" hidden="1" customWidth="1" outlineLevel="1"/>
    <col min="70" max="70" width="11.26953125" style="44" customWidth="1" collapsed="1"/>
    <col min="71" max="71" width="11.26953125" style="44" customWidth="1"/>
    <col min="72" max="75" width="11.26953125" style="44" hidden="1" customWidth="1" outlineLevel="1"/>
    <col min="76" max="83" width="12.453125" style="44" hidden="1" customWidth="1" outlineLevel="1"/>
    <col min="84" max="84" width="12.453125" style="44" customWidth="1" collapsed="1"/>
    <col min="85" max="85" width="12.453125" style="44" customWidth="1"/>
    <col min="86" max="97" width="12.453125" style="44" hidden="1" customWidth="1" outlineLevel="1"/>
    <col min="98" max="98" width="12.453125" style="44" customWidth="1" collapsed="1"/>
    <col min="99" max="99" width="12.453125" style="44" customWidth="1"/>
    <col min="100" max="101" width="15.6328125" style="44" customWidth="1"/>
    <col min="102" max="16384" width="5.6328125" style="44"/>
  </cols>
  <sheetData>
    <row r="1" spans="1:101" ht="20.149999999999999" customHeight="1">
      <c r="A1" s="79" t="s">
        <v>107</v>
      </c>
    </row>
    <row r="2" spans="1:101" ht="20.149999999999999" customHeight="1" thickBot="1">
      <c r="A2" s="79" t="s">
        <v>108</v>
      </c>
      <c r="B2" s="43" t="s">
        <v>62</v>
      </c>
    </row>
    <row r="3" spans="1:101" ht="40" customHeight="1">
      <c r="A3" s="80">
        <f ca="1">TODAY()</f>
        <v>43566</v>
      </c>
      <c r="B3" s="82">
        <v>43528</v>
      </c>
      <c r="C3" s="53">
        <v>43528</v>
      </c>
      <c r="D3" s="83">
        <v>43529</v>
      </c>
      <c r="E3" s="63">
        <v>43529</v>
      </c>
      <c r="F3" s="82">
        <v>43530</v>
      </c>
      <c r="G3" s="53">
        <v>43530</v>
      </c>
      <c r="H3" s="83">
        <v>43531</v>
      </c>
      <c r="I3" s="63">
        <v>43531</v>
      </c>
      <c r="J3" s="82">
        <v>43532</v>
      </c>
      <c r="K3" s="53">
        <v>43532</v>
      </c>
      <c r="L3" s="83">
        <v>43533</v>
      </c>
      <c r="M3" s="63">
        <v>43533</v>
      </c>
      <c r="N3" s="82">
        <v>43534</v>
      </c>
      <c r="O3" s="53">
        <v>43534</v>
      </c>
      <c r="P3" s="83">
        <v>43535</v>
      </c>
      <c r="Q3" s="63">
        <v>43535</v>
      </c>
      <c r="R3" s="82">
        <v>43536</v>
      </c>
      <c r="S3" s="53">
        <v>43536</v>
      </c>
      <c r="T3" s="83">
        <v>43537</v>
      </c>
      <c r="U3" s="63">
        <v>43537</v>
      </c>
      <c r="V3" s="82">
        <v>43538</v>
      </c>
      <c r="W3" s="53">
        <v>43538</v>
      </c>
      <c r="X3" s="83">
        <v>43539</v>
      </c>
      <c r="Y3" s="63">
        <v>43539</v>
      </c>
      <c r="Z3" s="82">
        <v>43540</v>
      </c>
      <c r="AA3" s="53">
        <v>43540</v>
      </c>
      <c r="AB3" s="83">
        <v>43541</v>
      </c>
      <c r="AC3" s="63">
        <v>43541</v>
      </c>
      <c r="AD3" s="82">
        <v>43542</v>
      </c>
      <c r="AE3" s="53">
        <v>43542</v>
      </c>
      <c r="AF3" s="83">
        <v>43543</v>
      </c>
      <c r="AG3" s="63">
        <v>43543</v>
      </c>
      <c r="AH3" s="82">
        <v>43544</v>
      </c>
      <c r="AI3" s="53">
        <v>43544</v>
      </c>
      <c r="AJ3" s="83">
        <v>43545</v>
      </c>
      <c r="AK3" s="63">
        <v>43545</v>
      </c>
      <c r="AL3" s="82">
        <v>43546</v>
      </c>
      <c r="AM3" s="53">
        <v>43546</v>
      </c>
      <c r="AN3" s="83">
        <v>43547</v>
      </c>
      <c r="AO3" s="63">
        <v>43547</v>
      </c>
      <c r="AP3" s="82">
        <v>43548</v>
      </c>
      <c r="AQ3" s="53">
        <v>43548</v>
      </c>
      <c r="AR3" s="83">
        <v>43549</v>
      </c>
      <c r="AS3" s="63">
        <v>43549</v>
      </c>
      <c r="AT3" s="82">
        <v>43550</v>
      </c>
      <c r="AU3" s="53">
        <v>43550</v>
      </c>
      <c r="AV3" s="83">
        <v>43551</v>
      </c>
      <c r="AW3" s="63">
        <v>43551</v>
      </c>
      <c r="AX3" s="82">
        <v>43552</v>
      </c>
      <c r="AY3" s="53">
        <v>43552</v>
      </c>
      <c r="AZ3" s="83">
        <v>43553</v>
      </c>
      <c r="BA3" s="63">
        <v>43553</v>
      </c>
      <c r="BB3" s="82">
        <v>43554</v>
      </c>
      <c r="BC3" s="53">
        <v>43554</v>
      </c>
      <c r="BD3" s="83">
        <v>43555</v>
      </c>
      <c r="BE3" s="63">
        <v>43555</v>
      </c>
      <c r="BF3" s="82">
        <v>43556</v>
      </c>
      <c r="BG3" s="53">
        <v>43556</v>
      </c>
      <c r="BH3" s="83">
        <v>43557</v>
      </c>
      <c r="BI3" s="63">
        <v>43557</v>
      </c>
      <c r="BJ3" s="82">
        <v>43558</v>
      </c>
      <c r="BK3" s="53">
        <v>43558</v>
      </c>
      <c r="BL3" s="83">
        <v>43559</v>
      </c>
      <c r="BM3" s="63">
        <v>43559</v>
      </c>
      <c r="BN3" s="82">
        <v>43560</v>
      </c>
      <c r="BO3" s="53">
        <v>43560</v>
      </c>
      <c r="BP3" s="83">
        <v>43561</v>
      </c>
      <c r="BQ3" s="63">
        <v>43561</v>
      </c>
      <c r="BR3" s="82">
        <v>43562</v>
      </c>
      <c r="BS3" s="53">
        <v>43562</v>
      </c>
      <c r="BT3" s="83">
        <v>43563</v>
      </c>
      <c r="BU3" s="63">
        <v>43563</v>
      </c>
      <c r="BV3" s="82">
        <v>43564</v>
      </c>
      <c r="BW3" s="53">
        <v>43564</v>
      </c>
      <c r="BX3" s="83">
        <v>43565</v>
      </c>
      <c r="BY3" s="63">
        <v>43565</v>
      </c>
      <c r="BZ3" s="82">
        <v>43566</v>
      </c>
      <c r="CA3" s="53">
        <v>43566</v>
      </c>
      <c r="CB3" s="83">
        <v>43567</v>
      </c>
      <c r="CC3" s="63">
        <v>43567</v>
      </c>
      <c r="CD3" s="82">
        <v>43568</v>
      </c>
      <c r="CE3" s="53">
        <v>43568</v>
      </c>
      <c r="CF3" s="83">
        <v>43569</v>
      </c>
      <c r="CG3" s="63">
        <v>43569</v>
      </c>
      <c r="CH3" s="82">
        <v>43570</v>
      </c>
      <c r="CI3" s="53">
        <v>43570</v>
      </c>
      <c r="CJ3" s="83">
        <v>43571</v>
      </c>
      <c r="CK3" s="63">
        <v>43571</v>
      </c>
      <c r="CL3" s="82">
        <v>43572</v>
      </c>
      <c r="CM3" s="53">
        <v>43572</v>
      </c>
      <c r="CN3" s="83">
        <v>43573</v>
      </c>
      <c r="CO3" s="63">
        <v>43573</v>
      </c>
      <c r="CP3" s="82">
        <v>43574</v>
      </c>
      <c r="CQ3" s="53">
        <v>43574</v>
      </c>
      <c r="CR3" s="83">
        <v>43575</v>
      </c>
      <c r="CS3" s="63">
        <v>43575</v>
      </c>
      <c r="CT3" s="82">
        <v>43576</v>
      </c>
      <c r="CU3" s="53">
        <v>43576</v>
      </c>
      <c r="CV3" s="141" t="s">
        <v>66</v>
      </c>
      <c r="CW3" s="142"/>
    </row>
    <row r="4" spans="1:101" ht="20.149999999999999" customHeight="1" thickBot="1">
      <c r="A4" s="103" t="s">
        <v>64</v>
      </c>
      <c r="B4" s="85" t="s">
        <v>60</v>
      </c>
      <c r="C4" s="86" t="s">
        <v>61</v>
      </c>
      <c r="D4" s="87" t="s">
        <v>60</v>
      </c>
      <c r="E4" s="88" t="s">
        <v>61</v>
      </c>
      <c r="F4" s="85" t="s">
        <v>60</v>
      </c>
      <c r="G4" s="86" t="s">
        <v>61</v>
      </c>
      <c r="H4" s="87" t="s">
        <v>60</v>
      </c>
      <c r="I4" s="88" t="s">
        <v>61</v>
      </c>
      <c r="J4" s="85" t="s">
        <v>60</v>
      </c>
      <c r="K4" s="86" t="s">
        <v>61</v>
      </c>
      <c r="L4" s="87" t="s">
        <v>60</v>
      </c>
      <c r="M4" s="88" t="s">
        <v>61</v>
      </c>
      <c r="N4" s="85" t="s">
        <v>60</v>
      </c>
      <c r="O4" s="86" t="s">
        <v>61</v>
      </c>
      <c r="P4" s="87" t="s">
        <v>60</v>
      </c>
      <c r="Q4" s="88" t="s">
        <v>61</v>
      </c>
      <c r="R4" s="85" t="s">
        <v>60</v>
      </c>
      <c r="S4" s="86" t="s">
        <v>61</v>
      </c>
      <c r="T4" s="87" t="s">
        <v>60</v>
      </c>
      <c r="U4" s="88" t="s">
        <v>61</v>
      </c>
      <c r="V4" s="85" t="s">
        <v>60</v>
      </c>
      <c r="W4" s="86" t="s">
        <v>61</v>
      </c>
      <c r="X4" s="87" t="s">
        <v>60</v>
      </c>
      <c r="Y4" s="88" t="s">
        <v>61</v>
      </c>
      <c r="Z4" s="85" t="s">
        <v>60</v>
      </c>
      <c r="AA4" s="86" t="s">
        <v>61</v>
      </c>
      <c r="AB4" s="87" t="s">
        <v>60</v>
      </c>
      <c r="AC4" s="88" t="s">
        <v>61</v>
      </c>
      <c r="AD4" s="85" t="s">
        <v>60</v>
      </c>
      <c r="AE4" s="86" t="s">
        <v>61</v>
      </c>
      <c r="AF4" s="87" t="s">
        <v>60</v>
      </c>
      <c r="AG4" s="88" t="s">
        <v>61</v>
      </c>
      <c r="AH4" s="85" t="s">
        <v>60</v>
      </c>
      <c r="AI4" s="86" t="s">
        <v>61</v>
      </c>
      <c r="AJ4" s="87" t="s">
        <v>60</v>
      </c>
      <c r="AK4" s="88" t="s">
        <v>61</v>
      </c>
      <c r="AL4" s="85" t="s">
        <v>60</v>
      </c>
      <c r="AM4" s="86" t="s">
        <v>61</v>
      </c>
      <c r="AN4" s="87" t="s">
        <v>60</v>
      </c>
      <c r="AO4" s="88" t="s">
        <v>61</v>
      </c>
      <c r="AP4" s="85" t="s">
        <v>60</v>
      </c>
      <c r="AQ4" s="86" t="s">
        <v>61</v>
      </c>
      <c r="AR4" s="87" t="s">
        <v>60</v>
      </c>
      <c r="AS4" s="88" t="s">
        <v>61</v>
      </c>
      <c r="AT4" s="85" t="s">
        <v>60</v>
      </c>
      <c r="AU4" s="86" t="s">
        <v>61</v>
      </c>
      <c r="AV4" s="87" t="s">
        <v>60</v>
      </c>
      <c r="AW4" s="88" t="s">
        <v>61</v>
      </c>
      <c r="AX4" s="85" t="s">
        <v>60</v>
      </c>
      <c r="AY4" s="86" t="s">
        <v>61</v>
      </c>
      <c r="AZ4" s="87" t="s">
        <v>60</v>
      </c>
      <c r="BA4" s="88" t="s">
        <v>61</v>
      </c>
      <c r="BB4" s="85" t="s">
        <v>60</v>
      </c>
      <c r="BC4" s="86" t="s">
        <v>61</v>
      </c>
      <c r="BD4" s="87" t="s">
        <v>60</v>
      </c>
      <c r="BE4" s="88" t="s">
        <v>61</v>
      </c>
      <c r="BF4" s="85" t="s">
        <v>60</v>
      </c>
      <c r="BG4" s="86" t="s">
        <v>61</v>
      </c>
      <c r="BH4" s="87" t="s">
        <v>60</v>
      </c>
      <c r="BI4" s="88" t="s">
        <v>61</v>
      </c>
      <c r="BJ4" s="85" t="s">
        <v>60</v>
      </c>
      <c r="BK4" s="86" t="s">
        <v>61</v>
      </c>
      <c r="BL4" s="87" t="s">
        <v>60</v>
      </c>
      <c r="BM4" s="88" t="s">
        <v>61</v>
      </c>
      <c r="BN4" s="85" t="s">
        <v>60</v>
      </c>
      <c r="BO4" s="86" t="s">
        <v>61</v>
      </c>
      <c r="BP4" s="87" t="s">
        <v>60</v>
      </c>
      <c r="BQ4" s="88" t="s">
        <v>61</v>
      </c>
      <c r="BR4" s="85" t="s">
        <v>60</v>
      </c>
      <c r="BS4" s="86" t="s">
        <v>61</v>
      </c>
      <c r="BT4" s="87" t="s">
        <v>60</v>
      </c>
      <c r="BU4" s="88" t="s">
        <v>61</v>
      </c>
      <c r="BV4" s="85" t="s">
        <v>60</v>
      </c>
      <c r="BW4" s="86" t="s">
        <v>61</v>
      </c>
      <c r="BX4" s="87" t="s">
        <v>60</v>
      </c>
      <c r="BY4" s="88" t="s">
        <v>61</v>
      </c>
      <c r="BZ4" s="85" t="s">
        <v>60</v>
      </c>
      <c r="CA4" s="86" t="s">
        <v>61</v>
      </c>
      <c r="CB4" s="87" t="s">
        <v>60</v>
      </c>
      <c r="CC4" s="88" t="s">
        <v>61</v>
      </c>
      <c r="CD4" s="85" t="s">
        <v>60</v>
      </c>
      <c r="CE4" s="86" t="s">
        <v>61</v>
      </c>
      <c r="CF4" s="87" t="s">
        <v>60</v>
      </c>
      <c r="CG4" s="88" t="s">
        <v>61</v>
      </c>
      <c r="CH4" s="85" t="s">
        <v>60</v>
      </c>
      <c r="CI4" s="86" t="s">
        <v>61</v>
      </c>
      <c r="CJ4" s="87" t="s">
        <v>60</v>
      </c>
      <c r="CK4" s="88" t="s">
        <v>61</v>
      </c>
      <c r="CL4" s="85" t="s">
        <v>60</v>
      </c>
      <c r="CM4" s="86" t="s">
        <v>61</v>
      </c>
      <c r="CN4" s="87" t="s">
        <v>60</v>
      </c>
      <c r="CO4" s="88" t="s">
        <v>61</v>
      </c>
      <c r="CP4" s="85" t="s">
        <v>60</v>
      </c>
      <c r="CQ4" s="86" t="s">
        <v>61</v>
      </c>
      <c r="CR4" s="87" t="s">
        <v>60</v>
      </c>
      <c r="CS4" s="88" t="s">
        <v>61</v>
      </c>
      <c r="CT4" s="85" t="s">
        <v>60</v>
      </c>
      <c r="CU4" s="86" t="s">
        <v>61</v>
      </c>
      <c r="CV4" s="87" t="s">
        <v>67</v>
      </c>
      <c r="CW4" s="89" t="s">
        <v>68</v>
      </c>
    </row>
    <row r="5" spans="1:101" ht="20.149999999999999" customHeight="1">
      <c r="A5" s="81" t="s">
        <v>82</v>
      </c>
      <c r="B5" s="55" t="e">
        <f>SUMPRODUCT((日次管理!#REF!&lt;=$B$3)*(日次管理!#REF!=$A$5)*(日次管理!#REF!="実施完了")*(日次管理!#REF!="予定")*(日次管理!#REF!=$A$2),日次管理!#REF!)</f>
        <v>#REF!</v>
      </c>
      <c r="C5" s="56" t="e">
        <f>SUMPRODUCT((日次管理!#REF!&lt;=$C$3)*(日次管理!#REF!=$A$5)*(日次管理!#REF!="実施完了")*(日次管理!#REF!="実績")*(日次管理!#REF!=$A$2),日次管理!#REF!)</f>
        <v>#REF!</v>
      </c>
      <c r="D5" s="55" t="e">
        <f>SUMPRODUCT((日次管理!#REF!&lt;=$D$3)*(日次管理!#REF!=$A$5)*(日次管理!#REF!="実施完了")*(日次管理!#REF!="予定")*(日次管理!#REF!=$A$2),日次管理!#REF!)</f>
        <v>#REF!</v>
      </c>
      <c r="E5" s="56" t="e">
        <f>SUMPRODUCT((日次管理!#REF!&lt;=$E$3)*(日次管理!#REF!=$A$5)*(日次管理!#REF!="実施完了")*(日次管理!#REF!="実績")*(日次管理!#REF!=$A$2),日次管理!#REF!)</f>
        <v>#REF!</v>
      </c>
      <c r="F5" s="55" t="e">
        <f>SUMPRODUCT((日次管理!#REF!&lt;=$F$3)*(日次管理!#REF!=$A$5)*(日次管理!#REF!="実施完了")*(日次管理!#REF!="予定")*(日次管理!#REF!=$A$2),日次管理!#REF!)</f>
        <v>#REF!</v>
      </c>
      <c r="G5" s="56" t="e">
        <f>SUMPRODUCT((日次管理!#REF!&lt;=$G$3)*(日次管理!#REF!=$A$5)*(日次管理!#REF!="実施完了")*(日次管理!#REF!="実績")*(日次管理!#REF!=$A$2),日次管理!#REF!)</f>
        <v>#REF!</v>
      </c>
      <c r="H5" s="55" t="e">
        <f>SUMPRODUCT((日次管理!#REF!&lt;=$H$3)*(日次管理!#REF!=$A$5)*(日次管理!#REF!="実施完了")*(日次管理!#REF!="予定")*(日次管理!#REF!=$A$2),日次管理!#REF!)</f>
        <v>#REF!</v>
      </c>
      <c r="I5" s="56" t="e">
        <f>SUMPRODUCT((日次管理!#REF!&lt;=$I$3)*(日次管理!#REF!=$A$5)*(日次管理!#REF!="実施完了")*(日次管理!#REF!="実績")*(日次管理!#REF!=$A$2),日次管理!#REF!)</f>
        <v>#REF!</v>
      </c>
      <c r="J5" s="55" t="e">
        <f>SUMPRODUCT((日次管理!#REF!&lt;=$J$3)*(日次管理!#REF!=$A$5)*(日次管理!#REF!="実施完了")*(日次管理!#REF!="予定")*(日次管理!#REF!=$A$2),日次管理!#REF!)</f>
        <v>#REF!</v>
      </c>
      <c r="K5" s="56" t="e">
        <f>SUMPRODUCT((日次管理!#REF!&lt;=$K$3)*(日次管理!#REF!=$A$5)*(日次管理!#REF!="実施完了")*(日次管理!#REF!="実績")*(日次管理!#REF!=$A$2),日次管理!#REF!)</f>
        <v>#REF!</v>
      </c>
      <c r="L5" s="55" t="e">
        <f>SUMPRODUCT((日次管理!#REF!&lt;=$L$3)*(日次管理!#REF!=$A$5)*(日次管理!#REF!="実施完了")*(日次管理!#REF!="予定")*(日次管理!#REF!=$A$2),日次管理!#REF!)</f>
        <v>#REF!</v>
      </c>
      <c r="M5" s="56" t="e">
        <f>SUMPRODUCT((日次管理!#REF!&lt;=$M$3)*(日次管理!#REF!=$A$5)*(日次管理!#REF!="実施完了")*(日次管理!#REF!="実績")*(日次管理!#REF!=$A$2),日次管理!#REF!)</f>
        <v>#REF!</v>
      </c>
      <c r="N5" s="55" t="e">
        <f>SUMPRODUCT((日次管理!#REF!&lt;=$N$3)*(日次管理!#REF!=$A$5)*(日次管理!#REF!="実施完了")*(日次管理!#REF!="予定")*(日次管理!#REF!=$A$2),日次管理!#REF!)</f>
        <v>#REF!</v>
      </c>
      <c r="O5" s="56" t="e">
        <f>SUMPRODUCT((日次管理!#REF!&lt;=$O$3)*(日次管理!#REF!=$A$5)*(日次管理!#REF!="実施完了")*(日次管理!#REF!="実績")*(日次管理!#REF!=$A$2),日次管理!#REF!)</f>
        <v>#REF!</v>
      </c>
      <c r="P5" s="55" t="e">
        <f>SUMPRODUCT((日次管理!#REF!&lt;=$P$3)*(日次管理!#REF!=$A$5)*(日次管理!#REF!="実施完了")*(日次管理!#REF!="予定")*(日次管理!#REF!=$A$2),日次管理!#REF!)</f>
        <v>#REF!</v>
      </c>
      <c r="Q5" s="56" t="e">
        <f>SUMPRODUCT((日次管理!#REF!&lt;=$Q$3)*(日次管理!#REF!=$A$5)*(日次管理!#REF!="実施完了")*(日次管理!#REF!="実績")*(日次管理!#REF!=$A$2),日次管理!#REF!)</f>
        <v>#REF!</v>
      </c>
      <c r="R5" s="55" t="e">
        <f>SUMPRODUCT((日次管理!#REF!&lt;=$R$3)*(日次管理!#REF!=$A$5)*(日次管理!#REF!="実施完了")*(日次管理!#REF!="予定")*(日次管理!#REF!=$A$2),日次管理!#REF!)</f>
        <v>#REF!</v>
      </c>
      <c r="S5" s="56" t="e">
        <f>SUMPRODUCT((日次管理!#REF!&lt;=$S$3)*(日次管理!#REF!=$A$5)*(日次管理!#REF!="実施完了")*(日次管理!#REF!="実績")*(日次管理!#REF!=$A$2),日次管理!#REF!)</f>
        <v>#REF!</v>
      </c>
      <c r="T5" s="55" t="e">
        <f>SUMPRODUCT((日次管理!#REF!&lt;=$T$3)*(日次管理!#REF!=$A$5)*(日次管理!#REF!="実施完了")*(日次管理!#REF!="予定")*(日次管理!#REF!=$A$2),日次管理!#REF!)</f>
        <v>#REF!</v>
      </c>
      <c r="U5" s="56" t="e">
        <f>SUMPRODUCT((日次管理!#REF!&lt;=$U$3)*(日次管理!#REF!=$A$5)*(日次管理!#REF!="実施完了")*(日次管理!#REF!="実績")*(日次管理!#REF!=$A$2),日次管理!#REF!)</f>
        <v>#REF!</v>
      </c>
      <c r="V5" s="55" t="e">
        <f>SUMPRODUCT((日次管理!#REF!&lt;=$V$3)*(日次管理!#REF!=$A$5)*(日次管理!#REF!="実施完了")*(日次管理!#REF!="予定")*(日次管理!#REF!=$A$2),日次管理!#REF!)</f>
        <v>#REF!</v>
      </c>
      <c r="W5" s="56" t="e">
        <f>SUMPRODUCT((日次管理!#REF!&lt;=$W$3)*(日次管理!#REF!=$A$5)*(日次管理!#REF!="実施完了")*(日次管理!#REF!="実績")*(日次管理!#REF!=$A$2),日次管理!#REF!)</f>
        <v>#REF!</v>
      </c>
      <c r="X5" s="55" t="e">
        <f>SUMPRODUCT((日次管理!#REF!&lt;=$X$3)*(日次管理!#REF!=$A$5)*(日次管理!#REF!="実施完了")*(日次管理!#REF!="予定")*(日次管理!#REF!=$A$2),日次管理!#REF!)</f>
        <v>#REF!</v>
      </c>
      <c r="Y5" s="56" t="e">
        <f>SUMPRODUCT((日次管理!#REF!&lt;=$Y$3)*(日次管理!#REF!=$A$5)*(日次管理!#REF!="実施完了")*(日次管理!#REF!="実績")*(日次管理!#REF!=$A$2),日次管理!#REF!)</f>
        <v>#REF!</v>
      </c>
      <c r="Z5" s="55" t="e">
        <f>SUMPRODUCT((日次管理!#REF!&lt;=$Z$3)*(日次管理!#REF!=$A$5)*(日次管理!#REF!="実施完了")*(日次管理!#REF!="予定")*(日次管理!#REF!=$A$2),日次管理!#REF!)</f>
        <v>#REF!</v>
      </c>
      <c r="AA5" s="56" t="e">
        <f>SUMPRODUCT((日次管理!#REF!&lt;=$AA$3)*(日次管理!#REF!=$A$5)*(日次管理!#REF!="実施完了")*(日次管理!#REF!="実績")*(日次管理!#REF!=$A$2),日次管理!#REF!)</f>
        <v>#REF!</v>
      </c>
      <c r="AB5" s="55" t="e">
        <f>SUMPRODUCT((日次管理!#REF!&lt;=$AB$3)*(日次管理!#REF!=$A$5)*(日次管理!#REF!="実施完了")*(日次管理!#REF!="予定")*(日次管理!#REF!=$A$2),日次管理!#REF!)</f>
        <v>#REF!</v>
      </c>
      <c r="AC5" s="56" t="e">
        <f>SUMPRODUCT((日次管理!#REF!&lt;=$AC$3)*(日次管理!#REF!=$A$5)*(日次管理!#REF!="実施完了")*(日次管理!#REF!="実績")*(日次管理!#REF!=$A$2),日次管理!#REF!)</f>
        <v>#REF!</v>
      </c>
      <c r="AD5" s="55" t="e">
        <f>SUMPRODUCT((日次管理!#REF!&lt;=$AD$3)*(日次管理!#REF!=$A$5)*(日次管理!#REF!="実施完了")*(日次管理!#REF!="予定")*(日次管理!#REF!=$A$2),日次管理!#REF!)</f>
        <v>#REF!</v>
      </c>
      <c r="AE5" s="56" t="e">
        <f>SUMPRODUCT((日次管理!#REF!&lt;=$AE$3)*(日次管理!#REF!=$A$5)*(日次管理!#REF!="実施完了")*(日次管理!#REF!="実績")*(日次管理!#REF!=$A$2),日次管理!#REF!)</f>
        <v>#REF!</v>
      </c>
      <c r="AF5" s="55" t="e">
        <f>SUMPRODUCT((日次管理!#REF!&lt;=$AF$3)*(日次管理!#REF!=$A$5)*(日次管理!#REF!="実施完了")*(日次管理!#REF!="予定")*(日次管理!#REF!=$A$2),日次管理!#REF!)</f>
        <v>#REF!</v>
      </c>
      <c r="AG5" s="56" t="e">
        <f>SUMPRODUCT((日次管理!#REF!&lt;=$AG$3)*(日次管理!#REF!=$A$5)*(日次管理!#REF!="実施完了")*(日次管理!#REF!="実績")*(日次管理!#REF!=$A$2),日次管理!#REF!)</f>
        <v>#REF!</v>
      </c>
      <c r="AH5" s="55" t="e">
        <f>SUMPRODUCT((日次管理!#REF!&lt;=$AH$3)*(日次管理!#REF!=$A$5)*(日次管理!#REF!="実施完了")*(日次管理!#REF!="予定")*(日次管理!#REF!=$A$2),日次管理!#REF!)</f>
        <v>#REF!</v>
      </c>
      <c r="AI5" s="56" t="e">
        <f>SUMPRODUCT((日次管理!#REF!&lt;=$AI$3)*(日次管理!#REF!=$A$5)*(日次管理!#REF!="実施完了")*(日次管理!#REF!="実績")*(日次管理!#REF!=$A$2),日次管理!#REF!)</f>
        <v>#REF!</v>
      </c>
      <c r="AJ5" s="55" t="e">
        <f>SUMPRODUCT((日次管理!#REF!&lt;=$AJ$3)*(日次管理!#REF!=$A$5)*(日次管理!#REF!="実施完了")*(日次管理!#REF!="予定")*(日次管理!#REF!=$A$2),日次管理!#REF!)</f>
        <v>#REF!</v>
      </c>
      <c r="AK5" s="56" t="e">
        <f>SUMPRODUCT((日次管理!#REF!&lt;=$AK$3)*(日次管理!#REF!=$A$5)*(日次管理!#REF!="実施完了")*(日次管理!#REF!="実績")*(日次管理!#REF!=$A$2),日次管理!#REF!)</f>
        <v>#REF!</v>
      </c>
      <c r="AL5" s="55" t="e">
        <f>SUMPRODUCT((日次管理!#REF!&lt;=$AL$3)*(日次管理!#REF!=$A$5)*(日次管理!#REF!="実施完了")*(日次管理!#REF!="予定")*(日次管理!#REF!=$A$2),日次管理!#REF!)</f>
        <v>#REF!</v>
      </c>
      <c r="AM5" s="56" t="e">
        <f>SUMPRODUCT((日次管理!#REF!&lt;=$AM$3)*(日次管理!#REF!=$A$5)*(日次管理!#REF!="実施完了")*(日次管理!#REF!="実績")*(日次管理!#REF!=$A$2),日次管理!#REF!)</f>
        <v>#REF!</v>
      </c>
      <c r="AN5" s="55" t="e">
        <f>SUMPRODUCT((日次管理!#REF!&lt;=$AN$3)*(日次管理!#REF!=$A$5)*(日次管理!#REF!="実施完了")*(日次管理!#REF!="予定")*(日次管理!#REF!=$A$2),日次管理!#REF!)</f>
        <v>#REF!</v>
      </c>
      <c r="AO5" s="56" t="e">
        <f>SUMPRODUCT((日次管理!#REF!&lt;=$AO$3)*(日次管理!#REF!=$A$5)*(日次管理!#REF!="実施完了")*(日次管理!#REF!="実績")*(日次管理!#REF!=$A$2),日次管理!#REF!)</f>
        <v>#REF!</v>
      </c>
      <c r="AP5" s="55" t="e">
        <f>SUMPRODUCT((日次管理!#REF!&lt;=$AP$3)*(日次管理!#REF!=$A$5)*(日次管理!#REF!="実施完了")*(日次管理!#REF!="予定")*(日次管理!#REF!=$A$2),日次管理!#REF!)</f>
        <v>#REF!</v>
      </c>
      <c r="AQ5" s="56" t="e">
        <f>SUMPRODUCT((日次管理!#REF!&lt;=$AQ$3)*(日次管理!#REF!=$A$5)*(日次管理!#REF!="実施完了")*(日次管理!#REF!="実績")*(日次管理!#REF!=$A$2),日次管理!#REF!)</f>
        <v>#REF!</v>
      </c>
      <c r="AR5" s="55" t="e">
        <f>SUMPRODUCT((日次管理!#REF!&lt;=$AR$3)*(日次管理!#REF!=$A$5)*(日次管理!#REF!="実施完了")*(日次管理!#REF!="予定")*(日次管理!#REF!=$A$2),日次管理!#REF!)</f>
        <v>#REF!</v>
      </c>
      <c r="AS5" s="56" t="e">
        <f>SUMPRODUCT((日次管理!#REF!&lt;=$AS$3)*(日次管理!#REF!=$A$5)*(日次管理!#REF!="実施完了")*(日次管理!#REF!="実績")*(日次管理!#REF!=$A$2),日次管理!#REF!)</f>
        <v>#REF!</v>
      </c>
      <c r="AT5" s="55" t="e">
        <f>SUMPRODUCT((日次管理!#REF!&lt;=$AT$3)*(日次管理!#REF!=$A$5)*(日次管理!#REF!="実施完了")*(日次管理!#REF!="予定")*(日次管理!#REF!=$A$2),日次管理!#REF!)</f>
        <v>#REF!</v>
      </c>
      <c r="AU5" s="56" t="e">
        <f>SUMPRODUCT((日次管理!#REF!&lt;=$AU$3)*(日次管理!#REF!=$A$5)*(日次管理!#REF!="実施完了")*(日次管理!#REF!="実績")*(日次管理!#REF!=$A$2),日次管理!#REF!)</f>
        <v>#REF!</v>
      </c>
      <c r="AV5" s="55" t="e">
        <f>SUMPRODUCT((日次管理!#REF!&lt;=$AV$3)*(日次管理!#REF!=$A$5)*(日次管理!#REF!="実施完了")*(日次管理!#REF!="予定")*(日次管理!#REF!=$A$2),日次管理!#REF!)</f>
        <v>#REF!</v>
      </c>
      <c r="AW5" s="56" t="e">
        <f>SUMPRODUCT((日次管理!#REF!&lt;=$AW$3)*(日次管理!#REF!=$A$5)*(日次管理!#REF!="実施完了")*(日次管理!#REF!="実績")*(日次管理!#REF!=$A$2),日次管理!#REF!)</f>
        <v>#REF!</v>
      </c>
      <c r="AX5" s="55" t="e">
        <f>SUMPRODUCT((日次管理!#REF!&lt;=$AX$3)*(日次管理!#REF!=$A$5)*(日次管理!#REF!="実施完了")*(日次管理!#REF!="予定")*(日次管理!#REF!=$A$2),日次管理!#REF!)</f>
        <v>#REF!</v>
      </c>
      <c r="AY5" s="56" t="e">
        <f>SUMPRODUCT((日次管理!#REF!&lt;=$AY$3)*(日次管理!#REF!=$A$5)*(日次管理!#REF!="実施完了")*(日次管理!#REF!="実績")*(日次管理!#REF!=$A$2),日次管理!#REF!)</f>
        <v>#REF!</v>
      </c>
      <c r="AZ5" s="55" t="e">
        <f>SUMPRODUCT((日次管理!#REF!&lt;=$AZ$3)*(日次管理!#REF!=$A$5)*(日次管理!#REF!="実施完了")*(日次管理!#REF!="予定")*(日次管理!#REF!=$A$2),日次管理!#REF!)</f>
        <v>#REF!</v>
      </c>
      <c r="BA5" s="56" t="e">
        <f>SUMPRODUCT((日次管理!#REF!&lt;=$BA$3)*(日次管理!#REF!=$A$5)*(日次管理!#REF!="実施完了")*(日次管理!#REF!="実績")*(日次管理!#REF!=$A$2),日次管理!#REF!)</f>
        <v>#REF!</v>
      </c>
      <c r="BB5" s="55" t="e">
        <f>SUMPRODUCT((日次管理!#REF!&lt;=$BB$3)*(日次管理!#REF!=$A$5)*(日次管理!#REF!="実施完了")*(日次管理!#REF!="予定")*(日次管理!#REF!=$A$2),日次管理!#REF!)</f>
        <v>#REF!</v>
      </c>
      <c r="BC5" s="56" t="e">
        <f>SUMPRODUCT((日次管理!#REF!&lt;=$BC$3)*(日次管理!#REF!=$A$5)*(日次管理!#REF!="実施完了")*(日次管理!#REF!="実績")*(日次管理!#REF!=$A$2),日次管理!#REF!)</f>
        <v>#REF!</v>
      </c>
      <c r="BD5" s="55" t="e">
        <f>SUMPRODUCT((日次管理!#REF!&lt;=$BD$3)*(日次管理!#REF!=$A$5)*(日次管理!#REF!="実施完了")*(日次管理!#REF!="予定")*(日次管理!#REF!=$A$2),日次管理!#REF!)</f>
        <v>#REF!</v>
      </c>
      <c r="BE5" s="56" t="e">
        <f>SUMPRODUCT((日次管理!#REF!&lt;=$BE$3)*(日次管理!#REF!=$A$5)*(日次管理!#REF!="実施完了")*(日次管理!#REF!="実績")*(日次管理!#REF!=$A$2),日次管理!#REF!)</f>
        <v>#REF!</v>
      </c>
      <c r="BF5" s="55" t="e">
        <f>SUMPRODUCT((日次管理!#REF!&lt;=$BF$3)*(日次管理!#REF!=$A$5)*(日次管理!#REF!="実施完了")*(日次管理!#REF!="予定")*(日次管理!#REF!=$A$2),日次管理!#REF!)</f>
        <v>#REF!</v>
      </c>
      <c r="BG5" s="56" t="e">
        <f>SUMPRODUCT((日次管理!#REF!&lt;=$BG$3)*(日次管理!#REF!=$A$5)*(日次管理!#REF!="実施完了")*(日次管理!#REF!="実績")*(日次管理!#REF!=$A$2),日次管理!#REF!)</f>
        <v>#REF!</v>
      </c>
      <c r="BH5" s="55" t="e">
        <f>SUMPRODUCT((日次管理!#REF!&lt;=$BH$3)*(日次管理!#REF!=$A$5)*(日次管理!#REF!="実施完了")*(日次管理!#REF!="予定")*(日次管理!#REF!=$A$2),日次管理!#REF!)</f>
        <v>#REF!</v>
      </c>
      <c r="BI5" s="56" t="e">
        <f>SUMPRODUCT((日次管理!#REF!&lt;=$BI$3)*(日次管理!#REF!=$A$5)*(日次管理!#REF!="実施完了")*(日次管理!#REF!="実績")*(日次管理!#REF!=$A$2),日次管理!#REF!)</f>
        <v>#REF!</v>
      </c>
      <c r="BJ5" s="55" t="e">
        <f>SUMPRODUCT((日次管理!#REF!&lt;=$BJ$3)*(日次管理!#REF!=$A$5)*(日次管理!#REF!="実施完了")*(日次管理!#REF!="予定")*(日次管理!#REF!=$A$2),日次管理!#REF!)</f>
        <v>#REF!</v>
      </c>
      <c r="BK5" s="56" t="e">
        <f>SUMPRODUCT((日次管理!#REF!&lt;=$BK$3)*(日次管理!#REF!=$A$5)*(日次管理!#REF!="実施完了")*(日次管理!#REF!="実績")*(日次管理!#REF!=$A$2),日次管理!#REF!)</f>
        <v>#REF!</v>
      </c>
      <c r="BL5" s="55" t="e">
        <f>SUMPRODUCT((日次管理!#REF!&lt;=$BL$3)*(日次管理!#REF!=$A$5)*(日次管理!#REF!="実施完了")*(日次管理!#REF!="予定")*(日次管理!#REF!=$A$2),日次管理!#REF!)</f>
        <v>#REF!</v>
      </c>
      <c r="BM5" s="56" t="e">
        <f>SUMPRODUCT((日次管理!#REF!&lt;=$BM$3)*(日次管理!#REF!=$A$5)*(日次管理!#REF!="実施完了")*(日次管理!#REF!="実績")*(日次管理!#REF!=$A$2),日次管理!#REF!)</f>
        <v>#REF!</v>
      </c>
      <c r="BN5" s="55" t="e">
        <f>SUMPRODUCT((日次管理!#REF!&lt;=$BN$3)*(日次管理!#REF!=$A$5)*(日次管理!#REF!="実施完了")*(日次管理!#REF!="予定")*(日次管理!#REF!=$A$2),日次管理!#REF!)</f>
        <v>#REF!</v>
      </c>
      <c r="BO5" s="56" t="e">
        <f>SUMPRODUCT((日次管理!#REF!&lt;=$BO$3)*(日次管理!#REF!=$A$5)*(日次管理!#REF!="実施完了")*(日次管理!#REF!="実績")*(日次管理!#REF!=$A$2),日次管理!#REF!)</f>
        <v>#REF!</v>
      </c>
      <c r="BP5" s="55" t="e">
        <f>SUMPRODUCT((日次管理!#REF!&lt;=$BP$3)*(日次管理!#REF!=$A$5)*(日次管理!#REF!="実施完了")*(日次管理!#REF!="予定")*(日次管理!#REF!=$A$2),日次管理!#REF!)</f>
        <v>#REF!</v>
      </c>
      <c r="BQ5" s="56" t="e">
        <f>SUMPRODUCT((日次管理!#REF!&lt;=$BQ$3)*(日次管理!#REF!=$A$5)*(日次管理!#REF!="実施完了")*(日次管理!#REF!="実績")*(日次管理!#REF!=$A$2),日次管理!#REF!)</f>
        <v>#REF!</v>
      </c>
      <c r="BR5" s="55" t="e">
        <f>SUMPRODUCT((日次管理!#REF!&lt;=$BR$3)*(日次管理!#REF!=$A$5)*(日次管理!#REF!="実施完了")*(日次管理!#REF!="予定")*(日次管理!#REF!=$A$2),日次管理!#REF!)</f>
        <v>#REF!</v>
      </c>
      <c r="BS5" s="56" t="e">
        <f>SUMPRODUCT((日次管理!#REF!&lt;=$BS$3)*(日次管理!#REF!=$A$5)*(日次管理!#REF!="実施完了")*(日次管理!#REF!="実績")*(日次管理!#REF!=$A$2),日次管理!#REF!)</f>
        <v>#REF!</v>
      </c>
      <c r="BT5" s="55" t="e">
        <f>SUMPRODUCT((日次管理!#REF!&lt;=$BT$3)*(日次管理!#REF!=$A$5)*(日次管理!#REF!="実施完了")*(日次管理!#REF!="予定")*(日次管理!#REF!=$A$2),日次管理!#REF!)</f>
        <v>#REF!</v>
      </c>
      <c r="BU5" s="56" t="e">
        <f>SUMPRODUCT((日次管理!#REF!&lt;=$BU$3)*(日次管理!#REF!=$A$5)*(日次管理!#REF!="実施完了")*(日次管理!#REF!="実績")*(日次管理!#REF!=$A$2),日次管理!#REF!)</f>
        <v>#REF!</v>
      </c>
      <c r="BV5" s="55" t="e">
        <f>SUMPRODUCT((日次管理!#REF!&lt;=$BV$3)*(日次管理!#REF!=$A$5)*(日次管理!#REF!="実施完了")*(日次管理!#REF!="予定")*(日次管理!#REF!=$A$2),日次管理!#REF!)</f>
        <v>#REF!</v>
      </c>
      <c r="BW5" s="56" t="e">
        <f>SUMPRODUCT((日次管理!#REF!&lt;=$BW$3)*(日次管理!#REF!=$A$5)*(日次管理!#REF!="実施完了")*(日次管理!#REF!="実績")*(日次管理!#REF!=$A$2),日次管理!#REF!)</f>
        <v>#REF!</v>
      </c>
      <c r="BX5" s="55" t="e">
        <f>SUMPRODUCT((日次管理!#REF!&lt;=$BX$3)*(日次管理!#REF!=$A$5)*(日次管理!#REF!="実施完了")*(日次管理!#REF!="予定")*(日次管理!#REF!=$A$2),日次管理!#REF!)</f>
        <v>#REF!</v>
      </c>
      <c r="BY5" s="56" t="e">
        <f>SUMPRODUCT((日次管理!#REF!&lt;=$BY$3)*(日次管理!#REF!=$A$5)*(日次管理!#REF!="実施完了")*(日次管理!#REF!="実績")*(日次管理!#REF!=$A$2),日次管理!#REF!)</f>
        <v>#REF!</v>
      </c>
      <c r="BZ5" s="55" t="e">
        <f>SUMPRODUCT((日次管理!#REF!&lt;=$BZ$3)*(日次管理!#REF!=$A$5)*(日次管理!#REF!="実施完了")*(日次管理!#REF!="予定")*(日次管理!#REF!=$A$2),日次管理!#REF!)</f>
        <v>#REF!</v>
      </c>
      <c r="CA5" s="56" t="e">
        <f>SUMPRODUCT((日次管理!#REF!&lt;=$CA$3)*(日次管理!#REF!=$A$5)*(日次管理!#REF!="実施完了")*(日次管理!#REF!="実績")*(日次管理!#REF!=$A$2),日次管理!#REF!)</f>
        <v>#REF!</v>
      </c>
      <c r="CB5" s="55" t="e">
        <f>SUMPRODUCT((日次管理!#REF!&lt;=$CB$3)*(日次管理!#REF!=$A$5)*(日次管理!#REF!="実施完了")*(日次管理!#REF!="予定")*(日次管理!#REF!=$A$2),日次管理!#REF!)</f>
        <v>#REF!</v>
      </c>
      <c r="CC5" s="56" t="e">
        <f>SUMPRODUCT((日次管理!#REF!&lt;=$CC$3)*(日次管理!#REF!=$A$5)*(日次管理!#REF!="実施完了")*(日次管理!#REF!="実績")*(日次管理!#REF!=$A$2),日次管理!#REF!)</f>
        <v>#REF!</v>
      </c>
      <c r="CD5" s="55" t="e">
        <f>SUMPRODUCT((日次管理!#REF!&lt;=$CD$3)*(日次管理!#REF!=$A$5)*(日次管理!#REF!="実施完了")*(日次管理!#REF!="予定")*(日次管理!#REF!=$A$2),日次管理!#REF!)</f>
        <v>#REF!</v>
      </c>
      <c r="CE5" s="56" t="e">
        <f>SUMPRODUCT((日次管理!#REF!&lt;=$CE$3)*(日次管理!#REF!=$A$5)*(日次管理!#REF!="実施完了")*(日次管理!#REF!="実績")*(日次管理!#REF!=$A$2),日次管理!#REF!)</f>
        <v>#REF!</v>
      </c>
      <c r="CF5" s="55" t="e">
        <f>SUMPRODUCT((日次管理!#REF!&lt;=$CF$3)*(日次管理!#REF!=$A$5)*(日次管理!#REF!="実施完了")*(日次管理!#REF!="予定")*(日次管理!#REF!=$A$2),日次管理!#REF!)</f>
        <v>#REF!</v>
      </c>
      <c r="CG5" s="56" t="e">
        <f>SUMPRODUCT((日次管理!#REF!&lt;=$CG$3)*(日次管理!#REF!=$A$5)*(日次管理!#REF!="実施完了")*(日次管理!#REF!="実績")*(日次管理!#REF!=$A$2),日次管理!#REF!)</f>
        <v>#REF!</v>
      </c>
      <c r="CH5" s="55" t="e">
        <f>SUMPRODUCT((日次管理!#REF!&lt;=$CH$3)*(日次管理!#REF!=$A$5)*(日次管理!#REF!="実施完了")*(日次管理!#REF!="予定")*(日次管理!#REF!=$A$2),日次管理!#REF!)</f>
        <v>#REF!</v>
      </c>
      <c r="CI5" s="56" t="e">
        <f>SUMPRODUCT((日次管理!#REF!&lt;=$CI$3)*(日次管理!#REF!=$A$5)*(日次管理!#REF!="実施完了")*(日次管理!#REF!="実績")*(日次管理!#REF!=$A$2),日次管理!#REF!)</f>
        <v>#REF!</v>
      </c>
      <c r="CJ5" s="55" t="e">
        <f>SUMPRODUCT((日次管理!#REF!&lt;=$CJ$3)*(日次管理!#REF!=$A$5)*(日次管理!#REF!="実施完了")*(日次管理!#REF!="予定")*(日次管理!#REF!=$A$2),日次管理!#REF!)</f>
        <v>#REF!</v>
      </c>
      <c r="CK5" s="56" t="e">
        <f>SUMPRODUCT((日次管理!#REF!&lt;=$CK$3)*(日次管理!#REF!=$A$5)*(日次管理!#REF!="実施完了")*(日次管理!#REF!="実績")*(日次管理!#REF!=$A$2),日次管理!#REF!)</f>
        <v>#REF!</v>
      </c>
      <c r="CL5" s="55" t="e">
        <f>SUMPRODUCT((日次管理!#REF!&lt;=$CL$3)*(日次管理!#REF!=$A$5)*(日次管理!#REF!="実施完了")*(日次管理!#REF!="予定")*(日次管理!#REF!=$A$2),日次管理!#REF!)</f>
        <v>#REF!</v>
      </c>
      <c r="CM5" s="56" t="e">
        <f>SUMPRODUCT((日次管理!#REF!&lt;=$CM$3)*(日次管理!#REF!=$A$5)*(日次管理!#REF!="実施完了")*(日次管理!#REF!="実績")*(日次管理!#REF!=$A$2),日次管理!#REF!)</f>
        <v>#REF!</v>
      </c>
      <c r="CN5" s="55" t="e">
        <f>SUMPRODUCT((日次管理!#REF!&lt;=$CN$3)*(日次管理!#REF!=$A$5)*(日次管理!#REF!="実施完了")*(日次管理!#REF!="予定")*(日次管理!#REF!=$A$2),日次管理!#REF!)</f>
        <v>#REF!</v>
      </c>
      <c r="CO5" s="56" t="e">
        <f>SUMPRODUCT((日次管理!#REF!&lt;=$CO$3)*(日次管理!#REF!=$A$5)*(日次管理!#REF!="実施完了")*(日次管理!#REF!="実績")*(日次管理!#REF!=$A$2),日次管理!#REF!)</f>
        <v>#REF!</v>
      </c>
      <c r="CP5" s="55" t="e">
        <f>SUMPRODUCT((日次管理!#REF!&lt;=$CP$3)*(日次管理!#REF!=$A$5)*(日次管理!#REF!="実施完了")*(日次管理!#REF!="予定")*(日次管理!#REF!=$A$2),日次管理!#REF!)</f>
        <v>#REF!</v>
      </c>
      <c r="CQ5" s="56" t="e">
        <f>SUMPRODUCT((日次管理!#REF!&lt;=$CQ$3)*(日次管理!#REF!=$A$5)*(日次管理!#REF!="実施完了")*(日次管理!#REF!="実績")*(日次管理!#REF!=$A$2),日次管理!#REF!)</f>
        <v>#REF!</v>
      </c>
      <c r="CR5" s="55" t="e">
        <f>SUMPRODUCT((日次管理!#REF!&lt;=$CR$3)*(日次管理!#REF!=$A$5)*(日次管理!#REF!="実施完了")*(日次管理!#REF!="予定")*(日次管理!#REF!=$A$2),日次管理!#REF!)</f>
        <v>#REF!</v>
      </c>
      <c r="CS5" s="56" t="e">
        <f>SUMPRODUCT((日次管理!#REF!&lt;=$CS$3)*(日次管理!#REF!=$A$5)*(日次管理!#REF!="実施完了")*(日次管理!#REF!="実績")*(日次管理!#REF!=$A$2),日次管理!#REF!)</f>
        <v>#REF!</v>
      </c>
      <c r="CT5" s="55" t="e">
        <f>SUMPRODUCT((日次管理!#REF!&lt;=$CT$3)*(日次管理!#REF!=$A$5)*(日次管理!#REF!="実施完了")*(日次管理!#REF!="予定")*(日次管理!#REF!=$A$2),日次管理!#REF!)</f>
        <v>#REF!</v>
      </c>
      <c r="CU5" s="56" t="e">
        <f>SUMPRODUCT((日次管理!#REF!&lt;=$CU$3)*(日次管理!#REF!=$A$5)*(日次管理!#REF!="実施完了")*(日次管理!#REF!="実績")*(日次管理!#REF!=$A$2),日次管理!#REF!)</f>
        <v>#REF!</v>
      </c>
      <c r="CV5" s="57" t="e">
        <f ca="1">SUMPRODUCT(($A$3- WEEKDAY($A$3) + 6 =$B$3:$CU$3)*("実績"=$B$4:$CU$4),$B$5:$CU$5)/SUMPRODUCT(($A$3- WEEKDAY($A$3) + 6 =$B$3:$CU$3)*("予定"=$B$4:$CU$4),$B$5:$CU$5)</f>
        <v>#REF!</v>
      </c>
      <c r="CW5" s="58" t="e">
        <f>$CU$5/$CT$5</f>
        <v>#REF!</v>
      </c>
    </row>
    <row r="6" spans="1:101" ht="20.149999999999999" customHeight="1">
      <c r="A6" s="104" t="s">
        <v>83</v>
      </c>
      <c r="B6" s="91" t="e">
        <f>SUMPRODUCT((日次管理!#REF!&lt;=$B$3)*(日次管理!#REF!=$A$6)*(日次管理!#REF!="実施完了")*(日次管理!#REF!="予定")*(日次管理!#REF!=$A$2),日次管理!#REF!)</f>
        <v>#REF!</v>
      </c>
      <c r="C6" s="59" t="e">
        <f>SUMPRODUCT((日次管理!#REF!&lt;=$C$3)*(日次管理!#REF!=$A$6)*(日次管理!#REF!="実施完了")*(日次管理!#REF!="実績")*(日次管理!#REF!=$A$2),日次管理!#REF!)</f>
        <v>#REF!</v>
      </c>
      <c r="D6" s="91" t="e">
        <f>SUMPRODUCT((日次管理!#REF!&lt;=$D$3)*(日次管理!#REF!=$A$6)*(日次管理!#REF!="実施完了")*(日次管理!#REF!="予定")*(日次管理!#REF!=$A$2),日次管理!#REF!)</f>
        <v>#REF!</v>
      </c>
      <c r="E6" s="59" t="e">
        <f>SUMPRODUCT((日次管理!#REF!&lt;=$E$3)*(日次管理!#REF!=$A$6)*(日次管理!#REF!="実施完了")*(日次管理!#REF!="実績")*(日次管理!#REF!=$A$2),日次管理!#REF!)</f>
        <v>#REF!</v>
      </c>
      <c r="F6" s="91" t="e">
        <f>SUMPRODUCT((日次管理!#REF!&lt;=$F$3)*(日次管理!#REF!=$A$6)*(日次管理!#REF!="実施完了")*(日次管理!#REF!="予定")*(日次管理!#REF!=$A$2),日次管理!#REF!)</f>
        <v>#REF!</v>
      </c>
      <c r="G6" s="59" t="e">
        <f>SUMPRODUCT((日次管理!#REF!&lt;=$G$3)*(日次管理!#REF!=$A$6)*(日次管理!#REF!="実施完了")*(日次管理!#REF!="実績")*(日次管理!#REF!=$A$2),日次管理!#REF!)</f>
        <v>#REF!</v>
      </c>
      <c r="H6" s="91" t="e">
        <f>SUMPRODUCT((日次管理!#REF!&lt;=$H$3)*(日次管理!#REF!=$A$6)*(日次管理!#REF!="実施完了")*(日次管理!#REF!="予定")*(日次管理!#REF!=$A$2),日次管理!#REF!)</f>
        <v>#REF!</v>
      </c>
      <c r="I6" s="59" t="e">
        <f>SUMPRODUCT((日次管理!#REF!&lt;=$I$3)*(日次管理!#REF!=$A$6)*(日次管理!#REF!="実施完了")*(日次管理!#REF!="実績")*(日次管理!#REF!=$A$2),日次管理!#REF!)</f>
        <v>#REF!</v>
      </c>
      <c r="J6" s="91" t="e">
        <f>SUMPRODUCT((日次管理!#REF!&lt;=$J$3)*(日次管理!#REF!=$A$6)*(日次管理!#REF!="実施完了")*(日次管理!#REF!="予定")*(日次管理!#REF!=$A$2),日次管理!#REF!)</f>
        <v>#REF!</v>
      </c>
      <c r="K6" s="59" t="e">
        <f>SUMPRODUCT((日次管理!#REF!&lt;=$K$3)*(日次管理!#REF!=$A$6)*(日次管理!#REF!="実施完了")*(日次管理!#REF!="実績")*(日次管理!#REF!=$A$2),日次管理!#REF!)</f>
        <v>#REF!</v>
      </c>
      <c r="L6" s="91" t="e">
        <f>SUMPRODUCT((日次管理!#REF!&lt;=$L$3)*(日次管理!#REF!=$A$6)*(日次管理!#REF!="実施完了")*(日次管理!#REF!="予定")*(日次管理!#REF!=$A$2),日次管理!#REF!)</f>
        <v>#REF!</v>
      </c>
      <c r="M6" s="59" t="e">
        <f>SUMPRODUCT((日次管理!#REF!&lt;=$M$3)*(日次管理!#REF!=$A$6)*(日次管理!#REF!="実施完了")*(日次管理!#REF!="実績")*(日次管理!#REF!=$A$2),日次管理!#REF!)</f>
        <v>#REF!</v>
      </c>
      <c r="N6" s="91" t="e">
        <f>SUMPRODUCT((日次管理!#REF!&lt;=$N$3)*(日次管理!#REF!=$A$6)*(日次管理!#REF!="実施完了")*(日次管理!#REF!="予定")*(日次管理!#REF!=$A$2),日次管理!#REF!)</f>
        <v>#REF!</v>
      </c>
      <c r="O6" s="59" t="e">
        <f>SUMPRODUCT((日次管理!#REF!&lt;=$O$3)*(日次管理!#REF!=$A$6)*(日次管理!#REF!="実施完了")*(日次管理!#REF!="実績")*(日次管理!#REF!=$A$2),日次管理!#REF!)</f>
        <v>#REF!</v>
      </c>
      <c r="P6" s="91" t="e">
        <f>SUMPRODUCT((日次管理!#REF!&lt;=$P$3)*(日次管理!#REF!=$A$6)*(日次管理!#REF!="実施完了")*(日次管理!#REF!="予定")*(日次管理!#REF!=$A$2),日次管理!#REF!)</f>
        <v>#REF!</v>
      </c>
      <c r="Q6" s="59" t="e">
        <f>SUMPRODUCT((日次管理!#REF!&lt;=$Q$3)*(日次管理!#REF!=$A$6)*(日次管理!#REF!="実施完了")*(日次管理!#REF!="実績")*(日次管理!#REF!=$A$2),日次管理!#REF!)</f>
        <v>#REF!</v>
      </c>
      <c r="R6" s="91" t="e">
        <f>SUMPRODUCT((日次管理!#REF!&lt;=$R$3)*(日次管理!#REF!=$A$6)*(日次管理!#REF!="実施完了")*(日次管理!#REF!="予定")*(日次管理!#REF!=$A$2),日次管理!#REF!)</f>
        <v>#REF!</v>
      </c>
      <c r="S6" s="59" t="e">
        <f>SUMPRODUCT((日次管理!#REF!&lt;=$S$3)*(日次管理!#REF!=$A$6)*(日次管理!#REF!="実施完了")*(日次管理!#REF!="実績")*(日次管理!#REF!=$A$2),日次管理!#REF!)</f>
        <v>#REF!</v>
      </c>
      <c r="T6" s="91" t="e">
        <f>SUMPRODUCT((日次管理!#REF!&lt;=$T$3)*(日次管理!#REF!=$A$6)*(日次管理!#REF!="実施完了")*(日次管理!#REF!="予定")*(日次管理!#REF!=$A$2),日次管理!#REF!)</f>
        <v>#REF!</v>
      </c>
      <c r="U6" s="59" t="e">
        <f>SUMPRODUCT((日次管理!#REF!&lt;=$U$3)*(日次管理!#REF!=$A$6)*(日次管理!#REF!="実施完了")*(日次管理!#REF!="実績")*(日次管理!#REF!=$A$2),日次管理!#REF!)</f>
        <v>#REF!</v>
      </c>
      <c r="V6" s="91" t="e">
        <f>SUMPRODUCT((日次管理!#REF!&lt;=$V$3)*(日次管理!#REF!=$A$6)*(日次管理!#REF!="実施完了")*(日次管理!#REF!="予定")*(日次管理!#REF!=$A$2),日次管理!#REF!)</f>
        <v>#REF!</v>
      </c>
      <c r="W6" s="59" t="e">
        <f>SUMPRODUCT((日次管理!#REF!&lt;=$W$3)*(日次管理!#REF!=$A$6)*(日次管理!#REF!="実施完了")*(日次管理!#REF!="実績")*(日次管理!#REF!=$A$2),日次管理!#REF!)</f>
        <v>#REF!</v>
      </c>
      <c r="X6" s="91" t="e">
        <f>SUMPRODUCT((日次管理!#REF!&lt;=$X$3)*(日次管理!#REF!=$A$6)*(日次管理!#REF!="実施完了")*(日次管理!#REF!="予定")*(日次管理!#REF!=$A$2),日次管理!#REF!)</f>
        <v>#REF!</v>
      </c>
      <c r="Y6" s="59" t="e">
        <f>SUMPRODUCT((日次管理!#REF!&lt;=$Y$3)*(日次管理!#REF!=$A$6)*(日次管理!#REF!="実施完了")*(日次管理!#REF!="実績")*(日次管理!#REF!=$A$2),日次管理!#REF!)</f>
        <v>#REF!</v>
      </c>
      <c r="Z6" s="91" t="e">
        <f>SUMPRODUCT((日次管理!#REF!&lt;=$Z$3)*(日次管理!#REF!=$A$6)*(日次管理!#REF!="実施完了")*(日次管理!#REF!="予定")*(日次管理!#REF!=$A$2),日次管理!#REF!)</f>
        <v>#REF!</v>
      </c>
      <c r="AA6" s="59" t="e">
        <f>SUMPRODUCT((日次管理!#REF!&lt;=$AA$3)*(日次管理!#REF!=$A$6)*(日次管理!#REF!="実施完了")*(日次管理!#REF!="実績")*(日次管理!#REF!=$A$2),日次管理!#REF!)</f>
        <v>#REF!</v>
      </c>
      <c r="AB6" s="91" t="e">
        <f>SUMPRODUCT((日次管理!#REF!&lt;=$AB$3)*(日次管理!#REF!=$A$6)*(日次管理!#REF!="実施完了")*(日次管理!#REF!="予定")*(日次管理!#REF!=$A$2),日次管理!#REF!)</f>
        <v>#REF!</v>
      </c>
      <c r="AC6" s="59" t="e">
        <f>SUMPRODUCT((日次管理!#REF!&lt;=$AC$3)*(日次管理!#REF!=$A$6)*(日次管理!#REF!="実施完了")*(日次管理!#REF!="実績")*(日次管理!#REF!=$A$2),日次管理!#REF!)</f>
        <v>#REF!</v>
      </c>
      <c r="AD6" s="91" t="e">
        <f>SUMPRODUCT((日次管理!#REF!&lt;=$AD$3)*(日次管理!#REF!=$A$6)*(日次管理!#REF!="実施完了")*(日次管理!#REF!="予定")*(日次管理!#REF!=$A$2),日次管理!#REF!)</f>
        <v>#REF!</v>
      </c>
      <c r="AE6" s="59" t="e">
        <f>SUMPRODUCT((日次管理!#REF!&lt;=$AE$3)*(日次管理!#REF!=$A$6)*(日次管理!#REF!="実施完了")*(日次管理!#REF!="実績")*(日次管理!#REF!=$A$2),日次管理!#REF!)</f>
        <v>#REF!</v>
      </c>
      <c r="AF6" s="91" t="e">
        <f>SUMPRODUCT((日次管理!#REF!&lt;=$AF$3)*(日次管理!#REF!=$A$6)*(日次管理!#REF!="実施完了")*(日次管理!#REF!="予定")*(日次管理!#REF!=$A$2),日次管理!#REF!)</f>
        <v>#REF!</v>
      </c>
      <c r="AG6" s="59" t="e">
        <f>SUMPRODUCT((日次管理!#REF!&lt;=$AG$3)*(日次管理!#REF!=$A$6)*(日次管理!#REF!="実施完了")*(日次管理!#REF!="実績")*(日次管理!#REF!=$A$2),日次管理!#REF!)</f>
        <v>#REF!</v>
      </c>
      <c r="AH6" s="91" t="e">
        <f>SUMPRODUCT((日次管理!#REF!&lt;=$AH$3)*(日次管理!#REF!=$A$6)*(日次管理!#REF!="実施完了")*(日次管理!#REF!="予定")*(日次管理!#REF!=$A$2),日次管理!#REF!)</f>
        <v>#REF!</v>
      </c>
      <c r="AI6" s="59" t="e">
        <f>SUMPRODUCT((日次管理!#REF!&lt;=$AI$3)*(日次管理!#REF!=$A$6)*(日次管理!#REF!="実施完了")*(日次管理!#REF!="実績")*(日次管理!#REF!=$A$2),日次管理!#REF!)</f>
        <v>#REF!</v>
      </c>
      <c r="AJ6" s="91" t="e">
        <f>SUMPRODUCT((日次管理!#REF!&lt;=$AJ$3)*(日次管理!#REF!=$A$6)*(日次管理!#REF!="実施完了")*(日次管理!#REF!="予定")*(日次管理!#REF!=$A$2),日次管理!#REF!)</f>
        <v>#REF!</v>
      </c>
      <c r="AK6" s="59" t="e">
        <f>SUMPRODUCT((日次管理!#REF!&lt;=$AK$3)*(日次管理!#REF!=$A$6)*(日次管理!#REF!="実施完了")*(日次管理!#REF!="実績")*(日次管理!#REF!=$A$2),日次管理!#REF!)</f>
        <v>#REF!</v>
      </c>
      <c r="AL6" s="91" t="e">
        <f>SUMPRODUCT((日次管理!#REF!&lt;=$AL$3)*(日次管理!#REF!=$A$6)*(日次管理!#REF!="実施完了")*(日次管理!#REF!="予定")*(日次管理!#REF!=$A$2),日次管理!#REF!)</f>
        <v>#REF!</v>
      </c>
      <c r="AM6" s="59" t="e">
        <f>SUMPRODUCT((日次管理!#REF!&lt;=$AM$3)*(日次管理!#REF!=$A$6)*(日次管理!#REF!="実施完了")*(日次管理!#REF!="実績")*(日次管理!#REF!=$A$2),日次管理!#REF!)</f>
        <v>#REF!</v>
      </c>
      <c r="AN6" s="91" t="e">
        <f>SUMPRODUCT((日次管理!#REF!&lt;=$AN$3)*(日次管理!#REF!=$A$6)*(日次管理!#REF!="実施完了")*(日次管理!#REF!="予定")*(日次管理!#REF!=$A$2),日次管理!#REF!)</f>
        <v>#REF!</v>
      </c>
      <c r="AO6" s="59" t="e">
        <f>SUMPRODUCT((日次管理!#REF!&lt;=$AO$3)*(日次管理!#REF!=$A$6)*(日次管理!#REF!="実施完了")*(日次管理!#REF!="実績")*(日次管理!#REF!=$A$2),日次管理!#REF!)</f>
        <v>#REF!</v>
      </c>
      <c r="AP6" s="91" t="e">
        <f>SUMPRODUCT((日次管理!#REF!&lt;=$AP$3)*(日次管理!#REF!=$A$6)*(日次管理!#REF!="実施完了")*(日次管理!#REF!="予定")*(日次管理!#REF!=$A$2),日次管理!#REF!)</f>
        <v>#REF!</v>
      </c>
      <c r="AQ6" s="59" t="e">
        <f>SUMPRODUCT((日次管理!#REF!&lt;=$AQ$3)*(日次管理!#REF!=$A$6)*(日次管理!#REF!="実施完了")*(日次管理!#REF!="実績")*(日次管理!#REF!=$A$2),日次管理!#REF!)</f>
        <v>#REF!</v>
      </c>
      <c r="AR6" s="91" t="e">
        <f>SUMPRODUCT((日次管理!#REF!&lt;=$AR$3)*(日次管理!#REF!=$A$6)*(日次管理!#REF!="実施完了")*(日次管理!#REF!="予定")*(日次管理!#REF!=$A$2),日次管理!#REF!)</f>
        <v>#REF!</v>
      </c>
      <c r="AS6" s="59" t="e">
        <f>SUMPRODUCT((日次管理!#REF!&lt;=$AS$3)*(日次管理!#REF!=$A$6)*(日次管理!#REF!="実施完了")*(日次管理!#REF!="実績")*(日次管理!#REF!=$A$2),日次管理!#REF!)</f>
        <v>#REF!</v>
      </c>
      <c r="AT6" s="91" t="e">
        <f>SUMPRODUCT((日次管理!#REF!&lt;=$AT$3)*(日次管理!#REF!=$A$6)*(日次管理!#REF!="実施完了")*(日次管理!#REF!="予定")*(日次管理!#REF!=$A$2),日次管理!#REF!)</f>
        <v>#REF!</v>
      </c>
      <c r="AU6" s="59" t="e">
        <f>SUMPRODUCT((日次管理!#REF!&lt;=$AU$3)*(日次管理!#REF!=$A$6)*(日次管理!#REF!="実施完了")*(日次管理!#REF!="実績")*(日次管理!#REF!=$A$2),日次管理!#REF!)</f>
        <v>#REF!</v>
      </c>
      <c r="AV6" s="91" t="e">
        <f>SUMPRODUCT((日次管理!#REF!&lt;=$AV$3)*(日次管理!#REF!=$A$6)*(日次管理!#REF!="実施完了")*(日次管理!#REF!="予定")*(日次管理!#REF!=$A$2),日次管理!#REF!)</f>
        <v>#REF!</v>
      </c>
      <c r="AW6" s="59" t="e">
        <f>SUMPRODUCT((日次管理!#REF!&lt;=$AW$3)*(日次管理!#REF!=$A$6)*(日次管理!#REF!="実施完了")*(日次管理!#REF!="実績")*(日次管理!#REF!=$A$2),日次管理!#REF!)</f>
        <v>#REF!</v>
      </c>
      <c r="AX6" s="91" t="e">
        <f>SUMPRODUCT((日次管理!#REF!&lt;=$AX$3)*(日次管理!#REF!=$A$6)*(日次管理!#REF!="実施完了")*(日次管理!#REF!="予定")*(日次管理!#REF!=$A$2),日次管理!#REF!)</f>
        <v>#REF!</v>
      </c>
      <c r="AY6" s="59" t="e">
        <f>SUMPRODUCT((日次管理!#REF!&lt;=$AY$3)*(日次管理!#REF!=$A$6)*(日次管理!#REF!="実施完了")*(日次管理!#REF!="実績")*(日次管理!#REF!=$A$2),日次管理!#REF!)</f>
        <v>#REF!</v>
      </c>
      <c r="AZ6" s="91" t="e">
        <f>SUMPRODUCT((日次管理!#REF!&lt;=$AZ$3)*(日次管理!#REF!=$A$6)*(日次管理!#REF!="実施完了")*(日次管理!#REF!="予定")*(日次管理!#REF!=$A$2),日次管理!#REF!)</f>
        <v>#REF!</v>
      </c>
      <c r="BA6" s="59" t="e">
        <f>SUMPRODUCT((日次管理!#REF!&lt;=$BA$3)*(日次管理!#REF!=$A$6)*(日次管理!#REF!="実施完了")*(日次管理!#REF!="実績")*(日次管理!#REF!=$A$2),日次管理!#REF!)</f>
        <v>#REF!</v>
      </c>
      <c r="BB6" s="91" t="e">
        <f>SUMPRODUCT((日次管理!#REF!&lt;=$BB$3)*(日次管理!#REF!=$A$6)*(日次管理!#REF!="実施完了")*(日次管理!#REF!="予定")*(日次管理!#REF!=$A$2),日次管理!#REF!)</f>
        <v>#REF!</v>
      </c>
      <c r="BC6" s="59" t="e">
        <f>SUMPRODUCT((日次管理!#REF!&lt;=$BC$3)*(日次管理!#REF!=$A$6)*(日次管理!#REF!="実施完了")*(日次管理!#REF!="実績")*(日次管理!#REF!=$A$2),日次管理!#REF!)</f>
        <v>#REF!</v>
      </c>
      <c r="BD6" s="91" t="e">
        <f>SUMPRODUCT((日次管理!#REF!&lt;=$BD$3)*(日次管理!#REF!=$A$6)*(日次管理!#REF!="実施完了")*(日次管理!#REF!="予定")*(日次管理!#REF!=$A$2),日次管理!#REF!)</f>
        <v>#REF!</v>
      </c>
      <c r="BE6" s="59" t="e">
        <f>SUMPRODUCT((日次管理!#REF!&lt;=$BE$3)*(日次管理!#REF!=$A$6)*(日次管理!#REF!="実施完了")*(日次管理!#REF!="実績")*(日次管理!#REF!=$A$2),日次管理!#REF!)</f>
        <v>#REF!</v>
      </c>
      <c r="BF6" s="91" t="e">
        <f>SUMPRODUCT((日次管理!#REF!&lt;=$BF$3)*(日次管理!#REF!=$A$6)*(日次管理!#REF!="実施完了")*(日次管理!#REF!="予定")*(日次管理!#REF!=$A$2),日次管理!#REF!)</f>
        <v>#REF!</v>
      </c>
      <c r="BG6" s="59" t="e">
        <f>SUMPRODUCT((日次管理!#REF!&lt;=$BG$3)*(日次管理!#REF!=$A$6)*(日次管理!#REF!="実施完了")*(日次管理!#REF!="実績")*(日次管理!#REF!=$A$2),日次管理!#REF!)</f>
        <v>#REF!</v>
      </c>
      <c r="BH6" s="91" t="e">
        <f>SUMPRODUCT((日次管理!#REF!&lt;=$BH$3)*(日次管理!#REF!=$A$6)*(日次管理!#REF!="実施完了")*(日次管理!#REF!="予定")*(日次管理!#REF!=$A$2),日次管理!#REF!)</f>
        <v>#REF!</v>
      </c>
      <c r="BI6" s="59" t="e">
        <f>SUMPRODUCT((日次管理!#REF!&lt;=$BI$3)*(日次管理!#REF!=$A$6)*(日次管理!#REF!="実施完了")*(日次管理!#REF!="実績")*(日次管理!#REF!=$A$2),日次管理!#REF!)</f>
        <v>#REF!</v>
      </c>
      <c r="BJ6" s="91" t="e">
        <f>SUMPRODUCT((日次管理!#REF!&lt;=$BJ$3)*(日次管理!#REF!=$A$6)*(日次管理!#REF!="実施完了")*(日次管理!#REF!="予定")*(日次管理!#REF!=$A$2),日次管理!#REF!)</f>
        <v>#REF!</v>
      </c>
      <c r="BK6" s="59" t="e">
        <f>SUMPRODUCT((日次管理!#REF!&lt;=$BK$3)*(日次管理!#REF!=$A$6)*(日次管理!#REF!="実施完了")*(日次管理!#REF!="実績")*(日次管理!#REF!=$A$2),日次管理!#REF!)</f>
        <v>#REF!</v>
      </c>
      <c r="BL6" s="91" t="e">
        <f>SUMPRODUCT((日次管理!#REF!&lt;=$BL$3)*(日次管理!#REF!=$A$6)*(日次管理!#REF!="実施完了")*(日次管理!#REF!="予定")*(日次管理!#REF!=$A$2),日次管理!#REF!)</f>
        <v>#REF!</v>
      </c>
      <c r="BM6" s="59" t="e">
        <f>SUMPRODUCT((日次管理!#REF!&lt;=$BM$3)*(日次管理!#REF!=$A$6)*(日次管理!#REF!="実施完了")*(日次管理!#REF!="実績")*(日次管理!#REF!=$A$2),日次管理!#REF!)</f>
        <v>#REF!</v>
      </c>
      <c r="BN6" s="91" t="e">
        <f>SUMPRODUCT((日次管理!#REF!&lt;=$BN$3)*(日次管理!#REF!=$A$6)*(日次管理!#REF!="実施完了")*(日次管理!#REF!="予定")*(日次管理!#REF!=$A$2),日次管理!#REF!)</f>
        <v>#REF!</v>
      </c>
      <c r="BO6" s="59" t="e">
        <f>SUMPRODUCT((日次管理!#REF!&lt;=$BO$3)*(日次管理!#REF!=$A$6)*(日次管理!#REF!="実施完了")*(日次管理!#REF!="実績")*(日次管理!#REF!=$A$2),日次管理!#REF!)</f>
        <v>#REF!</v>
      </c>
      <c r="BP6" s="91" t="e">
        <f>SUMPRODUCT((日次管理!#REF!&lt;=$BP$3)*(日次管理!#REF!=$A$6)*(日次管理!#REF!="実施完了")*(日次管理!#REF!="予定")*(日次管理!#REF!=$A$2),日次管理!#REF!)</f>
        <v>#REF!</v>
      </c>
      <c r="BQ6" s="59" t="e">
        <f>SUMPRODUCT((日次管理!#REF!&lt;=$BQ$3)*(日次管理!#REF!=$A$6)*(日次管理!#REF!="実施完了")*(日次管理!#REF!="実績")*(日次管理!#REF!=$A$2),日次管理!#REF!)</f>
        <v>#REF!</v>
      </c>
      <c r="BR6" s="91" t="e">
        <f>SUMPRODUCT((日次管理!#REF!&lt;=$BR$3)*(日次管理!#REF!=$A$6)*(日次管理!#REF!="実施完了")*(日次管理!#REF!="予定")*(日次管理!#REF!=$A$2),日次管理!#REF!)</f>
        <v>#REF!</v>
      </c>
      <c r="BS6" s="59" t="e">
        <f>SUMPRODUCT((日次管理!#REF!&lt;=$BS$3)*(日次管理!#REF!=$A$6)*(日次管理!#REF!="実施完了")*(日次管理!#REF!="実績")*(日次管理!#REF!=$A$2),日次管理!#REF!)</f>
        <v>#REF!</v>
      </c>
      <c r="BT6" s="91" t="e">
        <f>SUMPRODUCT((日次管理!#REF!&lt;=$BT$3)*(日次管理!#REF!=$A$6)*(日次管理!#REF!="実施完了")*(日次管理!#REF!="予定")*(日次管理!#REF!=$A$2),日次管理!#REF!)</f>
        <v>#REF!</v>
      </c>
      <c r="BU6" s="59" t="e">
        <f>SUMPRODUCT((日次管理!#REF!&lt;=$BU$3)*(日次管理!#REF!=$A$6)*(日次管理!#REF!="実施完了")*(日次管理!#REF!="実績")*(日次管理!#REF!=$A$2),日次管理!#REF!)</f>
        <v>#REF!</v>
      </c>
      <c r="BV6" s="91" t="e">
        <f>SUMPRODUCT((日次管理!#REF!&lt;=$BV$3)*(日次管理!#REF!=$A$6)*(日次管理!#REF!="実施完了")*(日次管理!#REF!="予定")*(日次管理!#REF!=$A$2),日次管理!#REF!)</f>
        <v>#REF!</v>
      </c>
      <c r="BW6" s="59" t="e">
        <f>SUMPRODUCT((日次管理!#REF!&lt;=$BW$3)*(日次管理!#REF!=$A$6)*(日次管理!#REF!="実施完了")*(日次管理!#REF!="実績")*(日次管理!#REF!=$A$2),日次管理!#REF!)</f>
        <v>#REF!</v>
      </c>
      <c r="BX6" s="91" t="e">
        <f>SUMPRODUCT((日次管理!#REF!&lt;=$BX$3)*(日次管理!#REF!=$A$6)*(日次管理!#REF!="実施完了")*(日次管理!#REF!="予定")*(日次管理!#REF!=$A$2),日次管理!#REF!)</f>
        <v>#REF!</v>
      </c>
      <c r="BY6" s="59" t="e">
        <f>SUMPRODUCT((日次管理!#REF!&lt;=$BY$3)*(日次管理!#REF!=$A$6)*(日次管理!#REF!="実施完了")*(日次管理!#REF!="実績")*(日次管理!#REF!=$A$2),日次管理!#REF!)</f>
        <v>#REF!</v>
      </c>
      <c r="BZ6" s="91" t="e">
        <f>SUMPRODUCT((日次管理!#REF!&lt;=$BZ$3)*(日次管理!#REF!=$A$6)*(日次管理!#REF!="実施完了")*(日次管理!#REF!="予定")*(日次管理!#REF!=$A$2),日次管理!#REF!)</f>
        <v>#REF!</v>
      </c>
      <c r="CA6" s="59" t="e">
        <f>SUMPRODUCT((日次管理!#REF!&lt;=$CA$3)*(日次管理!#REF!=$A$6)*(日次管理!#REF!="実施完了")*(日次管理!#REF!="実績")*(日次管理!#REF!=$A$2),日次管理!#REF!)</f>
        <v>#REF!</v>
      </c>
      <c r="CB6" s="91" t="e">
        <f>SUMPRODUCT((日次管理!#REF!&lt;=$CB$3)*(日次管理!#REF!=$A$6)*(日次管理!#REF!="実施完了")*(日次管理!#REF!="予定")*(日次管理!#REF!=$A$2),日次管理!#REF!)</f>
        <v>#REF!</v>
      </c>
      <c r="CC6" s="59" t="e">
        <f>SUMPRODUCT((日次管理!#REF!&lt;=$CC$3)*(日次管理!#REF!=$A$6)*(日次管理!#REF!="実施完了")*(日次管理!#REF!="実績")*(日次管理!#REF!=$A$2),日次管理!#REF!)</f>
        <v>#REF!</v>
      </c>
      <c r="CD6" s="91" t="e">
        <f>SUMPRODUCT((日次管理!#REF!&lt;=$CD$3)*(日次管理!#REF!=$A$6)*(日次管理!#REF!="実施完了")*(日次管理!#REF!="予定")*(日次管理!#REF!=$A$2),日次管理!#REF!)</f>
        <v>#REF!</v>
      </c>
      <c r="CE6" s="59" t="e">
        <f>SUMPRODUCT((日次管理!#REF!&lt;=$CE$3)*(日次管理!#REF!=$A$6)*(日次管理!#REF!="実施完了")*(日次管理!#REF!="実績")*(日次管理!#REF!=$A$2),日次管理!#REF!)</f>
        <v>#REF!</v>
      </c>
      <c r="CF6" s="91" t="e">
        <f>SUMPRODUCT((日次管理!#REF!&lt;=$CF$3)*(日次管理!#REF!=$A$6)*(日次管理!#REF!="実施完了")*(日次管理!#REF!="予定")*(日次管理!#REF!=$A$2),日次管理!#REF!)</f>
        <v>#REF!</v>
      </c>
      <c r="CG6" s="59" t="e">
        <f>SUMPRODUCT((日次管理!#REF!&lt;=$CG$3)*(日次管理!#REF!=$A$6)*(日次管理!#REF!="実施完了")*(日次管理!#REF!="実績")*(日次管理!#REF!=$A$2),日次管理!#REF!)</f>
        <v>#REF!</v>
      </c>
      <c r="CH6" s="91" t="e">
        <f>SUMPRODUCT((日次管理!#REF!&lt;=$CH$3)*(日次管理!#REF!=$A$6)*(日次管理!#REF!="実施完了")*(日次管理!#REF!="予定")*(日次管理!#REF!=$A$2),日次管理!#REF!)</f>
        <v>#REF!</v>
      </c>
      <c r="CI6" s="59" t="e">
        <f>SUMPRODUCT((日次管理!#REF!&lt;=$CI$3)*(日次管理!#REF!=$A$6)*(日次管理!#REF!="実施完了")*(日次管理!#REF!="実績")*(日次管理!#REF!=$A$2),日次管理!#REF!)</f>
        <v>#REF!</v>
      </c>
      <c r="CJ6" s="91" t="e">
        <f>SUMPRODUCT((日次管理!#REF!&lt;=$CJ$3)*(日次管理!#REF!=$A$6)*(日次管理!#REF!="実施完了")*(日次管理!#REF!="予定")*(日次管理!#REF!=$A$2),日次管理!#REF!)</f>
        <v>#REF!</v>
      </c>
      <c r="CK6" s="59" t="e">
        <f>SUMPRODUCT((日次管理!#REF!&lt;=$CK$3)*(日次管理!#REF!=$A$6)*(日次管理!#REF!="実施完了")*(日次管理!#REF!="実績")*(日次管理!#REF!=$A$2),日次管理!#REF!)</f>
        <v>#REF!</v>
      </c>
      <c r="CL6" s="91" t="e">
        <f>SUMPRODUCT((日次管理!#REF!&lt;=$CL$3)*(日次管理!#REF!=$A$6)*(日次管理!#REF!="実施完了")*(日次管理!#REF!="予定")*(日次管理!#REF!=$A$2),日次管理!#REF!)</f>
        <v>#REF!</v>
      </c>
      <c r="CM6" s="59" t="e">
        <f>SUMPRODUCT((日次管理!#REF!&lt;=$CM$3)*(日次管理!#REF!=$A$6)*(日次管理!#REF!="実施完了")*(日次管理!#REF!="実績")*(日次管理!#REF!=$A$2),日次管理!#REF!)</f>
        <v>#REF!</v>
      </c>
      <c r="CN6" s="91" t="e">
        <f>SUMPRODUCT((日次管理!#REF!&lt;=$CN$3)*(日次管理!#REF!=$A$6)*(日次管理!#REF!="実施完了")*(日次管理!#REF!="予定")*(日次管理!#REF!=$A$2),日次管理!#REF!)</f>
        <v>#REF!</v>
      </c>
      <c r="CO6" s="59" t="e">
        <f>SUMPRODUCT((日次管理!#REF!&lt;=$CO$3)*(日次管理!#REF!=$A$6)*(日次管理!#REF!="実施完了")*(日次管理!#REF!="実績")*(日次管理!#REF!=$A$2),日次管理!#REF!)</f>
        <v>#REF!</v>
      </c>
      <c r="CP6" s="91" t="e">
        <f>SUMPRODUCT((日次管理!#REF!&lt;=$CP$3)*(日次管理!#REF!=$A$6)*(日次管理!#REF!="実施完了")*(日次管理!#REF!="予定")*(日次管理!#REF!=$A$2),日次管理!#REF!)</f>
        <v>#REF!</v>
      </c>
      <c r="CQ6" s="59" t="e">
        <f>SUMPRODUCT((日次管理!#REF!&lt;=$CQ$3)*(日次管理!#REF!=$A$6)*(日次管理!#REF!="実施完了")*(日次管理!#REF!="実績")*(日次管理!#REF!=$A$2),日次管理!#REF!)</f>
        <v>#REF!</v>
      </c>
      <c r="CR6" s="91" t="e">
        <f>SUMPRODUCT((日次管理!#REF!&lt;=$CR$3)*(日次管理!#REF!=$A$6)*(日次管理!#REF!="実施完了")*(日次管理!#REF!="予定")*(日次管理!#REF!=$A$2),日次管理!#REF!)</f>
        <v>#REF!</v>
      </c>
      <c r="CS6" s="59" t="e">
        <f>SUMPRODUCT((日次管理!#REF!&lt;=$CS$3)*(日次管理!#REF!=$A$6)*(日次管理!#REF!="実施完了")*(日次管理!#REF!="実績")*(日次管理!#REF!=$A$2),日次管理!#REF!)</f>
        <v>#REF!</v>
      </c>
      <c r="CT6" s="91" t="e">
        <f>SUMPRODUCT((日次管理!#REF!&lt;=$CT$3)*(日次管理!#REF!=$A$6)*(日次管理!#REF!="実施完了")*(日次管理!#REF!="予定")*(日次管理!#REF!=$A$2),日次管理!#REF!)</f>
        <v>#REF!</v>
      </c>
      <c r="CU6" s="59" t="e">
        <f>SUMPRODUCT((日次管理!#REF!&lt;=$CU$3)*(日次管理!#REF!=$A$6)*(日次管理!#REF!="実施完了")*(日次管理!#REF!="実績")*(日次管理!#REF!=$A$2),日次管理!#REF!)</f>
        <v>#REF!</v>
      </c>
      <c r="CV6" s="92" t="e">
        <f ca="1">SUMPRODUCT(($A$3- WEEKDAY($A$3) + 6 =$B$3:$CU$3)*("実績"=$B$4:$CU$4),$B$6:$CU$6)/SUMPRODUCT(($A$3- WEEKDAY($A$3) + 6 =$B$3:$CU$3)*("予定"=$B$4:$CU$4),$B$6:$CU$6)</f>
        <v>#REF!</v>
      </c>
      <c r="CW6" s="93" t="e">
        <f>$CU$6/$CT$6</f>
        <v>#REF!</v>
      </c>
    </row>
    <row r="7" spans="1:101" ht="20.149999999999999" customHeight="1">
      <c r="A7" s="105" t="s">
        <v>70</v>
      </c>
      <c r="B7" s="95" t="e">
        <f>SUMPRODUCT((日次管理!#REF!&lt;=$B$3)*(日次管理!#REF!=$A$7)*(日次管理!#REF!="実施完了")*(日次管理!#REF!="予定")*(日次管理!#REF!=$A$2),日次管理!#REF!)</f>
        <v>#REF!</v>
      </c>
      <c r="C7" s="60" t="e">
        <f>SUMPRODUCT((日次管理!#REF!&lt;=$C$3)*(日次管理!#REF!=$A$7)*(日次管理!#REF!="実施完了")*(日次管理!#REF!="実績")*(日次管理!#REF!=$A$2),日次管理!#REF!)</f>
        <v>#REF!</v>
      </c>
      <c r="D7" s="95" t="e">
        <f>SUMPRODUCT((日次管理!#REF!&lt;=$D$3)*(日次管理!#REF!=$A$7)*(日次管理!#REF!="実施完了")*(日次管理!#REF!="予定")*(日次管理!#REF!=$A$2),日次管理!#REF!)</f>
        <v>#REF!</v>
      </c>
      <c r="E7" s="60" t="e">
        <f>SUMPRODUCT((日次管理!#REF!&lt;=$E$3)*(日次管理!#REF!=$A$7)*(日次管理!#REF!="実施完了")*(日次管理!#REF!="実績")*(日次管理!#REF!=$A$2),日次管理!#REF!)</f>
        <v>#REF!</v>
      </c>
      <c r="F7" s="95" t="e">
        <f>SUMPRODUCT((日次管理!#REF!&lt;=$F$3)*(日次管理!#REF!=$A$7)*(日次管理!#REF!="実施完了")*(日次管理!#REF!="予定")*(日次管理!#REF!=$A$2),日次管理!#REF!)</f>
        <v>#REF!</v>
      </c>
      <c r="G7" s="60" t="e">
        <f>SUMPRODUCT((日次管理!#REF!&lt;=$G$3)*(日次管理!#REF!=$A$7)*(日次管理!#REF!="実施完了")*(日次管理!#REF!="実績")*(日次管理!#REF!=$A$2),日次管理!#REF!)</f>
        <v>#REF!</v>
      </c>
      <c r="H7" s="95" t="e">
        <f>SUMPRODUCT((日次管理!#REF!&lt;=$H$3)*(日次管理!#REF!=$A$7)*(日次管理!#REF!="実施完了")*(日次管理!#REF!="予定")*(日次管理!#REF!=$A$2),日次管理!#REF!)</f>
        <v>#REF!</v>
      </c>
      <c r="I7" s="60" t="e">
        <f>SUMPRODUCT((日次管理!#REF!&lt;=$I$3)*(日次管理!#REF!=$A$7)*(日次管理!#REF!="実施完了")*(日次管理!#REF!="実績")*(日次管理!#REF!=$A$2),日次管理!#REF!)</f>
        <v>#REF!</v>
      </c>
      <c r="J7" s="95" t="e">
        <f>SUMPRODUCT((日次管理!#REF!&lt;=$J$3)*(日次管理!#REF!=$A$7)*(日次管理!#REF!="実施完了")*(日次管理!#REF!="予定")*(日次管理!#REF!=$A$2),日次管理!#REF!)</f>
        <v>#REF!</v>
      </c>
      <c r="K7" s="60" t="e">
        <f>SUMPRODUCT((日次管理!#REF!&lt;=$K$3)*(日次管理!#REF!=$A$7)*(日次管理!#REF!="実施完了")*(日次管理!#REF!="実績")*(日次管理!#REF!=$A$2),日次管理!#REF!)</f>
        <v>#REF!</v>
      </c>
      <c r="L7" s="95" t="e">
        <f>SUMPRODUCT((日次管理!#REF!&lt;=$L$3)*(日次管理!#REF!=$A$7)*(日次管理!#REF!="実施完了")*(日次管理!#REF!="予定")*(日次管理!#REF!=$A$2),日次管理!#REF!)</f>
        <v>#REF!</v>
      </c>
      <c r="M7" s="60" t="e">
        <f>SUMPRODUCT((日次管理!#REF!&lt;=$M$3)*(日次管理!#REF!=$A$7)*(日次管理!#REF!="実施完了")*(日次管理!#REF!="実績")*(日次管理!#REF!=$A$2),日次管理!#REF!)</f>
        <v>#REF!</v>
      </c>
      <c r="N7" s="95" t="e">
        <f>SUMPRODUCT((日次管理!#REF!&lt;=$N$3)*(日次管理!#REF!=$A$7)*(日次管理!#REF!="実施完了")*(日次管理!#REF!="予定")*(日次管理!#REF!=$A$2),日次管理!#REF!)</f>
        <v>#REF!</v>
      </c>
      <c r="O7" s="60" t="e">
        <f>SUMPRODUCT((日次管理!#REF!&lt;=$O$3)*(日次管理!#REF!=$A$7)*(日次管理!#REF!="実施完了")*(日次管理!#REF!="実績")*(日次管理!#REF!=$A$2),日次管理!#REF!)</f>
        <v>#REF!</v>
      </c>
      <c r="P7" s="95" t="e">
        <f>SUMPRODUCT((日次管理!#REF!&lt;=$P$3)*(日次管理!#REF!=$A$7)*(日次管理!#REF!="実施完了")*(日次管理!#REF!="予定")*(日次管理!#REF!=$A$2),日次管理!#REF!)</f>
        <v>#REF!</v>
      </c>
      <c r="Q7" s="60" t="e">
        <f>SUMPRODUCT((日次管理!#REF!&lt;=$Q$3)*(日次管理!#REF!=$A$7)*(日次管理!#REF!="実施完了")*(日次管理!#REF!="実績")*(日次管理!#REF!=$A$2),日次管理!#REF!)</f>
        <v>#REF!</v>
      </c>
      <c r="R7" s="95" t="e">
        <f>SUMPRODUCT((日次管理!#REF!&lt;=$R$3)*(日次管理!#REF!=$A$7)*(日次管理!#REF!="実施完了")*(日次管理!#REF!="予定")*(日次管理!#REF!=$A$2),日次管理!#REF!)</f>
        <v>#REF!</v>
      </c>
      <c r="S7" s="60" t="e">
        <f>SUMPRODUCT((日次管理!#REF!&lt;=$S$3)*(日次管理!#REF!=$A$7)*(日次管理!#REF!="実施完了")*(日次管理!#REF!="実績")*(日次管理!#REF!=$A$2),日次管理!#REF!)</f>
        <v>#REF!</v>
      </c>
      <c r="T7" s="95" t="e">
        <f>SUMPRODUCT((日次管理!#REF!&lt;=$T$3)*(日次管理!#REF!=$A$7)*(日次管理!#REF!="実施完了")*(日次管理!#REF!="予定")*(日次管理!#REF!=$A$2),日次管理!#REF!)</f>
        <v>#REF!</v>
      </c>
      <c r="U7" s="60" t="e">
        <f>SUMPRODUCT((日次管理!#REF!&lt;=$U$3)*(日次管理!#REF!=$A$7)*(日次管理!#REF!="実施完了")*(日次管理!#REF!="実績")*(日次管理!#REF!=$A$2),日次管理!#REF!)</f>
        <v>#REF!</v>
      </c>
      <c r="V7" s="95" t="e">
        <f>SUMPRODUCT((日次管理!#REF!&lt;=$V$3)*(日次管理!#REF!=$A$7)*(日次管理!#REF!="実施完了")*(日次管理!#REF!="予定")*(日次管理!#REF!=$A$2),日次管理!#REF!)</f>
        <v>#REF!</v>
      </c>
      <c r="W7" s="60" t="e">
        <f>SUMPRODUCT((日次管理!#REF!&lt;=$W$3)*(日次管理!#REF!=$A$7)*(日次管理!#REF!="実施完了")*(日次管理!#REF!="実績")*(日次管理!#REF!=$A$2),日次管理!#REF!)</f>
        <v>#REF!</v>
      </c>
      <c r="X7" s="95" t="e">
        <f>SUMPRODUCT((日次管理!#REF!&lt;=$X$3)*(日次管理!#REF!=$A$7)*(日次管理!#REF!="実施完了")*(日次管理!#REF!="予定")*(日次管理!#REF!=$A$2),日次管理!#REF!)</f>
        <v>#REF!</v>
      </c>
      <c r="Y7" s="60" t="e">
        <f>SUMPRODUCT((日次管理!#REF!&lt;=$Y$3)*(日次管理!#REF!=$A$7)*(日次管理!#REF!="実施完了")*(日次管理!#REF!="実績")*(日次管理!#REF!=$A$2),日次管理!#REF!)</f>
        <v>#REF!</v>
      </c>
      <c r="Z7" s="95" t="e">
        <f>SUMPRODUCT((日次管理!#REF!&lt;=$Z$3)*(日次管理!#REF!=$A$7)*(日次管理!#REF!="実施完了")*(日次管理!#REF!="予定")*(日次管理!#REF!=$A$2),日次管理!#REF!)</f>
        <v>#REF!</v>
      </c>
      <c r="AA7" s="60" t="e">
        <f>SUMPRODUCT((日次管理!#REF!&lt;=$AA$3)*(日次管理!#REF!=$A$7)*(日次管理!#REF!="実施完了")*(日次管理!#REF!="実績")*(日次管理!#REF!=$A$2),日次管理!#REF!)</f>
        <v>#REF!</v>
      </c>
      <c r="AB7" s="95" t="e">
        <f>SUMPRODUCT((日次管理!#REF!&lt;=$AB$3)*(日次管理!#REF!=$A$7)*(日次管理!#REF!="実施完了")*(日次管理!#REF!="予定")*(日次管理!#REF!=$A$2),日次管理!#REF!)</f>
        <v>#REF!</v>
      </c>
      <c r="AC7" s="60" t="e">
        <f>SUMPRODUCT((日次管理!#REF!&lt;=$AC$3)*(日次管理!#REF!=$A$7)*(日次管理!#REF!="実施完了")*(日次管理!#REF!="実績")*(日次管理!#REF!=$A$2),日次管理!#REF!)</f>
        <v>#REF!</v>
      </c>
      <c r="AD7" s="95" t="e">
        <f>SUMPRODUCT((日次管理!#REF!&lt;=$AD$3)*(日次管理!#REF!=$A$7)*(日次管理!#REF!="実施完了")*(日次管理!#REF!="予定")*(日次管理!#REF!=$A$2),日次管理!#REF!)</f>
        <v>#REF!</v>
      </c>
      <c r="AE7" s="60" t="e">
        <f>SUMPRODUCT((日次管理!#REF!&lt;=$AE$3)*(日次管理!#REF!=$A$7)*(日次管理!#REF!="実施完了")*(日次管理!#REF!="実績")*(日次管理!#REF!=$A$2),日次管理!#REF!)</f>
        <v>#REF!</v>
      </c>
      <c r="AF7" s="95" t="e">
        <f>SUMPRODUCT((日次管理!#REF!&lt;=$AF$3)*(日次管理!#REF!=$A$7)*(日次管理!#REF!="実施完了")*(日次管理!#REF!="予定")*(日次管理!#REF!=$A$2),日次管理!#REF!)</f>
        <v>#REF!</v>
      </c>
      <c r="AG7" s="60" t="e">
        <f>SUMPRODUCT((日次管理!#REF!&lt;=$AG$3)*(日次管理!#REF!=$A$7)*(日次管理!#REF!="実施完了")*(日次管理!#REF!="実績")*(日次管理!#REF!=$A$2),日次管理!#REF!)</f>
        <v>#REF!</v>
      </c>
      <c r="AH7" s="95" t="e">
        <f>SUMPRODUCT((日次管理!#REF!&lt;=$AH$3)*(日次管理!#REF!=$A$7)*(日次管理!#REF!="実施完了")*(日次管理!#REF!="予定")*(日次管理!#REF!=$A$2),日次管理!#REF!)</f>
        <v>#REF!</v>
      </c>
      <c r="AI7" s="60" t="e">
        <f>SUMPRODUCT((日次管理!#REF!&lt;=$AI$3)*(日次管理!#REF!=$A$7)*(日次管理!#REF!="実施完了")*(日次管理!#REF!="実績")*(日次管理!#REF!=$A$2),日次管理!#REF!)</f>
        <v>#REF!</v>
      </c>
      <c r="AJ7" s="95" t="e">
        <f>SUMPRODUCT((日次管理!#REF!&lt;=$AJ$3)*(日次管理!#REF!=$A$7)*(日次管理!#REF!="実施完了")*(日次管理!#REF!="予定")*(日次管理!#REF!=$A$2),日次管理!#REF!)</f>
        <v>#REF!</v>
      </c>
      <c r="AK7" s="60" t="e">
        <f>SUMPRODUCT((日次管理!#REF!&lt;=$AK$3)*(日次管理!#REF!=$A$7)*(日次管理!#REF!="実施完了")*(日次管理!#REF!="実績")*(日次管理!#REF!=$A$2),日次管理!#REF!)</f>
        <v>#REF!</v>
      </c>
      <c r="AL7" s="95" t="e">
        <f>SUMPRODUCT((日次管理!#REF!&lt;=$AL$3)*(日次管理!#REF!=$A$7)*(日次管理!#REF!="実施完了")*(日次管理!#REF!="予定")*(日次管理!#REF!=$A$2),日次管理!#REF!)</f>
        <v>#REF!</v>
      </c>
      <c r="AM7" s="60" t="e">
        <f>SUMPRODUCT((日次管理!#REF!&lt;=$AM$3)*(日次管理!#REF!=$A$7)*(日次管理!#REF!="実施完了")*(日次管理!#REF!="実績")*(日次管理!#REF!=$A$2),日次管理!#REF!)</f>
        <v>#REF!</v>
      </c>
      <c r="AN7" s="95" t="e">
        <f>SUMPRODUCT((日次管理!#REF!&lt;=$AN$3)*(日次管理!#REF!=$A$7)*(日次管理!#REF!="実施完了")*(日次管理!#REF!="予定")*(日次管理!#REF!=$A$2),日次管理!#REF!)</f>
        <v>#REF!</v>
      </c>
      <c r="AO7" s="60" t="e">
        <f>SUMPRODUCT((日次管理!#REF!&lt;=$AO$3)*(日次管理!#REF!=$A$7)*(日次管理!#REF!="実施完了")*(日次管理!#REF!="実績")*(日次管理!#REF!=$A$2),日次管理!#REF!)</f>
        <v>#REF!</v>
      </c>
      <c r="AP7" s="95" t="e">
        <f>SUMPRODUCT((日次管理!#REF!&lt;=$AP$3)*(日次管理!#REF!=$A$7)*(日次管理!#REF!="実施完了")*(日次管理!#REF!="予定")*(日次管理!#REF!=$A$2),日次管理!#REF!)</f>
        <v>#REF!</v>
      </c>
      <c r="AQ7" s="60" t="e">
        <f>SUMPRODUCT((日次管理!#REF!&lt;=$AQ$3)*(日次管理!#REF!=$A$7)*(日次管理!#REF!="実施完了")*(日次管理!#REF!="実績")*(日次管理!#REF!=$A$2),日次管理!#REF!)</f>
        <v>#REF!</v>
      </c>
      <c r="AR7" s="95" t="e">
        <f>SUMPRODUCT((日次管理!#REF!&lt;=$AR$3)*(日次管理!#REF!=$A$7)*(日次管理!#REF!="実施完了")*(日次管理!#REF!="予定")*(日次管理!#REF!=$A$2),日次管理!#REF!)</f>
        <v>#REF!</v>
      </c>
      <c r="AS7" s="60" t="e">
        <f>SUMPRODUCT((日次管理!#REF!&lt;=$AS$3)*(日次管理!#REF!=$A$7)*(日次管理!#REF!="実施完了")*(日次管理!#REF!="実績")*(日次管理!#REF!=$A$2),日次管理!#REF!)</f>
        <v>#REF!</v>
      </c>
      <c r="AT7" s="95" t="e">
        <f>SUMPRODUCT((日次管理!#REF!&lt;=$AT$3)*(日次管理!#REF!=$A$7)*(日次管理!#REF!="実施完了")*(日次管理!#REF!="予定")*(日次管理!#REF!=$A$2),日次管理!#REF!)</f>
        <v>#REF!</v>
      </c>
      <c r="AU7" s="60" t="e">
        <f>SUMPRODUCT((日次管理!#REF!&lt;=$AU$3)*(日次管理!#REF!=$A$7)*(日次管理!#REF!="実施完了")*(日次管理!#REF!="実績")*(日次管理!#REF!=$A$2),日次管理!#REF!)</f>
        <v>#REF!</v>
      </c>
      <c r="AV7" s="95" t="e">
        <f>SUMPRODUCT((日次管理!#REF!&lt;=$AV$3)*(日次管理!#REF!=$A$7)*(日次管理!#REF!="実施完了")*(日次管理!#REF!="予定")*(日次管理!#REF!=$A$2),日次管理!#REF!)</f>
        <v>#REF!</v>
      </c>
      <c r="AW7" s="60" t="e">
        <f>SUMPRODUCT((日次管理!#REF!&lt;=$AW$3)*(日次管理!#REF!=$A$7)*(日次管理!#REF!="実施完了")*(日次管理!#REF!="実績")*(日次管理!#REF!=$A$2),日次管理!#REF!)</f>
        <v>#REF!</v>
      </c>
      <c r="AX7" s="95" t="e">
        <f>SUMPRODUCT((日次管理!#REF!&lt;=$AX$3)*(日次管理!#REF!=$A$7)*(日次管理!#REF!="実施完了")*(日次管理!#REF!="予定")*(日次管理!#REF!=$A$2),日次管理!#REF!)</f>
        <v>#REF!</v>
      </c>
      <c r="AY7" s="60" t="e">
        <f>SUMPRODUCT((日次管理!#REF!&lt;=$AY$3)*(日次管理!#REF!=$A$7)*(日次管理!#REF!="実施完了")*(日次管理!#REF!="実績")*(日次管理!#REF!=$A$2),日次管理!#REF!)</f>
        <v>#REF!</v>
      </c>
      <c r="AZ7" s="95" t="e">
        <f>SUMPRODUCT((日次管理!#REF!&lt;=$AZ$3)*(日次管理!#REF!=$A$7)*(日次管理!#REF!="実施完了")*(日次管理!#REF!="予定")*(日次管理!#REF!=$A$2),日次管理!#REF!)</f>
        <v>#REF!</v>
      </c>
      <c r="BA7" s="60" t="e">
        <f>SUMPRODUCT((日次管理!#REF!&lt;=$BA$3)*(日次管理!#REF!=$A$7)*(日次管理!#REF!="実施完了")*(日次管理!#REF!="実績")*(日次管理!#REF!=$A$2),日次管理!#REF!)</f>
        <v>#REF!</v>
      </c>
      <c r="BB7" s="95" t="e">
        <f>SUMPRODUCT((日次管理!#REF!&lt;=$BB$3)*(日次管理!#REF!=$A$7)*(日次管理!#REF!="実施完了")*(日次管理!#REF!="予定")*(日次管理!#REF!=$A$2),日次管理!#REF!)</f>
        <v>#REF!</v>
      </c>
      <c r="BC7" s="60" t="e">
        <f>SUMPRODUCT((日次管理!#REF!&lt;=$BC$3)*(日次管理!#REF!=$A$7)*(日次管理!#REF!="実施完了")*(日次管理!#REF!="実績")*(日次管理!#REF!=$A$2),日次管理!#REF!)</f>
        <v>#REF!</v>
      </c>
      <c r="BD7" s="95" t="e">
        <f>SUMPRODUCT((日次管理!#REF!&lt;=$BD$3)*(日次管理!#REF!=$A$7)*(日次管理!#REF!="実施完了")*(日次管理!#REF!="予定")*(日次管理!#REF!=$A$2),日次管理!#REF!)</f>
        <v>#REF!</v>
      </c>
      <c r="BE7" s="60" t="e">
        <f>SUMPRODUCT((日次管理!#REF!&lt;=$BE$3)*(日次管理!#REF!=$A$7)*(日次管理!#REF!="実施完了")*(日次管理!#REF!="実績")*(日次管理!#REF!=$A$2),日次管理!#REF!)</f>
        <v>#REF!</v>
      </c>
      <c r="BF7" s="95" t="e">
        <f>SUMPRODUCT((日次管理!#REF!&lt;=$BF$3)*(日次管理!#REF!=$A$7)*(日次管理!#REF!="実施完了")*(日次管理!#REF!="予定")*(日次管理!#REF!=$A$2),日次管理!#REF!)</f>
        <v>#REF!</v>
      </c>
      <c r="BG7" s="60" t="e">
        <f>SUMPRODUCT((日次管理!#REF!&lt;=$BG$3)*(日次管理!#REF!=$A$7)*(日次管理!#REF!="実施完了")*(日次管理!#REF!="実績")*(日次管理!#REF!=$A$2),日次管理!#REF!)</f>
        <v>#REF!</v>
      </c>
      <c r="BH7" s="95" t="e">
        <f>SUMPRODUCT((日次管理!#REF!&lt;=$BH$3)*(日次管理!#REF!=$A$7)*(日次管理!#REF!="実施完了")*(日次管理!#REF!="予定")*(日次管理!#REF!=$A$2),日次管理!#REF!)</f>
        <v>#REF!</v>
      </c>
      <c r="BI7" s="60" t="e">
        <f>SUMPRODUCT((日次管理!#REF!&lt;=$BI$3)*(日次管理!#REF!=$A$7)*(日次管理!#REF!="実施完了")*(日次管理!#REF!="実績")*(日次管理!#REF!=$A$2),日次管理!#REF!)</f>
        <v>#REF!</v>
      </c>
      <c r="BJ7" s="95" t="e">
        <f>SUMPRODUCT((日次管理!#REF!&lt;=$BJ$3)*(日次管理!#REF!=$A$7)*(日次管理!#REF!="実施完了")*(日次管理!#REF!="予定")*(日次管理!#REF!=$A$2),日次管理!#REF!)</f>
        <v>#REF!</v>
      </c>
      <c r="BK7" s="60" t="e">
        <f>SUMPRODUCT((日次管理!#REF!&lt;=$BK$3)*(日次管理!#REF!=$A$7)*(日次管理!#REF!="実施完了")*(日次管理!#REF!="実績")*(日次管理!#REF!=$A$2),日次管理!#REF!)</f>
        <v>#REF!</v>
      </c>
      <c r="BL7" s="95" t="e">
        <f>SUMPRODUCT((日次管理!#REF!&lt;=$BL$3)*(日次管理!#REF!=$A$7)*(日次管理!#REF!="実施完了")*(日次管理!#REF!="予定")*(日次管理!#REF!=$A$2),日次管理!#REF!)</f>
        <v>#REF!</v>
      </c>
      <c r="BM7" s="60" t="e">
        <f>SUMPRODUCT((日次管理!#REF!&lt;=$BM$3)*(日次管理!#REF!=$A$7)*(日次管理!#REF!="実施完了")*(日次管理!#REF!="実績")*(日次管理!#REF!=$A$2),日次管理!#REF!)</f>
        <v>#REF!</v>
      </c>
      <c r="BN7" s="95" t="e">
        <f>SUMPRODUCT((日次管理!#REF!&lt;=$BN$3)*(日次管理!#REF!=$A$7)*(日次管理!#REF!="実施完了")*(日次管理!#REF!="予定")*(日次管理!#REF!=$A$2),日次管理!#REF!)</f>
        <v>#REF!</v>
      </c>
      <c r="BO7" s="60" t="e">
        <f>SUMPRODUCT((日次管理!#REF!&lt;=$BO$3)*(日次管理!#REF!=$A$7)*(日次管理!#REF!="実施完了")*(日次管理!#REF!="実績")*(日次管理!#REF!=$A$2),日次管理!#REF!)</f>
        <v>#REF!</v>
      </c>
      <c r="BP7" s="95" t="e">
        <f>SUMPRODUCT((日次管理!#REF!&lt;=$BP$3)*(日次管理!#REF!=$A$7)*(日次管理!#REF!="実施完了")*(日次管理!#REF!="予定")*(日次管理!#REF!=$A$2),日次管理!#REF!)</f>
        <v>#REF!</v>
      </c>
      <c r="BQ7" s="60" t="e">
        <f>SUMPRODUCT((日次管理!#REF!&lt;=$BQ$3)*(日次管理!#REF!=$A$7)*(日次管理!#REF!="実施完了")*(日次管理!#REF!="実績")*(日次管理!#REF!=$A$2),日次管理!#REF!)</f>
        <v>#REF!</v>
      </c>
      <c r="BR7" s="95" t="e">
        <f>SUMPRODUCT((日次管理!#REF!&lt;=$BR$3)*(日次管理!#REF!=$A$7)*(日次管理!#REF!="実施完了")*(日次管理!#REF!="予定")*(日次管理!#REF!=$A$2),日次管理!#REF!)</f>
        <v>#REF!</v>
      </c>
      <c r="BS7" s="60" t="e">
        <f>SUMPRODUCT((日次管理!#REF!&lt;=$BS$3)*(日次管理!#REF!=$A$7)*(日次管理!#REF!="実施完了")*(日次管理!#REF!="実績")*(日次管理!#REF!=$A$2),日次管理!#REF!)</f>
        <v>#REF!</v>
      </c>
      <c r="BT7" s="95" t="e">
        <f>SUMPRODUCT((日次管理!#REF!&lt;=$BT$3)*(日次管理!#REF!=$A$7)*(日次管理!#REF!="実施完了")*(日次管理!#REF!="予定")*(日次管理!#REF!=$A$2),日次管理!#REF!)</f>
        <v>#REF!</v>
      </c>
      <c r="BU7" s="60" t="e">
        <f>SUMPRODUCT((日次管理!#REF!&lt;=$BU$3)*(日次管理!#REF!=$A$7)*(日次管理!#REF!="実施完了")*(日次管理!#REF!="実績")*(日次管理!#REF!=$A$2),日次管理!#REF!)</f>
        <v>#REF!</v>
      </c>
      <c r="BV7" s="95" t="e">
        <f>SUMPRODUCT((日次管理!#REF!&lt;=$BV$3)*(日次管理!#REF!=$A$7)*(日次管理!#REF!="実施完了")*(日次管理!#REF!="予定")*(日次管理!#REF!=$A$2),日次管理!#REF!)</f>
        <v>#REF!</v>
      </c>
      <c r="BW7" s="60" t="e">
        <f>SUMPRODUCT((日次管理!#REF!&lt;=$BW$3)*(日次管理!#REF!=$A$7)*(日次管理!#REF!="実施完了")*(日次管理!#REF!="実績")*(日次管理!#REF!=$A$2),日次管理!#REF!)</f>
        <v>#REF!</v>
      </c>
      <c r="BX7" s="95" t="e">
        <f>SUMPRODUCT((日次管理!#REF!&lt;=$BX$3)*(日次管理!#REF!=$A$7)*(日次管理!#REF!="実施完了")*(日次管理!#REF!="予定")*(日次管理!#REF!=$A$2),日次管理!#REF!)</f>
        <v>#REF!</v>
      </c>
      <c r="BY7" s="60" t="e">
        <f>SUMPRODUCT((日次管理!#REF!&lt;=$BY$3)*(日次管理!#REF!=$A$7)*(日次管理!#REF!="実施完了")*(日次管理!#REF!="実績")*(日次管理!#REF!=$A$2),日次管理!#REF!)</f>
        <v>#REF!</v>
      </c>
      <c r="BZ7" s="95" t="e">
        <f>SUMPRODUCT((日次管理!#REF!&lt;=$BZ$3)*(日次管理!#REF!=$A$7)*(日次管理!#REF!="実施完了")*(日次管理!#REF!="予定")*(日次管理!#REF!=$A$2),日次管理!#REF!)</f>
        <v>#REF!</v>
      </c>
      <c r="CA7" s="60" t="e">
        <f>SUMPRODUCT((日次管理!#REF!&lt;=$CA$3)*(日次管理!#REF!=$A$7)*(日次管理!#REF!="実施完了")*(日次管理!#REF!="実績")*(日次管理!#REF!=$A$2),日次管理!#REF!)</f>
        <v>#REF!</v>
      </c>
      <c r="CB7" s="95" t="e">
        <f>SUMPRODUCT((日次管理!#REF!&lt;=$CB$3)*(日次管理!#REF!=$A$7)*(日次管理!#REF!="実施完了")*(日次管理!#REF!="予定")*(日次管理!#REF!=$A$2),日次管理!#REF!)</f>
        <v>#REF!</v>
      </c>
      <c r="CC7" s="60" t="e">
        <f>SUMPRODUCT((日次管理!#REF!&lt;=$CC$3)*(日次管理!#REF!=$A$7)*(日次管理!#REF!="実施完了")*(日次管理!#REF!="実績")*(日次管理!#REF!=$A$2),日次管理!#REF!)</f>
        <v>#REF!</v>
      </c>
      <c r="CD7" s="95" t="e">
        <f>SUMPRODUCT((日次管理!#REF!&lt;=$CD$3)*(日次管理!#REF!=$A$7)*(日次管理!#REF!="実施完了")*(日次管理!#REF!="予定")*(日次管理!#REF!=$A$2),日次管理!#REF!)</f>
        <v>#REF!</v>
      </c>
      <c r="CE7" s="60" t="e">
        <f>SUMPRODUCT((日次管理!#REF!&lt;=$CE$3)*(日次管理!#REF!=$A$7)*(日次管理!#REF!="実施完了")*(日次管理!#REF!="実績")*(日次管理!#REF!=$A$2),日次管理!#REF!)</f>
        <v>#REF!</v>
      </c>
      <c r="CF7" s="95" t="e">
        <f>SUMPRODUCT((日次管理!#REF!&lt;=$CF$3)*(日次管理!#REF!=$A$7)*(日次管理!#REF!="実施完了")*(日次管理!#REF!="予定")*(日次管理!#REF!=$A$2),日次管理!#REF!)</f>
        <v>#REF!</v>
      </c>
      <c r="CG7" s="60" t="e">
        <f>SUMPRODUCT((日次管理!#REF!&lt;=$CG$3)*(日次管理!#REF!=$A$7)*(日次管理!#REF!="実施完了")*(日次管理!#REF!="実績")*(日次管理!#REF!=$A$2),日次管理!#REF!)</f>
        <v>#REF!</v>
      </c>
      <c r="CH7" s="95" t="e">
        <f>SUMPRODUCT((日次管理!#REF!&lt;=$CH$3)*(日次管理!#REF!=$A$7)*(日次管理!#REF!="実施完了")*(日次管理!#REF!="予定")*(日次管理!#REF!=$A$2),日次管理!#REF!)</f>
        <v>#REF!</v>
      </c>
      <c r="CI7" s="60" t="e">
        <f>SUMPRODUCT((日次管理!#REF!&lt;=$CI$3)*(日次管理!#REF!=$A$7)*(日次管理!#REF!="実施完了")*(日次管理!#REF!="実績")*(日次管理!#REF!=$A$2),日次管理!#REF!)</f>
        <v>#REF!</v>
      </c>
      <c r="CJ7" s="95" t="e">
        <f>SUMPRODUCT((日次管理!#REF!&lt;=$CJ$3)*(日次管理!#REF!=$A$7)*(日次管理!#REF!="実施完了")*(日次管理!#REF!="予定")*(日次管理!#REF!=$A$2),日次管理!#REF!)</f>
        <v>#REF!</v>
      </c>
      <c r="CK7" s="60" t="e">
        <f>SUMPRODUCT((日次管理!#REF!&lt;=$CK$3)*(日次管理!#REF!=$A$7)*(日次管理!#REF!="実施完了")*(日次管理!#REF!="実績")*(日次管理!#REF!=$A$2),日次管理!#REF!)</f>
        <v>#REF!</v>
      </c>
      <c r="CL7" s="95" t="e">
        <f>SUMPRODUCT((日次管理!#REF!&lt;=$CL$3)*(日次管理!#REF!=$A$7)*(日次管理!#REF!="実施完了")*(日次管理!#REF!="予定")*(日次管理!#REF!=$A$2),日次管理!#REF!)</f>
        <v>#REF!</v>
      </c>
      <c r="CM7" s="60" t="e">
        <f>SUMPRODUCT((日次管理!#REF!&lt;=$CM$3)*(日次管理!#REF!=$A$7)*(日次管理!#REF!="実施完了")*(日次管理!#REF!="実績")*(日次管理!#REF!=$A$2),日次管理!#REF!)</f>
        <v>#REF!</v>
      </c>
      <c r="CN7" s="95" t="e">
        <f>SUMPRODUCT((日次管理!#REF!&lt;=$CN$3)*(日次管理!#REF!=$A$7)*(日次管理!#REF!="実施完了")*(日次管理!#REF!="予定")*(日次管理!#REF!=$A$2),日次管理!#REF!)</f>
        <v>#REF!</v>
      </c>
      <c r="CO7" s="60" t="e">
        <f>SUMPRODUCT((日次管理!#REF!&lt;=$CO$3)*(日次管理!#REF!=$A$7)*(日次管理!#REF!="実施完了")*(日次管理!#REF!="実績")*(日次管理!#REF!=$A$2),日次管理!#REF!)</f>
        <v>#REF!</v>
      </c>
      <c r="CP7" s="95" t="e">
        <f>SUMPRODUCT((日次管理!#REF!&lt;=$CP$3)*(日次管理!#REF!=$A$7)*(日次管理!#REF!="実施完了")*(日次管理!#REF!="予定")*(日次管理!#REF!=$A$2),日次管理!#REF!)</f>
        <v>#REF!</v>
      </c>
      <c r="CQ7" s="60" t="e">
        <f>SUMPRODUCT((日次管理!#REF!&lt;=$CQ$3)*(日次管理!#REF!=$A$7)*(日次管理!#REF!="実施完了")*(日次管理!#REF!="実績")*(日次管理!#REF!=$A$2),日次管理!#REF!)</f>
        <v>#REF!</v>
      </c>
      <c r="CR7" s="95" t="e">
        <f>SUMPRODUCT((日次管理!#REF!&lt;=$CR$3)*(日次管理!#REF!=$A$7)*(日次管理!#REF!="実施完了")*(日次管理!#REF!="予定")*(日次管理!#REF!=$A$2),日次管理!#REF!)</f>
        <v>#REF!</v>
      </c>
      <c r="CS7" s="60" t="e">
        <f>SUMPRODUCT((日次管理!#REF!&lt;=$CS$3)*(日次管理!#REF!=$A$7)*(日次管理!#REF!="実施完了")*(日次管理!#REF!="実績")*(日次管理!#REF!=$A$2),日次管理!#REF!)</f>
        <v>#REF!</v>
      </c>
      <c r="CT7" s="95" t="e">
        <f>SUMPRODUCT((日次管理!#REF!&lt;=$CT$3)*(日次管理!#REF!=$A$7)*(日次管理!#REF!="実施完了")*(日次管理!#REF!="予定")*(日次管理!#REF!=$A$2),日次管理!#REF!)</f>
        <v>#REF!</v>
      </c>
      <c r="CU7" s="60" t="e">
        <f>SUMPRODUCT((日次管理!#REF!&lt;=$CU$3)*(日次管理!#REF!=$A$7)*(日次管理!#REF!="実施完了")*(日次管理!#REF!="実績")*(日次管理!#REF!=$A$2),日次管理!#REF!)</f>
        <v>#REF!</v>
      </c>
      <c r="CV7" s="96" t="e">
        <f ca="1">SUMPRODUCT(($A$3- WEEKDAY($A$3) + 6 =$B$3:$CU$3)*("実績"=$B$4:$CU$4),$B$7:$CU$7)/SUMPRODUCT(($A$3- WEEKDAY($A$3) + 6 =$B$3:$CU$3)*("予定"=$B$4:$CU$4),$B$7:$CU$7)</f>
        <v>#REF!</v>
      </c>
      <c r="CW7" s="97" t="e">
        <f>$CU$7/$CT$7</f>
        <v>#REF!</v>
      </c>
    </row>
    <row r="8" spans="1:101" ht="20.149999999999999" customHeight="1">
      <c r="A8" s="104" t="s">
        <v>84</v>
      </c>
      <c r="B8" s="91" t="e">
        <f>SUMPRODUCT((日次管理!#REF!&lt;=$B$3)*(日次管理!#REF!=$A$8)*(日次管理!#REF!="実施完了")*(日次管理!#REF!="予定")*(日次管理!#REF!=$A$2),日次管理!#REF!)</f>
        <v>#REF!</v>
      </c>
      <c r="C8" s="59" t="e">
        <f>SUMPRODUCT((日次管理!#REF!&lt;=$C$3)*(日次管理!#REF!=$A$8)*(日次管理!#REF!="実施完了")*(日次管理!#REF!="実績")*(日次管理!#REF!=$A$2),日次管理!#REF!)</f>
        <v>#REF!</v>
      </c>
      <c r="D8" s="91" t="e">
        <f>SUMPRODUCT((日次管理!#REF!&lt;=$D$3)*(日次管理!#REF!=$A$8)*(日次管理!#REF!="実施完了")*(日次管理!#REF!="予定")*(日次管理!#REF!=$A$2),日次管理!#REF!)</f>
        <v>#REF!</v>
      </c>
      <c r="E8" s="59" t="e">
        <f>SUMPRODUCT((日次管理!#REF!&lt;=$E$3)*(日次管理!#REF!=$A$8)*(日次管理!#REF!="実施完了")*(日次管理!#REF!="実績")*(日次管理!#REF!=$A$2),日次管理!#REF!)</f>
        <v>#REF!</v>
      </c>
      <c r="F8" s="91" t="e">
        <f>SUMPRODUCT((日次管理!#REF!&lt;=$F$3)*(日次管理!#REF!=$A$8)*(日次管理!#REF!="実施完了")*(日次管理!#REF!="予定")*(日次管理!#REF!=$A$2),日次管理!#REF!)</f>
        <v>#REF!</v>
      </c>
      <c r="G8" s="59" t="e">
        <f>SUMPRODUCT((日次管理!#REF!&lt;=$G$3)*(日次管理!#REF!=$A$8)*(日次管理!#REF!="実施完了")*(日次管理!#REF!="実績")*(日次管理!#REF!=$A$2),日次管理!#REF!)</f>
        <v>#REF!</v>
      </c>
      <c r="H8" s="91" t="e">
        <f>SUMPRODUCT((日次管理!#REF!&lt;=$H$3)*(日次管理!#REF!=$A$8)*(日次管理!#REF!="実施完了")*(日次管理!#REF!="予定")*(日次管理!#REF!=$A$2),日次管理!#REF!)</f>
        <v>#REF!</v>
      </c>
      <c r="I8" s="59" t="e">
        <f>SUMPRODUCT((日次管理!#REF!&lt;=$I$3)*(日次管理!#REF!=$A$8)*(日次管理!#REF!="実施完了")*(日次管理!#REF!="実績")*(日次管理!#REF!=$A$2),日次管理!#REF!)</f>
        <v>#REF!</v>
      </c>
      <c r="J8" s="91" t="e">
        <f>SUMPRODUCT((日次管理!#REF!&lt;=$J$3)*(日次管理!#REF!=$A$8)*(日次管理!#REF!="実施完了")*(日次管理!#REF!="予定")*(日次管理!#REF!=$A$2),日次管理!#REF!)</f>
        <v>#REF!</v>
      </c>
      <c r="K8" s="59" t="e">
        <f>SUMPRODUCT((日次管理!#REF!&lt;=$K$3)*(日次管理!#REF!=$A$8)*(日次管理!#REF!="実施完了")*(日次管理!#REF!="実績")*(日次管理!#REF!=$A$2),日次管理!#REF!)</f>
        <v>#REF!</v>
      </c>
      <c r="L8" s="91" t="e">
        <f>SUMPRODUCT((日次管理!#REF!&lt;=$L$3)*(日次管理!#REF!=$A$8)*(日次管理!#REF!="実施完了")*(日次管理!#REF!="予定")*(日次管理!#REF!=$A$2),日次管理!#REF!)</f>
        <v>#REF!</v>
      </c>
      <c r="M8" s="59" t="e">
        <f>SUMPRODUCT((日次管理!#REF!&lt;=$M$3)*(日次管理!#REF!=$A$8)*(日次管理!#REF!="実施完了")*(日次管理!#REF!="実績")*(日次管理!#REF!=$A$2),日次管理!#REF!)</f>
        <v>#REF!</v>
      </c>
      <c r="N8" s="91" t="e">
        <f>SUMPRODUCT((日次管理!#REF!&lt;=$N$3)*(日次管理!#REF!=$A$8)*(日次管理!#REF!="実施完了")*(日次管理!#REF!="予定")*(日次管理!#REF!=$A$2),日次管理!#REF!)</f>
        <v>#REF!</v>
      </c>
      <c r="O8" s="59" t="e">
        <f>SUMPRODUCT((日次管理!#REF!&lt;=$O$3)*(日次管理!#REF!=$A$8)*(日次管理!#REF!="実施完了")*(日次管理!#REF!="実績")*(日次管理!#REF!=$A$2),日次管理!#REF!)</f>
        <v>#REF!</v>
      </c>
      <c r="P8" s="91" t="e">
        <f>SUMPRODUCT((日次管理!#REF!&lt;=$P$3)*(日次管理!#REF!=$A$8)*(日次管理!#REF!="実施完了")*(日次管理!#REF!="予定")*(日次管理!#REF!=$A$2),日次管理!#REF!)</f>
        <v>#REF!</v>
      </c>
      <c r="Q8" s="59" t="e">
        <f>SUMPRODUCT((日次管理!#REF!&lt;=$Q$3)*(日次管理!#REF!=$A$8)*(日次管理!#REF!="実施完了")*(日次管理!#REF!="実績")*(日次管理!#REF!=$A$2),日次管理!#REF!)</f>
        <v>#REF!</v>
      </c>
      <c r="R8" s="91" t="e">
        <f>SUMPRODUCT((日次管理!#REF!&lt;=$R$3)*(日次管理!#REF!=$A$8)*(日次管理!#REF!="実施完了")*(日次管理!#REF!="予定")*(日次管理!#REF!=$A$2),日次管理!#REF!)</f>
        <v>#REF!</v>
      </c>
      <c r="S8" s="59" t="e">
        <f>SUMPRODUCT((日次管理!#REF!&lt;=$S$3)*(日次管理!#REF!=$A$8)*(日次管理!#REF!="実施完了")*(日次管理!#REF!="実績")*(日次管理!#REF!=$A$2),日次管理!#REF!)</f>
        <v>#REF!</v>
      </c>
      <c r="T8" s="91" t="e">
        <f>SUMPRODUCT((日次管理!#REF!&lt;=$T$3)*(日次管理!#REF!=$A$8)*(日次管理!#REF!="実施完了")*(日次管理!#REF!="予定")*(日次管理!#REF!=$A$2),日次管理!#REF!)</f>
        <v>#REF!</v>
      </c>
      <c r="U8" s="59" t="e">
        <f>SUMPRODUCT((日次管理!#REF!&lt;=$U$3)*(日次管理!#REF!=$A$8)*(日次管理!#REF!="実施完了")*(日次管理!#REF!="実績")*(日次管理!#REF!=$A$2),日次管理!#REF!)</f>
        <v>#REF!</v>
      </c>
      <c r="V8" s="91" t="e">
        <f>SUMPRODUCT((日次管理!#REF!&lt;=$V$3)*(日次管理!#REF!=$A$8)*(日次管理!#REF!="実施完了")*(日次管理!#REF!="予定")*(日次管理!#REF!=$A$2),日次管理!#REF!)</f>
        <v>#REF!</v>
      </c>
      <c r="W8" s="59" t="e">
        <f>SUMPRODUCT((日次管理!#REF!&lt;=$W$3)*(日次管理!#REF!=$A$8)*(日次管理!#REF!="実施完了")*(日次管理!#REF!="実績")*(日次管理!#REF!=$A$2),日次管理!#REF!)</f>
        <v>#REF!</v>
      </c>
      <c r="X8" s="91" t="e">
        <f>SUMPRODUCT((日次管理!#REF!&lt;=$X$3)*(日次管理!#REF!=$A$8)*(日次管理!#REF!="実施完了")*(日次管理!#REF!="予定")*(日次管理!#REF!=$A$2),日次管理!#REF!)</f>
        <v>#REF!</v>
      </c>
      <c r="Y8" s="59" t="e">
        <f>SUMPRODUCT((日次管理!#REF!&lt;=$Y$3)*(日次管理!#REF!=$A$8)*(日次管理!#REF!="実施完了")*(日次管理!#REF!="実績")*(日次管理!#REF!=$A$2),日次管理!#REF!)</f>
        <v>#REF!</v>
      </c>
      <c r="Z8" s="91" t="e">
        <f>SUMPRODUCT((日次管理!#REF!&lt;=$Z$3)*(日次管理!#REF!=$A$8)*(日次管理!#REF!="実施完了")*(日次管理!#REF!="予定")*(日次管理!#REF!=$A$2),日次管理!#REF!)</f>
        <v>#REF!</v>
      </c>
      <c r="AA8" s="59" t="e">
        <f>SUMPRODUCT((日次管理!#REF!&lt;=$AA$3)*(日次管理!#REF!=$A$8)*(日次管理!#REF!="実施完了")*(日次管理!#REF!="実績")*(日次管理!#REF!=$A$2),日次管理!#REF!)</f>
        <v>#REF!</v>
      </c>
      <c r="AB8" s="91" t="e">
        <f>SUMPRODUCT((日次管理!#REF!&lt;=$AB$3)*(日次管理!#REF!=$A$8)*(日次管理!#REF!="実施完了")*(日次管理!#REF!="予定")*(日次管理!#REF!=$A$2),日次管理!#REF!)</f>
        <v>#REF!</v>
      </c>
      <c r="AC8" s="59" t="e">
        <f>SUMPRODUCT((日次管理!#REF!&lt;=$AC$3)*(日次管理!#REF!=$A$8)*(日次管理!#REF!="実施完了")*(日次管理!#REF!="実績")*(日次管理!#REF!=$A$2),日次管理!#REF!)</f>
        <v>#REF!</v>
      </c>
      <c r="AD8" s="91" t="e">
        <f>SUMPRODUCT((日次管理!#REF!&lt;=$AD$3)*(日次管理!#REF!=$A$8)*(日次管理!#REF!="実施完了")*(日次管理!#REF!="予定")*(日次管理!#REF!=$A$2),日次管理!#REF!)</f>
        <v>#REF!</v>
      </c>
      <c r="AE8" s="59" t="e">
        <f>SUMPRODUCT((日次管理!#REF!&lt;=$AE$3)*(日次管理!#REF!=$A$8)*(日次管理!#REF!="実施完了")*(日次管理!#REF!="実績")*(日次管理!#REF!=$A$2),日次管理!#REF!)</f>
        <v>#REF!</v>
      </c>
      <c r="AF8" s="91" t="e">
        <f>SUMPRODUCT((日次管理!#REF!&lt;=$AF$3)*(日次管理!#REF!=$A$8)*(日次管理!#REF!="実施完了")*(日次管理!#REF!="予定")*(日次管理!#REF!=$A$2),日次管理!#REF!)</f>
        <v>#REF!</v>
      </c>
      <c r="AG8" s="59" t="e">
        <f>SUMPRODUCT((日次管理!#REF!&lt;=$AG$3)*(日次管理!#REF!=$A$8)*(日次管理!#REF!="実施完了")*(日次管理!#REF!="実績")*(日次管理!#REF!=$A$2),日次管理!#REF!)</f>
        <v>#REF!</v>
      </c>
      <c r="AH8" s="91" t="e">
        <f>SUMPRODUCT((日次管理!#REF!&lt;=$AH$3)*(日次管理!#REF!=$A$8)*(日次管理!#REF!="実施完了")*(日次管理!#REF!="予定")*(日次管理!#REF!=$A$2),日次管理!#REF!)</f>
        <v>#REF!</v>
      </c>
      <c r="AI8" s="59" t="e">
        <f>SUMPRODUCT((日次管理!#REF!&lt;=$AI$3)*(日次管理!#REF!=$A$8)*(日次管理!#REF!="実施完了")*(日次管理!#REF!="実績")*(日次管理!#REF!=$A$2),日次管理!#REF!)</f>
        <v>#REF!</v>
      </c>
      <c r="AJ8" s="91" t="e">
        <f>SUMPRODUCT((日次管理!#REF!&lt;=$AJ$3)*(日次管理!#REF!=$A$8)*(日次管理!#REF!="実施完了")*(日次管理!#REF!="予定")*(日次管理!#REF!=$A$2),日次管理!#REF!)</f>
        <v>#REF!</v>
      </c>
      <c r="AK8" s="59" t="e">
        <f>SUMPRODUCT((日次管理!#REF!&lt;=$AK$3)*(日次管理!#REF!=$A$8)*(日次管理!#REF!="実施完了")*(日次管理!#REF!="実績")*(日次管理!#REF!=$A$2),日次管理!#REF!)</f>
        <v>#REF!</v>
      </c>
      <c r="AL8" s="91" t="e">
        <f>SUMPRODUCT((日次管理!#REF!&lt;=$AL$3)*(日次管理!#REF!=$A$8)*(日次管理!#REF!="実施完了")*(日次管理!#REF!="予定")*(日次管理!#REF!=$A$2),日次管理!#REF!)</f>
        <v>#REF!</v>
      </c>
      <c r="AM8" s="59" t="e">
        <f>SUMPRODUCT((日次管理!#REF!&lt;=$AM$3)*(日次管理!#REF!=$A$8)*(日次管理!#REF!="実施完了")*(日次管理!#REF!="実績")*(日次管理!#REF!=$A$2),日次管理!#REF!)</f>
        <v>#REF!</v>
      </c>
      <c r="AN8" s="91" t="e">
        <f>SUMPRODUCT((日次管理!#REF!&lt;=$AN$3)*(日次管理!#REF!=$A$8)*(日次管理!#REF!="実施完了")*(日次管理!#REF!="予定")*(日次管理!#REF!=$A$2),日次管理!#REF!)</f>
        <v>#REF!</v>
      </c>
      <c r="AO8" s="59" t="e">
        <f>SUMPRODUCT((日次管理!#REF!&lt;=$AO$3)*(日次管理!#REF!=$A$8)*(日次管理!#REF!="実施完了")*(日次管理!#REF!="実績")*(日次管理!#REF!=$A$2),日次管理!#REF!)</f>
        <v>#REF!</v>
      </c>
      <c r="AP8" s="91" t="e">
        <f>SUMPRODUCT((日次管理!#REF!&lt;=$AP$3)*(日次管理!#REF!=$A$8)*(日次管理!#REF!="実施完了")*(日次管理!#REF!="予定")*(日次管理!#REF!=$A$2),日次管理!#REF!)</f>
        <v>#REF!</v>
      </c>
      <c r="AQ8" s="59" t="e">
        <f>SUMPRODUCT((日次管理!#REF!&lt;=$AQ$3)*(日次管理!#REF!=$A$8)*(日次管理!#REF!="実施完了")*(日次管理!#REF!="実績")*(日次管理!#REF!=$A$2),日次管理!#REF!)</f>
        <v>#REF!</v>
      </c>
      <c r="AR8" s="91" t="e">
        <f>SUMPRODUCT((日次管理!#REF!&lt;=$AR$3)*(日次管理!#REF!=$A$8)*(日次管理!#REF!="実施完了")*(日次管理!#REF!="予定")*(日次管理!#REF!=$A$2),日次管理!#REF!)</f>
        <v>#REF!</v>
      </c>
      <c r="AS8" s="59" t="e">
        <f>SUMPRODUCT((日次管理!#REF!&lt;=$AS$3)*(日次管理!#REF!=$A$8)*(日次管理!#REF!="実施完了")*(日次管理!#REF!="実績")*(日次管理!#REF!=$A$2),日次管理!#REF!)</f>
        <v>#REF!</v>
      </c>
      <c r="AT8" s="91" t="e">
        <f>SUMPRODUCT((日次管理!#REF!&lt;=$AT$3)*(日次管理!#REF!=$A$8)*(日次管理!#REF!="実施完了")*(日次管理!#REF!="予定")*(日次管理!#REF!=$A$2),日次管理!#REF!)</f>
        <v>#REF!</v>
      </c>
      <c r="AU8" s="59" t="e">
        <f>SUMPRODUCT((日次管理!#REF!&lt;=$AU$3)*(日次管理!#REF!=$A$8)*(日次管理!#REF!="実施完了")*(日次管理!#REF!="実績")*(日次管理!#REF!=$A$2),日次管理!#REF!)</f>
        <v>#REF!</v>
      </c>
      <c r="AV8" s="91" t="e">
        <f>SUMPRODUCT((日次管理!#REF!&lt;=$AV$3)*(日次管理!#REF!=$A$8)*(日次管理!#REF!="実施完了")*(日次管理!#REF!="予定")*(日次管理!#REF!=$A$2),日次管理!#REF!)</f>
        <v>#REF!</v>
      </c>
      <c r="AW8" s="59" t="e">
        <f>SUMPRODUCT((日次管理!#REF!&lt;=$AW$3)*(日次管理!#REF!=$A$8)*(日次管理!#REF!="実施完了")*(日次管理!#REF!="実績")*(日次管理!#REF!=$A$2),日次管理!#REF!)</f>
        <v>#REF!</v>
      </c>
      <c r="AX8" s="91" t="e">
        <f>SUMPRODUCT((日次管理!#REF!&lt;=$AX$3)*(日次管理!#REF!=$A$8)*(日次管理!#REF!="実施完了")*(日次管理!#REF!="予定")*(日次管理!#REF!=$A$2),日次管理!#REF!)</f>
        <v>#REF!</v>
      </c>
      <c r="AY8" s="59" t="e">
        <f>SUMPRODUCT((日次管理!#REF!&lt;=$AY$3)*(日次管理!#REF!=$A$8)*(日次管理!#REF!="実施完了")*(日次管理!#REF!="実績")*(日次管理!#REF!=$A$2),日次管理!#REF!)</f>
        <v>#REF!</v>
      </c>
      <c r="AZ8" s="91" t="e">
        <f>SUMPRODUCT((日次管理!#REF!&lt;=$AZ$3)*(日次管理!#REF!=$A$8)*(日次管理!#REF!="実施完了")*(日次管理!#REF!="予定")*(日次管理!#REF!=$A$2),日次管理!#REF!)</f>
        <v>#REF!</v>
      </c>
      <c r="BA8" s="59" t="e">
        <f>SUMPRODUCT((日次管理!#REF!&lt;=$BA$3)*(日次管理!#REF!=$A$8)*(日次管理!#REF!="実施完了")*(日次管理!#REF!="実績")*(日次管理!#REF!=$A$2),日次管理!#REF!)</f>
        <v>#REF!</v>
      </c>
      <c r="BB8" s="91" t="e">
        <f>SUMPRODUCT((日次管理!#REF!&lt;=$BB$3)*(日次管理!#REF!=$A$8)*(日次管理!#REF!="実施完了")*(日次管理!#REF!="予定")*(日次管理!#REF!=$A$2),日次管理!#REF!)</f>
        <v>#REF!</v>
      </c>
      <c r="BC8" s="59" t="e">
        <f>SUMPRODUCT((日次管理!#REF!&lt;=$BC$3)*(日次管理!#REF!=$A$8)*(日次管理!#REF!="実施完了")*(日次管理!#REF!="実績")*(日次管理!#REF!=$A$2),日次管理!#REF!)</f>
        <v>#REF!</v>
      </c>
      <c r="BD8" s="91" t="e">
        <f>SUMPRODUCT((日次管理!#REF!&lt;=$BD$3)*(日次管理!#REF!=$A$8)*(日次管理!#REF!="実施完了")*(日次管理!#REF!="予定")*(日次管理!#REF!=$A$2),日次管理!#REF!)</f>
        <v>#REF!</v>
      </c>
      <c r="BE8" s="59" t="e">
        <f>SUMPRODUCT((日次管理!#REF!&lt;=$BE$3)*(日次管理!#REF!=$A$8)*(日次管理!#REF!="実施完了")*(日次管理!#REF!="実績")*(日次管理!#REF!=$A$2),日次管理!#REF!)</f>
        <v>#REF!</v>
      </c>
      <c r="BF8" s="91" t="e">
        <f>SUMPRODUCT((日次管理!#REF!&lt;=$BF$3)*(日次管理!#REF!=$A$8)*(日次管理!#REF!="実施完了")*(日次管理!#REF!="予定")*(日次管理!#REF!=$A$2),日次管理!#REF!)</f>
        <v>#REF!</v>
      </c>
      <c r="BG8" s="59" t="e">
        <f>SUMPRODUCT((日次管理!#REF!&lt;=$BG$3)*(日次管理!#REF!=$A$8)*(日次管理!#REF!="実施完了")*(日次管理!#REF!="実績")*(日次管理!#REF!=$A$2),日次管理!#REF!)</f>
        <v>#REF!</v>
      </c>
      <c r="BH8" s="91" t="e">
        <f>SUMPRODUCT((日次管理!#REF!&lt;=$BH$3)*(日次管理!#REF!=$A$8)*(日次管理!#REF!="実施完了")*(日次管理!#REF!="予定")*(日次管理!#REF!=$A$2),日次管理!#REF!)</f>
        <v>#REF!</v>
      </c>
      <c r="BI8" s="59" t="e">
        <f>SUMPRODUCT((日次管理!#REF!&lt;=$BI$3)*(日次管理!#REF!=$A$8)*(日次管理!#REF!="実施完了")*(日次管理!#REF!="実績")*(日次管理!#REF!=$A$2),日次管理!#REF!)</f>
        <v>#REF!</v>
      </c>
      <c r="BJ8" s="91" t="e">
        <f>SUMPRODUCT((日次管理!#REF!&lt;=$BJ$3)*(日次管理!#REF!=$A$8)*(日次管理!#REF!="実施完了")*(日次管理!#REF!="予定")*(日次管理!#REF!=$A$2),日次管理!#REF!)</f>
        <v>#REF!</v>
      </c>
      <c r="BK8" s="59" t="e">
        <f>SUMPRODUCT((日次管理!#REF!&lt;=$BK$3)*(日次管理!#REF!=$A$8)*(日次管理!#REF!="実施完了")*(日次管理!#REF!="実績")*(日次管理!#REF!=$A$2),日次管理!#REF!)</f>
        <v>#REF!</v>
      </c>
      <c r="BL8" s="91" t="e">
        <f>SUMPRODUCT((日次管理!#REF!&lt;=$BL$3)*(日次管理!#REF!=$A$8)*(日次管理!#REF!="実施完了")*(日次管理!#REF!="予定")*(日次管理!#REF!=$A$2),日次管理!#REF!)</f>
        <v>#REF!</v>
      </c>
      <c r="BM8" s="59" t="e">
        <f>SUMPRODUCT((日次管理!#REF!&lt;=$BM$3)*(日次管理!#REF!=$A$8)*(日次管理!#REF!="実施完了")*(日次管理!#REF!="実績")*(日次管理!#REF!=$A$2),日次管理!#REF!)</f>
        <v>#REF!</v>
      </c>
      <c r="BN8" s="91" t="e">
        <f>SUMPRODUCT((日次管理!#REF!&lt;=$BN$3)*(日次管理!#REF!=$A$8)*(日次管理!#REF!="実施完了")*(日次管理!#REF!="予定")*(日次管理!#REF!=$A$2),日次管理!#REF!)</f>
        <v>#REF!</v>
      </c>
      <c r="BO8" s="59" t="e">
        <f>SUMPRODUCT((日次管理!#REF!&lt;=$BO$3)*(日次管理!#REF!=$A$8)*(日次管理!#REF!="実施完了")*(日次管理!#REF!="実績")*(日次管理!#REF!=$A$2),日次管理!#REF!)</f>
        <v>#REF!</v>
      </c>
      <c r="BP8" s="91" t="e">
        <f>SUMPRODUCT((日次管理!#REF!&lt;=$BP$3)*(日次管理!#REF!=$A$8)*(日次管理!#REF!="実施完了")*(日次管理!#REF!="予定")*(日次管理!#REF!=$A$2),日次管理!#REF!)</f>
        <v>#REF!</v>
      </c>
      <c r="BQ8" s="59" t="e">
        <f>SUMPRODUCT((日次管理!#REF!&lt;=$BQ$3)*(日次管理!#REF!=$A$8)*(日次管理!#REF!="実施完了")*(日次管理!#REF!="実績")*(日次管理!#REF!=$A$2),日次管理!#REF!)</f>
        <v>#REF!</v>
      </c>
      <c r="BR8" s="91" t="e">
        <f>SUMPRODUCT((日次管理!#REF!&lt;=$BR$3)*(日次管理!#REF!=$A$8)*(日次管理!#REF!="実施完了")*(日次管理!#REF!="予定")*(日次管理!#REF!=$A$2),日次管理!#REF!)</f>
        <v>#REF!</v>
      </c>
      <c r="BS8" s="59" t="e">
        <f>SUMPRODUCT((日次管理!#REF!&lt;=$BS$3)*(日次管理!#REF!=$A$8)*(日次管理!#REF!="実施完了")*(日次管理!#REF!="実績")*(日次管理!#REF!=$A$2),日次管理!#REF!)</f>
        <v>#REF!</v>
      </c>
      <c r="BT8" s="91" t="e">
        <f>SUMPRODUCT((日次管理!#REF!&lt;=$BT$3)*(日次管理!#REF!=$A$8)*(日次管理!#REF!="実施完了")*(日次管理!#REF!="予定")*(日次管理!#REF!=$A$2),日次管理!#REF!)</f>
        <v>#REF!</v>
      </c>
      <c r="BU8" s="59" t="e">
        <f>SUMPRODUCT((日次管理!#REF!&lt;=$BU$3)*(日次管理!#REF!=$A$8)*(日次管理!#REF!="実施完了")*(日次管理!#REF!="実績")*(日次管理!#REF!=$A$2),日次管理!#REF!)</f>
        <v>#REF!</v>
      </c>
      <c r="BV8" s="91" t="e">
        <f>SUMPRODUCT((日次管理!#REF!&lt;=$BV$3)*(日次管理!#REF!=$A$8)*(日次管理!#REF!="実施完了")*(日次管理!#REF!="予定")*(日次管理!#REF!=$A$2),日次管理!#REF!)</f>
        <v>#REF!</v>
      </c>
      <c r="BW8" s="59" t="e">
        <f>SUMPRODUCT((日次管理!#REF!&lt;=$BW$3)*(日次管理!#REF!=$A$8)*(日次管理!#REF!="実施完了")*(日次管理!#REF!="実績")*(日次管理!#REF!=$A$2),日次管理!#REF!)</f>
        <v>#REF!</v>
      </c>
      <c r="BX8" s="91" t="e">
        <f>SUMPRODUCT((日次管理!#REF!&lt;=$BX$3)*(日次管理!#REF!=$A$8)*(日次管理!#REF!="実施完了")*(日次管理!#REF!="予定")*(日次管理!#REF!=$A$2),日次管理!#REF!)</f>
        <v>#REF!</v>
      </c>
      <c r="BY8" s="59" t="e">
        <f>SUMPRODUCT((日次管理!#REF!&lt;=$BY$3)*(日次管理!#REF!=$A$8)*(日次管理!#REF!="実施完了")*(日次管理!#REF!="実績")*(日次管理!#REF!=$A$2),日次管理!#REF!)</f>
        <v>#REF!</v>
      </c>
      <c r="BZ8" s="91" t="e">
        <f>SUMPRODUCT((日次管理!#REF!&lt;=$BZ$3)*(日次管理!#REF!=$A$8)*(日次管理!#REF!="実施完了")*(日次管理!#REF!="予定")*(日次管理!#REF!=$A$2),日次管理!#REF!)</f>
        <v>#REF!</v>
      </c>
      <c r="CA8" s="59" t="e">
        <f>SUMPRODUCT((日次管理!#REF!&lt;=$CA$3)*(日次管理!#REF!=$A$8)*(日次管理!#REF!="実施完了")*(日次管理!#REF!="実績")*(日次管理!#REF!=$A$2),日次管理!#REF!)</f>
        <v>#REF!</v>
      </c>
      <c r="CB8" s="91" t="e">
        <f>SUMPRODUCT((日次管理!#REF!&lt;=$CB$3)*(日次管理!#REF!=$A$8)*(日次管理!#REF!="実施完了")*(日次管理!#REF!="予定")*(日次管理!#REF!=$A$2),日次管理!#REF!)</f>
        <v>#REF!</v>
      </c>
      <c r="CC8" s="59" t="e">
        <f>SUMPRODUCT((日次管理!#REF!&lt;=$CC$3)*(日次管理!#REF!=$A$8)*(日次管理!#REF!="実施完了")*(日次管理!#REF!="実績")*(日次管理!#REF!=$A$2),日次管理!#REF!)</f>
        <v>#REF!</v>
      </c>
      <c r="CD8" s="91" t="e">
        <f>SUMPRODUCT((日次管理!#REF!&lt;=$CD$3)*(日次管理!#REF!=$A$8)*(日次管理!#REF!="実施完了")*(日次管理!#REF!="予定")*(日次管理!#REF!=$A$2),日次管理!#REF!)</f>
        <v>#REF!</v>
      </c>
      <c r="CE8" s="59" t="e">
        <f>SUMPRODUCT((日次管理!#REF!&lt;=$CE$3)*(日次管理!#REF!=$A$8)*(日次管理!#REF!="実施完了")*(日次管理!#REF!="実績")*(日次管理!#REF!=$A$2),日次管理!#REF!)</f>
        <v>#REF!</v>
      </c>
      <c r="CF8" s="91" t="e">
        <f>SUMPRODUCT((日次管理!#REF!&lt;=$CF$3)*(日次管理!#REF!=$A$8)*(日次管理!#REF!="実施完了")*(日次管理!#REF!="予定")*(日次管理!#REF!=$A$2),日次管理!#REF!)</f>
        <v>#REF!</v>
      </c>
      <c r="CG8" s="59" t="e">
        <f>SUMPRODUCT((日次管理!#REF!&lt;=$CG$3)*(日次管理!#REF!=$A$8)*(日次管理!#REF!="実施完了")*(日次管理!#REF!="実績")*(日次管理!#REF!=$A$2),日次管理!#REF!)</f>
        <v>#REF!</v>
      </c>
      <c r="CH8" s="91" t="e">
        <f>SUMPRODUCT((日次管理!#REF!&lt;=$CH$3)*(日次管理!#REF!=$A$8)*(日次管理!#REF!="実施完了")*(日次管理!#REF!="予定")*(日次管理!#REF!=$A$2),日次管理!#REF!)</f>
        <v>#REF!</v>
      </c>
      <c r="CI8" s="59" t="e">
        <f>SUMPRODUCT((日次管理!#REF!&lt;=$CI$3)*(日次管理!#REF!=$A$8)*(日次管理!#REF!="実施完了")*(日次管理!#REF!="実績")*(日次管理!#REF!=$A$2),日次管理!#REF!)</f>
        <v>#REF!</v>
      </c>
      <c r="CJ8" s="91" t="e">
        <f>SUMPRODUCT((日次管理!#REF!&lt;=$CJ$3)*(日次管理!#REF!=$A$8)*(日次管理!#REF!="実施完了")*(日次管理!#REF!="予定")*(日次管理!#REF!=$A$2),日次管理!#REF!)</f>
        <v>#REF!</v>
      </c>
      <c r="CK8" s="59" t="e">
        <f>SUMPRODUCT((日次管理!#REF!&lt;=$CK$3)*(日次管理!#REF!=$A$8)*(日次管理!#REF!="実施完了")*(日次管理!#REF!="実績")*(日次管理!#REF!=$A$2),日次管理!#REF!)</f>
        <v>#REF!</v>
      </c>
      <c r="CL8" s="91" t="e">
        <f>SUMPRODUCT((日次管理!#REF!&lt;=$CL$3)*(日次管理!#REF!=$A$8)*(日次管理!#REF!="実施完了")*(日次管理!#REF!="予定")*(日次管理!#REF!=$A$2),日次管理!#REF!)</f>
        <v>#REF!</v>
      </c>
      <c r="CM8" s="59" t="e">
        <f>SUMPRODUCT((日次管理!#REF!&lt;=$CM$3)*(日次管理!#REF!=$A$8)*(日次管理!#REF!="実施完了")*(日次管理!#REF!="実績")*(日次管理!#REF!=$A$2),日次管理!#REF!)</f>
        <v>#REF!</v>
      </c>
      <c r="CN8" s="91" t="e">
        <f>SUMPRODUCT((日次管理!#REF!&lt;=$CN$3)*(日次管理!#REF!=$A$8)*(日次管理!#REF!="実施完了")*(日次管理!#REF!="予定")*(日次管理!#REF!=$A$2),日次管理!#REF!)</f>
        <v>#REF!</v>
      </c>
      <c r="CO8" s="59" t="e">
        <f>SUMPRODUCT((日次管理!#REF!&lt;=$CO$3)*(日次管理!#REF!=$A$8)*(日次管理!#REF!="実施完了")*(日次管理!#REF!="実績")*(日次管理!#REF!=$A$2),日次管理!#REF!)</f>
        <v>#REF!</v>
      </c>
      <c r="CP8" s="91" t="e">
        <f>SUMPRODUCT((日次管理!#REF!&lt;=$CP$3)*(日次管理!#REF!=$A$8)*(日次管理!#REF!="実施完了")*(日次管理!#REF!="予定")*(日次管理!#REF!=$A$2),日次管理!#REF!)</f>
        <v>#REF!</v>
      </c>
      <c r="CQ8" s="59" t="e">
        <f>SUMPRODUCT((日次管理!#REF!&lt;=$CQ$3)*(日次管理!#REF!=$A$8)*(日次管理!#REF!="実施完了")*(日次管理!#REF!="実績")*(日次管理!#REF!=$A$2),日次管理!#REF!)</f>
        <v>#REF!</v>
      </c>
      <c r="CR8" s="91" t="e">
        <f>SUMPRODUCT((日次管理!#REF!&lt;=$CR$3)*(日次管理!#REF!=$A$8)*(日次管理!#REF!="実施完了")*(日次管理!#REF!="予定")*(日次管理!#REF!=$A$2),日次管理!#REF!)</f>
        <v>#REF!</v>
      </c>
      <c r="CS8" s="59" t="e">
        <f>SUMPRODUCT((日次管理!#REF!&lt;=$CS$3)*(日次管理!#REF!=$A$8)*(日次管理!#REF!="実施完了")*(日次管理!#REF!="実績")*(日次管理!#REF!=$A$2),日次管理!#REF!)</f>
        <v>#REF!</v>
      </c>
      <c r="CT8" s="91" t="e">
        <f>SUMPRODUCT((日次管理!#REF!&lt;=$CT$3)*(日次管理!#REF!=$A$8)*(日次管理!#REF!="実施完了")*(日次管理!#REF!="予定")*(日次管理!#REF!=$A$2),日次管理!#REF!)</f>
        <v>#REF!</v>
      </c>
      <c r="CU8" s="59" t="e">
        <f>SUMPRODUCT((日次管理!#REF!&lt;=$CU$3)*(日次管理!#REF!=$A$8)*(日次管理!#REF!="実施完了")*(日次管理!#REF!="実績")*(日次管理!#REF!=$A$2),日次管理!#REF!)</f>
        <v>#REF!</v>
      </c>
      <c r="CV8" s="92" t="e">
        <f ca="1">SUMPRODUCT(($A$3- WEEKDAY($A$3) + 6 =$B$3:$CU$3)*("実績"=$B$4:$CU$4),$B$8:$CU$8)/SUMPRODUCT(($A$3- WEEKDAY($A$3) + 6 =$B$3:$CU$3)*("予定"=$B$4:$CU$4),$B$8:$CU$8)</f>
        <v>#REF!</v>
      </c>
      <c r="CW8" s="93" t="e">
        <f>$CU$8/$CT$8</f>
        <v>#REF!</v>
      </c>
    </row>
    <row r="9" spans="1:101" ht="20.149999999999999" customHeight="1" thickBot="1">
      <c r="A9" s="106" t="s">
        <v>65</v>
      </c>
      <c r="B9" s="107" t="e">
        <f>SUM($B$5:$B$8)</f>
        <v>#REF!</v>
      </c>
      <c r="C9" s="108" t="e">
        <f>SUM($C$5:$C$8)</f>
        <v>#REF!</v>
      </c>
      <c r="D9" s="107" t="e">
        <f>SUM($D$5:$D$8)</f>
        <v>#REF!</v>
      </c>
      <c r="E9" s="108" t="e">
        <f>SUM($E$5:$E$8)</f>
        <v>#REF!</v>
      </c>
      <c r="F9" s="107" t="e">
        <f>SUM($F$5:$F$8)</f>
        <v>#REF!</v>
      </c>
      <c r="G9" s="108" t="e">
        <f>SUM($G$5:$G$8)</f>
        <v>#REF!</v>
      </c>
      <c r="H9" s="107" t="e">
        <f>SUM($H$5:$H$8)</f>
        <v>#REF!</v>
      </c>
      <c r="I9" s="108" t="e">
        <f>SUM($I$5:$I$8)</f>
        <v>#REF!</v>
      </c>
      <c r="J9" s="107" t="e">
        <f>SUM($J$5:$J$8)</f>
        <v>#REF!</v>
      </c>
      <c r="K9" s="108" t="e">
        <f>SUM($K$5:$K$8)</f>
        <v>#REF!</v>
      </c>
      <c r="L9" s="107" t="e">
        <f>SUM($L$5:$L$8)</f>
        <v>#REF!</v>
      </c>
      <c r="M9" s="108" t="e">
        <f>SUM($M$5:$M$8)</f>
        <v>#REF!</v>
      </c>
      <c r="N9" s="107" t="e">
        <f>SUM($N$5:$N$8)</f>
        <v>#REF!</v>
      </c>
      <c r="O9" s="108" t="e">
        <f>SUM($O$5:$O$8)</f>
        <v>#REF!</v>
      </c>
      <c r="P9" s="107" t="e">
        <f>SUM($P$5:$P$8)</f>
        <v>#REF!</v>
      </c>
      <c r="Q9" s="108" t="e">
        <f>SUM($Q$5:$Q$8)</f>
        <v>#REF!</v>
      </c>
      <c r="R9" s="107" t="e">
        <f>SUM($R$5:$R$8)</f>
        <v>#REF!</v>
      </c>
      <c r="S9" s="108" t="e">
        <f>SUM($S$5:$S$8)</f>
        <v>#REF!</v>
      </c>
      <c r="T9" s="107" t="e">
        <f>SUM($T$5:$T$8)</f>
        <v>#REF!</v>
      </c>
      <c r="U9" s="108" t="e">
        <f>SUM($U$5:$U$8)</f>
        <v>#REF!</v>
      </c>
      <c r="V9" s="107" t="e">
        <f>SUM($V$5:$V$8)</f>
        <v>#REF!</v>
      </c>
      <c r="W9" s="108" t="e">
        <f>SUM($W$5:$W$8)</f>
        <v>#REF!</v>
      </c>
      <c r="X9" s="107" t="e">
        <f>SUM($X$5:$X$8)</f>
        <v>#REF!</v>
      </c>
      <c r="Y9" s="108" t="e">
        <f>SUM($Y$5:$Y$8)</f>
        <v>#REF!</v>
      </c>
      <c r="Z9" s="107" t="e">
        <f>SUM($Z$5:$Z$8)</f>
        <v>#REF!</v>
      </c>
      <c r="AA9" s="108" t="e">
        <f>SUM($AA$5:$AA$8)</f>
        <v>#REF!</v>
      </c>
      <c r="AB9" s="107" t="e">
        <f>SUM($AB$5:$AB$8)</f>
        <v>#REF!</v>
      </c>
      <c r="AC9" s="108" t="e">
        <f>SUM($AC$5:$AC$8)</f>
        <v>#REF!</v>
      </c>
      <c r="AD9" s="107" t="e">
        <f>SUM($AD$5:$AD$8)</f>
        <v>#REF!</v>
      </c>
      <c r="AE9" s="108" t="e">
        <f>SUM($AE$5:$AE$8)</f>
        <v>#REF!</v>
      </c>
      <c r="AF9" s="107" t="e">
        <f>SUM($AF$5:$AF$8)</f>
        <v>#REF!</v>
      </c>
      <c r="AG9" s="108" t="e">
        <f>SUM($AG$5:$AG$8)</f>
        <v>#REF!</v>
      </c>
      <c r="AH9" s="107" t="e">
        <f>SUM($AH$5:$AH$8)</f>
        <v>#REF!</v>
      </c>
      <c r="AI9" s="108" t="e">
        <f>SUM($AI$5:$AI$8)</f>
        <v>#REF!</v>
      </c>
      <c r="AJ9" s="107" t="e">
        <f>SUM($AJ$5:$AJ$8)</f>
        <v>#REF!</v>
      </c>
      <c r="AK9" s="108" t="e">
        <f>SUM($AK$5:$AK$8)</f>
        <v>#REF!</v>
      </c>
      <c r="AL9" s="107" t="e">
        <f>SUM($AL$5:$AL$8)</f>
        <v>#REF!</v>
      </c>
      <c r="AM9" s="108" t="e">
        <f>SUM($AM$5:$AM$8)</f>
        <v>#REF!</v>
      </c>
      <c r="AN9" s="107" t="e">
        <f>SUM($AN$5:$AN$8)</f>
        <v>#REF!</v>
      </c>
      <c r="AO9" s="108" t="e">
        <f>SUM($AO$5:$AO$8)</f>
        <v>#REF!</v>
      </c>
      <c r="AP9" s="107" t="e">
        <f>SUM($AP$5:$AP$8)</f>
        <v>#REF!</v>
      </c>
      <c r="AQ9" s="108" t="e">
        <f>SUM($AQ$5:$AQ$8)</f>
        <v>#REF!</v>
      </c>
      <c r="AR9" s="107" t="e">
        <f>SUM($AR$5:$AR$8)</f>
        <v>#REF!</v>
      </c>
      <c r="AS9" s="108" t="e">
        <f>SUM($AS$5:$AS$8)</f>
        <v>#REF!</v>
      </c>
      <c r="AT9" s="107" t="e">
        <f>SUM($AT$5:$AT$8)</f>
        <v>#REF!</v>
      </c>
      <c r="AU9" s="108" t="e">
        <f>SUM($AU$5:$AU$8)</f>
        <v>#REF!</v>
      </c>
      <c r="AV9" s="107" t="e">
        <f>SUM($AV$5:$AV$8)</f>
        <v>#REF!</v>
      </c>
      <c r="AW9" s="108" t="e">
        <f>SUM($AW$5:$AW$8)</f>
        <v>#REF!</v>
      </c>
      <c r="AX9" s="107" t="e">
        <f>SUM($AX$5:$AX$8)</f>
        <v>#REF!</v>
      </c>
      <c r="AY9" s="108" t="e">
        <f>SUM($AY$5:$AY$8)</f>
        <v>#REF!</v>
      </c>
      <c r="AZ9" s="107" t="e">
        <f>SUM($AZ$5:$AZ$8)</f>
        <v>#REF!</v>
      </c>
      <c r="BA9" s="108" t="e">
        <f>SUM($BA$5:$BA$8)</f>
        <v>#REF!</v>
      </c>
      <c r="BB9" s="107" t="e">
        <f>SUM($BB$5:$BB$8)</f>
        <v>#REF!</v>
      </c>
      <c r="BC9" s="108" t="e">
        <f>SUM($BC$5:$BC$8)</f>
        <v>#REF!</v>
      </c>
      <c r="BD9" s="107" t="e">
        <f>SUM($BD$5:$BD$8)</f>
        <v>#REF!</v>
      </c>
      <c r="BE9" s="108" t="e">
        <f>SUM($BE$5:$BE$8)</f>
        <v>#REF!</v>
      </c>
      <c r="BF9" s="107" t="e">
        <f>SUM($BF$5:$BF$8)</f>
        <v>#REF!</v>
      </c>
      <c r="BG9" s="108" t="e">
        <f>SUM($BG$5:$BG$8)</f>
        <v>#REF!</v>
      </c>
      <c r="BH9" s="107" t="e">
        <f>SUM($BH$5:$BH$8)</f>
        <v>#REF!</v>
      </c>
      <c r="BI9" s="108" t="e">
        <f>SUM($BI$5:$BI$8)</f>
        <v>#REF!</v>
      </c>
      <c r="BJ9" s="107" t="e">
        <f>SUM($BJ$5:$BJ$8)</f>
        <v>#REF!</v>
      </c>
      <c r="BK9" s="108" t="e">
        <f>SUM($BK$5:$BK$8)</f>
        <v>#REF!</v>
      </c>
      <c r="BL9" s="107" t="e">
        <f>SUM($BL$5:$BL$8)</f>
        <v>#REF!</v>
      </c>
      <c r="BM9" s="108" t="e">
        <f>SUM($BM$5:$BM$8)</f>
        <v>#REF!</v>
      </c>
      <c r="BN9" s="107" t="e">
        <f>SUM($BN$5:$BN$8)</f>
        <v>#REF!</v>
      </c>
      <c r="BO9" s="108" t="e">
        <f>SUM($BO$5:$BO$8)</f>
        <v>#REF!</v>
      </c>
      <c r="BP9" s="107" t="e">
        <f>SUM($BP$5:$BP$8)</f>
        <v>#REF!</v>
      </c>
      <c r="BQ9" s="108" t="e">
        <f>SUM($BQ$5:$BQ$8)</f>
        <v>#REF!</v>
      </c>
      <c r="BR9" s="107" t="e">
        <f>SUM($BR$5:$BR$8)</f>
        <v>#REF!</v>
      </c>
      <c r="BS9" s="108" t="e">
        <f>SUM($BS$5:$BS$8)</f>
        <v>#REF!</v>
      </c>
      <c r="BT9" s="107" t="e">
        <f>SUM($BT$5:$BT$8)</f>
        <v>#REF!</v>
      </c>
      <c r="BU9" s="108" t="e">
        <f>SUM($BU$5:$BU$8)</f>
        <v>#REF!</v>
      </c>
      <c r="BV9" s="107" t="e">
        <f>SUM($BV$5:$BV$8)</f>
        <v>#REF!</v>
      </c>
      <c r="BW9" s="108" t="e">
        <f>SUM($BW$5:$BW$8)</f>
        <v>#REF!</v>
      </c>
      <c r="BX9" s="107" t="e">
        <f>SUM($BX$5:$BX$8)</f>
        <v>#REF!</v>
      </c>
      <c r="BY9" s="108" t="e">
        <f>SUM($BY$5:$BY$8)</f>
        <v>#REF!</v>
      </c>
      <c r="BZ9" s="107" t="e">
        <f>SUM($BZ$5:$BZ$8)</f>
        <v>#REF!</v>
      </c>
      <c r="CA9" s="108" t="e">
        <f>SUM($CA$5:$CA$8)</f>
        <v>#REF!</v>
      </c>
      <c r="CB9" s="107" t="e">
        <f>SUM($CB$5:$CB$8)</f>
        <v>#REF!</v>
      </c>
      <c r="CC9" s="108" t="e">
        <f>SUM($CC$5:$CC$8)</f>
        <v>#REF!</v>
      </c>
      <c r="CD9" s="107" t="e">
        <f>SUM($CD$5:$CD$8)</f>
        <v>#REF!</v>
      </c>
      <c r="CE9" s="108" t="e">
        <f>SUM($CE$5:$CE$8)</f>
        <v>#REF!</v>
      </c>
      <c r="CF9" s="107" t="e">
        <f>SUM($CF$5:$CF$8)</f>
        <v>#REF!</v>
      </c>
      <c r="CG9" s="108" t="e">
        <f>SUM($CG$5:$CG$8)</f>
        <v>#REF!</v>
      </c>
      <c r="CH9" s="107" t="e">
        <f>SUM($CH$5:$CH$8)</f>
        <v>#REF!</v>
      </c>
      <c r="CI9" s="108" t="e">
        <f>SUM($CI$5:$CI$8)</f>
        <v>#REF!</v>
      </c>
      <c r="CJ9" s="107" t="e">
        <f>SUM($CJ$5:$CJ$8)</f>
        <v>#REF!</v>
      </c>
      <c r="CK9" s="108" t="e">
        <f>SUM($CK$5:$CK$8)</f>
        <v>#REF!</v>
      </c>
      <c r="CL9" s="107" t="e">
        <f>SUM($CL$5:$CL$8)</f>
        <v>#REF!</v>
      </c>
      <c r="CM9" s="108" t="e">
        <f>SUM($CM$5:$CM$8)</f>
        <v>#REF!</v>
      </c>
      <c r="CN9" s="107" t="e">
        <f>SUM($CN$5:$CN$8)</f>
        <v>#REF!</v>
      </c>
      <c r="CO9" s="108" t="e">
        <f>SUM($CO$5:$CO$8)</f>
        <v>#REF!</v>
      </c>
      <c r="CP9" s="107" t="e">
        <f>SUM($CP$5:$CP$8)</f>
        <v>#REF!</v>
      </c>
      <c r="CQ9" s="108" t="e">
        <f>SUM($CQ$5:$CQ$8)</f>
        <v>#REF!</v>
      </c>
      <c r="CR9" s="107" t="e">
        <f>SUM($CR$5:$CR$8)</f>
        <v>#REF!</v>
      </c>
      <c r="CS9" s="108" t="e">
        <f>SUM($CS$5:$CS$8)</f>
        <v>#REF!</v>
      </c>
      <c r="CT9" s="107" t="e">
        <f>SUM($CT$5:$CT$8)</f>
        <v>#REF!</v>
      </c>
      <c r="CU9" s="108" t="e">
        <f>SUM($CU$5:$CU$8)</f>
        <v>#REF!</v>
      </c>
      <c r="CV9" s="109" t="e">
        <f ca="1">SUMPRODUCT(($A$3- WEEKDAY($A$3) + 6 =$B$3:$CU$3)*("実績"=$B$4:$CU$4),$B$9:$CU$9)/SUMPRODUCT(($A$3- WEEKDAY($A$3) + 6 =$B$3:$CU$3)*("予定"=$B$4:$CU$4),$B$9:$CU$9)</f>
        <v>#REF!</v>
      </c>
      <c r="CW9" s="110" t="e">
        <f>$CU$9/$CT$9</f>
        <v>#REF!</v>
      </c>
    </row>
    <row r="11" spans="1:101" ht="20.149999999999999" customHeight="1" thickBot="1">
      <c r="A11" s="79" t="s">
        <v>108</v>
      </c>
      <c r="B11" s="43" t="s">
        <v>69</v>
      </c>
    </row>
    <row r="12" spans="1:101" ht="40" customHeight="1">
      <c r="A12" s="80">
        <f ca="1">TODAY()</f>
        <v>43566</v>
      </c>
      <c r="B12" s="82">
        <v>43528</v>
      </c>
      <c r="C12" s="53">
        <v>43528</v>
      </c>
      <c r="D12" s="83">
        <v>43529</v>
      </c>
      <c r="E12" s="63">
        <v>43529</v>
      </c>
      <c r="F12" s="82">
        <v>43530</v>
      </c>
      <c r="G12" s="53">
        <v>43530</v>
      </c>
      <c r="H12" s="83">
        <v>43531</v>
      </c>
      <c r="I12" s="63">
        <v>43531</v>
      </c>
      <c r="J12" s="82">
        <v>43532</v>
      </c>
      <c r="K12" s="53">
        <v>43532</v>
      </c>
      <c r="L12" s="83">
        <v>43533</v>
      </c>
      <c r="M12" s="63">
        <v>43533</v>
      </c>
      <c r="N12" s="82">
        <v>43534</v>
      </c>
      <c r="O12" s="53">
        <v>43534</v>
      </c>
      <c r="P12" s="83">
        <v>43535</v>
      </c>
      <c r="Q12" s="63">
        <v>43535</v>
      </c>
      <c r="R12" s="82">
        <v>43536</v>
      </c>
      <c r="S12" s="53">
        <v>43536</v>
      </c>
      <c r="T12" s="83">
        <v>43537</v>
      </c>
      <c r="U12" s="63">
        <v>43537</v>
      </c>
      <c r="V12" s="82">
        <v>43538</v>
      </c>
      <c r="W12" s="53">
        <v>43538</v>
      </c>
      <c r="X12" s="83">
        <v>43539</v>
      </c>
      <c r="Y12" s="63">
        <v>43539</v>
      </c>
      <c r="Z12" s="82">
        <v>43540</v>
      </c>
      <c r="AA12" s="53">
        <v>43540</v>
      </c>
      <c r="AB12" s="83">
        <v>43541</v>
      </c>
      <c r="AC12" s="63">
        <v>43541</v>
      </c>
      <c r="AD12" s="82">
        <v>43542</v>
      </c>
      <c r="AE12" s="53">
        <v>43542</v>
      </c>
      <c r="AF12" s="83">
        <v>43543</v>
      </c>
      <c r="AG12" s="63">
        <v>43543</v>
      </c>
      <c r="AH12" s="82">
        <v>43544</v>
      </c>
      <c r="AI12" s="53">
        <v>43544</v>
      </c>
      <c r="AJ12" s="83">
        <v>43545</v>
      </c>
      <c r="AK12" s="63">
        <v>43545</v>
      </c>
      <c r="AL12" s="82">
        <v>43546</v>
      </c>
      <c r="AM12" s="53">
        <v>43546</v>
      </c>
      <c r="AN12" s="83">
        <v>43547</v>
      </c>
      <c r="AO12" s="63">
        <v>43547</v>
      </c>
      <c r="AP12" s="82">
        <v>43548</v>
      </c>
      <c r="AQ12" s="53">
        <v>43548</v>
      </c>
      <c r="AR12" s="83">
        <v>43549</v>
      </c>
      <c r="AS12" s="63">
        <v>43549</v>
      </c>
      <c r="AT12" s="82">
        <v>43550</v>
      </c>
      <c r="AU12" s="53">
        <v>43550</v>
      </c>
      <c r="AV12" s="83">
        <v>43551</v>
      </c>
      <c r="AW12" s="63">
        <v>43551</v>
      </c>
      <c r="AX12" s="82">
        <v>43552</v>
      </c>
      <c r="AY12" s="53">
        <v>43552</v>
      </c>
      <c r="AZ12" s="83">
        <v>43553</v>
      </c>
      <c r="BA12" s="63">
        <v>43553</v>
      </c>
      <c r="BB12" s="82">
        <v>43554</v>
      </c>
      <c r="BC12" s="53">
        <v>43554</v>
      </c>
      <c r="BD12" s="83">
        <v>43555</v>
      </c>
      <c r="BE12" s="63">
        <v>43555</v>
      </c>
      <c r="BF12" s="82">
        <v>43556</v>
      </c>
      <c r="BG12" s="53">
        <v>43556</v>
      </c>
      <c r="BH12" s="83">
        <v>43557</v>
      </c>
      <c r="BI12" s="63">
        <v>43557</v>
      </c>
      <c r="BJ12" s="82">
        <v>43558</v>
      </c>
      <c r="BK12" s="53">
        <v>43558</v>
      </c>
      <c r="BL12" s="83">
        <v>43559</v>
      </c>
      <c r="BM12" s="63">
        <v>43559</v>
      </c>
      <c r="BN12" s="82">
        <v>43560</v>
      </c>
      <c r="BO12" s="53">
        <v>43560</v>
      </c>
      <c r="BP12" s="83">
        <v>43561</v>
      </c>
      <c r="BQ12" s="63">
        <v>43561</v>
      </c>
      <c r="BR12" s="82">
        <v>43562</v>
      </c>
      <c r="BS12" s="53">
        <v>43562</v>
      </c>
      <c r="BT12" s="83">
        <v>43563</v>
      </c>
      <c r="BU12" s="63">
        <v>43563</v>
      </c>
      <c r="BV12" s="82">
        <v>43564</v>
      </c>
      <c r="BW12" s="53">
        <v>43564</v>
      </c>
      <c r="BX12" s="83">
        <v>43565</v>
      </c>
      <c r="BY12" s="63">
        <v>43565</v>
      </c>
      <c r="BZ12" s="82">
        <v>43566</v>
      </c>
      <c r="CA12" s="53">
        <v>43566</v>
      </c>
      <c r="CB12" s="83">
        <v>43567</v>
      </c>
      <c r="CC12" s="63">
        <v>43567</v>
      </c>
      <c r="CD12" s="82">
        <v>43568</v>
      </c>
      <c r="CE12" s="53">
        <v>43568</v>
      </c>
      <c r="CF12" s="83">
        <v>43569</v>
      </c>
      <c r="CG12" s="63">
        <v>43569</v>
      </c>
      <c r="CH12" s="82">
        <v>43570</v>
      </c>
      <c r="CI12" s="53">
        <v>43570</v>
      </c>
      <c r="CJ12" s="83">
        <v>43571</v>
      </c>
      <c r="CK12" s="63">
        <v>43571</v>
      </c>
      <c r="CL12" s="82">
        <v>43572</v>
      </c>
      <c r="CM12" s="53">
        <v>43572</v>
      </c>
      <c r="CN12" s="83">
        <v>43573</v>
      </c>
      <c r="CO12" s="63">
        <v>43573</v>
      </c>
      <c r="CP12" s="82">
        <v>43574</v>
      </c>
      <c r="CQ12" s="53">
        <v>43574</v>
      </c>
      <c r="CR12" s="83">
        <v>43575</v>
      </c>
      <c r="CS12" s="63">
        <v>43575</v>
      </c>
      <c r="CT12" s="82">
        <v>43576</v>
      </c>
      <c r="CU12" s="53">
        <v>43576</v>
      </c>
      <c r="CV12" s="141" t="s">
        <v>66</v>
      </c>
      <c r="CW12" s="142"/>
    </row>
    <row r="13" spans="1:101" ht="20.149999999999999" customHeight="1" thickBot="1">
      <c r="A13" s="103" t="s">
        <v>64</v>
      </c>
      <c r="B13" s="85" t="s">
        <v>60</v>
      </c>
      <c r="C13" s="86" t="s">
        <v>61</v>
      </c>
      <c r="D13" s="87" t="s">
        <v>60</v>
      </c>
      <c r="E13" s="88" t="s">
        <v>61</v>
      </c>
      <c r="F13" s="85" t="s">
        <v>60</v>
      </c>
      <c r="G13" s="86" t="s">
        <v>61</v>
      </c>
      <c r="H13" s="87" t="s">
        <v>60</v>
      </c>
      <c r="I13" s="88" t="s">
        <v>61</v>
      </c>
      <c r="J13" s="85" t="s">
        <v>60</v>
      </c>
      <c r="K13" s="86" t="s">
        <v>61</v>
      </c>
      <c r="L13" s="87" t="s">
        <v>60</v>
      </c>
      <c r="M13" s="88" t="s">
        <v>61</v>
      </c>
      <c r="N13" s="85" t="s">
        <v>60</v>
      </c>
      <c r="O13" s="86" t="s">
        <v>61</v>
      </c>
      <c r="P13" s="87" t="s">
        <v>60</v>
      </c>
      <c r="Q13" s="88" t="s">
        <v>61</v>
      </c>
      <c r="R13" s="85" t="s">
        <v>60</v>
      </c>
      <c r="S13" s="86" t="s">
        <v>61</v>
      </c>
      <c r="T13" s="87" t="s">
        <v>60</v>
      </c>
      <c r="U13" s="88" t="s">
        <v>61</v>
      </c>
      <c r="V13" s="85" t="s">
        <v>60</v>
      </c>
      <c r="W13" s="86" t="s">
        <v>61</v>
      </c>
      <c r="X13" s="87" t="s">
        <v>60</v>
      </c>
      <c r="Y13" s="88" t="s">
        <v>61</v>
      </c>
      <c r="Z13" s="85" t="s">
        <v>60</v>
      </c>
      <c r="AA13" s="86" t="s">
        <v>61</v>
      </c>
      <c r="AB13" s="87" t="s">
        <v>60</v>
      </c>
      <c r="AC13" s="88" t="s">
        <v>61</v>
      </c>
      <c r="AD13" s="85" t="s">
        <v>60</v>
      </c>
      <c r="AE13" s="86" t="s">
        <v>61</v>
      </c>
      <c r="AF13" s="87" t="s">
        <v>60</v>
      </c>
      <c r="AG13" s="88" t="s">
        <v>61</v>
      </c>
      <c r="AH13" s="85" t="s">
        <v>60</v>
      </c>
      <c r="AI13" s="86" t="s">
        <v>61</v>
      </c>
      <c r="AJ13" s="87" t="s">
        <v>60</v>
      </c>
      <c r="AK13" s="88" t="s">
        <v>61</v>
      </c>
      <c r="AL13" s="85" t="s">
        <v>60</v>
      </c>
      <c r="AM13" s="86" t="s">
        <v>61</v>
      </c>
      <c r="AN13" s="87" t="s">
        <v>60</v>
      </c>
      <c r="AO13" s="88" t="s">
        <v>61</v>
      </c>
      <c r="AP13" s="85" t="s">
        <v>60</v>
      </c>
      <c r="AQ13" s="86" t="s">
        <v>61</v>
      </c>
      <c r="AR13" s="87" t="s">
        <v>60</v>
      </c>
      <c r="AS13" s="88" t="s">
        <v>61</v>
      </c>
      <c r="AT13" s="85" t="s">
        <v>60</v>
      </c>
      <c r="AU13" s="86" t="s">
        <v>61</v>
      </c>
      <c r="AV13" s="87" t="s">
        <v>60</v>
      </c>
      <c r="AW13" s="88" t="s">
        <v>61</v>
      </c>
      <c r="AX13" s="85" t="s">
        <v>60</v>
      </c>
      <c r="AY13" s="86" t="s">
        <v>61</v>
      </c>
      <c r="AZ13" s="87" t="s">
        <v>60</v>
      </c>
      <c r="BA13" s="88" t="s">
        <v>61</v>
      </c>
      <c r="BB13" s="85" t="s">
        <v>60</v>
      </c>
      <c r="BC13" s="86" t="s">
        <v>61</v>
      </c>
      <c r="BD13" s="87" t="s">
        <v>60</v>
      </c>
      <c r="BE13" s="88" t="s">
        <v>61</v>
      </c>
      <c r="BF13" s="85" t="s">
        <v>60</v>
      </c>
      <c r="BG13" s="86" t="s">
        <v>61</v>
      </c>
      <c r="BH13" s="87" t="s">
        <v>60</v>
      </c>
      <c r="BI13" s="88" t="s">
        <v>61</v>
      </c>
      <c r="BJ13" s="85" t="s">
        <v>60</v>
      </c>
      <c r="BK13" s="86" t="s">
        <v>61</v>
      </c>
      <c r="BL13" s="87" t="s">
        <v>60</v>
      </c>
      <c r="BM13" s="88" t="s">
        <v>61</v>
      </c>
      <c r="BN13" s="85" t="s">
        <v>60</v>
      </c>
      <c r="BO13" s="86" t="s">
        <v>61</v>
      </c>
      <c r="BP13" s="87" t="s">
        <v>60</v>
      </c>
      <c r="BQ13" s="88" t="s">
        <v>61</v>
      </c>
      <c r="BR13" s="85" t="s">
        <v>60</v>
      </c>
      <c r="BS13" s="86" t="s">
        <v>61</v>
      </c>
      <c r="BT13" s="87" t="s">
        <v>60</v>
      </c>
      <c r="BU13" s="88" t="s">
        <v>61</v>
      </c>
      <c r="BV13" s="85" t="s">
        <v>60</v>
      </c>
      <c r="BW13" s="86" t="s">
        <v>61</v>
      </c>
      <c r="BX13" s="87" t="s">
        <v>60</v>
      </c>
      <c r="BY13" s="88" t="s">
        <v>61</v>
      </c>
      <c r="BZ13" s="85" t="s">
        <v>60</v>
      </c>
      <c r="CA13" s="86" t="s">
        <v>61</v>
      </c>
      <c r="CB13" s="87" t="s">
        <v>60</v>
      </c>
      <c r="CC13" s="88" t="s">
        <v>61</v>
      </c>
      <c r="CD13" s="85" t="s">
        <v>60</v>
      </c>
      <c r="CE13" s="86" t="s">
        <v>61</v>
      </c>
      <c r="CF13" s="87" t="s">
        <v>60</v>
      </c>
      <c r="CG13" s="88" t="s">
        <v>61</v>
      </c>
      <c r="CH13" s="85" t="s">
        <v>60</v>
      </c>
      <c r="CI13" s="86" t="s">
        <v>61</v>
      </c>
      <c r="CJ13" s="87" t="s">
        <v>60</v>
      </c>
      <c r="CK13" s="88" t="s">
        <v>61</v>
      </c>
      <c r="CL13" s="85" t="s">
        <v>60</v>
      </c>
      <c r="CM13" s="86" t="s">
        <v>61</v>
      </c>
      <c r="CN13" s="87" t="s">
        <v>60</v>
      </c>
      <c r="CO13" s="88" t="s">
        <v>61</v>
      </c>
      <c r="CP13" s="85" t="s">
        <v>60</v>
      </c>
      <c r="CQ13" s="86" t="s">
        <v>61</v>
      </c>
      <c r="CR13" s="87" t="s">
        <v>60</v>
      </c>
      <c r="CS13" s="88" t="s">
        <v>61</v>
      </c>
      <c r="CT13" s="85" t="s">
        <v>60</v>
      </c>
      <c r="CU13" s="86" t="s">
        <v>61</v>
      </c>
      <c r="CV13" s="87" t="s">
        <v>67</v>
      </c>
      <c r="CW13" s="89" t="s">
        <v>68</v>
      </c>
    </row>
    <row r="14" spans="1:101" ht="20.149999999999999" customHeight="1">
      <c r="A14" s="81" t="s">
        <v>81</v>
      </c>
      <c r="B14" s="55" t="e">
        <f>SUMPRODUCT((日次管理!#REF!&lt;=$B$12)*(日次管理!#REF!=$A$14)*(日次管理!#REF!="精査完了")*(日次管理!#REF!="予定")*(日次管理!#REF!=$A$11),日次管理!#REF!)</f>
        <v>#REF!</v>
      </c>
      <c r="C14" s="56" t="e">
        <f>SUMPRODUCT((日次管理!#REF!&lt;=$C$12)*(日次管理!#REF!=$A$14)*(日次管理!#REF!="精査完了")*(日次管理!#REF!="実績")*(日次管理!#REF!=$A$11),日次管理!#REF!)</f>
        <v>#REF!</v>
      </c>
      <c r="D14" s="55" t="e">
        <f>SUMPRODUCT((日次管理!#REF!&lt;=$D$12)*(日次管理!#REF!=$A$14)*(日次管理!#REF!="精査完了")*(日次管理!#REF!="予定")*(日次管理!#REF!=$A$11),日次管理!#REF!)</f>
        <v>#REF!</v>
      </c>
      <c r="E14" s="56" t="e">
        <f>SUMPRODUCT((日次管理!#REF!&lt;=$E$12)*(日次管理!#REF!=$A$14)*(日次管理!#REF!="精査完了")*(日次管理!#REF!="実績")*(日次管理!#REF!=$A$11),日次管理!#REF!)</f>
        <v>#REF!</v>
      </c>
      <c r="F14" s="55" t="e">
        <f>SUMPRODUCT((日次管理!#REF!&lt;=$F$12)*(日次管理!#REF!=$A$14)*(日次管理!#REF!="精査完了")*(日次管理!#REF!="予定")*(日次管理!#REF!=$A$11),日次管理!#REF!)</f>
        <v>#REF!</v>
      </c>
      <c r="G14" s="56" t="e">
        <f>SUMPRODUCT((日次管理!#REF!&lt;=$G$12)*(日次管理!#REF!=$A$14)*(日次管理!#REF!="精査完了")*(日次管理!#REF!="実績")*(日次管理!#REF!=$A$11),日次管理!#REF!)</f>
        <v>#REF!</v>
      </c>
      <c r="H14" s="55" t="e">
        <f>SUMPRODUCT((日次管理!#REF!&lt;=$H$12)*(日次管理!#REF!=$A$14)*(日次管理!#REF!="精査完了")*(日次管理!#REF!="予定")*(日次管理!#REF!=$A$11),日次管理!#REF!)</f>
        <v>#REF!</v>
      </c>
      <c r="I14" s="56" t="e">
        <f>SUMPRODUCT((日次管理!#REF!&lt;=$I$12)*(日次管理!#REF!=$A$14)*(日次管理!#REF!="精査完了")*(日次管理!#REF!="実績")*(日次管理!#REF!=$A$11),日次管理!#REF!)</f>
        <v>#REF!</v>
      </c>
      <c r="J14" s="55" t="e">
        <f>SUMPRODUCT((日次管理!#REF!&lt;=$J$12)*(日次管理!#REF!=$A$14)*(日次管理!#REF!="精査完了")*(日次管理!#REF!="予定")*(日次管理!#REF!=$A$11),日次管理!#REF!)</f>
        <v>#REF!</v>
      </c>
      <c r="K14" s="56" t="e">
        <f>SUMPRODUCT((日次管理!#REF!&lt;=$K$12)*(日次管理!#REF!=$A$14)*(日次管理!#REF!="精査完了")*(日次管理!#REF!="実績")*(日次管理!#REF!=$A$11),日次管理!#REF!)</f>
        <v>#REF!</v>
      </c>
      <c r="L14" s="55" t="e">
        <f>SUMPRODUCT((日次管理!#REF!&lt;=$L$12)*(日次管理!#REF!=$A$14)*(日次管理!#REF!="精査完了")*(日次管理!#REF!="予定")*(日次管理!#REF!=$A$11),日次管理!#REF!)</f>
        <v>#REF!</v>
      </c>
      <c r="M14" s="56" t="e">
        <f>SUMPRODUCT((日次管理!#REF!&lt;=$M$12)*(日次管理!#REF!=$A$14)*(日次管理!#REF!="精査完了")*(日次管理!#REF!="実績")*(日次管理!#REF!=$A$11),日次管理!#REF!)</f>
        <v>#REF!</v>
      </c>
      <c r="N14" s="55" t="e">
        <f>SUMPRODUCT((日次管理!#REF!&lt;=$N$12)*(日次管理!#REF!=$A$14)*(日次管理!#REF!="精査完了")*(日次管理!#REF!="予定")*(日次管理!#REF!=$A$11),日次管理!#REF!)</f>
        <v>#REF!</v>
      </c>
      <c r="O14" s="56" t="e">
        <f>SUMPRODUCT((日次管理!#REF!&lt;=$O$12)*(日次管理!#REF!=$A$14)*(日次管理!#REF!="精査完了")*(日次管理!#REF!="実績")*(日次管理!#REF!=$A$11),日次管理!#REF!)</f>
        <v>#REF!</v>
      </c>
      <c r="P14" s="55" t="e">
        <f>SUMPRODUCT((日次管理!#REF!&lt;=$P$12)*(日次管理!#REF!=$A$14)*(日次管理!#REF!="精査完了")*(日次管理!#REF!="予定")*(日次管理!#REF!=$A$11),日次管理!#REF!)</f>
        <v>#REF!</v>
      </c>
      <c r="Q14" s="56" t="e">
        <f>SUMPRODUCT((日次管理!#REF!&lt;=$Q$12)*(日次管理!#REF!=$A$14)*(日次管理!#REF!="精査完了")*(日次管理!#REF!="実績")*(日次管理!#REF!=$A$11),日次管理!#REF!)</f>
        <v>#REF!</v>
      </c>
      <c r="R14" s="55" t="e">
        <f>SUMPRODUCT((日次管理!#REF!&lt;=$R$12)*(日次管理!#REF!=$A$14)*(日次管理!#REF!="精査完了")*(日次管理!#REF!="予定")*(日次管理!#REF!=$A$11),日次管理!#REF!)</f>
        <v>#REF!</v>
      </c>
      <c r="S14" s="56" t="e">
        <f>SUMPRODUCT((日次管理!#REF!&lt;=$S$12)*(日次管理!#REF!=$A$14)*(日次管理!#REF!="精査完了")*(日次管理!#REF!="実績")*(日次管理!#REF!=$A$11),日次管理!#REF!)</f>
        <v>#REF!</v>
      </c>
      <c r="T14" s="55" t="e">
        <f>SUMPRODUCT((日次管理!#REF!&lt;=$T$12)*(日次管理!#REF!=$A$14)*(日次管理!#REF!="精査完了")*(日次管理!#REF!="予定")*(日次管理!#REF!=$A$11),日次管理!#REF!)</f>
        <v>#REF!</v>
      </c>
      <c r="U14" s="56" t="e">
        <f>SUMPRODUCT((日次管理!#REF!&lt;=$U$12)*(日次管理!#REF!=$A$14)*(日次管理!#REF!="精査完了")*(日次管理!#REF!="実績")*(日次管理!#REF!=$A$11),日次管理!#REF!)</f>
        <v>#REF!</v>
      </c>
      <c r="V14" s="55" t="e">
        <f>SUMPRODUCT((日次管理!#REF!&lt;=$V$12)*(日次管理!#REF!=$A$14)*(日次管理!#REF!="精査完了")*(日次管理!#REF!="予定")*(日次管理!#REF!=$A$11),日次管理!#REF!)</f>
        <v>#REF!</v>
      </c>
      <c r="W14" s="56" t="e">
        <f>SUMPRODUCT((日次管理!#REF!&lt;=$W$12)*(日次管理!#REF!=$A$14)*(日次管理!#REF!="精査完了")*(日次管理!#REF!="実績")*(日次管理!#REF!=$A$11),日次管理!#REF!)</f>
        <v>#REF!</v>
      </c>
      <c r="X14" s="55" t="e">
        <f>SUMPRODUCT((日次管理!#REF!&lt;=$X$12)*(日次管理!#REF!=$A$14)*(日次管理!#REF!="精査完了")*(日次管理!#REF!="予定")*(日次管理!#REF!=$A$11),日次管理!#REF!)</f>
        <v>#REF!</v>
      </c>
      <c r="Y14" s="56" t="e">
        <f>SUMPRODUCT((日次管理!#REF!&lt;=$Y$12)*(日次管理!#REF!=$A$14)*(日次管理!#REF!="精査完了")*(日次管理!#REF!="実績")*(日次管理!#REF!=$A$11),日次管理!#REF!)</f>
        <v>#REF!</v>
      </c>
      <c r="Z14" s="55" t="e">
        <f>SUMPRODUCT((日次管理!#REF!&lt;=$Z$12)*(日次管理!#REF!=$A$14)*(日次管理!#REF!="精査完了")*(日次管理!#REF!="予定")*(日次管理!#REF!=$A$11),日次管理!#REF!)</f>
        <v>#REF!</v>
      </c>
      <c r="AA14" s="56" t="e">
        <f>SUMPRODUCT((日次管理!#REF!&lt;=$AA$12)*(日次管理!#REF!=$A$14)*(日次管理!#REF!="精査完了")*(日次管理!#REF!="実績")*(日次管理!#REF!=$A$11),日次管理!#REF!)</f>
        <v>#REF!</v>
      </c>
      <c r="AB14" s="55" t="e">
        <f>SUMPRODUCT((日次管理!#REF!&lt;=$AB$12)*(日次管理!#REF!=$A$14)*(日次管理!#REF!="精査完了")*(日次管理!#REF!="予定")*(日次管理!#REF!=$A$11),日次管理!#REF!)</f>
        <v>#REF!</v>
      </c>
      <c r="AC14" s="56" t="e">
        <f>SUMPRODUCT((日次管理!#REF!&lt;=$AC$12)*(日次管理!#REF!=$A$14)*(日次管理!#REF!="精査完了")*(日次管理!#REF!="実績")*(日次管理!#REF!=$A$11),日次管理!#REF!)</f>
        <v>#REF!</v>
      </c>
      <c r="AD14" s="55" t="e">
        <f>SUMPRODUCT((日次管理!#REF!&lt;=$AD$12)*(日次管理!#REF!=$A$14)*(日次管理!#REF!="精査完了")*(日次管理!#REF!="予定")*(日次管理!#REF!=$A$11),日次管理!#REF!)</f>
        <v>#REF!</v>
      </c>
      <c r="AE14" s="56" t="e">
        <f>SUMPRODUCT((日次管理!#REF!&lt;=$AE$12)*(日次管理!#REF!=$A$14)*(日次管理!#REF!="精査完了")*(日次管理!#REF!="実績")*(日次管理!#REF!=$A$11),日次管理!#REF!)</f>
        <v>#REF!</v>
      </c>
      <c r="AF14" s="55" t="e">
        <f>SUMPRODUCT((日次管理!#REF!&lt;=$AF$12)*(日次管理!#REF!=$A$14)*(日次管理!#REF!="精査完了")*(日次管理!#REF!="予定")*(日次管理!#REF!=$A$11),日次管理!#REF!)</f>
        <v>#REF!</v>
      </c>
      <c r="AG14" s="56" t="e">
        <f>SUMPRODUCT((日次管理!#REF!&lt;=$AG$12)*(日次管理!#REF!=$A$14)*(日次管理!#REF!="精査完了")*(日次管理!#REF!="実績")*(日次管理!#REF!=$A$11),日次管理!#REF!)</f>
        <v>#REF!</v>
      </c>
      <c r="AH14" s="55" t="e">
        <f>SUMPRODUCT((日次管理!#REF!&lt;=$AH$12)*(日次管理!#REF!=$A$14)*(日次管理!#REF!="精査完了")*(日次管理!#REF!="予定")*(日次管理!#REF!=$A$11),日次管理!#REF!)</f>
        <v>#REF!</v>
      </c>
      <c r="AI14" s="56" t="e">
        <f>SUMPRODUCT((日次管理!#REF!&lt;=$AI$12)*(日次管理!#REF!=$A$14)*(日次管理!#REF!="精査完了")*(日次管理!#REF!="実績")*(日次管理!#REF!=$A$11),日次管理!#REF!)</f>
        <v>#REF!</v>
      </c>
      <c r="AJ14" s="55" t="e">
        <f>SUMPRODUCT((日次管理!#REF!&lt;=$AJ$12)*(日次管理!#REF!=$A$14)*(日次管理!#REF!="精査完了")*(日次管理!#REF!="予定")*(日次管理!#REF!=$A$11),日次管理!#REF!)</f>
        <v>#REF!</v>
      </c>
      <c r="AK14" s="56" t="e">
        <f>SUMPRODUCT((日次管理!#REF!&lt;=$AK$12)*(日次管理!#REF!=$A$14)*(日次管理!#REF!="精査完了")*(日次管理!#REF!="実績")*(日次管理!#REF!=$A$11),日次管理!#REF!)</f>
        <v>#REF!</v>
      </c>
      <c r="AL14" s="55" t="e">
        <f>SUMPRODUCT((日次管理!#REF!&lt;=$AL$12)*(日次管理!#REF!=$A$14)*(日次管理!#REF!="精査完了")*(日次管理!#REF!="予定")*(日次管理!#REF!=$A$11),日次管理!#REF!)</f>
        <v>#REF!</v>
      </c>
      <c r="AM14" s="56" t="e">
        <f>SUMPRODUCT((日次管理!#REF!&lt;=$AM$12)*(日次管理!#REF!=$A$14)*(日次管理!#REF!="精査完了")*(日次管理!#REF!="実績")*(日次管理!#REF!=$A$11),日次管理!#REF!)</f>
        <v>#REF!</v>
      </c>
      <c r="AN14" s="55" t="e">
        <f>SUMPRODUCT((日次管理!#REF!&lt;=$AN$12)*(日次管理!#REF!=$A$14)*(日次管理!#REF!="精査完了")*(日次管理!#REF!="予定")*(日次管理!#REF!=$A$11),日次管理!#REF!)</f>
        <v>#REF!</v>
      </c>
      <c r="AO14" s="56" t="e">
        <f>SUMPRODUCT((日次管理!#REF!&lt;=$AO$12)*(日次管理!#REF!=$A$14)*(日次管理!#REF!="精査完了")*(日次管理!#REF!="実績")*(日次管理!#REF!=$A$11),日次管理!#REF!)</f>
        <v>#REF!</v>
      </c>
      <c r="AP14" s="55" t="e">
        <f>SUMPRODUCT((日次管理!#REF!&lt;=$AP$12)*(日次管理!#REF!=$A$14)*(日次管理!#REF!="精査完了")*(日次管理!#REF!="予定")*(日次管理!#REF!=$A$11),日次管理!#REF!)</f>
        <v>#REF!</v>
      </c>
      <c r="AQ14" s="56" t="e">
        <f>SUMPRODUCT((日次管理!#REF!&lt;=$AQ$12)*(日次管理!#REF!=$A$14)*(日次管理!#REF!="精査完了")*(日次管理!#REF!="実績")*(日次管理!#REF!=$A$11),日次管理!#REF!)</f>
        <v>#REF!</v>
      </c>
      <c r="AR14" s="55" t="e">
        <f>SUMPRODUCT((日次管理!#REF!&lt;=$AR$12)*(日次管理!#REF!=$A$14)*(日次管理!#REF!="精査完了")*(日次管理!#REF!="予定")*(日次管理!#REF!=$A$11),日次管理!#REF!)</f>
        <v>#REF!</v>
      </c>
      <c r="AS14" s="56" t="e">
        <f>SUMPRODUCT((日次管理!#REF!&lt;=$AS$12)*(日次管理!#REF!=$A$14)*(日次管理!#REF!="精査完了")*(日次管理!#REF!="実績")*(日次管理!#REF!=$A$11),日次管理!#REF!)</f>
        <v>#REF!</v>
      </c>
      <c r="AT14" s="55" t="e">
        <f>SUMPRODUCT((日次管理!#REF!&lt;=$AT$12)*(日次管理!#REF!=$A$14)*(日次管理!#REF!="精査完了")*(日次管理!#REF!="予定")*(日次管理!#REF!=$A$11),日次管理!#REF!)</f>
        <v>#REF!</v>
      </c>
      <c r="AU14" s="56" t="e">
        <f>SUMPRODUCT((日次管理!#REF!&lt;=$AU$12)*(日次管理!#REF!=$A$14)*(日次管理!#REF!="精査完了")*(日次管理!#REF!="実績")*(日次管理!#REF!=$A$11),日次管理!#REF!)</f>
        <v>#REF!</v>
      </c>
      <c r="AV14" s="55" t="e">
        <f>SUMPRODUCT((日次管理!#REF!&lt;=$AV$12)*(日次管理!#REF!=$A$14)*(日次管理!#REF!="精査完了")*(日次管理!#REF!="予定")*(日次管理!#REF!=$A$11),日次管理!#REF!)</f>
        <v>#REF!</v>
      </c>
      <c r="AW14" s="56" t="e">
        <f>SUMPRODUCT((日次管理!#REF!&lt;=$AW$12)*(日次管理!#REF!=$A$14)*(日次管理!#REF!="精査完了")*(日次管理!#REF!="実績")*(日次管理!#REF!=$A$11),日次管理!#REF!)</f>
        <v>#REF!</v>
      </c>
      <c r="AX14" s="55" t="e">
        <f>SUMPRODUCT((日次管理!#REF!&lt;=$AX$12)*(日次管理!#REF!=$A$14)*(日次管理!#REF!="精査完了")*(日次管理!#REF!="予定")*(日次管理!#REF!=$A$11),日次管理!#REF!)</f>
        <v>#REF!</v>
      </c>
      <c r="AY14" s="56" t="e">
        <f>SUMPRODUCT((日次管理!#REF!&lt;=$AY$12)*(日次管理!#REF!=$A$14)*(日次管理!#REF!="精査完了")*(日次管理!#REF!="実績")*(日次管理!#REF!=$A$11),日次管理!#REF!)</f>
        <v>#REF!</v>
      </c>
      <c r="AZ14" s="55" t="e">
        <f>SUMPRODUCT((日次管理!#REF!&lt;=$AZ$12)*(日次管理!#REF!=$A$14)*(日次管理!#REF!="精査完了")*(日次管理!#REF!="予定")*(日次管理!#REF!=$A$11),日次管理!#REF!)</f>
        <v>#REF!</v>
      </c>
      <c r="BA14" s="56" t="e">
        <f>SUMPRODUCT((日次管理!#REF!&lt;=$BA$12)*(日次管理!#REF!=$A$14)*(日次管理!#REF!="精査完了")*(日次管理!#REF!="実績")*(日次管理!#REF!=$A$11),日次管理!#REF!)</f>
        <v>#REF!</v>
      </c>
      <c r="BB14" s="55" t="e">
        <f>SUMPRODUCT((日次管理!#REF!&lt;=$BB$12)*(日次管理!#REF!=$A$14)*(日次管理!#REF!="精査完了")*(日次管理!#REF!="予定")*(日次管理!#REF!=$A$11),日次管理!#REF!)</f>
        <v>#REF!</v>
      </c>
      <c r="BC14" s="56" t="e">
        <f>SUMPRODUCT((日次管理!#REF!&lt;=$BC$12)*(日次管理!#REF!=$A$14)*(日次管理!#REF!="精査完了")*(日次管理!#REF!="実績")*(日次管理!#REF!=$A$11),日次管理!#REF!)</f>
        <v>#REF!</v>
      </c>
      <c r="BD14" s="55" t="e">
        <f>SUMPRODUCT((日次管理!#REF!&lt;=$BD$12)*(日次管理!#REF!=$A$14)*(日次管理!#REF!="精査完了")*(日次管理!#REF!="予定")*(日次管理!#REF!=$A$11),日次管理!#REF!)</f>
        <v>#REF!</v>
      </c>
      <c r="BE14" s="56" t="e">
        <f>SUMPRODUCT((日次管理!#REF!&lt;=$BE$12)*(日次管理!#REF!=$A$14)*(日次管理!#REF!="精査完了")*(日次管理!#REF!="実績")*(日次管理!#REF!=$A$11),日次管理!#REF!)</f>
        <v>#REF!</v>
      </c>
      <c r="BF14" s="55" t="e">
        <f>SUMPRODUCT((日次管理!#REF!&lt;=$BF$12)*(日次管理!#REF!=$A$14)*(日次管理!#REF!="精査完了")*(日次管理!#REF!="予定")*(日次管理!#REF!=$A$11),日次管理!#REF!)</f>
        <v>#REF!</v>
      </c>
      <c r="BG14" s="56" t="e">
        <f>SUMPRODUCT((日次管理!#REF!&lt;=$BG$12)*(日次管理!#REF!=$A$14)*(日次管理!#REF!="精査完了")*(日次管理!#REF!="実績")*(日次管理!#REF!=$A$11),日次管理!#REF!)</f>
        <v>#REF!</v>
      </c>
      <c r="BH14" s="55" t="e">
        <f>SUMPRODUCT((日次管理!#REF!&lt;=$BH$12)*(日次管理!#REF!=$A$14)*(日次管理!#REF!="精査完了")*(日次管理!#REF!="予定")*(日次管理!#REF!=$A$11),日次管理!#REF!)</f>
        <v>#REF!</v>
      </c>
      <c r="BI14" s="56" t="e">
        <f>SUMPRODUCT((日次管理!#REF!&lt;=$BI$12)*(日次管理!#REF!=$A$14)*(日次管理!#REF!="精査完了")*(日次管理!#REF!="実績")*(日次管理!#REF!=$A$11),日次管理!#REF!)</f>
        <v>#REF!</v>
      </c>
      <c r="BJ14" s="55" t="e">
        <f>SUMPRODUCT((日次管理!#REF!&lt;=$BJ$12)*(日次管理!#REF!=$A$14)*(日次管理!#REF!="精査完了")*(日次管理!#REF!="予定")*(日次管理!#REF!=$A$11),日次管理!#REF!)</f>
        <v>#REF!</v>
      </c>
      <c r="BK14" s="56" t="e">
        <f>SUMPRODUCT((日次管理!#REF!&lt;=$BK$12)*(日次管理!#REF!=$A$14)*(日次管理!#REF!="精査完了")*(日次管理!#REF!="実績")*(日次管理!#REF!=$A$11),日次管理!#REF!)</f>
        <v>#REF!</v>
      </c>
      <c r="BL14" s="55" t="e">
        <f>SUMPRODUCT((日次管理!#REF!&lt;=$BL$12)*(日次管理!#REF!=$A$14)*(日次管理!#REF!="精査完了")*(日次管理!#REF!="予定")*(日次管理!#REF!=$A$11),日次管理!#REF!)</f>
        <v>#REF!</v>
      </c>
      <c r="BM14" s="56" t="e">
        <f>SUMPRODUCT((日次管理!#REF!&lt;=$BM$12)*(日次管理!#REF!=$A$14)*(日次管理!#REF!="精査完了")*(日次管理!#REF!="実績")*(日次管理!#REF!=$A$11),日次管理!#REF!)</f>
        <v>#REF!</v>
      </c>
      <c r="BN14" s="55" t="e">
        <f>SUMPRODUCT((日次管理!#REF!&lt;=$BN$12)*(日次管理!#REF!=$A$14)*(日次管理!#REF!="精査完了")*(日次管理!#REF!="予定")*(日次管理!#REF!=$A$11),日次管理!#REF!)</f>
        <v>#REF!</v>
      </c>
      <c r="BO14" s="56" t="e">
        <f>SUMPRODUCT((日次管理!#REF!&lt;=$BO$12)*(日次管理!#REF!=$A$14)*(日次管理!#REF!="精査完了")*(日次管理!#REF!="実績")*(日次管理!#REF!=$A$11),日次管理!#REF!)</f>
        <v>#REF!</v>
      </c>
      <c r="BP14" s="55" t="e">
        <f>SUMPRODUCT((日次管理!#REF!&lt;=$BP$12)*(日次管理!#REF!=$A$14)*(日次管理!#REF!="精査完了")*(日次管理!#REF!="予定")*(日次管理!#REF!=$A$11),日次管理!#REF!)</f>
        <v>#REF!</v>
      </c>
      <c r="BQ14" s="56" t="e">
        <f>SUMPRODUCT((日次管理!#REF!&lt;=$BQ$12)*(日次管理!#REF!=$A$14)*(日次管理!#REF!="精査完了")*(日次管理!#REF!="実績")*(日次管理!#REF!=$A$11),日次管理!#REF!)</f>
        <v>#REF!</v>
      </c>
      <c r="BR14" s="55" t="e">
        <f>SUMPRODUCT((日次管理!#REF!&lt;=$BR$12)*(日次管理!#REF!=$A$14)*(日次管理!#REF!="精査完了")*(日次管理!#REF!="予定")*(日次管理!#REF!=$A$11),日次管理!#REF!)</f>
        <v>#REF!</v>
      </c>
      <c r="BS14" s="56" t="e">
        <f>SUMPRODUCT((日次管理!#REF!&lt;=$BS$12)*(日次管理!#REF!=$A$14)*(日次管理!#REF!="精査完了")*(日次管理!#REF!="実績")*(日次管理!#REF!=$A$11),日次管理!#REF!)</f>
        <v>#REF!</v>
      </c>
      <c r="BT14" s="55" t="e">
        <f>SUMPRODUCT((日次管理!#REF!&lt;=$BT$12)*(日次管理!#REF!=$A$14)*(日次管理!#REF!="精査完了")*(日次管理!#REF!="予定")*(日次管理!#REF!=$A$11),日次管理!#REF!)</f>
        <v>#REF!</v>
      </c>
      <c r="BU14" s="56" t="e">
        <f>SUMPRODUCT((日次管理!#REF!&lt;=$BU$12)*(日次管理!#REF!=$A$14)*(日次管理!#REF!="精査完了")*(日次管理!#REF!="実績")*(日次管理!#REF!=$A$11),日次管理!#REF!)</f>
        <v>#REF!</v>
      </c>
      <c r="BV14" s="55" t="e">
        <f>SUMPRODUCT((日次管理!#REF!&lt;=$BV$12)*(日次管理!#REF!=$A$14)*(日次管理!#REF!="精査完了")*(日次管理!#REF!="予定")*(日次管理!#REF!=$A$11),日次管理!#REF!)</f>
        <v>#REF!</v>
      </c>
      <c r="BW14" s="56" t="e">
        <f>SUMPRODUCT((日次管理!#REF!&lt;=$BW$12)*(日次管理!#REF!=$A$14)*(日次管理!#REF!="精査完了")*(日次管理!#REF!="実績")*(日次管理!#REF!=$A$11),日次管理!#REF!)</f>
        <v>#REF!</v>
      </c>
      <c r="BX14" s="55" t="e">
        <f>SUMPRODUCT((日次管理!#REF!&lt;=$BX$12)*(日次管理!#REF!=$A$14)*(日次管理!#REF!="精査完了")*(日次管理!#REF!="予定")*(日次管理!#REF!=$A$11),日次管理!#REF!)</f>
        <v>#REF!</v>
      </c>
      <c r="BY14" s="56" t="e">
        <f>SUMPRODUCT((日次管理!#REF!&lt;=$BY$12)*(日次管理!#REF!=$A$14)*(日次管理!#REF!="精査完了")*(日次管理!#REF!="実績")*(日次管理!#REF!=$A$11),日次管理!#REF!)</f>
        <v>#REF!</v>
      </c>
      <c r="BZ14" s="55" t="e">
        <f>SUMPRODUCT((日次管理!#REF!&lt;=$BZ$12)*(日次管理!#REF!=$A$14)*(日次管理!#REF!="精査完了")*(日次管理!#REF!="予定")*(日次管理!#REF!=$A$11),日次管理!#REF!)</f>
        <v>#REF!</v>
      </c>
      <c r="CA14" s="56" t="e">
        <f>SUMPRODUCT((日次管理!#REF!&lt;=$CA$12)*(日次管理!#REF!=$A$14)*(日次管理!#REF!="精査完了")*(日次管理!#REF!="実績")*(日次管理!#REF!=$A$11),日次管理!#REF!)</f>
        <v>#REF!</v>
      </c>
      <c r="CB14" s="55" t="e">
        <f>SUMPRODUCT((日次管理!#REF!&lt;=$CB$12)*(日次管理!#REF!=$A$14)*(日次管理!#REF!="精査完了")*(日次管理!#REF!="予定")*(日次管理!#REF!=$A$11),日次管理!#REF!)</f>
        <v>#REF!</v>
      </c>
      <c r="CC14" s="56" t="e">
        <f>SUMPRODUCT((日次管理!#REF!&lt;=$CC$12)*(日次管理!#REF!=$A$14)*(日次管理!#REF!="精査完了")*(日次管理!#REF!="実績")*(日次管理!#REF!=$A$11),日次管理!#REF!)</f>
        <v>#REF!</v>
      </c>
      <c r="CD14" s="55" t="e">
        <f>SUMPRODUCT((日次管理!#REF!&lt;=$CD$12)*(日次管理!#REF!=$A$14)*(日次管理!#REF!="精査完了")*(日次管理!#REF!="予定")*(日次管理!#REF!=$A$11),日次管理!#REF!)</f>
        <v>#REF!</v>
      </c>
      <c r="CE14" s="56" t="e">
        <f>SUMPRODUCT((日次管理!#REF!&lt;=$CE$12)*(日次管理!#REF!=$A$14)*(日次管理!#REF!="精査完了")*(日次管理!#REF!="実績")*(日次管理!#REF!=$A$11),日次管理!#REF!)</f>
        <v>#REF!</v>
      </c>
      <c r="CF14" s="55" t="e">
        <f>SUMPRODUCT((日次管理!#REF!&lt;=$CF$12)*(日次管理!#REF!=$A$14)*(日次管理!#REF!="精査完了")*(日次管理!#REF!="予定")*(日次管理!#REF!=$A$11),日次管理!#REF!)</f>
        <v>#REF!</v>
      </c>
      <c r="CG14" s="56" t="e">
        <f>SUMPRODUCT((日次管理!#REF!&lt;=$CG$12)*(日次管理!#REF!=$A$14)*(日次管理!#REF!="精査完了")*(日次管理!#REF!="実績")*(日次管理!#REF!=$A$11),日次管理!#REF!)</f>
        <v>#REF!</v>
      </c>
      <c r="CH14" s="55" t="e">
        <f>SUMPRODUCT((日次管理!#REF!&lt;=$CH$12)*(日次管理!#REF!=$A$14)*(日次管理!#REF!="精査完了")*(日次管理!#REF!="予定")*(日次管理!#REF!=$A$11),日次管理!#REF!)</f>
        <v>#REF!</v>
      </c>
      <c r="CI14" s="56" t="e">
        <f>SUMPRODUCT((日次管理!#REF!&lt;=$CI$12)*(日次管理!#REF!=$A$14)*(日次管理!#REF!="精査完了")*(日次管理!#REF!="実績")*(日次管理!#REF!=$A$11),日次管理!#REF!)</f>
        <v>#REF!</v>
      </c>
      <c r="CJ14" s="55" t="e">
        <f>SUMPRODUCT((日次管理!#REF!&lt;=$CJ$12)*(日次管理!#REF!=$A$14)*(日次管理!#REF!="精査完了")*(日次管理!#REF!="予定")*(日次管理!#REF!=$A$11),日次管理!#REF!)</f>
        <v>#REF!</v>
      </c>
      <c r="CK14" s="56" t="e">
        <f>SUMPRODUCT((日次管理!#REF!&lt;=$CK$12)*(日次管理!#REF!=$A$14)*(日次管理!#REF!="精査完了")*(日次管理!#REF!="実績")*(日次管理!#REF!=$A$11),日次管理!#REF!)</f>
        <v>#REF!</v>
      </c>
      <c r="CL14" s="55" t="e">
        <f>SUMPRODUCT((日次管理!#REF!&lt;=$CL$12)*(日次管理!#REF!=$A$14)*(日次管理!#REF!="精査完了")*(日次管理!#REF!="予定")*(日次管理!#REF!=$A$11),日次管理!#REF!)</f>
        <v>#REF!</v>
      </c>
      <c r="CM14" s="56" t="e">
        <f>SUMPRODUCT((日次管理!#REF!&lt;=$CM$12)*(日次管理!#REF!=$A$14)*(日次管理!#REF!="精査完了")*(日次管理!#REF!="実績")*(日次管理!#REF!=$A$11),日次管理!#REF!)</f>
        <v>#REF!</v>
      </c>
      <c r="CN14" s="55" t="e">
        <f>SUMPRODUCT((日次管理!#REF!&lt;=$CN$12)*(日次管理!#REF!=$A$14)*(日次管理!#REF!="精査完了")*(日次管理!#REF!="予定")*(日次管理!#REF!=$A$11),日次管理!#REF!)</f>
        <v>#REF!</v>
      </c>
      <c r="CO14" s="56" t="e">
        <f>SUMPRODUCT((日次管理!#REF!&lt;=$CO$12)*(日次管理!#REF!=$A$14)*(日次管理!#REF!="精査完了")*(日次管理!#REF!="実績")*(日次管理!#REF!=$A$11),日次管理!#REF!)</f>
        <v>#REF!</v>
      </c>
      <c r="CP14" s="55" t="e">
        <f>SUMPRODUCT((日次管理!#REF!&lt;=$CP$12)*(日次管理!#REF!=$A$14)*(日次管理!#REF!="精査完了")*(日次管理!#REF!="予定")*(日次管理!#REF!=$A$11),日次管理!#REF!)</f>
        <v>#REF!</v>
      </c>
      <c r="CQ14" s="56" t="e">
        <f>SUMPRODUCT((日次管理!#REF!&lt;=$CQ$12)*(日次管理!#REF!=$A$14)*(日次管理!#REF!="精査完了")*(日次管理!#REF!="実績")*(日次管理!#REF!=$A$11),日次管理!#REF!)</f>
        <v>#REF!</v>
      </c>
      <c r="CR14" s="55" t="e">
        <f>SUMPRODUCT((日次管理!#REF!&lt;=$CR$12)*(日次管理!#REF!=$A$14)*(日次管理!#REF!="精査完了")*(日次管理!#REF!="予定")*(日次管理!#REF!=$A$11),日次管理!#REF!)</f>
        <v>#REF!</v>
      </c>
      <c r="CS14" s="56" t="e">
        <f>SUMPRODUCT((日次管理!#REF!&lt;=$CS$12)*(日次管理!#REF!=$A$14)*(日次管理!#REF!="精査完了")*(日次管理!#REF!="実績")*(日次管理!#REF!=$A$11),日次管理!#REF!)</f>
        <v>#REF!</v>
      </c>
      <c r="CT14" s="55" t="e">
        <f>SUMPRODUCT((日次管理!#REF!&lt;=$CT$12)*(日次管理!#REF!=$A$14)*(日次管理!#REF!="精査完了")*(日次管理!#REF!="予定")*(日次管理!#REF!=$A$11),日次管理!#REF!)</f>
        <v>#REF!</v>
      </c>
      <c r="CU14" s="56" t="e">
        <f>SUMPRODUCT((日次管理!#REF!&lt;=$CU$12)*(日次管理!#REF!=$A$14)*(日次管理!#REF!="精査完了")*(日次管理!#REF!="実績")*(日次管理!#REF!=$A$11),日次管理!#REF!)</f>
        <v>#REF!</v>
      </c>
      <c r="CV14" s="57" t="e">
        <f ca="1">SUMPRODUCT(($A$12- WEEKDAY($A$12) + 6 =$B$12:$CU$12)*("実績"=$B$13:$CU$13),$B$14:$CU$14)/SUMPRODUCT(($A$12- WEEKDAY($A$12) + 6 =$B$12:$CU$12)*("予定"=$B$13:$CU$13),$B$14:$CU$14)</f>
        <v>#REF!</v>
      </c>
      <c r="CW14" s="58" t="e">
        <f>$CU$14/$CT$14</f>
        <v>#REF!</v>
      </c>
    </row>
    <row r="15" spans="1:101" ht="20.149999999999999" customHeight="1">
      <c r="A15" s="104" t="s">
        <v>75</v>
      </c>
      <c r="B15" s="91" t="e">
        <f>SUMPRODUCT((日次管理!#REF!&lt;=$B$12)*(日次管理!#REF!=$A$15)*(日次管理!#REF!="精査完了")*(日次管理!#REF!="予定")*(日次管理!#REF!=$A$11),日次管理!#REF!)</f>
        <v>#REF!</v>
      </c>
      <c r="C15" s="59" t="e">
        <f>SUMPRODUCT((日次管理!#REF!&lt;=$C$12)*(日次管理!#REF!=$A$15)*(日次管理!#REF!="精査完了")*(日次管理!#REF!="実績")*(日次管理!#REF!=$A$11),日次管理!#REF!)</f>
        <v>#REF!</v>
      </c>
      <c r="D15" s="91" t="e">
        <f>SUMPRODUCT((日次管理!#REF!&lt;=$D$12)*(日次管理!#REF!=$A$15)*(日次管理!#REF!="精査完了")*(日次管理!#REF!="予定")*(日次管理!#REF!=$A$11),日次管理!#REF!)</f>
        <v>#REF!</v>
      </c>
      <c r="E15" s="59" t="e">
        <f>SUMPRODUCT((日次管理!#REF!&lt;=$E$12)*(日次管理!#REF!=$A$15)*(日次管理!#REF!="精査完了")*(日次管理!#REF!="実績")*(日次管理!#REF!=$A$11),日次管理!#REF!)</f>
        <v>#REF!</v>
      </c>
      <c r="F15" s="91" t="e">
        <f>SUMPRODUCT((日次管理!#REF!&lt;=$F$12)*(日次管理!#REF!=$A$15)*(日次管理!#REF!="精査完了")*(日次管理!#REF!="予定")*(日次管理!#REF!=$A$11),日次管理!#REF!)</f>
        <v>#REF!</v>
      </c>
      <c r="G15" s="59" t="e">
        <f>SUMPRODUCT((日次管理!#REF!&lt;=$G$12)*(日次管理!#REF!=$A$15)*(日次管理!#REF!="精査完了")*(日次管理!#REF!="実績")*(日次管理!#REF!=$A$11),日次管理!#REF!)</f>
        <v>#REF!</v>
      </c>
      <c r="H15" s="91" t="e">
        <f>SUMPRODUCT((日次管理!#REF!&lt;=$H$12)*(日次管理!#REF!=$A$15)*(日次管理!#REF!="精査完了")*(日次管理!#REF!="予定")*(日次管理!#REF!=$A$11),日次管理!#REF!)</f>
        <v>#REF!</v>
      </c>
      <c r="I15" s="59" t="e">
        <f>SUMPRODUCT((日次管理!#REF!&lt;=$I$12)*(日次管理!#REF!=$A$15)*(日次管理!#REF!="精査完了")*(日次管理!#REF!="実績")*(日次管理!#REF!=$A$11),日次管理!#REF!)</f>
        <v>#REF!</v>
      </c>
      <c r="J15" s="91" t="e">
        <f>SUMPRODUCT((日次管理!#REF!&lt;=$J$12)*(日次管理!#REF!=$A$15)*(日次管理!#REF!="精査完了")*(日次管理!#REF!="予定")*(日次管理!#REF!=$A$11),日次管理!#REF!)</f>
        <v>#REF!</v>
      </c>
      <c r="K15" s="59" t="e">
        <f>SUMPRODUCT((日次管理!#REF!&lt;=$K$12)*(日次管理!#REF!=$A$15)*(日次管理!#REF!="精査完了")*(日次管理!#REF!="実績")*(日次管理!#REF!=$A$11),日次管理!#REF!)</f>
        <v>#REF!</v>
      </c>
      <c r="L15" s="91" t="e">
        <f>SUMPRODUCT((日次管理!#REF!&lt;=$L$12)*(日次管理!#REF!=$A$15)*(日次管理!#REF!="精査完了")*(日次管理!#REF!="予定")*(日次管理!#REF!=$A$11),日次管理!#REF!)</f>
        <v>#REF!</v>
      </c>
      <c r="M15" s="59" t="e">
        <f>SUMPRODUCT((日次管理!#REF!&lt;=$M$12)*(日次管理!#REF!=$A$15)*(日次管理!#REF!="精査完了")*(日次管理!#REF!="実績")*(日次管理!#REF!=$A$11),日次管理!#REF!)</f>
        <v>#REF!</v>
      </c>
      <c r="N15" s="91" t="e">
        <f>SUMPRODUCT((日次管理!#REF!&lt;=$N$12)*(日次管理!#REF!=$A$15)*(日次管理!#REF!="精査完了")*(日次管理!#REF!="予定")*(日次管理!#REF!=$A$11),日次管理!#REF!)</f>
        <v>#REF!</v>
      </c>
      <c r="O15" s="59" t="e">
        <f>SUMPRODUCT((日次管理!#REF!&lt;=$O$12)*(日次管理!#REF!=$A$15)*(日次管理!#REF!="精査完了")*(日次管理!#REF!="実績")*(日次管理!#REF!=$A$11),日次管理!#REF!)</f>
        <v>#REF!</v>
      </c>
      <c r="P15" s="91" t="e">
        <f>SUMPRODUCT((日次管理!#REF!&lt;=$P$12)*(日次管理!#REF!=$A$15)*(日次管理!#REF!="精査完了")*(日次管理!#REF!="予定")*(日次管理!#REF!=$A$11),日次管理!#REF!)</f>
        <v>#REF!</v>
      </c>
      <c r="Q15" s="59" t="e">
        <f>SUMPRODUCT((日次管理!#REF!&lt;=$Q$12)*(日次管理!#REF!=$A$15)*(日次管理!#REF!="精査完了")*(日次管理!#REF!="実績")*(日次管理!#REF!=$A$11),日次管理!#REF!)</f>
        <v>#REF!</v>
      </c>
      <c r="R15" s="91" t="e">
        <f>SUMPRODUCT((日次管理!#REF!&lt;=$R$12)*(日次管理!#REF!=$A$15)*(日次管理!#REF!="精査完了")*(日次管理!#REF!="予定")*(日次管理!#REF!=$A$11),日次管理!#REF!)</f>
        <v>#REF!</v>
      </c>
      <c r="S15" s="59" t="e">
        <f>SUMPRODUCT((日次管理!#REF!&lt;=$S$12)*(日次管理!#REF!=$A$15)*(日次管理!#REF!="精査完了")*(日次管理!#REF!="実績")*(日次管理!#REF!=$A$11),日次管理!#REF!)</f>
        <v>#REF!</v>
      </c>
      <c r="T15" s="91" t="e">
        <f>SUMPRODUCT((日次管理!#REF!&lt;=$T$12)*(日次管理!#REF!=$A$15)*(日次管理!#REF!="精査完了")*(日次管理!#REF!="予定")*(日次管理!#REF!=$A$11),日次管理!#REF!)</f>
        <v>#REF!</v>
      </c>
      <c r="U15" s="59" t="e">
        <f>SUMPRODUCT((日次管理!#REF!&lt;=$U$12)*(日次管理!#REF!=$A$15)*(日次管理!#REF!="精査完了")*(日次管理!#REF!="実績")*(日次管理!#REF!=$A$11),日次管理!#REF!)</f>
        <v>#REF!</v>
      </c>
      <c r="V15" s="91" t="e">
        <f>SUMPRODUCT((日次管理!#REF!&lt;=$V$12)*(日次管理!#REF!=$A$15)*(日次管理!#REF!="精査完了")*(日次管理!#REF!="予定")*(日次管理!#REF!=$A$11),日次管理!#REF!)</f>
        <v>#REF!</v>
      </c>
      <c r="W15" s="59" t="e">
        <f>SUMPRODUCT((日次管理!#REF!&lt;=$W$12)*(日次管理!#REF!=$A$15)*(日次管理!#REF!="精査完了")*(日次管理!#REF!="実績")*(日次管理!#REF!=$A$11),日次管理!#REF!)</f>
        <v>#REF!</v>
      </c>
      <c r="X15" s="91" t="e">
        <f>SUMPRODUCT((日次管理!#REF!&lt;=$X$12)*(日次管理!#REF!=$A$15)*(日次管理!#REF!="精査完了")*(日次管理!#REF!="予定")*(日次管理!#REF!=$A$11),日次管理!#REF!)</f>
        <v>#REF!</v>
      </c>
      <c r="Y15" s="59" t="e">
        <f>SUMPRODUCT((日次管理!#REF!&lt;=$Y$12)*(日次管理!#REF!=$A$15)*(日次管理!#REF!="精査完了")*(日次管理!#REF!="実績")*(日次管理!#REF!=$A$11),日次管理!#REF!)</f>
        <v>#REF!</v>
      </c>
      <c r="Z15" s="91" t="e">
        <f>SUMPRODUCT((日次管理!#REF!&lt;=$Z$12)*(日次管理!#REF!=$A$15)*(日次管理!#REF!="精査完了")*(日次管理!#REF!="予定")*(日次管理!#REF!=$A$11),日次管理!#REF!)</f>
        <v>#REF!</v>
      </c>
      <c r="AA15" s="59" t="e">
        <f>SUMPRODUCT((日次管理!#REF!&lt;=$AA$12)*(日次管理!#REF!=$A$15)*(日次管理!#REF!="精査完了")*(日次管理!#REF!="実績")*(日次管理!#REF!=$A$11),日次管理!#REF!)</f>
        <v>#REF!</v>
      </c>
      <c r="AB15" s="91" t="e">
        <f>SUMPRODUCT((日次管理!#REF!&lt;=$AB$12)*(日次管理!#REF!=$A$15)*(日次管理!#REF!="精査完了")*(日次管理!#REF!="予定")*(日次管理!#REF!=$A$11),日次管理!#REF!)</f>
        <v>#REF!</v>
      </c>
      <c r="AC15" s="59" t="e">
        <f>SUMPRODUCT((日次管理!#REF!&lt;=$AC$12)*(日次管理!#REF!=$A$15)*(日次管理!#REF!="精査完了")*(日次管理!#REF!="実績")*(日次管理!#REF!=$A$11),日次管理!#REF!)</f>
        <v>#REF!</v>
      </c>
      <c r="AD15" s="91" t="e">
        <f>SUMPRODUCT((日次管理!#REF!&lt;=$AD$12)*(日次管理!#REF!=$A$15)*(日次管理!#REF!="精査完了")*(日次管理!#REF!="予定")*(日次管理!#REF!=$A$11),日次管理!#REF!)</f>
        <v>#REF!</v>
      </c>
      <c r="AE15" s="59" t="e">
        <f>SUMPRODUCT((日次管理!#REF!&lt;=$AE$12)*(日次管理!#REF!=$A$15)*(日次管理!#REF!="精査完了")*(日次管理!#REF!="実績")*(日次管理!#REF!=$A$11),日次管理!#REF!)</f>
        <v>#REF!</v>
      </c>
      <c r="AF15" s="91" t="e">
        <f>SUMPRODUCT((日次管理!#REF!&lt;=$AF$12)*(日次管理!#REF!=$A$15)*(日次管理!#REF!="精査完了")*(日次管理!#REF!="予定")*(日次管理!#REF!=$A$11),日次管理!#REF!)</f>
        <v>#REF!</v>
      </c>
      <c r="AG15" s="59" t="e">
        <f>SUMPRODUCT((日次管理!#REF!&lt;=$AG$12)*(日次管理!#REF!=$A$15)*(日次管理!#REF!="精査完了")*(日次管理!#REF!="実績")*(日次管理!#REF!=$A$11),日次管理!#REF!)</f>
        <v>#REF!</v>
      </c>
      <c r="AH15" s="91" t="e">
        <f>SUMPRODUCT((日次管理!#REF!&lt;=$AH$12)*(日次管理!#REF!=$A$15)*(日次管理!#REF!="精査完了")*(日次管理!#REF!="予定")*(日次管理!#REF!=$A$11),日次管理!#REF!)</f>
        <v>#REF!</v>
      </c>
      <c r="AI15" s="59" t="e">
        <f>SUMPRODUCT((日次管理!#REF!&lt;=$AI$12)*(日次管理!#REF!=$A$15)*(日次管理!#REF!="精査完了")*(日次管理!#REF!="実績")*(日次管理!#REF!=$A$11),日次管理!#REF!)</f>
        <v>#REF!</v>
      </c>
      <c r="AJ15" s="91" t="e">
        <f>SUMPRODUCT((日次管理!#REF!&lt;=$AJ$12)*(日次管理!#REF!=$A$15)*(日次管理!#REF!="精査完了")*(日次管理!#REF!="予定")*(日次管理!#REF!=$A$11),日次管理!#REF!)</f>
        <v>#REF!</v>
      </c>
      <c r="AK15" s="59" t="e">
        <f>SUMPRODUCT((日次管理!#REF!&lt;=$AK$12)*(日次管理!#REF!=$A$15)*(日次管理!#REF!="精査完了")*(日次管理!#REF!="実績")*(日次管理!#REF!=$A$11),日次管理!#REF!)</f>
        <v>#REF!</v>
      </c>
      <c r="AL15" s="91" t="e">
        <f>SUMPRODUCT((日次管理!#REF!&lt;=$AL$12)*(日次管理!#REF!=$A$15)*(日次管理!#REF!="精査完了")*(日次管理!#REF!="予定")*(日次管理!#REF!=$A$11),日次管理!#REF!)</f>
        <v>#REF!</v>
      </c>
      <c r="AM15" s="59" t="e">
        <f>SUMPRODUCT((日次管理!#REF!&lt;=$AM$12)*(日次管理!#REF!=$A$15)*(日次管理!#REF!="精査完了")*(日次管理!#REF!="実績")*(日次管理!#REF!=$A$11),日次管理!#REF!)</f>
        <v>#REF!</v>
      </c>
      <c r="AN15" s="91" t="e">
        <f>SUMPRODUCT((日次管理!#REF!&lt;=$AN$12)*(日次管理!#REF!=$A$15)*(日次管理!#REF!="精査完了")*(日次管理!#REF!="予定")*(日次管理!#REF!=$A$11),日次管理!#REF!)</f>
        <v>#REF!</v>
      </c>
      <c r="AO15" s="59" t="e">
        <f>SUMPRODUCT((日次管理!#REF!&lt;=$AO$12)*(日次管理!#REF!=$A$15)*(日次管理!#REF!="精査完了")*(日次管理!#REF!="実績")*(日次管理!#REF!=$A$11),日次管理!#REF!)</f>
        <v>#REF!</v>
      </c>
      <c r="AP15" s="91" t="e">
        <f>SUMPRODUCT((日次管理!#REF!&lt;=$AP$12)*(日次管理!#REF!=$A$15)*(日次管理!#REF!="精査完了")*(日次管理!#REF!="予定")*(日次管理!#REF!=$A$11),日次管理!#REF!)</f>
        <v>#REF!</v>
      </c>
      <c r="AQ15" s="59" t="e">
        <f>SUMPRODUCT((日次管理!#REF!&lt;=$AQ$12)*(日次管理!#REF!=$A$15)*(日次管理!#REF!="精査完了")*(日次管理!#REF!="実績")*(日次管理!#REF!=$A$11),日次管理!#REF!)</f>
        <v>#REF!</v>
      </c>
      <c r="AR15" s="91" t="e">
        <f>SUMPRODUCT((日次管理!#REF!&lt;=$AR$12)*(日次管理!#REF!=$A$15)*(日次管理!#REF!="精査完了")*(日次管理!#REF!="予定")*(日次管理!#REF!=$A$11),日次管理!#REF!)</f>
        <v>#REF!</v>
      </c>
      <c r="AS15" s="59" t="e">
        <f>SUMPRODUCT((日次管理!#REF!&lt;=$AS$12)*(日次管理!#REF!=$A$15)*(日次管理!#REF!="精査完了")*(日次管理!#REF!="実績")*(日次管理!#REF!=$A$11),日次管理!#REF!)</f>
        <v>#REF!</v>
      </c>
      <c r="AT15" s="91" t="e">
        <f>SUMPRODUCT((日次管理!#REF!&lt;=$AT$12)*(日次管理!#REF!=$A$15)*(日次管理!#REF!="精査完了")*(日次管理!#REF!="予定")*(日次管理!#REF!=$A$11),日次管理!#REF!)</f>
        <v>#REF!</v>
      </c>
      <c r="AU15" s="59" t="e">
        <f>SUMPRODUCT((日次管理!#REF!&lt;=$AU$12)*(日次管理!#REF!=$A$15)*(日次管理!#REF!="精査完了")*(日次管理!#REF!="実績")*(日次管理!#REF!=$A$11),日次管理!#REF!)</f>
        <v>#REF!</v>
      </c>
      <c r="AV15" s="91" t="e">
        <f>SUMPRODUCT((日次管理!#REF!&lt;=$AV$12)*(日次管理!#REF!=$A$15)*(日次管理!#REF!="精査完了")*(日次管理!#REF!="予定")*(日次管理!#REF!=$A$11),日次管理!#REF!)</f>
        <v>#REF!</v>
      </c>
      <c r="AW15" s="59" t="e">
        <f>SUMPRODUCT((日次管理!#REF!&lt;=$AW$12)*(日次管理!#REF!=$A$15)*(日次管理!#REF!="精査完了")*(日次管理!#REF!="実績")*(日次管理!#REF!=$A$11),日次管理!#REF!)</f>
        <v>#REF!</v>
      </c>
      <c r="AX15" s="91" t="e">
        <f>SUMPRODUCT((日次管理!#REF!&lt;=$AX$12)*(日次管理!#REF!=$A$15)*(日次管理!#REF!="精査完了")*(日次管理!#REF!="予定")*(日次管理!#REF!=$A$11),日次管理!#REF!)</f>
        <v>#REF!</v>
      </c>
      <c r="AY15" s="59" t="e">
        <f>SUMPRODUCT((日次管理!#REF!&lt;=$AY$12)*(日次管理!#REF!=$A$15)*(日次管理!#REF!="精査完了")*(日次管理!#REF!="実績")*(日次管理!#REF!=$A$11),日次管理!#REF!)</f>
        <v>#REF!</v>
      </c>
      <c r="AZ15" s="91" t="e">
        <f>SUMPRODUCT((日次管理!#REF!&lt;=$AZ$12)*(日次管理!#REF!=$A$15)*(日次管理!#REF!="精査完了")*(日次管理!#REF!="予定")*(日次管理!#REF!=$A$11),日次管理!#REF!)</f>
        <v>#REF!</v>
      </c>
      <c r="BA15" s="59" t="e">
        <f>SUMPRODUCT((日次管理!#REF!&lt;=$BA$12)*(日次管理!#REF!=$A$15)*(日次管理!#REF!="精査完了")*(日次管理!#REF!="実績")*(日次管理!#REF!=$A$11),日次管理!#REF!)</f>
        <v>#REF!</v>
      </c>
      <c r="BB15" s="91" t="e">
        <f>SUMPRODUCT((日次管理!#REF!&lt;=$BB$12)*(日次管理!#REF!=$A$15)*(日次管理!#REF!="精査完了")*(日次管理!#REF!="予定")*(日次管理!#REF!=$A$11),日次管理!#REF!)</f>
        <v>#REF!</v>
      </c>
      <c r="BC15" s="59" t="e">
        <f>SUMPRODUCT((日次管理!#REF!&lt;=$BC$12)*(日次管理!#REF!=$A$15)*(日次管理!#REF!="精査完了")*(日次管理!#REF!="実績")*(日次管理!#REF!=$A$11),日次管理!#REF!)</f>
        <v>#REF!</v>
      </c>
      <c r="BD15" s="91" t="e">
        <f>SUMPRODUCT((日次管理!#REF!&lt;=$BD$12)*(日次管理!#REF!=$A$15)*(日次管理!#REF!="精査完了")*(日次管理!#REF!="予定")*(日次管理!#REF!=$A$11),日次管理!#REF!)</f>
        <v>#REF!</v>
      </c>
      <c r="BE15" s="59" t="e">
        <f>SUMPRODUCT((日次管理!#REF!&lt;=$BE$12)*(日次管理!#REF!=$A$15)*(日次管理!#REF!="精査完了")*(日次管理!#REF!="実績")*(日次管理!#REF!=$A$11),日次管理!#REF!)</f>
        <v>#REF!</v>
      </c>
      <c r="BF15" s="91" t="e">
        <f>SUMPRODUCT((日次管理!#REF!&lt;=$BF$12)*(日次管理!#REF!=$A$15)*(日次管理!#REF!="精査完了")*(日次管理!#REF!="予定")*(日次管理!#REF!=$A$11),日次管理!#REF!)</f>
        <v>#REF!</v>
      </c>
      <c r="BG15" s="59" t="e">
        <f>SUMPRODUCT((日次管理!#REF!&lt;=$BG$12)*(日次管理!#REF!=$A$15)*(日次管理!#REF!="精査完了")*(日次管理!#REF!="実績")*(日次管理!#REF!=$A$11),日次管理!#REF!)</f>
        <v>#REF!</v>
      </c>
      <c r="BH15" s="91" t="e">
        <f>SUMPRODUCT((日次管理!#REF!&lt;=$BH$12)*(日次管理!#REF!=$A$15)*(日次管理!#REF!="精査完了")*(日次管理!#REF!="予定")*(日次管理!#REF!=$A$11),日次管理!#REF!)</f>
        <v>#REF!</v>
      </c>
      <c r="BI15" s="59" t="e">
        <f>SUMPRODUCT((日次管理!#REF!&lt;=$BI$12)*(日次管理!#REF!=$A$15)*(日次管理!#REF!="精査完了")*(日次管理!#REF!="実績")*(日次管理!#REF!=$A$11),日次管理!#REF!)</f>
        <v>#REF!</v>
      </c>
      <c r="BJ15" s="91" t="e">
        <f>SUMPRODUCT((日次管理!#REF!&lt;=$BJ$12)*(日次管理!#REF!=$A$15)*(日次管理!#REF!="精査完了")*(日次管理!#REF!="予定")*(日次管理!#REF!=$A$11),日次管理!#REF!)</f>
        <v>#REF!</v>
      </c>
      <c r="BK15" s="59" t="e">
        <f>SUMPRODUCT((日次管理!#REF!&lt;=$BK$12)*(日次管理!#REF!=$A$15)*(日次管理!#REF!="精査完了")*(日次管理!#REF!="実績")*(日次管理!#REF!=$A$11),日次管理!#REF!)</f>
        <v>#REF!</v>
      </c>
      <c r="BL15" s="91" t="e">
        <f>SUMPRODUCT((日次管理!#REF!&lt;=$BL$12)*(日次管理!#REF!=$A$15)*(日次管理!#REF!="精査完了")*(日次管理!#REF!="予定")*(日次管理!#REF!=$A$11),日次管理!#REF!)</f>
        <v>#REF!</v>
      </c>
      <c r="BM15" s="59" t="e">
        <f>SUMPRODUCT((日次管理!#REF!&lt;=$BM$12)*(日次管理!#REF!=$A$15)*(日次管理!#REF!="精査完了")*(日次管理!#REF!="実績")*(日次管理!#REF!=$A$11),日次管理!#REF!)</f>
        <v>#REF!</v>
      </c>
      <c r="BN15" s="91" t="e">
        <f>SUMPRODUCT((日次管理!#REF!&lt;=$BN$12)*(日次管理!#REF!=$A$15)*(日次管理!#REF!="精査完了")*(日次管理!#REF!="予定")*(日次管理!#REF!=$A$11),日次管理!#REF!)</f>
        <v>#REF!</v>
      </c>
      <c r="BO15" s="59" t="e">
        <f>SUMPRODUCT((日次管理!#REF!&lt;=$BO$12)*(日次管理!#REF!=$A$15)*(日次管理!#REF!="精査完了")*(日次管理!#REF!="実績")*(日次管理!#REF!=$A$11),日次管理!#REF!)</f>
        <v>#REF!</v>
      </c>
      <c r="BP15" s="91" t="e">
        <f>SUMPRODUCT((日次管理!#REF!&lt;=$BP$12)*(日次管理!#REF!=$A$15)*(日次管理!#REF!="精査完了")*(日次管理!#REF!="予定")*(日次管理!#REF!=$A$11),日次管理!#REF!)</f>
        <v>#REF!</v>
      </c>
      <c r="BQ15" s="59" t="e">
        <f>SUMPRODUCT((日次管理!#REF!&lt;=$BQ$12)*(日次管理!#REF!=$A$15)*(日次管理!#REF!="精査完了")*(日次管理!#REF!="実績")*(日次管理!#REF!=$A$11),日次管理!#REF!)</f>
        <v>#REF!</v>
      </c>
      <c r="BR15" s="91" t="e">
        <f>SUMPRODUCT((日次管理!#REF!&lt;=$BR$12)*(日次管理!#REF!=$A$15)*(日次管理!#REF!="精査完了")*(日次管理!#REF!="予定")*(日次管理!#REF!=$A$11),日次管理!#REF!)</f>
        <v>#REF!</v>
      </c>
      <c r="BS15" s="59" t="e">
        <f>SUMPRODUCT((日次管理!#REF!&lt;=$BS$12)*(日次管理!#REF!=$A$15)*(日次管理!#REF!="精査完了")*(日次管理!#REF!="実績")*(日次管理!#REF!=$A$11),日次管理!#REF!)</f>
        <v>#REF!</v>
      </c>
      <c r="BT15" s="91" t="e">
        <f>SUMPRODUCT((日次管理!#REF!&lt;=$BT$12)*(日次管理!#REF!=$A$15)*(日次管理!#REF!="精査完了")*(日次管理!#REF!="予定")*(日次管理!#REF!=$A$11),日次管理!#REF!)</f>
        <v>#REF!</v>
      </c>
      <c r="BU15" s="59" t="e">
        <f>SUMPRODUCT((日次管理!#REF!&lt;=$BU$12)*(日次管理!#REF!=$A$15)*(日次管理!#REF!="精査完了")*(日次管理!#REF!="実績")*(日次管理!#REF!=$A$11),日次管理!#REF!)</f>
        <v>#REF!</v>
      </c>
      <c r="BV15" s="91" t="e">
        <f>SUMPRODUCT((日次管理!#REF!&lt;=$BV$12)*(日次管理!#REF!=$A$15)*(日次管理!#REF!="精査完了")*(日次管理!#REF!="予定")*(日次管理!#REF!=$A$11),日次管理!#REF!)</f>
        <v>#REF!</v>
      </c>
      <c r="BW15" s="59" t="e">
        <f>SUMPRODUCT((日次管理!#REF!&lt;=$BW$12)*(日次管理!#REF!=$A$15)*(日次管理!#REF!="精査完了")*(日次管理!#REF!="実績")*(日次管理!#REF!=$A$11),日次管理!#REF!)</f>
        <v>#REF!</v>
      </c>
      <c r="BX15" s="91" t="e">
        <f>SUMPRODUCT((日次管理!#REF!&lt;=$BX$12)*(日次管理!#REF!=$A$15)*(日次管理!#REF!="精査完了")*(日次管理!#REF!="予定")*(日次管理!#REF!=$A$11),日次管理!#REF!)</f>
        <v>#REF!</v>
      </c>
      <c r="BY15" s="59" t="e">
        <f>SUMPRODUCT((日次管理!#REF!&lt;=$BY$12)*(日次管理!#REF!=$A$15)*(日次管理!#REF!="精査完了")*(日次管理!#REF!="実績")*(日次管理!#REF!=$A$11),日次管理!#REF!)</f>
        <v>#REF!</v>
      </c>
      <c r="BZ15" s="91" t="e">
        <f>SUMPRODUCT((日次管理!#REF!&lt;=$BZ$12)*(日次管理!#REF!=$A$15)*(日次管理!#REF!="精査完了")*(日次管理!#REF!="予定")*(日次管理!#REF!=$A$11),日次管理!#REF!)</f>
        <v>#REF!</v>
      </c>
      <c r="CA15" s="59" t="e">
        <f>SUMPRODUCT((日次管理!#REF!&lt;=$CA$12)*(日次管理!#REF!=$A$15)*(日次管理!#REF!="精査完了")*(日次管理!#REF!="実績")*(日次管理!#REF!=$A$11),日次管理!#REF!)</f>
        <v>#REF!</v>
      </c>
      <c r="CB15" s="91" t="e">
        <f>SUMPRODUCT((日次管理!#REF!&lt;=$CB$12)*(日次管理!#REF!=$A$15)*(日次管理!#REF!="精査完了")*(日次管理!#REF!="予定")*(日次管理!#REF!=$A$11),日次管理!#REF!)</f>
        <v>#REF!</v>
      </c>
      <c r="CC15" s="59" t="e">
        <f>SUMPRODUCT((日次管理!#REF!&lt;=$CC$12)*(日次管理!#REF!=$A$15)*(日次管理!#REF!="精査完了")*(日次管理!#REF!="実績")*(日次管理!#REF!=$A$11),日次管理!#REF!)</f>
        <v>#REF!</v>
      </c>
      <c r="CD15" s="91" t="e">
        <f>SUMPRODUCT((日次管理!#REF!&lt;=$CD$12)*(日次管理!#REF!=$A$15)*(日次管理!#REF!="精査完了")*(日次管理!#REF!="予定")*(日次管理!#REF!=$A$11),日次管理!#REF!)</f>
        <v>#REF!</v>
      </c>
      <c r="CE15" s="59" t="e">
        <f>SUMPRODUCT((日次管理!#REF!&lt;=$CE$12)*(日次管理!#REF!=$A$15)*(日次管理!#REF!="精査完了")*(日次管理!#REF!="実績")*(日次管理!#REF!=$A$11),日次管理!#REF!)</f>
        <v>#REF!</v>
      </c>
      <c r="CF15" s="91" t="e">
        <f>SUMPRODUCT((日次管理!#REF!&lt;=$CF$12)*(日次管理!#REF!=$A$15)*(日次管理!#REF!="精査完了")*(日次管理!#REF!="予定")*(日次管理!#REF!=$A$11),日次管理!#REF!)</f>
        <v>#REF!</v>
      </c>
      <c r="CG15" s="59" t="e">
        <f>SUMPRODUCT((日次管理!#REF!&lt;=$CG$12)*(日次管理!#REF!=$A$15)*(日次管理!#REF!="精査完了")*(日次管理!#REF!="実績")*(日次管理!#REF!=$A$11),日次管理!#REF!)</f>
        <v>#REF!</v>
      </c>
      <c r="CH15" s="91" t="e">
        <f>SUMPRODUCT((日次管理!#REF!&lt;=$CH$12)*(日次管理!#REF!=$A$15)*(日次管理!#REF!="精査完了")*(日次管理!#REF!="予定")*(日次管理!#REF!=$A$11),日次管理!#REF!)</f>
        <v>#REF!</v>
      </c>
      <c r="CI15" s="59" t="e">
        <f>SUMPRODUCT((日次管理!#REF!&lt;=$CI$12)*(日次管理!#REF!=$A$15)*(日次管理!#REF!="精査完了")*(日次管理!#REF!="実績")*(日次管理!#REF!=$A$11),日次管理!#REF!)</f>
        <v>#REF!</v>
      </c>
      <c r="CJ15" s="91" t="e">
        <f>SUMPRODUCT((日次管理!#REF!&lt;=$CJ$12)*(日次管理!#REF!=$A$15)*(日次管理!#REF!="精査完了")*(日次管理!#REF!="予定")*(日次管理!#REF!=$A$11),日次管理!#REF!)</f>
        <v>#REF!</v>
      </c>
      <c r="CK15" s="59" t="e">
        <f>SUMPRODUCT((日次管理!#REF!&lt;=$CK$12)*(日次管理!#REF!=$A$15)*(日次管理!#REF!="精査完了")*(日次管理!#REF!="実績")*(日次管理!#REF!=$A$11),日次管理!#REF!)</f>
        <v>#REF!</v>
      </c>
      <c r="CL15" s="91" t="e">
        <f>SUMPRODUCT((日次管理!#REF!&lt;=$CL$12)*(日次管理!#REF!=$A$15)*(日次管理!#REF!="精査完了")*(日次管理!#REF!="予定")*(日次管理!#REF!=$A$11),日次管理!#REF!)</f>
        <v>#REF!</v>
      </c>
      <c r="CM15" s="59" t="e">
        <f>SUMPRODUCT((日次管理!#REF!&lt;=$CM$12)*(日次管理!#REF!=$A$15)*(日次管理!#REF!="精査完了")*(日次管理!#REF!="実績")*(日次管理!#REF!=$A$11),日次管理!#REF!)</f>
        <v>#REF!</v>
      </c>
      <c r="CN15" s="91" t="e">
        <f>SUMPRODUCT((日次管理!#REF!&lt;=$CN$12)*(日次管理!#REF!=$A$15)*(日次管理!#REF!="精査完了")*(日次管理!#REF!="予定")*(日次管理!#REF!=$A$11),日次管理!#REF!)</f>
        <v>#REF!</v>
      </c>
      <c r="CO15" s="59" t="e">
        <f>SUMPRODUCT((日次管理!#REF!&lt;=$CO$12)*(日次管理!#REF!=$A$15)*(日次管理!#REF!="精査完了")*(日次管理!#REF!="実績")*(日次管理!#REF!=$A$11),日次管理!#REF!)</f>
        <v>#REF!</v>
      </c>
      <c r="CP15" s="91" t="e">
        <f>SUMPRODUCT((日次管理!#REF!&lt;=$CP$12)*(日次管理!#REF!=$A$15)*(日次管理!#REF!="精査完了")*(日次管理!#REF!="予定")*(日次管理!#REF!=$A$11),日次管理!#REF!)</f>
        <v>#REF!</v>
      </c>
      <c r="CQ15" s="59" t="e">
        <f>SUMPRODUCT((日次管理!#REF!&lt;=$CQ$12)*(日次管理!#REF!=$A$15)*(日次管理!#REF!="精査完了")*(日次管理!#REF!="実績")*(日次管理!#REF!=$A$11),日次管理!#REF!)</f>
        <v>#REF!</v>
      </c>
      <c r="CR15" s="91" t="e">
        <f>SUMPRODUCT((日次管理!#REF!&lt;=$CR$12)*(日次管理!#REF!=$A$15)*(日次管理!#REF!="精査完了")*(日次管理!#REF!="予定")*(日次管理!#REF!=$A$11),日次管理!#REF!)</f>
        <v>#REF!</v>
      </c>
      <c r="CS15" s="59" t="e">
        <f>SUMPRODUCT((日次管理!#REF!&lt;=$CS$12)*(日次管理!#REF!=$A$15)*(日次管理!#REF!="精査完了")*(日次管理!#REF!="実績")*(日次管理!#REF!=$A$11),日次管理!#REF!)</f>
        <v>#REF!</v>
      </c>
      <c r="CT15" s="91" t="e">
        <f>SUMPRODUCT((日次管理!#REF!&lt;=$CT$12)*(日次管理!#REF!=$A$15)*(日次管理!#REF!="精査完了")*(日次管理!#REF!="予定")*(日次管理!#REF!=$A$11),日次管理!#REF!)</f>
        <v>#REF!</v>
      </c>
      <c r="CU15" s="59" t="e">
        <f>SUMPRODUCT((日次管理!#REF!&lt;=$CU$12)*(日次管理!#REF!=$A$15)*(日次管理!#REF!="精査完了")*(日次管理!#REF!="実績")*(日次管理!#REF!=$A$11),日次管理!#REF!)</f>
        <v>#REF!</v>
      </c>
      <c r="CV15" s="92" t="e">
        <f ca="1">SUMPRODUCT(($A$12- WEEKDAY($A$12) + 6 =$B$12:$CU$12)*("実績"=$B$13:$CU$13),$B$15:$CU$15)/SUMPRODUCT(($A$12- WEEKDAY($A$12) + 6 =$B$12:$CU$12)*("予定"=$B$13:$CU$13),$B$15:$CU$15)</f>
        <v>#REF!</v>
      </c>
      <c r="CW15" s="93" t="e">
        <f>$CU$15/$CT$15</f>
        <v>#REF!</v>
      </c>
    </row>
    <row r="16" spans="1:101" ht="20.149999999999999" customHeight="1">
      <c r="A16" s="105" t="s">
        <v>80</v>
      </c>
      <c r="B16" s="95" t="e">
        <f>SUMPRODUCT((日次管理!#REF!&lt;=$B$12)*(日次管理!#REF!=$A$16)*(日次管理!#REF!="精査完了")*(日次管理!#REF!="予定")*(日次管理!#REF!=$A$11),日次管理!#REF!)</f>
        <v>#REF!</v>
      </c>
      <c r="C16" s="60" t="e">
        <f>SUMPRODUCT((日次管理!#REF!&lt;=$C$12)*(日次管理!#REF!=$A$16)*(日次管理!#REF!="精査完了")*(日次管理!#REF!="実績")*(日次管理!#REF!=$A$11),日次管理!#REF!)</f>
        <v>#REF!</v>
      </c>
      <c r="D16" s="95" t="e">
        <f>SUMPRODUCT((日次管理!#REF!&lt;=$D$12)*(日次管理!#REF!=$A$16)*(日次管理!#REF!="精査完了")*(日次管理!#REF!="予定")*(日次管理!#REF!=$A$11),日次管理!#REF!)</f>
        <v>#REF!</v>
      </c>
      <c r="E16" s="60" t="e">
        <f>SUMPRODUCT((日次管理!#REF!&lt;=$E$12)*(日次管理!#REF!=$A$16)*(日次管理!#REF!="精査完了")*(日次管理!#REF!="実績")*(日次管理!#REF!=$A$11),日次管理!#REF!)</f>
        <v>#REF!</v>
      </c>
      <c r="F16" s="95" t="e">
        <f>SUMPRODUCT((日次管理!#REF!&lt;=$F$12)*(日次管理!#REF!=$A$16)*(日次管理!#REF!="精査完了")*(日次管理!#REF!="予定")*(日次管理!#REF!=$A$11),日次管理!#REF!)</f>
        <v>#REF!</v>
      </c>
      <c r="G16" s="60" t="e">
        <f>SUMPRODUCT((日次管理!#REF!&lt;=$G$12)*(日次管理!#REF!=$A$16)*(日次管理!#REF!="精査完了")*(日次管理!#REF!="実績")*(日次管理!#REF!=$A$11),日次管理!#REF!)</f>
        <v>#REF!</v>
      </c>
      <c r="H16" s="95" t="e">
        <f>SUMPRODUCT((日次管理!#REF!&lt;=$H$12)*(日次管理!#REF!=$A$16)*(日次管理!#REF!="精査完了")*(日次管理!#REF!="予定")*(日次管理!#REF!=$A$11),日次管理!#REF!)</f>
        <v>#REF!</v>
      </c>
      <c r="I16" s="60" t="e">
        <f>SUMPRODUCT((日次管理!#REF!&lt;=$I$12)*(日次管理!#REF!=$A$16)*(日次管理!#REF!="精査完了")*(日次管理!#REF!="実績")*(日次管理!#REF!=$A$11),日次管理!#REF!)</f>
        <v>#REF!</v>
      </c>
      <c r="J16" s="95" t="e">
        <f>SUMPRODUCT((日次管理!#REF!&lt;=$J$12)*(日次管理!#REF!=$A$16)*(日次管理!#REF!="精査完了")*(日次管理!#REF!="予定")*(日次管理!#REF!=$A$11),日次管理!#REF!)</f>
        <v>#REF!</v>
      </c>
      <c r="K16" s="60" t="e">
        <f>SUMPRODUCT((日次管理!#REF!&lt;=$K$12)*(日次管理!#REF!=$A$16)*(日次管理!#REF!="精査完了")*(日次管理!#REF!="実績")*(日次管理!#REF!=$A$11),日次管理!#REF!)</f>
        <v>#REF!</v>
      </c>
      <c r="L16" s="95" t="e">
        <f>SUMPRODUCT((日次管理!#REF!&lt;=$L$12)*(日次管理!#REF!=$A$16)*(日次管理!#REF!="精査完了")*(日次管理!#REF!="予定")*(日次管理!#REF!=$A$11),日次管理!#REF!)</f>
        <v>#REF!</v>
      </c>
      <c r="M16" s="60" t="e">
        <f>SUMPRODUCT((日次管理!#REF!&lt;=$M$12)*(日次管理!#REF!=$A$16)*(日次管理!#REF!="精査完了")*(日次管理!#REF!="実績")*(日次管理!#REF!=$A$11),日次管理!#REF!)</f>
        <v>#REF!</v>
      </c>
      <c r="N16" s="95" t="e">
        <f>SUMPRODUCT((日次管理!#REF!&lt;=$N$12)*(日次管理!#REF!=$A$16)*(日次管理!#REF!="精査完了")*(日次管理!#REF!="予定")*(日次管理!#REF!=$A$11),日次管理!#REF!)</f>
        <v>#REF!</v>
      </c>
      <c r="O16" s="60" t="e">
        <f>SUMPRODUCT((日次管理!#REF!&lt;=$O$12)*(日次管理!#REF!=$A$16)*(日次管理!#REF!="精査完了")*(日次管理!#REF!="実績")*(日次管理!#REF!=$A$11),日次管理!#REF!)</f>
        <v>#REF!</v>
      </c>
      <c r="P16" s="95" t="e">
        <f>SUMPRODUCT((日次管理!#REF!&lt;=$P$12)*(日次管理!#REF!=$A$16)*(日次管理!#REF!="精査完了")*(日次管理!#REF!="予定")*(日次管理!#REF!=$A$11),日次管理!#REF!)</f>
        <v>#REF!</v>
      </c>
      <c r="Q16" s="60" t="e">
        <f>SUMPRODUCT((日次管理!#REF!&lt;=$Q$12)*(日次管理!#REF!=$A$16)*(日次管理!#REF!="精査完了")*(日次管理!#REF!="実績")*(日次管理!#REF!=$A$11),日次管理!#REF!)</f>
        <v>#REF!</v>
      </c>
      <c r="R16" s="95" t="e">
        <f>SUMPRODUCT((日次管理!#REF!&lt;=$R$12)*(日次管理!#REF!=$A$16)*(日次管理!#REF!="精査完了")*(日次管理!#REF!="予定")*(日次管理!#REF!=$A$11),日次管理!#REF!)</f>
        <v>#REF!</v>
      </c>
      <c r="S16" s="60" t="e">
        <f>SUMPRODUCT((日次管理!#REF!&lt;=$S$12)*(日次管理!#REF!=$A$16)*(日次管理!#REF!="精査完了")*(日次管理!#REF!="実績")*(日次管理!#REF!=$A$11),日次管理!#REF!)</f>
        <v>#REF!</v>
      </c>
      <c r="T16" s="95" t="e">
        <f>SUMPRODUCT((日次管理!#REF!&lt;=$T$12)*(日次管理!#REF!=$A$16)*(日次管理!#REF!="精査完了")*(日次管理!#REF!="予定")*(日次管理!#REF!=$A$11),日次管理!#REF!)</f>
        <v>#REF!</v>
      </c>
      <c r="U16" s="60" t="e">
        <f>SUMPRODUCT((日次管理!#REF!&lt;=$U$12)*(日次管理!#REF!=$A$16)*(日次管理!#REF!="精査完了")*(日次管理!#REF!="実績")*(日次管理!#REF!=$A$11),日次管理!#REF!)</f>
        <v>#REF!</v>
      </c>
      <c r="V16" s="95" t="e">
        <f>SUMPRODUCT((日次管理!#REF!&lt;=$V$12)*(日次管理!#REF!=$A$16)*(日次管理!#REF!="精査完了")*(日次管理!#REF!="予定")*(日次管理!#REF!=$A$11),日次管理!#REF!)</f>
        <v>#REF!</v>
      </c>
      <c r="W16" s="60" t="e">
        <f>SUMPRODUCT((日次管理!#REF!&lt;=$W$12)*(日次管理!#REF!=$A$16)*(日次管理!#REF!="精査完了")*(日次管理!#REF!="実績")*(日次管理!#REF!=$A$11),日次管理!#REF!)</f>
        <v>#REF!</v>
      </c>
      <c r="X16" s="95" t="e">
        <f>SUMPRODUCT((日次管理!#REF!&lt;=$X$12)*(日次管理!#REF!=$A$16)*(日次管理!#REF!="精査完了")*(日次管理!#REF!="予定")*(日次管理!#REF!=$A$11),日次管理!#REF!)</f>
        <v>#REF!</v>
      </c>
      <c r="Y16" s="60" t="e">
        <f>SUMPRODUCT((日次管理!#REF!&lt;=$Y$12)*(日次管理!#REF!=$A$16)*(日次管理!#REF!="精査完了")*(日次管理!#REF!="実績")*(日次管理!#REF!=$A$11),日次管理!#REF!)</f>
        <v>#REF!</v>
      </c>
      <c r="Z16" s="95" t="e">
        <f>SUMPRODUCT((日次管理!#REF!&lt;=$Z$12)*(日次管理!#REF!=$A$16)*(日次管理!#REF!="精査完了")*(日次管理!#REF!="予定")*(日次管理!#REF!=$A$11),日次管理!#REF!)</f>
        <v>#REF!</v>
      </c>
      <c r="AA16" s="60" t="e">
        <f>SUMPRODUCT((日次管理!#REF!&lt;=$AA$12)*(日次管理!#REF!=$A$16)*(日次管理!#REF!="精査完了")*(日次管理!#REF!="実績")*(日次管理!#REF!=$A$11),日次管理!#REF!)</f>
        <v>#REF!</v>
      </c>
      <c r="AB16" s="95" t="e">
        <f>SUMPRODUCT((日次管理!#REF!&lt;=$AB$12)*(日次管理!#REF!=$A$16)*(日次管理!#REF!="精査完了")*(日次管理!#REF!="予定")*(日次管理!#REF!=$A$11),日次管理!#REF!)</f>
        <v>#REF!</v>
      </c>
      <c r="AC16" s="60" t="e">
        <f>SUMPRODUCT((日次管理!#REF!&lt;=$AC$12)*(日次管理!#REF!=$A$16)*(日次管理!#REF!="精査完了")*(日次管理!#REF!="実績")*(日次管理!#REF!=$A$11),日次管理!#REF!)</f>
        <v>#REF!</v>
      </c>
      <c r="AD16" s="95" t="e">
        <f>SUMPRODUCT((日次管理!#REF!&lt;=$AD$12)*(日次管理!#REF!=$A$16)*(日次管理!#REF!="精査完了")*(日次管理!#REF!="予定")*(日次管理!#REF!=$A$11),日次管理!#REF!)</f>
        <v>#REF!</v>
      </c>
      <c r="AE16" s="60" t="e">
        <f>SUMPRODUCT((日次管理!#REF!&lt;=$AE$12)*(日次管理!#REF!=$A$16)*(日次管理!#REF!="精査完了")*(日次管理!#REF!="実績")*(日次管理!#REF!=$A$11),日次管理!#REF!)</f>
        <v>#REF!</v>
      </c>
      <c r="AF16" s="95" t="e">
        <f>SUMPRODUCT((日次管理!#REF!&lt;=$AF$12)*(日次管理!#REF!=$A$16)*(日次管理!#REF!="精査完了")*(日次管理!#REF!="予定")*(日次管理!#REF!=$A$11),日次管理!#REF!)</f>
        <v>#REF!</v>
      </c>
      <c r="AG16" s="60" t="e">
        <f>SUMPRODUCT((日次管理!#REF!&lt;=$AG$12)*(日次管理!#REF!=$A$16)*(日次管理!#REF!="精査完了")*(日次管理!#REF!="実績")*(日次管理!#REF!=$A$11),日次管理!#REF!)</f>
        <v>#REF!</v>
      </c>
      <c r="AH16" s="95" t="e">
        <f>SUMPRODUCT((日次管理!#REF!&lt;=$AH$12)*(日次管理!#REF!=$A$16)*(日次管理!#REF!="精査完了")*(日次管理!#REF!="予定")*(日次管理!#REF!=$A$11),日次管理!#REF!)</f>
        <v>#REF!</v>
      </c>
      <c r="AI16" s="60" t="e">
        <f>SUMPRODUCT((日次管理!#REF!&lt;=$AI$12)*(日次管理!#REF!=$A$16)*(日次管理!#REF!="精査完了")*(日次管理!#REF!="実績")*(日次管理!#REF!=$A$11),日次管理!#REF!)</f>
        <v>#REF!</v>
      </c>
      <c r="AJ16" s="95" t="e">
        <f>SUMPRODUCT((日次管理!#REF!&lt;=$AJ$12)*(日次管理!#REF!=$A$16)*(日次管理!#REF!="精査完了")*(日次管理!#REF!="予定")*(日次管理!#REF!=$A$11),日次管理!#REF!)</f>
        <v>#REF!</v>
      </c>
      <c r="AK16" s="60" t="e">
        <f>SUMPRODUCT((日次管理!#REF!&lt;=$AK$12)*(日次管理!#REF!=$A$16)*(日次管理!#REF!="精査完了")*(日次管理!#REF!="実績")*(日次管理!#REF!=$A$11),日次管理!#REF!)</f>
        <v>#REF!</v>
      </c>
      <c r="AL16" s="95" t="e">
        <f>SUMPRODUCT((日次管理!#REF!&lt;=$AL$12)*(日次管理!#REF!=$A$16)*(日次管理!#REF!="精査完了")*(日次管理!#REF!="予定")*(日次管理!#REF!=$A$11),日次管理!#REF!)</f>
        <v>#REF!</v>
      </c>
      <c r="AM16" s="60" t="e">
        <f>SUMPRODUCT((日次管理!#REF!&lt;=$AM$12)*(日次管理!#REF!=$A$16)*(日次管理!#REF!="精査完了")*(日次管理!#REF!="実績")*(日次管理!#REF!=$A$11),日次管理!#REF!)</f>
        <v>#REF!</v>
      </c>
      <c r="AN16" s="95" t="e">
        <f>SUMPRODUCT((日次管理!#REF!&lt;=$AN$12)*(日次管理!#REF!=$A$16)*(日次管理!#REF!="精査完了")*(日次管理!#REF!="予定")*(日次管理!#REF!=$A$11),日次管理!#REF!)</f>
        <v>#REF!</v>
      </c>
      <c r="AO16" s="60" t="e">
        <f>SUMPRODUCT((日次管理!#REF!&lt;=$AO$12)*(日次管理!#REF!=$A$16)*(日次管理!#REF!="精査完了")*(日次管理!#REF!="実績")*(日次管理!#REF!=$A$11),日次管理!#REF!)</f>
        <v>#REF!</v>
      </c>
      <c r="AP16" s="95" t="e">
        <f>SUMPRODUCT((日次管理!#REF!&lt;=$AP$12)*(日次管理!#REF!=$A$16)*(日次管理!#REF!="精査完了")*(日次管理!#REF!="予定")*(日次管理!#REF!=$A$11),日次管理!#REF!)</f>
        <v>#REF!</v>
      </c>
      <c r="AQ16" s="60" t="e">
        <f>SUMPRODUCT((日次管理!#REF!&lt;=$AQ$12)*(日次管理!#REF!=$A$16)*(日次管理!#REF!="精査完了")*(日次管理!#REF!="実績")*(日次管理!#REF!=$A$11),日次管理!#REF!)</f>
        <v>#REF!</v>
      </c>
      <c r="AR16" s="95" t="e">
        <f>SUMPRODUCT((日次管理!#REF!&lt;=$AR$12)*(日次管理!#REF!=$A$16)*(日次管理!#REF!="精査完了")*(日次管理!#REF!="予定")*(日次管理!#REF!=$A$11),日次管理!#REF!)</f>
        <v>#REF!</v>
      </c>
      <c r="AS16" s="60" t="e">
        <f>SUMPRODUCT((日次管理!#REF!&lt;=$AS$12)*(日次管理!#REF!=$A$16)*(日次管理!#REF!="精査完了")*(日次管理!#REF!="実績")*(日次管理!#REF!=$A$11),日次管理!#REF!)</f>
        <v>#REF!</v>
      </c>
      <c r="AT16" s="95" t="e">
        <f>SUMPRODUCT((日次管理!#REF!&lt;=$AT$12)*(日次管理!#REF!=$A$16)*(日次管理!#REF!="精査完了")*(日次管理!#REF!="予定")*(日次管理!#REF!=$A$11),日次管理!#REF!)</f>
        <v>#REF!</v>
      </c>
      <c r="AU16" s="60" t="e">
        <f>SUMPRODUCT((日次管理!#REF!&lt;=$AU$12)*(日次管理!#REF!=$A$16)*(日次管理!#REF!="精査完了")*(日次管理!#REF!="実績")*(日次管理!#REF!=$A$11),日次管理!#REF!)</f>
        <v>#REF!</v>
      </c>
      <c r="AV16" s="95" t="e">
        <f>SUMPRODUCT((日次管理!#REF!&lt;=$AV$12)*(日次管理!#REF!=$A$16)*(日次管理!#REF!="精査完了")*(日次管理!#REF!="予定")*(日次管理!#REF!=$A$11),日次管理!#REF!)</f>
        <v>#REF!</v>
      </c>
      <c r="AW16" s="60" t="e">
        <f>SUMPRODUCT((日次管理!#REF!&lt;=$AW$12)*(日次管理!#REF!=$A$16)*(日次管理!#REF!="精査完了")*(日次管理!#REF!="実績")*(日次管理!#REF!=$A$11),日次管理!#REF!)</f>
        <v>#REF!</v>
      </c>
      <c r="AX16" s="95" t="e">
        <f>SUMPRODUCT((日次管理!#REF!&lt;=$AX$12)*(日次管理!#REF!=$A$16)*(日次管理!#REF!="精査完了")*(日次管理!#REF!="予定")*(日次管理!#REF!=$A$11),日次管理!#REF!)</f>
        <v>#REF!</v>
      </c>
      <c r="AY16" s="60" t="e">
        <f>SUMPRODUCT((日次管理!#REF!&lt;=$AY$12)*(日次管理!#REF!=$A$16)*(日次管理!#REF!="精査完了")*(日次管理!#REF!="実績")*(日次管理!#REF!=$A$11),日次管理!#REF!)</f>
        <v>#REF!</v>
      </c>
      <c r="AZ16" s="95" t="e">
        <f>SUMPRODUCT((日次管理!#REF!&lt;=$AZ$12)*(日次管理!#REF!=$A$16)*(日次管理!#REF!="精査完了")*(日次管理!#REF!="予定")*(日次管理!#REF!=$A$11),日次管理!#REF!)</f>
        <v>#REF!</v>
      </c>
      <c r="BA16" s="60" t="e">
        <f>SUMPRODUCT((日次管理!#REF!&lt;=$BA$12)*(日次管理!#REF!=$A$16)*(日次管理!#REF!="精査完了")*(日次管理!#REF!="実績")*(日次管理!#REF!=$A$11),日次管理!#REF!)</f>
        <v>#REF!</v>
      </c>
      <c r="BB16" s="95" t="e">
        <f>SUMPRODUCT((日次管理!#REF!&lt;=$BB$12)*(日次管理!#REF!=$A$16)*(日次管理!#REF!="精査完了")*(日次管理!#REF!="予定")*(日次管理!#REF!=$A$11),日次管理!#REF!)</f>
        <v>#REF!</v>
      </c>
      <c r="BC16" s="60" t="e">
        <f>SUMPRODUCT((日次管理!#REF!&lt;=$BC$12)*(日次管理!#REF!=$A$16)*(日次管理!#REF!="精査完了")*(日次管理!#REF!="実績")*(日次管理!#REF!=$A$11),日次管理!#REF!)</f>
        <v>#REF!</v>
      </c>
      <c r="BD16" s="95" t="e">
        <f>SUMPRODUCT((日次管理!#REF!&lt;=$BD$12)*(日次管理!#REF!=$A$16)*(日次管理!#REF!="精査完了")*(日次管理!#REF!="予定")*(日次管理!#REF!=$A$11),日次管理!#REF!)</f>
        <v>#REF!</v>
      </c>
      <c r="BE16" s="60" t="e">
        <f>SUMPRODUCT((日次管理!#REF!&lt;=$BE$12)*(日次管理!#REF!=$A$16)*(日次管理!#REF!="精査完了")*(日次管理!#REF!="実績")*(日次管理!#REF!=$A$11),日次管理!#REF!)</f>
        <v>#REF!</v>
      </c>
      <c r="BF16" s="95" t="e">
        <f>SUMPRODUCT((日次管理!#REF!&lt;=$BF$12)*(日次管理!#REF!=$A$16)*(日次管理!#REF!="精査完了")*(日次管理!#REF!="予定")*(日次管理!#REF!=$A$11),日次管理!#REF!)</f>
        <v>#REF!</v>
      </c>
      <c r="BG16" s="60" t="e">
        <f>SUMPRODUCT((日次管理!#REF!&lt;=$BG$12)*(日次管理!#REF!=$A$16)*(日次管理!#REF!="精査完了")*(日次管理!#REF!="実績")*(日次管理!#REF!=$A$11),日次管理!#REF!)</f>
        <v>#REF!</v>
      </c>
      <c r="BH16" s="95" t="e">
        <f>SUMPRODUCT((日次管理!#REF!&lt;=$BH$12)*(日次管理!#REF!=$A$16)*(日次管理!#REF!="精査完了")*(日次管理!#REF!="予定")*(日次管理!#REF!=$A$11),日次管理!#REF!)</f>
        <v>#REF!</v>
      </c>
      <c r="BI16" s="60" t="e">
        <f>SUMPRODUCT((日次管理!#REF!&lt;=$BI$12)*(日次管理!#REF!=$A$16)*(日次管理!#REF!="精査完了")*(日次管理!#REF!="実績")*(日次管理!#REF!=$A$11),日次管理!#REF!)</f>
        <v>#REF!</v>
      </c>
      <c r="BJ16" s="95" t="e">
        <f>SUMPRODUCT((日次管理!#REF!&lt;=$BJ$12)*(日次管理!#REF!=$A$16)*(日次管理!#REF!="精査完了")*(日次管理!#REF!="予定")*(日次管理!#REF!=$A$11),日次管理!#REF!)</f>
        <v>#REF!</v>
      </c>
      <c r="BK16" s="60" t="e">
        <f>SUMPRODUCT((日次管理!#REF!&lt;=$BK$12)*(日次管理!#REF!=$A$16)*(日次管理!#REF!="精査完了")*(日次管理!#REF!="実績")*(日次管理!#REF!=$A$11),日次管理!#REF!)</f>
        <v>#REF!</v>
      </c>
      <c r="BL16" s="95" t="e">
        <f>SUMPRODUCT((日次管理!#REF!&lt;=$BL$12)*(日次管理!#REF!=$A$16)*(日次管理!#REF!="精査完了")*(日次管理!#REF!="予定")*(日次管理!#REF!=$A$11),日次管理!#REF!)</f>
        <v>#REF!</v>
      </c>
      <c r="BM16" s="60" t="e">
        <f>SUMPRODUCT((日次管理!#REF!&lt;=$BM$12)*(日次管理!#REF!=$A$16)*(日次管理!#REF!="精査完了")*(日次管理!#REF!="実績")*(日次管理!#REF!=$A$11),日次管理!#REF!)</f>
        <v>#REF!</v>
      </c>
      <c r="BN16" s="95" t="e">
        <f>SUMPRODUCT((日次管理!#REF!&lt;=$BN$12)*(日次管理!#REF!=$A$16)*(日次管理!#REF!="精査完了")*(日次管理!#REF!="予定")*(日次管理!#REF!=$A$11),日次管理!#REF!)</f>
        <v>#REF!</v>
      </c>
      <c r="BO16" s="60" t="e">
        <f>SUMPRODUCT((日次管理!#REF!&lt;=$BO$12)*(日次管理!#REF!=$A$16)*(日次管理!#REF!="精査完了")*(日次管理!#REF!="実績")*(日次管理!#REF!=$A$11),日次管理!#REF!)</f>
        <v>#REF!</v>
      </c>
      <c r="BP16" s="95" t="e">
        <f>SUMPRODUCT((日次管理!#REF!&lt;=$BP$12)*(日次管理!#REF!=$A$16)*(日次管理!#REF!="精査完了")*(日次管理!#REF!="予定")*(日次管理!#REF!=$A$11),日次管理!#REF!)</f>
        <v>#REF!</v>
      </c>
      <c r="BQ16" s="60" t="e">
        <f>SUMPRODUCT((日次管理!#REF!&lt;=$BQ$12)*(日次管理!#REF!=$A$16)*(日次管理!#REF!="精査完了")*(日次管理!#REF!="実績")*(日次管理!#REF!=$A$11),日次管理!#REF!)</f>
        <v>#REF!</v>
      </c>
      <c r="BR16" s="95" t="e">
        <f>SUMPRODUCT((日次管理!#REF!&lt;=$BR$12)*(日次管理!#REF!=$A$16)*(日次管理!#REF!="精査完了")*(日次管理!#REF!="予定")*(日次管理!#REF!=$A$11),日次管理!#REF!)</f>
        <v>#REF!</v>
      </c>
      <c r="BS16" s="60" t="e">
        <f>SUMPRODUCT((日次管理!#REF!&lt;=$BS$12)*(日次管理!#REF!=$A$16)*(日次管理!#REF!="精査完了")*(日次管理!#REF!="実績")*(日次管理!#REF!=$A$11),日次管理!#REF!)</f>
        <v>#REF!</v>
      </c>
      <c r="BT16" s="95" t="e">
        <f>SUMPRODUCT((日次管理!#REF!&lt;=$BT$12)*(日次管理!#REF!=$A$16)*(日次管理!#REF!="精査完了")*(日次管理!#REF!="予定")*(日次管理!#REF!=$A$11),日次管理!#REF!)</f>
        <v>#REF!</v>
      </c>
      <c r="BU16" s="60" t="e">
        <f>SUMPRODUCT((日次管理!#REF!&lt;=$BU$12)*(日次管理!#REF!=$A$16)*(日次管理!#REF!="精査完了")*(日次管理!#REF!="実績")*(日次管理!#REF!=$A$11),日次管理!#REF!)</f>
        <v>#REF!</v>
      </c>
      <c r="BV16" s="95" t="e">
        <f>SUMPRODUCT((日次管理!#REF!&lt;=$BV$12)*(日次管理!#REF!=$A$16)*(日次管理!#REF!="精査完了")*(日次管理!#REF!="予定")*(日次管理!#REF!=$A$11),日次管理!#REF!)</f>
        <v>#REF!</v>
      </c>
      <c r="BW16" s="60" t="e">
        <f>SUMPRODUCT((日次管理!#REF!&lt;=$BW$12)*(日次管理!#REF!=$A$16)*(日次管理!#REF!="精査完了")*(日次管理!#REF!="実績")*(日次管理!#REF!=$A$11),日次管理!#REF!)</f>
        <v>#REF!</v>
      </c>
      <c r="BX16" s="95" t="e">
        <f>SUMPRODUCT((日次管理!#REF!&lt;=$BX$12)*(日次管理!#REF!=$A$16)*(日次管理!#REF!="精査完了")*(日次管理!#REF!="予定")*(日次管理!#REF!=$A$11),日次管理!#REF!)</f>
        <v>#REF!</v>
      </c>
      <c r="BY16" s="60" t="e">
        <f>SUMPRODUCT((日次管理!#REF!&lt;=$BY$12)*(日次管理!#REF!=$A$16)*(日次管理!#REF!="精査完了")*(日次管理!#REF!="実績")*(日次管理!#REF!=$A$11),日次管理!#REF!)</f>
        <v>#REF!</v>
      </c>
      <c r="BZ16" s="95" t="e">
        <f>SUMPRODUCT((日次管理!#REF!&lt;=$BZ$12)*(日次管理!#REF!=$A$16)*(日次管理!#REF!="精査完了")*(日次管理!#REF!="予定")*(日次管理!#REF!=$A$11),日次管理!#REF!)</f>
        <v>#REF!</v>
      </c>
      <c r="CA16" s="60" t="e">
        <f>SUMPRODUCT((日次管理!#REF!&lt;=$CA$12)*(日次管理!#REF!=$A$16)*(日次管理!#REF!="精査完了")*(日次管理!#REF!="実績")*(日次管理!#REF!=$A$11),日次管理!#REF!)</f>
        <v>#REF!</v>
      </c>
      <c r="CB16" s="95" t="e">
        <f>SUMPRODUCT((日次管理!#REF!&lt;=$CB$12)*(日次管理!#REF!=$A$16)*(日次管理!#REF!="精査完了")*(日次管理!#REF!="予定")*(日次管理!#REF!=$A$11),日次管理!#REF!)</f>
        <v>#REF!</v>
      </c>
      <c r="CC16" s="60" t="e">
        <f>SUMPRODUCT((日次管理!#REF!&lt;=$CC$12)*(日次管理!#REF!=$A$16)*(日次管理!#REF!="精査完了")*(日次管理!#REF!="実績")*(日次管理!#REF!=$A$11),日次管理!#REF!)</f>
        <v>#REF!</v>
      </c>
      <c r="CD16" s="95" t="e">
        <f>SUMPRODUCT((日次管理!#REF!&lt;=$CD$12)*(日次管理!#REF!=$A$16)*(日次管理!#REF!="精査完了")*(日次管理!#REF!="予定")*(日次管理!#REF!=$A$11),日次管理!#REF!)</f>
        <v>#REF!</v>
      </c>
      <c r="CE16" s="60" t="e">
        <f>SUMPRODUCT((日次管理!#REF!&lt;=$CE$12)*(日次管理!#REF!=$A$16)*(日次管理!#REF!="精査完了")*(日次管理!#REF!="実績")*(日次管理!#REF!=$A$11),日次管理!#REF!)</f>
        <v>#REF!</v>
      </c>
      <c r="CF16" s="95" t="e">
        <f>SUMPRODUCT((日次管理!#REF!&lt;=$CF$12)*(日次管理!#REF!=$A$16)*(日次管理!#REF!="精査完了")*(日次管理!#REF!="予定")*(日次管理!#REF!=$A$11),日次管理!#REF!)</f>
        <v>#REF!</v>
      </c>
      <c r="CG16" s="60" t="e">
        <f>SUMPRODUCT((日次管理!#REF!&lt;=$CG$12)*(日次管理!#REF!=$A$16)*(日次管理!#REF!="精査完了")*(日次管理!#REF!="実績")*(日次管理!#REF!=$A$11),日次管理!#REF!)</f>
        <v>#REF!</v>
      </c>
      <c r="CH16" s="95" t="e">
        <f>SUMPRODUCT((日次管理!#REF!&lt;=$CH$12)*(日次管理!#REF!=$A$16)*(日次管理!#REF!="精査完了")*(日次管理!#REF!="予定")*(日次管理!#REF!=$A$11),日次管理!#REF!)</f>
        <v>#REF!</v>
      </c>
      <c r="CI16" s="60" t="e">
        <f>SUMPRODUCT((日次管理!#REF!&lt;=$CI$12)*(日次管理!#REF!=$A$16)*(日次管理!#REF!="精査完了")*(日次管理!#REF!="実績")*(日次管理!#REF!=$A$11),日次管理!#REF!)</f>
        <v>#REF!</v>
      </c>
      <c r="CJ16" s="95" t="e">
        <f>SUMPRODUCT((日次管理!#REF!&lt;=$CJ$12)*(日次管理!#REF!=$A$16)*(日次管理!#REF!="精査完了")*(日次管理!#REF!="予定")*(日次管理!#REF!=$A$11),日次管理!#REF!)</f>
        <v>#REF!</v>
      </c>
      <c r="CK16" s="60" t="e">
        <f>SUMPRODUCT((日次管理!#REF!&lt;=$CK$12)*(日次管理!#REF!=$A$16)*(日次管理!#REF!="精査完了")*(日次管理!#REF!="実績")*(日次管理!#REF!=$A$11),日次管理!#REF!)</f>
        <v>#REF!</v>
      </c>
      <c r="CL16" s="95" t="e">
        <f>SUMPRODUCT((日次管理!#REF!&lt;=$CL$12)*(日次管理!#REF!=$A$16)*(日次管理!#REF!="精査完了")*(日次管理!#REF!="予定")*(日次管理!#REF!=$A$11),日次管理!#REF!)</f>
        <v>#REF!</v>
      </c>
      <c r="CM16" s="60" t="e">
        <f>SUMPRODUCT((日次管理!#REF!&lt;=$CM$12)*(日次管理!#REF!=$A$16)*(日次管理!#REF!="精査完了")*(日次管理!#REF!="実績")*(日次管理!#REF!=$A$11),日次管理!#REF!)</f>
        <v>#REF!</v>
      </c>
      <c r="CN16" s="95" t="e">
        <f>SUMPRODUCT((日次管理!#REF!&lt;=$CN$12)*(日次管理!#REF!=$A$16)*(日次管理!#REF!="精査完了")*(日次管理!#REF!="予定")*(日次管理!#REF!=$A$11),日次管理!#REF!)</f>
        <v>#REF!</v>
      </c>
      <c r="CO16" s="60" t="e">
        <f>SUMPRODUCT((日次管理!#REF!&lt;=$CO$12)*(日次管理!#REF!=$A$16)*(日次管理!#REF!="精査完了")*(日次管理!#REF!="実績")*(日次管理!#REF!=$A$11),日次管理!#REF!)</f>
        <v>#REF!</v>
      </c>
      <c r="CP16" s="95" t="e">
        <f>SUMPRODUCT((日次管理!#REF!&lt;=$CP$12)*(日次管理!#REF!=$A$16)*(日次管理!#REF!="精査完了")*(日次管理!#REF!="予定")*(日次管理!#REF!=$A$11),日次管理!#REF!)</f>
        <v>#REF!</v>
      </c>
      <c r="CQ16" s="60" t="e">
        <f>SUMPRODUCT((日次管理!#REF!&lt;=$CQ$12)*(日次管理!#REF!=$A$16)*(日次管理!#REF!="精査完了")*(日次管理!#REF!="実績")*(日次管理!#REF!=$A$11),日次管理!#REF!)</f>
        <v>#REF!</v>
      </c>
      <c r="CR16" s="95" t="e">
        <f>SUMPRODUCT((日次管理!#REF!&lt;=$CR$12)*(日次管理!#REF!=$A$16)*(日次管理!#REF!="精査完了")*(日次管理!#REF!="予定")*(日次管理!#REF!=$A$11),日次管理!#REF!)</f>
        <v>#REF!</v>
      </c>
      <c r="CS16" s="60" t="e">
        <f>SUMPRODUCT((日次管理!#REF!&lt;=$CS$12)*(日次管理!#REF!=$A$16)*(日次管理!#REF!="精査完了")*(日次管理!#REF!="実績")*(日次管理!#REF!=$A$11),日次管理!#REF!)</f>
        <v>#REF!</v>
      </c>
      <c r="CT16" s="95" t="e">
        <f>SUMPRODUCT((日次管理!#REF!&lt;=$CT$12)*(日次管理!#REF!=$A$16)*(日次管理!#REF!="精査完了")*(日次管理!#REF!="予定")*(日次管理!#REF!=$A$11),日次管理!#REF!)</f>
        <v>#REF!</v>
      </c>
      <c r="CU16" s="60" t="e">
        <f>SUMPRODUCT((日次管理!#REF!&lt;=$CU$12)*(日次管理!#REF!=$A$16)*(日次管理!#REF!="精査完了")*(日次管理!#REF!="実績")*(日次管理!#REF!=$A$11),日次管理!#REF!)</f>
        <v>#REF!</v>
      </c>
      <c r="CV16" s="96" t="e">
        <f ca="1">SUMPRODUCT(($A$12- WEEKDAY($A$12) + 6 =$B$12:$CU$12)*("実績"=$B$13:$CU$13),$B$16:$CU$16)/SUMPRODUCT(($A$12- WEEKDAY($A$12) + 6 =$B$12:$CU$12)*("予定"=$B$13:$CU$13),$B$16:$CU$16)</f>
        <v>#REF!</v>
      </c>
      <c r="CW16" s="97" t="e">
        <f>$CU$16/$CT$16</f>
        <v>#REF!</v>
      </c>
    </row>
    <row r="17" spans="1:101" ht="20.149999999999999" customHeight="1" thickBot="1">
      <c r="A17" s="111" t="s">
        <v>65</v>
      </c>
      <c r="B17" s="99" t="e">
        <f>SUM($B$14:$B$16)</f>
        <v>#REF!</v>
      </c>
      <c r="C17" s="100" t="e">
        <f>SUM($C$14:$C$16)</f>
        <v>#REF!</v>
      </c>
      <c r="D17" s="99" t="e">
        <f>SUM($D$14:$D$16)</f>
        <v>#REF!</v>
      </c>
      <c r="E17" s="100" t="e">
        <f>SUM($E$14:$E$16)</f>
        <v>#REF!</v>
      </c>
      <c r="F17" s="99" t="e">
        <f>SUM($F$14:$F$16)</f>
        <v>#REF!</v>
      </c>
      <c r="G17" s="100" t="e">
        <f>SUM($G$14:$G$16)</f>
        <v>#REF!</v>
      </c>
      <c r="H17" s="99" t="e">
        <f>SUM($H$14:$H$16)</f>
        <v>#REF!</v>
      </c>
      <c r="I17" s="100" t="e">
        <f>SUM($I$14:$I$16)</f>
        <v>#REF!</v>
      </c>
      <c r="J17" s="99" t="e">
        <f>SUM($J$14:$J$16)</f>
        <v>#REF!</v>
      </c>
      <c r="K17" s="100" t="e">
        <f>SUM($K$14:$K$16)</f>
        <v>#REF!</v>
      </c>
      <c r="L17" s="99" t="e">
        <f>SUM($L$14:$L$16)</f>
        <v>#REF!</v>
      </c>
      <c r="M17" s="100" t="e">
        <f>SUM($M$14:$M$16)</f>
        <v>#REF!</v>
      </c>
      <c r="N17" s="99" t="e">
        <f>SUM($N$14:$N$16)</f>
        <v>#REF!</v>
      </c>
      <c r="O17" s="100" t="e">
        <f>SUM($O$14:$O$16)</f>
        <v>#REF!</v>
      </c>
      <c r="P17" s="99" t="e">
        <f>SUM($P$14:$P$16)</f>
        <v>#REF!</v>
      </c>
      <c r="Q17" s="100" t="e">
        <f>SUM($Q$14:$Q$16)</f>
        <v>#REF!</v>
      </c>
      <c r="R17" s="99" t="e">
        <f>SUM($R$14:$R$16)</f>
        <v>#REF!</v>
      </c>
      <c r="S17" s="100" t="e">
        <f>SUM($S$14:$S$16)</f>
        <v>#REF!</v>
      </c>
      <c r="T17" s="99" t="e">
        <f>SUM($T$14:$T$16)</f>
        <v>#REF!</v>
      </c>
      <c r="U17" s="100" t="e">
        <f>SUM($U$14:$U$16)</f>
        <v>#REF!</v>
      </c>
      <c r="V17" s="99" t="e">
        <f>SUM($V$14:$V$16)</f>
        <v>#REF!</v>
      </c>
      <c r="W17" s="100" t="e">
        <f>SUM($W$14:$W$16)</f>
        <v>#REF!</v>
      </c>
      <c r="X17" s="99" t="e">
        <f>SUM($X$14:$X$16)</f>
        <v>#REF!</v>
      </c>
      <c r="Y17" s="100" t="e">
        <f>SUM($Y$14:$Y$16)</f>
        <v>#REF!</v>
      </c>
      <c r="Z17" s="99" t="e">
        <f>SUM($Z$14:$Z$16)</f>
        <v>#REF!</v>
      </c>
      <c r="AA17" s="100" t="e">
        <f>SUM($AA$14:$AA$16)</f>
        <v>#REF!</v>
      </c>
      <c r="AB17" s="99" t="e">
        <f>SUM($AB$14:$AB$16)</f>
        <v>#REF!</v>
      </c>
      <c r="AC17" s="100" t="e">
        <f>SUM($AC$14:$AC$16)</f>
        <v>#REF!</v>
      </c>
      <c r="AD17" s="99" t="e">
        <f>SUM($AD$14:$AD$16)</f>
        <v>#REF!</v>
      </c>
      <c r="AE17" s="100" t="e">
        <f>SUM($AE$14:$AE$16)</f>
        <v>#REF!</v>
      </c>
      <c r="AF17" s="99" t="e">
        <f>SUM($AF$14:$AF$16)</f>
        <v>#REF!</v>
      </c>
      <c r="AG17" s="100" t="e">
        <f>SUM($AG$14:$AG$16)</f>
        <v>#REF!</v>
      </c>
      <c r="AH17" s="99" t="e">
        <f>SUM($AH$14:$AH$16)</f>
        <v>#REF!</v>
      </c>
      <c r="AI17" s="100" t="e">
        <f>SUM($AI$14:$AI$16)</f>
        <v>#REF!</v>
      </c>
      <c r="AJ17" s="99" t="e">
        <f>SUM($AJ$14:$AJ$16)</f>
        <v>#REF!</v>
      </c>
      <c r="AK17" s="100" t="e">
        <f>SUM($AK$14:$AK$16)</f>
        <v>#REF!</v>
      </c>
      <c r="AL17" s="99" t="e">
        <f>SUM($AL$14:$AL$16)</f>
        <v>#REF!</v>
      </c>
      <c r="AM17" s="100" t="e">
        <f>SUM($AM$14:$AM$16)</f>
        <v>#REF!</v>
      </c>
      <c r="AN17" s="99" t="e">
        <f>SUM($AN$14:$AN$16)</f>
        <v>#REF!</v>
      </c>
      <c r="AO17" s="100" t="e">
        <f>SUM($AO$14:$AO$16)</f>
        <v>#REF!</v>
      </c>
      <c r="AP17" s="99" t="e">
        <f>SUM($AP$14:$AP$16)</f>
        <v>#REF!</v>
      </c>
      <c r="AQ17" s="100" t="e">
        <f>SUM($AQ$14:$AQ$16)</f>
        <v>#REF!</v>
      </c>
      <c r="AR17" s="99" t="e">
        <f>SUM($AR$14:$AR$16)</f>
        <v>#REF!</v>
      </c>
      <c r="AS17" s="100" t="e">
        <f>SUM($AS$14:$AS$16)</f>
        <v>#REF!</v>
      </c>
      <c r="AT17" s="99" t="e">
        <f>SUM($AT$14:$AT$16)</f>
        <v>#REF!</v>
      </c>
      <c r="AU17" s="100" t="e">
        <f>SUM($AU$14:$AU$16)</f>
        <v>#REF!</v>
      </c>
      <c r="AV17" s="99" t="e">
        <f>SUM($AV$14:$AV$16)</f>
        <v>#REF!</v>
      </c>
      <c r="AW17" s="100" t="e">
        <f>SUM($AW$14:$AW$16)</f>
        <v>#REF!</v>
      </c>
      <c r="AX17" s="99" t="e">
        <f>SUM($AX$14:$AX$16)</f>
        <v>#REF!</v>
      </c>
      <c r="AY17" s="100" t="e">
        <f>SUM($AY$14:$AY$16)</f>
        <v>#REF!</v>
      </c>
      <c r="AZ17" s="99" t="e">
        <f>SUM($AZ$14:$AZ$16)</f>
        <v>#REF!</v>
      </c>
      <c r="BA17" s="100" t="e">
        <f>SUM($BA$14:$BA$16)</f>
        <v>#REF!</v>
      </c>
      <c r="BB17" s="99" t="e">
        <f>SUM($BB$14:$BB$16)</f>
        <v>#REF!</v>
      </c>
      <c r="BC17" s="100" t="e">
        <f>SUM($BC$14:$BC$16)</f>
        <v>#REF!</v>
      </c>
      <c r="BD17" s="99" t="e">
        <f>SUM($BD$14:$BD$16)</f>
        <v>#REF!</v>
      </c>
      <c r="BE17" s="100" t="e">
        <f>SUM($BE$14:$BE$16)</f>
        <v>#REF!</v>
      </c>
      <c r="BF17" s="99" t="e">
        <f>SUM($BF$14:$BF$16)</f>
        <v>#REF!</v>
      </c>
      <c r="BG17" s="100" t="e">
        <f>SUM($BG$14:$BG$16)</f>
        <v>#REF!</v>
      </c>
      <c r="BH17" s="99" t="e">
        <f>SUM($BH$14:$BH$16)</f>
        <v>#REF!</v>
      </c>
      <c r="BI17" s="100" t="e">
        <f>SUM($BI$14:$BI$16)</f>
        <v>#REF!</v>
      </c>
      <c r="BJ17" s="99" t="e">
        <f>SUM($BJ$14:$BJ$16)</f>
        <v>#REF!</v>
      </c>
      <c r="BK17" s="100" t="e">
        <f>SUM($BK$14:$BK$16)</f>
        <v>#REF!</v>
      </c>
      <c r="BL17" s="99" t="e">
        <f>SUM($BL$14:$BL$16)</f>
        <v>#REF!</v>
      </c>
      <c r="BM17" s="100" t="e">
        <f>SUM($BM$14:$BM$16)</f>
        <v>#REF!</v>
      </c>
      <c r="BN17" s="99" t="e">
        <f>SUM($BN$14:$BN$16)</f>
        <v>#REF!</v>
      </c>
      <c r="BO17" s="100" t="e">
        <f>SUM($BO$14:$BO$16)</f>
        <v>#REF!</v>
      </c>
      <c r="BP17" s="99" t="e">
        <f>SUM($BP$14:$BP$16)</f>
        <v>#REF!</v>
      </c>
      <c r="BQ17" s="100" t="e">
        <f>SUM($BQ$14:$BQ$16)</f>
        <v>#REF!</v>
      </c>
      <c r="BR17" s="99" t="e">
        <f>SUM($BR$14:$BR$16)</f>
        <v>#REF!</v>
      </c>
      <c r="BS17" s="100" t="e">
        <f>SUM($BS$14:$BS$16)</f>
        <v>#REF!</v>
      </c>
      <c r="BT17" s="99" t="e">
        <f>SUM($BT$14:$BT$16)</f>
        <v>#REF!</v>
      </c>
      <c r="BU17" s="100" t="e">
        <f>SUM($BU$14:$BU$16)</f>
        <v>#REF!</v>
      </c>
      <c r="BV17" s="99" t="e">
        <f>SUM($BV$14:$BV$16)</f>
        <v>#REF!</v>
      </c>
      <c r="BW17" s="100" t="e">
        <f>SUM($BW$14:$BW$16)</f>
        <v>#REF!</v>
      </c>
      <c r="BX17" s="99" t="e">
        <f>SUM($BX$14:$BX$16)</f>
        <v>#REF!</v>
      </c>
      <c r="BY17" s="100" t="e">
        <f>SUM($BY$14:$BY$16)</f>
        <v>#REF!</v>
      </c>
      <c r="BZ17" s="99" t="e">
        <f>SUM($BZ$14:$BZ$16)</f>
        <v>#REF!</v>
      </c>
      <c r="CA17" s="100" t="e">
        <f>SUM($CA$14:$CA$16)</f>
        <v>#REF!</v>
      </c>
      <c r="CB17" s="99" t="e">
        <f>SUM($CB$14:$CB$16)</f>
        <v>#REF!</v>
      </c>
      <c r="CC17" s="100" t="e">
        <f>SUM($CC$14:$CC$16)</f>
        <v>#REF!</v>
      </c>
      <c r="CD17" s="99" t="e">
        <f>SUM($CD$14:$CD$16)</f>
        <v>#REF!</v>
      </c>
      <c r="CE17" s="100" t="e">
        <f>SUM($CE$14:$CE$16)</f>
        <v>#REF!</v>
      </c>
      <c r="CF17" s="99" t="e">
        <f>SUM($CF$14:$CF$16)</f>
        <v>#REF!</v>
      </c>
      <c r="CG17" s="100" t="e">
        <f>SUM($CG$14:$CG$16)</f>
        <v>#REF!</v>
      </c>
      <c r="CH17" s="99" t="e">
        <f>SUM($CH$14:$CH$16)</f>
        <v>#REF!</v>
      </c>
      <c r="CI17" s="100" t="e">
        <f>SUM($CI$14:$CI$16)</f>
        <v>#REF!</v>
      </c>
      <c r="CJ17" s="99" t="e">
        <f>SUM($CJ$14:$CJ$16)</f>
        <v>#REF!</v>
      </c>
      <c r="CK17" s="100" t="e">
        <f>SUM($CK$14:$CK$16)</f>
        <v>#REF!</v>
      </c>
      <c r="CL17" s="99" t="e">
        <f>SUM($CL$14:$CL$16)</f>
        <v>#REF!</v>
      </c>
      <c r="CM17" s="100" t="e">
        <f>SUM($CM$14:$CM$16)</f>
        <v>#REF!</v>
      </c>
      <c r="CN17" s="99" t="e">
        <f>SUM($CN$14:$CN$16)</f>
        <v>#REF!</v>
      </c>
      <c r="CO17" s="100" t="e">
        <f>SUM($CO$14:$CO$16)</f>
        <v>#REF!</v>
      </c>
      <c r="CP17" s="99" t="e">
        <f>SUM($CP$14:$CP$16)</f>
        <v>#REF!</v>
      </c>
      <c r="CQ17" s="100" t="e">
        <f>SUM($CQ$14:$CQ$16)</f>
        <v>#REF!</v>
      </c>
      <c r="CR17" s="99" t="e">
        <f>SUM($CR$14:$CR$16)</f>
        <v>#REF!</v>
      </c>
      <c r="CS17" s="100" t="e">
        <f>SUM($CS$14:$CS$16)</f>
        <v>#REF!</v>
      </c>
      <c r="CT17" s="99" t="e">
        <f>SUM($CT$14:$CT$16)</f>
        <v>#REF!</v>
      </c>
      <c r="CU17" s="100" t="e">
        <f>SUM($CU$14:$CU$16)</f>
        <v>#REF!</v>
      </c>
      <c r="CV17" s="101" t="e">
        <f ca="1">SUMPRODUCT(($A$12- WEEKDAY($A$12) + 6 =$B$12:$CU$12)*("実績"=$B$13:$CU$13),$B$17:$CU$17)/SUMPRODUCT(($A$12- WEEKDAY($A$12) + 6 =$B$12:$CU$12)*("予定"=$B$13:$CU$13),$B$17:$CU$17)</f>
        <v>#REF!</v>
      </c>
      <c r="CW17" s="102" t="e">
        <f>$CU$17/$CT$17</f>
        <v>#REF!</v>
      </c>
    </row>
    <row r="21" spans="1:101" ht="20.149999999999999" customHeight="1" thickBot="1">
      <c r="A21" s="79" t="s">
        <v>109</v>
      </c>
      <c r="B21" s="43" t="s">
        <v>62</v>
      </c>
    </row>
    <row r="22" spans="1:101" ht="40" customHeight="1">
      <c r="A22" s="80">
        <f ca="1">TODAY()</f>
        <v>43566</v>
      </c>
      <c r="B22" s="82">
        <v>43528</v>
      </c>
      <c r="C22" s="53">
        <v>43528</v>
      </c>
      <c r="D22" s="83">
        <v>43529</v>
      </c>
      <c r="E22" s="63">
        <v>43529</v>
      </c>
      <c r="F22" s="82">
        <v>43530</v>
      </c>
      <c r="G22" s="53">
        <v>43530</v>
      </c>
      <c r="H22" s="83">
        <v>43531</v>
      </c>
      <c r="I22" s="63">
        <v>43531</v>
      </c>
      <c r="J22" s="82">
        <v>43532</v>
      </c>
      <c r="K22" s="53">
        <v>43532</v>
      </c>
      <c r="L22" s="83">
        <v>43533</v>
      </c>
      <c r="M22" s="63">
        <v>43533</v>
      </c>
      <c r="N22" s="82">
        <v>43534</v>
      </c>
      <c r="O22" s="53">
        <v>43534</v>
      </c>
      <c r="P22" s="83">
        <v>43535</v>
      </c>
      <c r="Q22" s="63">
        <v>43535</v>
      </c>
      <c r="R22" s="82">
        <v>43536</v>
      </c>
      <c r="S22" s="53">
        <v>43536</v>
      </c>
      <c r="T22" s="83">
        <v>43537</v>
      </c>
      <c r="U22" s="63">
        <v>43537</v>
      </c>
      <c r="V22" s="82">
        <v>43538</v>
      </c>
      <c r="W22" s="53">
        <v>43538</v>
      </c>
      <c r="X22" s="83">
        <v>43539</v>
      </c>
      <c r="Y22" s="63">
        <v>43539</v>
      </c>
      <c r="Z22" s="82">
        <v>43540</v>
      </c>
      <c r="AA22" s="53">
        <v>43540</v>
      </c>
      <c r="AB22" s="83">
        <v>43541</v>
      </c>
      <c r="AC22" s="63">
        <v>43541</v>
      </c>
      <c r="AD22" s="82">
        <v>43542</v>
      </c>
      <c r="AE22" s="53">
        <v>43542</v>
      </c>
      <c r="AF22" s="83">
        <v>43543</v>
      </c>
      <c r="AG22" s="63">
        <v>43543</v>
      </c>
      <c r="AH22" s="82">
        <v>43544</v>
      </c>
      <c r="AI22" s="53">
        <v>43544</v>
      </c>
      <c r="AJ22" s="83">
        <v>43545</v>
      </c>
      <c r="AK22" s="63">
        <v>43545</v>
      </c>
      <c r="AL22" s="82">
        <v>43546</v>
      </c>
      <c r="AM22" s="53">
        <v>43546</v>
      </c>
      <c r="AN22" s="83">
        <v>43547</v>
      </c>
      <c r="AO22" s="63">
        <v>43547</v>
      </c>
      <c r="AP22" s="82">
        <v>43548</v>
      </c>
      <c r="AQ22" s="53">
        <v>43548</v>
      </c>
      <c r="AR22" s="83">
        <v>43549</v>
      </c>
      <c r="AS22" s="63">
        <v>43549</v>
      </c>
      <c r="AT22" s="82">
        <v>43550</v>
      </c>
      <c r="AU22" s="53">
        <v>43550</v>
      </c>
      <c r="AV22" s="83">
        <v>43551</v>
      </c>
      <c r="AW22" s="63">
        <v>43551</v>
      </c>
      <c r="AX22" s="82">
        <v>43552</v>
      </c>
      <c r="AY22" s="53">
        <v>43552</v>
      </c>
      <c r="AZ22" s="83">
        <v>43553</v>
      </c>
      <c r="BA22" s="63">
        <v>43553</v>
      </c>
      <c r="BB22" s="82">
        <v>43554</v>
      </c>
      <c r="BC22" s="53">
        <v>43554</v>
      </c>
      <c r="BD22" s="83">
        <v>43555</v>
      </c>
      <c r="BE22" s="63">
        <v>43555</v>
      </c>
      <c r="BF22" s="82">
        <v>43556</v>
      </c>
      <c r="BG22" s="53">
        <v>43556</v>
      </c>
      <c r="BH22" s="83">
        <v>43557</v>
      </c>
      <c r="BI22" s="63">
        <v>43557</v>
      </c>
      <c r="BJ22" s="82">
        <v>43558</v>
      </c>
      <c r="BK22" s="53">
        <v>43558</v>
      </c>
      <c r="BL22" s="83">
        <v>43559</v>
      </c>
      <c r="BM22" s="63">
        <v>43559</v>
      </c>
      <c r="BN22" s="82">
        <v>43560</v>
      </c>
      <c r="BO22" s="53">
        <v>43560</v>
      </c>
      <c r="BP22" s="83">
        <v>43561</v>
      </c>
      <c r="BQ22" s="63">
        <v>43561</v>
      </c>
      <c r="BR22" s="82">
        <v>43562</v>
      </c>
      <c r="BS22" s="53">
        <v>43562</v>
      </c>
      <c r="BT22" s="83">
        <v>43563</v>
      </c>
      <c r="BU22" s="63">
        <v>43563</v>
      </c>
      <c r="BV22" s="82">
        <v>43564</v>
      </c>
      <c r="BW22" s="53">
        <v>43564</v>
      </c>
      <c r="BX22" s="83">
        <v>43565</v>
      </c>
      <c r="BY22" s="63">
        <v>43565</v>
      </c>
      <c r="BZ22" s="82">
        <v>43566</v>
      </c>
      <c r="CA22" s="53">
        <v>43566</v>
      </c>
      <c r="CB22" s="83">
        <v>43567</v>
      </c>
      <c r="CC22" s="63">
        <v>43567</v>
      </c>
      <c r="CD22" s="82">
        <v>43568</v>
      </c>
      <c r="CE22" s="53">
        <v>43568</v>
      </c>
      <c r="CF22" s="83">
        <v>43569</v>
      </c>
      <c r="CG22" s="63">
        <v>43569</v>
      </c>
      <c r="CH22" s="82">
        <v>43570</v>
      </c>
      <c r="CI22" s="53">
        <v>43570</v>
      </c>
      <c r="CJ22" s="83">
        <v>43571</v>
      </c>
      <c r="CK22" s="63">
        <v>43571</v>
      </c>
      <c r="CL22" s="82">
        <v>43572</v>
      </c>
      <c r="CM22" s="53">
        <v>43572</v>
      </c>
      <c r="CN22" s="83">
        <v>43573</v>
      </c>
      <c r="CO22" s="63">
        <v>43573</v>
      </c>
      <c r="CP22" s="82">
        <v>43574</v>
      </c>
      <c r="CQ22" s="53">
        <v>43574</v>
      </c>
      <c r="CR22" s="83">
        <v>43575</v>
      </c>
      <c r="CS22" s="63">
        <v>43575</v>
      </c>
      <c r="CT22" s="82">
        <v>43576</v>
      </c>
      <c r="CU22" s="53">
        <v>43576</v>
      </c>
      <c r="CV22" s="141" t="s">
        <v>66</v>
      </c>
      <c r="CW22" s="142"/>
    </row>
    <row r="23" spans="1:101" ht="20.149999999999999" customHeight="1" thickBot="1">
      <c r="A23" s="103" t="s">
        <v>64</v>
      </c>
      <c r="B23" s="85" t="s">
        <v>60</v>
      </c>
      <c r="C23" s="86" t="s">
        <v>61</v>
      </c>
      <c r="D23" s="87" t="s">
        <v>60</v>
      </c>
      <c r="E23" s="88" t="s">
        <v>61</v>
      </c>
      <c r="F23" s="85" t="s">
        <v>60</v>
      </c>
      <c r="G23" s="86" t="s">
        <v>61</v>
      </c>
      <c r="H23" s="87" t="s">
        <v>60</v>
      </c>
      <c r="I23" s="88" t="s">
        <v>61</v>
      </c>
      <c r="J23" s="85" t="s">
        <v>60</v>
      </c>
      <c r="K23" s="86" t="s">
        <v>61</v>
      </c>
      <c r="L23" s="87" t="s">
        <v>60</v>
      </c>
      <c r="M23" s="88" t="s">
        <v>61</v>
      </c>
      <c r="N23" s="85" t="s">
        <v>60</v>
      </c>
      <c r="O23" s="86" t="s">
        <v>61</v>
      </c>
      <c r="P23" s="87" t="s">
        <v>60</v>
      </c>
      <c r="Q23" s="88" t="s">
        <v>61</v>
      </c>
      <c r="R23" s="85" t="s">
        <v>60</v>
      </c>
      <c r="S23" s="86" t="s">
        <v>61</v>
      </c>
      <c r="T23" s="87" t="s">
        <v>60</v>
      </c>
      <c r="U23" s="88" t="s">
        <v>61</v>
      </c>
      <c r="V23" s="85" t="s">
        <v>60</v>
      </c>
      <c r="W23" s="86" t="s">
        <v>61</v>
      </c>
      <c r="X23" s="87" t="s">
        <v>60</v>
      </c>
      <c r="Y23" s="88" t="s">
        <v>61</v>
      </c>
      <c r="Z23" s="85" t="s">
        <v>60</v>
      </c>
      <c r="AA23" s="86" t="s">
        <v>61</v>
      </c>
      <c r="AB23" s="87" t="s">
        <v>60</v>
      </c>
      <c r="AC23" s="88" t="s">
        <v>61</v>
      </c>
      <c r="AD23" s="85" t="s">
        <v>60</v>
      </c>
      <c r="AE23" s="86" t="s">
        <v>61</v>
      </c>
      <c r="AF23" s="87" t="s">
        <v>60</v>
      </c>
      <c r="AG23" s="88" t="s">
        <v>61</v>
      </c>
      <c r="AH23" s="85" t="s">
        <v>60</v>
      </c>
      <c r="AI23" s="86" t="s">
        <v>61</v>
      </c>
      <c r="AJ23" s="87" t="s">
        <v>60</v>
      </c>
      <c r="AK23" s="88" t="s">
        <v>61</v>
      </c>
      <c r="AL23" s="85" t="s">
        <v>60</v>
      </c>
      <c r="AM23" s="86" t="s">
        <v>61</v>
      </c>
      <c r="AN23" s="87" t="s">
        <v>60</v>
      </c>
      <c r="AO23" s="88" t="s">
        <v>61</v>
      </c>
      <c r="AP23" s="85" t="s">
        <v>60</v>
      </c>
      <c r="AQ23" s="86" t="s">
        <v>61</v>
      </c>
      <c r="AR23" s="87" t="s">
        <v>60</v>
      </c>
      <c r="AS23" s="88" t="s">
        <v>61</v>
      </c>
      <c r="AT23" s="85" t="s">
        <v>60</v>
      </c>
      <c r="AU23" s="86" t="s">
        <v>61</v>
      </c>
      <c r="AV23" s="87" t="s">
        <v>60</v>
      </c>
      <c r="AW23" s="88" t="s">
        <v>61</v>
      </c>
      <c r="AX23" s="85" t="s">
        <v>60</v>
      </c>
      <c r="AY23" s="86" t="s">
        <v>61</v>
      </c>
      <c r="AZ23" s="87" t="s">
        <v>60</v>
      </c>
      <c r="BA23" s="88" t="s">
        <v>61</v>
      </c>
      <c r="BB23" s="85" t="s">
        <v>60</v>
      </c>
      <c r="BC23" s="86" t="s">
        <v>61</v>
      </c>
      <c r="BD23" s="87" t="s">
        <v>60</v>
      </c>
      <c r="BE23" s="88" t="s">
        <v>61</v>
      </c>
      <c r="BF23" s="85" t="s">
        <v>60</v>
      </c>
      <c r="BG23" s="86" t="s">
        <v>61</v>
      </c>
      <c r="BH23" s="87" t="s">
        <v>60</v>
      </c>
      <c r="BI23" s="88" t="s">
        <v>61</v>
      </c>
      <c r="BJ23" s="85" t="s">
        <v>60</v>
      </c>
      <c r="BK23" s="86" t="s">
        <v>61</v>
      </c>
      <c r="BL23" s="87" t="s">
        <v>60</v>
      </c>
      <c r="BM23" s="88" t="s">
        <v>61</v>
      </c>
      <c r="BN23" s="85" t="s">
        <v>60</v>
      </c>
      <c r="BO23" s="86" t="s">
        <v>61</v>
      </c>
      <c r="BP23" s="87" t="s">
        <v>60</v>
      </c>
      <c r="BQ23" s="88" t="s">
        <v>61</v>
      </c>
      <c r="BR23" s="85" t="s">
        <v>60</v>
      </c>
      <c r="BS23" s="86" t="s">
        <v>61</v>
      </c>
      <c r="BT23" s="87" t="s">
        <v>60</v>
      </c>
      <c r="BU23" s="88" t="s">
        <v>61</v>
      </c>
      <c r="BV23" s="85" t="s">
        <v>60</v>
      </c>
      <c r="BW23" s="86" t="s">
        <v>61</v>
      </c>
      <c r="BX23" s="87" t="s">
        <v>60</v>
      </c>
      <c r="BY23" s="88" t="s">
        <v>61</v>
      </c>
      <c r="BZ23" s="85" t="s">
        <v>60</v>
      </c>
      <c r="CA23" s="86" t="s">
        <v>61</v>
      </c>
      <c r="CB23" s="87" t="s">
        <v>60</v>
      </c>
      <c r="CC23" s="88" t="s">
        <v>61</v>
      </c>
      <c r="CD23" s="85" t="s">
        <v>60</v>
      </c>
      <c r="CE23" s="86" t="s">
        <v>61</v>
      </c>
      <c r="CF23" s="87" t="s">
        <v>60</v>
      </c>
      <c r="CG23" s="88" t="s">
        <v>61</v>
      </c>
      <c r="CH23" s="85" t="s">
        <v>60</v>
      </c>
      <c r="CI23" s="86" t="s">
        <v>61</v>
      </c>
      <c r="CJ23" s="87" t="s">
        <v>60</v>
      </c>
      <c r="CK23" s="88" t="s">
        <v>61</v>
      </c>
      <c r="CL23" s="85" t="s">
        <v>60</v>
      </c>
      <c r="CM23" s="86" t="s">
        <v>61</v>
      </c>
      <c r="CN23" s="87" t="s">
        <v>60</v>
      </c>
      <c r="CO23" s="88" t="s">
        <v>61</v>
      </c>
      <c r="CP23" s="85" t="s">
        <v>60</v>
      </c>
      <c r="CQ23" s="86" t="s">
        <v>61</v>
      </c>
      <c r="CR23" s="87" t="s">
        <v>60</v>
      </c>
      <c r="CS23" s="88" t="s">
        <v>61</v>
      </c>
      <c r="CT23" s="85" t="s">
        <v>60</v>
      </c>
      <c r="CU23" s="86" t="s">
        <v>61</v>
      </c>
      <c r="CV23" s="87" t="s">
        <v>67</v>
      </c>
      <c r="CW23" s="89" t="s">
        <v>68</v>
      </c>
    </row>
    <row r="24" spans="1:101" ht="20.149999999999999" customHeight="1">
      <c r="A24" s="81" t="s">
        <v>84</v>
      </c>
      <c r="B24" s="55" t="e">
        <f>SUMPRODUCT((日次管理!#REF!&lt;=$B$22)*(日次管理!#REF!=$A$24)*(日次管理!#REF!="実施完了")*(日次管理!#REF!="予定")*(日次管理!#REF!=$A$21),日次管理!#REF!)</f>
        <v>#REF!</v>
      </c>
      <c r="C24" s="56" t="e">
        <f>SUMPRODUCT((日次管理!#REF!&lt;=$C$22)*(日次管理!#REF!=$A$24)*(日次管理!#REF!="実施完了")*(日次管理!#REF!="実績")*(日次管理!#REF!=$A$21),日次管理!#REF!)</f>
        <v>#REF!</v>
      </c>
      <c r="D24" s="55" t="e">
        <f>SUMPRODUCT((日次管理!#REF!&lt;=$D$22)*(日次管理!#REF!=$A$24)*(日次管理!#REF!="実施完了")*(日次管理!#REF!="予定")*(日次管理!#REF!=$A$21),日次管理!#REF!)</f>
        <v>#REF!</v>
      </c>
      <c r="E24" s="56" t="e">
        <f>SUMPRODUCT((日次管理!#REF!&lt;=$E$22)*(日次管理!#REF!=$A$24)*(日次管理!#REF!="実施完了")*(日次管理!#REF!="実績")*(日次管理!#REF!=$A$21),日次管理!#REF!)</f>
        <v>#REF!</v>
      </c>
      <c r="F24" s="55" t="e">
        <f>SUMPRODUCT((日次管理!#REF!&lt;=$F$22)*(日次管理!#REF!=$A$24)*(日次管理!#REF!="実施完了")*(日次管理!#REF!="予定")*(日次管理!#REF!=$A$21),日次管理!#REF!)</f>
        <v>#REF!</v>
      </c>
      <c r="G24" s="56" t="e">
        <f>SUMPRODUCT((日次管理!#REF!&lt;=$G$22)*(日次管理!#REF!=$A$24)*(日次管理!#REF!="実施完了")*(日次管理!#REF!="実績")*(日次管理!#REF!=$A$21),日次管理!#REF!)</f>
        <v>#REF!</v>
      </c>
      <c r="H24" s="55" t="e">
        <f>SUMPRODUCT((日次管理!#REF!&lt;=$H$22)*(日次管理!#REF!=$A$24)*(日次管理!#REF!="実施完了")*(日次管理!#REF!="予定")*(日次管理!#REF!=$A$21),日次管理!#REF!)</f>
        <v>#REF!</v>
      </c>
      <c r="I24" s="56" t="e">
        <f>SUMPRODUCT((日次管理!#REF!&lt;=$I$22)*(日次管理!#REF!=$A$24)*(日次管理!#REF!="実施完了")*(日次管理!#REF!="実績")*(日次管理!#REF!=$A$21),日次管理!#REF!)</f>
        <v>#REF!</v>
      </c>
      <c r="J24" s="55" t="e">
        <f>SUMPRODUCT((日次管理!#REF!&lt;=$J$22)*(日次管理!#REF!=$A$24)*(日次管理!#REF!="実施完了")*(日次管理!#REF!="予定")*(日次管理!#REF!=$A$21),日次管理!#REF!)</f>
        <v>#REF!</v>
      </c>
      <c r="K24" s="56" t="e">
        <f>SUMPRODUCT((日次管理!#REF!&lt;=$K$22)*(日次管理!#REF!=$A$24)*(日次管理!#REF!="実施完了")*(日次管理!#REF!="実績")*(日次管理!#REF!=$A$21),日次管理!#REF!)</f>
        <v>#REF!</v>
      </c>
      <c r="L24" s="55" t="e">
        <f>SUMPRODUCT((日次管理!#REF!&lt;=$L$22)*(日次管理!#REF!=$A$24)*(日次管理!#REF!="実施完了")*(日次管理!#REF!="予定")*(日次管理!#REF!=$A$21),日次管理!#REF!)</f>
        <v>#REF!</v>
      </c>
      <c r="M24" s="56" t="e">
        <f>SUMPRODUCT((日次管理!#REF!&lt;=$M$22)*(日次管理!#REF!=$A$24)*(日次管理!#REF!="実施完了")*(日次管理!#REF!="実績")*(日次管理!#REF!=$A$21),日次管理!#REF!)</f>
        <v>#REF!</v>
      </c>
      <c r="N24" s="55" t="e">
        <f>SUMPRODUCT((日次管理!#REF!&lt;=$N$22)*(日次管理!#REF!=$A$24)*(日次管理!#REF!="実施完了")*(日次管理!#REF!="予定")*(日次管理!#REF!=$A$21),日次管理!#REF!)</f>
        <v>#REF!</v>
      </c>
      <c r="O24" s="56" t="e">
        <f>SUMPRODUCT((日次管理!#REF!&lt;=$O$22)*(日次管理!#REF!=$A$24)*(日次管理!#REF!="実施完了")*(日次管理!#REF!="実績")*(日次管理!#REF!=$A$21),日次管理!#REF!)</f>
        <v>#REF!</v>
      </c>
      <c r="P24" s="55" t="e">
        <f>SUMPRODUCT((日次管理!#REF!&lt;=$P$22)*(日次管理!#REF!=$A$24)*(日次管理!#REF!="実施完了")*(日次管理!#REF!="予定")*(日次管理!#REF!=$A$21),日次管理!#REF!)</f>
        <v>#REF!</v>
      </c>
      <c r="Q24" s="56" t="e">
        <f>SUMPRODUCT((日次管理!#REF!&lt;=$Q$22)*(日次管理!#REF!=$A$24)*(日次管理!#REF!="実施完了")*(日次管理!#REF!="実績")*(日次管理!#REF!=$A$21),日次管理!#REF!)</f>
        <v>#REF!</v>
      </c>
      <c r="R24" s="55" t="e">
        <f>SUMPRODUCT((日次管理!#REF!&lt;=$R$22)*(日次管理!#REF!=$A$24)*(日次管理!#REF!="実施完了")*(日次管理!#REF!="予定")*(日次管理!#REF!=$A$21),日次管理!#REF!)</f>
        <v>#REF!</v>
      </c>
      <c r="S24" s="56" t="e">
        <f>SUMPRODUCT((日次管理!#REF!&lt;=$S$22)*(日次管理!#REF!=$A$24)*(日次管理!#REF!="実施完了")*(日次管理!#REF!="実績")*(日次管理!#REF!=$A$21),日次管理!#REF!)</f>
        <v>#REF!</v>
      </c>
      <c r="T24" s="55" t="e">
        <f>SUMPRODUCT((日次管理!#REF!&lt;=$T$22)*(日次管理!#REF!=$A$24)*(日次管理!#REF!="実施完了")*(日次管理!#REF!="予定")*(日次管理!#REF!=$A$21),日次管理!#REF!)</f>
        <v>#REF!</v>
      </c>
      <c r="U24" s="56" t="e">
        <f>SUMPRODUCT((日次管理!#REF!&lt;=$U$22)*(日次管理!#REF!=$A$24)*(日次管理!#REF!="実施完了")*(日次管理!#REF!="実績")*(日次管理!#REF!=$A$21),日次管理!#REF!)</f>
        <v>#REF!</v>
      </c>
      <c r="V24" s="55" t="e">
        <f>SUMPRODUCT((日次管理!#REF!&lt;=$V$22)*(日次管理!#REF!=$A$24)*(日次管理!#REF!="実施完了")*(日次管理!#REF!="予定")*(日次管理!#REF!=$A$21),日次管理!#REF!)</f>
        <v>#REF!</v>
      </c>
      <c r="W24" s="56" t="e">
        <f>SUMPRODUCT((日次管理!#REF!&lt;=$W$22)*(日次管理!#REF!=$A$24)*(日次管理!#REF!="実施完了")*(日次管理!#REF!="実績")*(日次管理!#REF!=$A$21),日次管理!#REF!)</f>
        <v>#REF!</v>
      </c>
      <c r="X24" s="55" t="e">
        <f>SUMPRODUCT((日次管理!#REF!&lt;=$X$22)*(日次管理!#REF!=$A$24)*(日次管理!#REF!="実施完了")*(日次管理!#REF!="予定")*(日次管理!#REF!=$A$21),日次管理!#REF!)</f>
        <v>#REF!</v>
      </c>
      <c r="Y24" s="56" t="e">
        <f>SUMPRODUCT((日次管理!#REF!&lt;=$Y$22)*(日次管理!#REF!=$A$24)*(日次管理!#REF!="実施完了")*(日次管理!#REF!="実績")*(日次管理!#REF!=$A$21),日次管理!#REF!)</f>
        <v>#REF!</v>
      </c>
      <c r="Z24" s="55" t="e">
        <f>SUMPRODUCT((日次管理!#REF!&lt;=$Z$22)*(日次管理!#REF!=$A$24)*(日次管理!#REF!="実施完了")*(日次管理!#REF!="予定")*(日次管理!#REF!=$A$21),日次管理!#REF!)</f>
        <v>#REF!</v>
      </c>
      <c r="AA24" s="56" t="e">
        <f>SUMPRODUCT((日次管理!#REF!&lt;=$AA$22)*(日次管理!#REF!=$A$24)*(日次管理!#REF!="実施完了")*(日次管理!#REF!="実績")*(日次管理!#REF!=$A$21),日次管理!#REF!)</f>
        <v>#REF!</v>
      </c>
      <c r="AB24" s="55" t="e">
        <f>SUMPRODUCT((日次管理!#REF!&lt;=$AB$22)*(日次管理!#REF!=$A$24)*(日次管理!#REF!="実施完了")*(日次管理!#REF!="予定")*(日次管理!#REF!=$A$21),日次管理!#REF!)</f>
        <v>#REF!</v>
      </c>
      <c r="AC24" s="56" t="e">
        <f>SUMPRODUCT((日次管理!#REF!&lt;=$AC$22)*(日次管理!#REF!=$A$24)*(日次管理!#REF!="実施完了")*(日次管理!#REF!="実績")*(日次管理!#REF!=$A$21),日次管理!#REF!)</f>
        <v>#REF!</v>
      </c>
      <c r="AD24" s="55" t="e">
        <f>SUMPRODUCT((日次管理!#REF!&lt;=$AD$22)*(日次管理!#REF!=$A$24)*(日次管理!#REF!="実施完了")*(日次管理!#REF!="予定")*(日次管理!#REF!=$A$21),日次管理!#REF!)</f>
        <v>#REF!</v>
      </c>
      <c r="AE24" s="56" t="e">
        <f>SUMPRODUCT((日次管理!#REF!&lt;=$AE$22)*(日次管理!#REF!=$A$24)*(日次管理!#REF!="実施完了")*(日次管理!#REF!="実績")*(日次管理!#REF!=$A$21),日次管理!#REF!)</f>
        <v>#REF!</v>
      </c>
      <c r="AF24" s="55" t="e">
        <f>SUMPRODUCT((日次管理!#REF!&lt;=$AF$22)*(日次管理!#REF!=$A$24)*(日次管理!#REF!="実施完了")*(日次管理!#REF!="予定")*(日次管理!#REF!=$A$21),日次管理!#REF!)</f>
        <v>#REF!</v>
      </c>
      <c r="AG24" s="56" t="e">
        <f>SUMPRODUCT((日次管理!#REF!&lt;=$AG$22)*(日次管理!#REF!=$A$24)*(日次管理!#REF!="実施完了")*(日次管理!#REF!="実績")*(日次管理!#REF!=$A$21),日次管理!#REF!)</f>
        <v>#REF!</v>
      </c>
      <c r="AH24" s="55" t="e">
        <f>SUMPRODUCT((日次管理!#REF!&lt;=$AH$22)*(日次管理!#REF!=$A$24)*(日次管理!#REF!="実施完了")*(日次管理!#REF!="予定")*(日次管理!#REF!=$A$21),日次管理!#REF!)</f>
        <v>#REF!</v>
      </c>
      <c r="AI24" s="56" t="e">
        <f>SUMPRODUCT((日次管理!#REF!&lt;=$AI$22)*(日次管理!#REF!=$A$24)*(日次管理!#REF!="実施完了")*(日次管理!#REF!="実績")*(日次管理!#REF!=$A$21),日次管理!#REF!)</f>
        <v>#REF!</v>
      </c>
      <c r="AJ24" s="55" t="e">
        <f>SUMPRODUCT((日次管理!#REF!&lt;=$AJ$22)*(日次管理!#REF!=$A$24)*(日次管理!#REF!="実施完了")*(日次管理!#REF!="予定")*(日次管理!#REF!=$A$21),日次管理!#REF!)</f>
        <v>#REF!</v>
      </c>
      <c r="AK24" s="56" t="e">
        <f>SUMPRODUCT((日次管理!#REF!&lt;=$AK$22)*(日次管理!#REF!=$A$24)*(日次管理!#REF!="実施完了")*(日次管理!#REF!="実績")*(日次管理!#REF!=$A$21),日次管理!#REF!)</f>
        <v>#REF!</v>
      </c>
      <c r="AL24" s="55" t="e">
        <f>SUMPRODUCT((日次管理!#REF!&lt;=$AL$22)*(日次管理!#REF!=$A$24)*(日次管理!#REF!="実施完了")*(日次管理!#REF!="予定")*(日次管理!#REF!=$A$21),日次管理!#REF!)</f>
        <v>#REF!</v>
      </c>
      <c r="AM24" s="56" t="e">
        <f>SUMPRODUCT((日次管理!#REF!&lt;=$AM$22)*(日次管理!#REF!=$A$24)*(日次管理!#REF!="実施完了")*(日次管理!#REF!="実績")*(日次管理!#REF!=$A$21),日次管理!#REF!)</f>
        <v>#REF!</v>
      </c>
      <c r="AN24" s="55" t="e">
        <f>SUMPRODUCT((日次管理!#REF!&lt;=$AN$22)*(日次管理!#REF!=$A$24)*(日次管理!#REF!="実施完了")*(日次管理!#REF!="予定")*(日次管理!#REF!=$A$21),日次管理!#REF!)</f>
        <v>#REF!</v>
      </c>
      <c r="AO24" s="56" t="e">
        <f>SUMPRODUCT((日次管理!#REF!&lt;=$AO$22)*(日次管理!#REF!=$A$24)*(日次管理!#REF!="実施完了")*(日次管理!#REF!="実績")*(日次管理!#REF!=$A$21),日次管理!#REF!)</f>
        <v>#REF!</v>
      </c>
      <c r="AP24" s="55" t="e">
        <f>SUMPRODUCT((日次管理!#REF!&lt;=$AP$22)*(日次管理!#REF!=$A$24)*(日次管理!#REF!="実施完了")*(日次管理!#REF!="予定")*(日次管理!#REF!=$A$21),日次管理!#REF!)</f>
        <v>#REF!</v>
      </c>
      <c r="AQ24" s="56" t="e">
        <f>SUMPRODUCT((日次管理!#REF!&lt;=$AQ$22)*(日次管理!#REF!=$A$24)*(日次管理!#REF!="実施完了")*(日次管理!#REF!="実績")*(日次管理!#REF!=$A$21),日次管理!#REF!)</f>
        <v>#REF!</v>
      </c>
      <c r="AR24" s="55" t="e">
        <f>SUMPRODUCT((日次管理!#REF!&lt;=$AR$22)*(日次管理!#REF!=$A$24)*(日次管理!#REF!="実施完了")*(日次管理!#REF!="予定")*(日次管理!#REF!=$A$21),日次管理!#REF!)</f>
        <v>#REF!</v>
      </c>
      <c r="AS24" s="56" t="e">
        <f>SUMPRODUCT((日次管理!#REF!&lt;=$AS$22)*(日次管理!#REF!=$A$24)*(日次管理!#REF!="実施完了")*(日次管理!#REF!="実績")*(日次管理!#REF!=$A$21),日次管理!#REF!)</f>
        <v>#REF!</v>
      </c>
      <c r="AT24" s="55" t="e">
        <f>SUMPRODUCT((日次管理!#REF!&lt;=$AT$22)*(日次管理!#REF!=$A$24)*(日次管理!#REF!="実施完了")*(日次管理!#REF!="予定")*(日次管理!#REF!=$A$21),日次管理!#REF!)</f>
        <v>#REF!</v>
      </c>
      <c r="AU24" s="56" t="e">
        <f>SUMPRODUCT((日次管理!#REF!&lt;=$AU$22)*(日次管理!#REF!=$A$24)*(日次管理!#REF!="実施完了")*(日次管理!#REF!="実績")*(日次管理!#REF!=$A$21),日次管理!#REF!)</f>
        <v>#REF!</v>
      </c>
      <c r="AV24" s="55" t="e">
        <f>SUMPRODUCT((日次管理!#REF!&lt;=$AV$22)*(日次管理!#REF!=$A$24)*(日次管理!#REF!="実施完了")*(日次管理!#REF!="予定")*(日次管理!#REF!=$A$21),日次管理!#REF!)</f>
        <v>#REF!</v>
      </c>
      <c r="AW24" s="56" t="e">
        <f>SUMPRODUCT((日次管理!#REF!&lt;=$AW$22)*(日次管理!#REF!=$A$24)*(日次管理!#REF!="実施完了")*(日次管理!#REF!="実績")*(日次管理!#REF!=$A$21),日次管理!#REF!)</f>
        <v>#REF!</v>
      </c>
      <c r="AX24" s="55" t="e">
        <f>SUMPRODUCT((日次管理!#REF!&lt;=$AX$22)*(日次管理!#REF!=$A$24)*(日次管理!#REF!="実施完了")*(日次管理!#REF!="予定")*(日次管理!#REF!=$A$21),日次管理!#REF!)</f>
        <v>#REF!</v>
      </c>
      <c r="AY24" s="56" t="e">
        <f>SUMPRODUCT((日次管理!#REF!&lt;=$AY$22)*(日次管理!#REF!=$A$24)*(日次管理!#REF!="実施完了")*(日次管理!#REF!="実績")*(日次管理!#REF!=$A$21),日次管理!#REF!)</f>
        <v>#REF!</v>
      </c>
      <c r="AZ24" s="55" t="e">
        <f>SUMPRODUCT((日次管理!#REF!&lt;=$AZ$22)*(日次管理!#REF!=$A$24)*(日次管理!#REF!="実施完了")*(日次管理!#REF!="予定")*(日次管理!#REF!=$A$21),日次管理!#REF!)</f>
        <v>#REF!</v>
      </c>
      <c r="BA24" s="56" t="e">
        <f>SUMPRODUCT((日次管理!#REF!&lt;=$BA$22)*(日次管理!#REF!=$A$24)*(日次管理!#REF!="実施完了")*(日次管理!#REF!="実績")*(日次管理!#REF!=$A$21),日次管理!#REF!)</f>
        <v>#REF!</v>
      </c>
      <c r="BB24" s="55" t="e">
        <f>SUMPRODUCT((日次管理!#REF!&lt;=$BB$22)*(日次管理!#REF!=$A$24)*(日次管理!#REF!="実施完了")*(日次管理!#REF!="予定")*(日次管理!#REF!=$A$21),日次管理!#REF!)</f>
        <v>#REF!</v>
      </c>
      <c r="BC24" s="56" t="e">
        <f>SUMPRODUCT((日次管理!#REF!&lt;=$BC$22)*(日次管理!#REF!=$A$24)*(日次管理!#REF!="実施完了")*(日次管理!#REF!="実績")*(日次管理!#REF!=$A$21),日次管理!#REF!)</f>
        <v>#REF!</v>
      </c>
      <c r="BD24" s="55" t="e">
        <f>SUMPRODUCT((日次管理!#REF!&lt;=$BD$22)*(日次管理!#REF!=$A$24)*(日次管理!#REF!="実施完了")*(日次管理!#REF!="予定")*(日次管理!#REF!=$A$21),日次管理!#REF!)</f>
        <v>#REF!</v>
      </c>
      <c r="BE24" s="56" t="e">
        <f>SUMPRODUCT((日次管理!#REF!&lt;=$BE$22)*(日次管理!#REF!=$A$24)*(日次管理!#REF!="実施完了")*(日次管理!#REF!="実績")*(日次管理!#REF!=$A$21),日次管理!#REF!)</f>
        <v>#REF!</v>
      </c>
      <c r="BF24" s="55" t="e">
        <f>SUMPRODUCT((日次管理!#REF!&lt;=$BF$22)*(日次管理!#REF!=$A$24)*(日次管理!#REF!="実施完了")*(日次管理!#REF!="予定")*(日次管理!#REF!=$A$21),日次管理!#REF!)</f>
        <v>#REF!</v>
      </c>
      <c r="BG24" s="56" t="e">
        <f>SUMPRODUCT((日次管理!#REF!&lt;=$BG$22)*(日次管理!#REF!=$A$24)*(日次管理!#REF!="実施完了")*(日次管理!#REF!="実績")*(日次管理!#REF!=$A$21),日次管理!#REF!)</f>
        <v>#REF!</v>
      </c>
      <c r="BH24" s="55" t="e">
        <f>SUMPRODUCT((日次管理!#REF!&lt;=$BH$22)*(日次管理!#REF!=$A$24)*(日次管理!#REF!="実施完了")*(日次管理!#REF!="予定")*(日次管理!#REF!=$A$21),日次管理!#REF!)</f>
        <v>#REF!</v>
      </c>
      <c r="BI24" s="56" t="e">
        <f>SUMPRODUCT((日次管理!#REF!&lt;=$BI$22)*(日次管理!#REF!=$A$24)*(日次管理!#REF!="実施完了")*(日次管理!#REF!="実績")*(日次管理!#REF!=$A$21),日次管理!#REF!)</f>
        <v>#REF!</v>
      </c>
      <c r="BJ24" s="55" t="e">
        <f>SUMPRODUCT((日次管理!#REF!&lt;=$BJ$22)*(日次管理!#REF!=$A$24)*(日次管理!#REF!="実施完了")*(日次管理!#REF!="予定")*(日次管理!#REF!=$A$21),日次管理!#REF!)</f>
        <v>#REF!</v>
      </c>
      <c r="BK24" s="56" t="e">
        <f>SUMPRODUCT((日次管理!#REF!&lt;=$BK$22)*(日次管理!#REF!=$A$24)*(日次管理!#REF!="実施完了")*(日次管理!#REF!="実績")*(日次管理!#REF!=$A$21),日次管理!#REF!)</f>
        <v>#REF!</v>
      </c>
      <c r="BL24" s="55" t="e">
        <f>SUMPRODUCT((日次管理!#REF!&lt;=$BL$22)*(日次管理!#REF!=$A$24)*(日次管理!#REF!="実施完了")*(日次管理!#REF!="予定")*(日次管理!#REF!=$A$21),日次管理!#REF!)</f>
        <v>#REF!</v>
      </c>
      <c r="BM24" s="56" t="e">
        <f>SUMPRODUCT((日次管理!#REF!&lt;=$BM$22)*(日次管理!#REF!=$A$24)*(日次管理!#REF!="実施完了")*(日次管理!#REF!="実績")*(日次管理!#REF!=$A$21),日次管理!#REF!)</f>
        <v>#REF!</v>
      </c>
      <c r="BN24" s="55" t="e">
        <f>SUMPRODUCT((日次管理!#REF!&lt;=$BN$22)*(日次管理!#REF!=$A$24)*(日次管理!#REF!="実施完了")*(日次管理!#REF!="予定")*(日次管理!#REF!=$A$21),日次管理!#REF!)</f>
        <v>#REF!</v>
      </c>
      <c r="BO24" s="56" t="e">
        <f>SUMPRODUCT((日次管理!#REF!&lt;=$BO$22)*(日次管理!#REF!=$A$24)*(日次管理!#REF!="実施完了")*(日次管理!#REF!="実績")*(日次管理!#REF!=$A$21),日次管理!#REF!)</f>
        <v>#REF!</v>
      </c>
      <c r="BP24" s="55" t="e">
        <f>SUMPRODUCT((日次管理!#REF!&lt;=$BP$22)*(日次管理!#REF!=$A$24)*(日次管理!#REF!="実施完了")*(日次管理!#REF!="予定")*(日次管理!#REF!=$A$21),日次管理!#REF!)</f>
        <v>#REF!</v>
      </c>
      <c r="BQ24" s="56" t="e">
        <f>SUMPRODUCT((日次管理!#REF!&lt;=$BQ$22)*(日次管理!#REF!=$A$24)*(日次管理!#REF!="実施完了")*(日次管理!#REF!="実績")*(日次管理!#REF!=$A$21),日次管理!#REF!)</f>
        <v>#REF!</v>
      </c>
      <c r="BR24" s="55" t="e">
        <f>SUMPRODUCT((日次管理!#REF!&lt;=$BR$22)*(日次管理!#REF!=$A$24)*(日次管理!#REF!="実施完了")*(日次管理!#REF!="予定")*(日次管理!#REF!=$A$21),日次管理!#REF!)</f>
        <v>#REF!</v>
      </c>
      <c r="BS24" s="56" t="e">
        <f>SUMPRODUCT((日次管理!#REF!&lt;=$BS$22)*(日次管理!#REF!=$A$24)*(日次管理!#REF!="実施完了")*(日次管理!#REF!="実績")*(日次管理!#REF!=$A$21),日次管理!#REF!)</f>
        <v>#REF!</v>
      </c>
      <c r="BT24" s="55" t="e">
        <f>SUMPRODUCT((日次管理!#REF!&lt;=$BT$22)*(日次管理!#REF!=$A$24)*(日次管理!#REF!="実施完了")*(日次管理!#REF!="予定")*(日次管理!#REF!=$A$21),日次管理!#REF!)</f>
        <v>#REF!</v>
      </c>
      <c r="BU24" s="56" t="e">
        <f>SUMPRODUCT((日次管理!#REF!&lt;=$BU$22)*(日次管理!#REF!=$A$24)*(日次管理!#REF!="実施完了")*(日次管理!#REF!="実績")*(日次管理!#REF!=$A$21),日次管理!#REF!)</f>
        <v>#REF!</v>
      </c>
      <c r="BV24" s="55" t="e">
        <f>SUMPRODUCT((日次管理!#REF!&lt;=$BV$22)*(日次管理!#REF!=$A$24)*(日次管理!#REF!="実施完了")*(日次管理!#REF!="予定")*(日次管理!#REF!=$A$21),日次管理!#REF!)</f>
        <v>#REF!</v>
      </c>
      <c r="BW24" s="56" t="e">
        <f>SUMPRODUCT((日次管理!#REF!&lt;=$BW$22)*(日次管理!#REF!=$A$24)*(日次管理!#REF!="実施完了")*(日次管理!#REF!="実績")*(日次管理!#REF!=$A$21),日次管理!#REF!)</f>
        <v>#REF!</v>
      </c>
      <c r="BX24" s="55" t="e">
        <f>SUMPRODUCT((日次管理!#REF!&lt;=$BX$22)*(日次管理!#REF!=$A$24)*(日次管理!#REF!="実施完了")*(日次管理!#REF!="予定")*(日次管理!#REF!=$A$21),日次管理!#REF!)</f>
        <v>#REF!</v>
      </c>
      <c r="BY24" s="56" t="e">
        <f>SUMPRODUCT((日次管理!#REF!&lt;=$BY$22)*(日次管理!#REF!=$A$24)*(日次管理!#REF!="実施完了")*(日次管理!#REF!="実績")*(日次管理!#REF!=$A$21),日次管理!#REF!)</f>
        <v>#REF!</v>
      </c>
      <c r="BZ24" s="55" t="e">
        <f>SUMPRODUCT((日次管理!#REF!&lt;=$BZ$22)*(日次管理!#REF!=$A$24)*(日次管理!#REF!="実施完了")*(日次管理!#REF!="予定")*(日次管理!#REF!=$A$21),日次管理!#REF!)</f>
        <v>#REF!</v>
      </c>
      <c r="CA24" s="56" t="e">
        <f>SUMPRODUCT((日次管理!#REF!&lt;=$CA$22)*(日次管理!#REF!=$A$24)*(日次管理!#REF!="実施完了")*(日次管理!#REF!="実績")*(日次管理!#REF!=$A$21),日次管理!#REF!)</f>
        <v>#REF!</v>
      </c>
      <c r="CB24" s="55" t="e">
        <f>SUMPRODUCT((日次管理!#REF!&lt;=$CB$22)*(日次管理!#REF!=$A$24)*(日次管理!#REF!="実施完了")*(日次管理!#REF!="予定")*(日次管理!#REF!=$A$21),日次管理!#REF!)</f>
        <v>#REF!</v>
      </c>
      <c r="CC24" s="56" t="e">
        <f>SUMPRODUCT((日次管理!#REF!&lt;=$CC$22)*(日次管理!#REF!=$A$24)*(日次管理!#REF!="実施完了")*(日次管理!#REF!="実績")*(日次管理!#REF!=$A$21),日次管理!#REF!)</f>
        <v>#REF!</v>
      </c>
      <c r="CD24" s="55" t="e">
        <f>SUMPRODUCT((日次管理!#REF!&lt;=$CD$22)*(日次管理!#REF!=$A$24)*(日次管理!#REF!="実施完了")*(日次管理!#REF!="予定")*(日次管理!#REF!=$A$21),日次管理!#REF!)</f>
        <v>#REF!</v>
      </c>
      <c r="CE24" s="56" t="e">
        <f>SUMPRODUCT((日次管理!#REF!&lt;=$CE$22)*(日次管理!#REF!=$A$24)*(日次管理!#REF!="実施完了")*(日次管理!#REF!="実績")*(日次管理!#REF!=$A$21),日次管理!#REF!)</f>
        <v>#REF!</v>
      </c>
      <c r="CF24" s="55" t="e">
        <f>SUMPRODUCT((日次管理!#REF!&lt;=$CF$22)*(日次管理!#REF!=$A$24)*(日次管理!#REF!="実施完了")*(日次管理!#REF!="予定")*(日次管理!#REF!=$A$21),日次管理!#REF!)</f>
        <v>#REF!</v>
      </c>
      <c r="CG24" s="56" t="e">
        <f>SUMPRODUCT((日次管理!#REF!&lt;=$CG$22)*(日次管理!#REF!=$A$24)*(日次管理!#REF!="実施完了")*(日次管理!#REF!="実績")*(日次管理!#REF!=$A$21),日次管理!#REF!)</f>
        <v>#REF!</v>
      </c>
      <c r="CH24" s="55" t="e">
        <f>SUMPRODUCT((日次管理!#REF!&lt;=$CH$22)*(日次管理!#REF!=$A$24)*(日次管理!#REF!="実施完了")*(日次管理!#REF!="予定")*(日次管理!#REF!=$A$21),日次管理!#REF!)</f>
        <v>#REF!</v>
      </c>
      <c r="CI24" s="56" t="e">
        <f>SUMPRODUCT((日次管理!#REF!&lt;=$CI$22)*(日次管理!#REF!=$A$24)*(日次管理!#REF!="実施完了")*(日次管理!#REF!="実績")*(日次管理!#REF!=$A$21),日次管理!#REF!)</f>
        <v>#REF!</v>
      </c>
      <c r="CJ24" s="55" t="e">
        <f>SUMPRODUCT((日次管理!#REF!&lt;=$CJ$22)*(日次管理!#REF!=$A$24)*(日次管理!#REF!="実施完了")*(日次管理!#REF!="予定")*(日次管理!#REF!=$A$21),日次管理!#REF!)</f>
        <v>#REF!</v>
      </c>
      <c r="CK24" s="56" t="e">
        <f>SUMPRODUCT((日次管理!#REF!&lt;=$CK$22)*(日次管理!#REF!=$A$24)*(日次管理!#REF!="実施完了")*(日次管理!#REF!="実績")*(日次管理!#REF!=$A$21),日次管理!#REF!)</f>
        <v>#REF!</v>
      </c>
      <c r="CL24" s="55" t="e">
        <f>SUMPRODUCT((日次管理!#REF!&lt;=$CL$22)*(日次管理!#REF!=$A$24)*(日次管理!#REF!="実施完了")*(日次管理!#REF!="予定")*(日次管理!#REF!=$A$21),日次管理!#REF!)</f>
        <v>#REF!</v>
      </c>
      <c r="CM24" s="56" t="e">
        <f>SUMPRODUCT((日次管理!#REF!&lt;=$CM$22)*(日次管理!#REF!=$A$24)*(日次管理!#REF!="実施完了")*(日次管理!#REF!="実績")*(日次管理!#REF!=$A$21),日次管理!#REF!)</f>
        <v>#REF!</v>
      </c>
      <c r="CN24" s="55" t="e">
        <f>SUMPRODUCT((日次管理!#REF!&lt;=$CN$22)*(日次管理!#REF!=$A$24)*(日次管理!#REF!="実施完了")*(日次管理!#REF!="予定")*(日次管理!#REF!=$A$21),日次管理!#REF!)</f>
        <v>#REF!</v>
      </c>
      <c r="CO24" s="56" t="e">
        <f>SUMPRODUCT((日次管理!#REF!&lt;=$CO$22)*(日次管理!#REF!=$A$24)*(日次管理!#REF!="実施完了")*(日次管理!#REF!="実績")*(日次管理!#REF!=$A$21),日次管理!#REF!)</f>
        <v>#REF!</v>
      </c>
      <c r="CP24" s="55" t="e">
        <f>SUMPRODUCT((日次管理!#REF!&lt;=$CP$22)*(日次管理!#REF!=$A$24)*(日次管理!#REF!="実施完了")*(日次管理!#REF!="予定")*(日次管理!#REF!=$A$21),日次管理!#REF!)</f>
        <v>#REF!</v>
      </c>
      <c r="CQ24" s="56" t="e">
        <f>SUMPRODUCT((日次管理!#REF!&lt;=$CQ$22)*(日次管理!#REF!=$A$24)*(日次管理!#REF!="実施完了")*(日次管理!#REF!="実績")*(日次管理!#REF!=$A$21),日次管理!#REF!)</f>
        <v>#REF!</v>
      </c>
      <c r="CR24" s="55" t="e">
        <f>SUMPRODUCT((日次管理!#REF!&lt;=$CR$22)*(日次管理!#REF!=$A$24)*(日次管理!#REF!="実施完了")*(日次管理!#REF!="予定")*(日次管理!#REF!=$A$21),日次管理!#REF!)</f>
        <v>#REF!</v>
      </c>
      <c r="CS24" s="56" t="e">
        <f>SUMPRODUCT((日次管理!#REF!&lt;=$CS$22)*(日次管理!#REF!=$A$24)*(日次管理!#REF!="実施完了")*(日次管理!#REF!="実績")*(日次管理!#REF!=$A$21),日次管理!#REF!)</f>
        <v>#REF!</v>
      </c>
      <c r="CT24" s="55" t="e">
        <f>SUMPRODUCT((日次管理!#REF!&lt;=$CT$22)*(日次管理!#REF!=$A$24)*(日次管理!#REF!="実施完了")*(日次管理!#REF!="予定")*(日次管理!#REF!=$A$21),日次管理!#REF!)</f>
        <v>#REF!</v>
      </c>
      <c r="CU24" s="56" t="e">
        <f>SUMPRODUCT((日次管理!#REF!&lt;=$CU$22)*(日次管理!#REF!=$A$24)*(日次管理!#REF!="実施完了")*(日次管理!#REF!="実績")*(日次管理!#REF!=$A$21),日次管理!#REF!)</f>
        <v>#REF!</v>
      </c>
      <c r="CV24" s="57" t="e">
        <f ca="1">SUMPRODUCT(($A$22- WEEKDAY($A$22) + 6 =$B$22:$CU$22)*("実績"=$B$23:$CU$23),$B$24:$CU$24)/SUMPRODUCT(($A$22- WEEKDAY($A$22) + 6 =$B$22:$CU$22)*("予定"=$B$23:$CU$23),$B$24:$CU$24)</f>
        <v>#REF!</v>
      </c>
      <c r="CW24" s="58" t="e">
        <f>$CU$24/$CT$24</f>
        <v>#REF!</v>
      </c>
    </row>
    <row r="25" spans="1:101" ht="20.149999999999999" customHeight="1" thickBot="1">
      <c r="A25" s="111" t="s">
        <v>65</v>
      </c>
      <c r="B25" s="99" t="e">
        <f>SUM($B$24:$B$24)</f>
        <v>#REF!</v>
      </c>
      <c r="C25" s="100" t="e">
        <f>SUM($C$24:$C$24)</f>
        <v>#REF!</v>
      </c>
      <c r="D25" s="99" t="e">
        <f>SUM($D$24:$D$24)</f>
        <v>#REF!</v>
      </c>
      <c r="E25" s="100" t="e">
        <f>SUM($E$24:$E$24)</f>
        <v>#REF!</v>
      </c>
      <c r="F25" s="99" t="e">
        <f>SUM($F$24:$F$24)</f>
        <v>#REF!</v>
      </c>
      <c r="G25" s="100" t="e">
        <f>SUM($G$24:$G$24)</f>
        <v>#REF!</v>
      </c>
      <c r="H25" s="99" t="e">
        <f>SUM($H$24:$H$24)</f>
        <v>#REF!</v>
      </c>
      <c r="I25" s="100" t="e">
        <f>SUM($I$24:$I$24)</f>
        <v>#REF!</v>
      </c>
      <c r="J25" s="99" t="e">
        <f>SUM($J$24:$J$24)</f>
        <v>#REF!</v>
      </c>
      <c r="K25" s="100" t="e">
        <f>SUM($K$24:$K$24)</f>
        <v>#REF!</v>
      </c>
      <c r="L25" s="99" t="e">
        <f>SUM($L$24:$L$24)</f>
        <v>#REF!</v>
      </c>
      <c r="M25" s="100" t="e">
        <f>SUM($M$24:$M$24)</f>
        <v>#REF!</v>
      </c>
      <c r="N25" s="99" t="e">
        <f>SUM($N$24:$N$24)</f>
        <v>#REF!</v>
      </c>
      <c r="O25" s="100" t="e">
        <f>SUM($O$24:$O$24)</f>
        <v>#REF!</v>
      </c>
      <c r="P25" s="99" t="e">
        <f>SUM($P$24:$P$24)</f>
        <v>#REF!</v>
      </c>
      <c r="Q25" s="100" t="e">
        <f>SUM($Q$24:$Q$24)</f>
        <v>#REF!</v>
      </c>
      <c r="R25" s="99" t="e">
        <f>SUM($R$24:$R$24)</f>
        <v>#REF!</v>
      </c>
      <c r="S25" s="100" t="e">
        <f>SUM($S$24:$S$24)</f>
        <v>#REF!</v>
      </c>
      <c r="T25" s="99" t="e">
        <f>SUM($T$24:$T$24)</f>
        <v>#REF!</v>
      </c>
      <c r="U25" s="100" t="e">
        <f>SUM($U$24:$U$24)</f>
        <v>#REF!</v>
      </c>
      <c r="V25" s="99" t="e">
        <f>SUM($V$24:$V$24)</f>
        <v>#REF!</v>
      </c>
      <c r="W25" s="100" t="e">
        <f>SUM($W$24:$W$24)</f>
        <v>#REF!</v>
      </c>
      <c r="X25" s="99" t="e">
        <f>SUM($X$24:$X$24)</f>
        <v>#REF!</v>
      </c>
      <c r="Y25" s="100" t="e">
        <f>SUM($Y$24:$Y$24)</f>
        <v>#REF!</v>
      </c>
      <c r="Z25" s="99" t="e">
        <f>SUM($Z$24:$Z$24)</f>
        <v>#REF!</v>
      </c>
      <c r="AA25" s="100" t="e">
        <f>SUM($AA$24:$AA$24)</f>
        <v>#REF!</v>
      </c>
      <c r="AB25" s="99" t="e">
        <f>SUM($AB$24:$AB$24)</f>
        <v>#REF!</v>
      </c>
      <c r="AC25" s="100" t="e">
        <f>SUM($AC$24:$AC$24)</f>
        <v>#REF!</v>
      </c>
      <c r="AD25" s="99" t="e">
        <f>SUM($AD$24:$AD$24)</f>
        <v>#REF!</v>
      </c>
      <c r="AE25" s="100" t="e">
        <f>SUM($AE$24:$AE$24)</f>
        <v>#REF!</v>
      </c>
      <c r="AF25" s="99" t="e">
        <f>SUM($AF$24:$AF$24)</f>
        <v>#REF!</v>
      </c>
      <c r="AG25" s="100" t="e">
        <f>SUM($AG$24:$AG$24)</f>
        <v>#REF!</v>
      </c>
      <c r="AH25" s="99" t="e">
        <f>SUM($AH$24:$AH$24)</f>
        <v>#REF!</v>
      </c>
      <c r="AI25" s="100" t="e">
        <f>SUM($AI$24:$AI$24)</f>
        <v>#REF!</v>
      </c>
      <c r="AJ25" s="99" t="e">
        <f>SUM($AJ$24:$AJ$24)</f>
        <v>#REF!</v>
      </c>
      <c r="AK25" s="100" t="e">
        <f>SUM($AK$24:$AK$24)</f>
        <v>#REF!</v>
      </c>
      <c r="AL25" s="99" t="e">
        <f>SUM($AL$24:$AL$24)</f>
        <v>#REF!</v>
      </c>
      <c r="AM25" s="100" t="e">
        <f>SUM($AM$24:$AM$24)</f>
        <v>#REF!</v>
      </c>
      <c r="AN25" s="99" t="e">
        <f>SUM($AN$24:$AN$24)</f>
        <v>#REF!</v>
      </c>
      <c r="AO25" s="100" t="e">
        <f>SUM($AO$24:$AO$24)</f>
        <v>#REF!</v>
      </c>
      <c r="AP25" s="99" t="e">
        <f>SUM($AP$24:$AP$24)</f>
        <v>#REF!</v>
      </c>
      <c r="AQ25" s="100" t="e">
        <f>SUM($AQ$24:$AQ$24)</f>
        <v>#REF!</v>
      </c>
      <c r="AR25" s="99" t="e">
        <f>SUM($AR$24:$AR$24)</f>
        <v>#REF!</v>
      </c>
      <c r="AS25" s="100" t="e">
        <f>SUM($AS$24:$AS$24)</f>
        <v>#REF!</v>
      </c>
      <c r="AT25" s="99" t="e">
        <f>SUM($AT$24:$AT$24)</f>
        <v>#REF!</v>
      </c>
      <c r="AU25" s="100" t="e">
        <f>SUM($AU$24:$AU$24)</f>
        <v>#REF!</v>
      </c>
      <c r="AV25" s="99" t="e">
        <f>SUM($AV$24:$AV$24)</f>
        <v>#REF!</v>
      </c>
      <c r="AW25" s="100" t="e">
        <f>SUM($AW$24:$AW$24)</f>
        <v>#REF!</v>
      </c>
      <c r="AX25" s="99" t="e">
        <f>SUM($AX$24:$AX$24)</f>
        <v>#REF!</v>
      </c>
      <c r="AY25" s="100" t="e">
        <f>SUM($AY$24:$AY$24)</f>
        <v>#REF!</v>
      </c>
      <c r="AZ25" s="99" t="e">
        <f>SUM($AZ$24:$AZ$24)</f>
        <v>#REF!</v>
      </c>
      <c r="BA25" s="100" t="e">
        <f>SUM($BA$24:$BA$24)</f>
        <v>#REF!</v>
      </c>
      <c r="BB25" s="99" t="e">
        <f>SUM($BB$24:$BB$24)</f>
        <v>#REF!</v>
      </c>
      <c r="BC25" s="100" t="e">
        <f>SUM($BC$24:$BC$24)</f>
        <v>#REF!</v>
      </c>
      <c r="BD25" s="99" t="e">
        <f>SUM($BD$24:$BD$24)</f>
        <v>#REF!</v>
      </c>
      <c r="BE25" s="100" t="e">
        <f>SUM($BE$24:$BE$24)</f>
        <v>#REF!</v>
      </c>
      <c r="BF25" s="99" t="e">
        <f>SUM($BF$24:$BF$24)</f>
        <v>#REF!</v>
      </c>
      <c r="BG25" s="100" t="e">
        <f>SUM($BG$24:$BG$24)</f>
        <v>#REF!</v>
      </c>
      <c r="BH25" s="99" t="e">
        <f>SUM($BH$24:$BH$24)</f>
        <v>#REF!</v>
      </c>
      <c r="BI25" s="100" t="e">
        <f>SUM($BI$24:$BI$24)</f>
        <v>#REF!</v>
      </c>
      <c r="BJ25" s="99" t="e">
        <f>SUM($BJ$24:$BJ$24)</f>
        <v>#REF!</v>
      </c>
      <c r="BK25" s="100" t="e">
        <f>SUM($BK$24:$BK$24)</f>
        <v>#REF!</v>
      </c>
      <c r="BL25" s="99" t="e">
        <f>SUM($BL$24:$BL$24)</f>
        <v>#REF!</v>
      </c>
      <c r="BM25" s="100" t="e">
        <f>SUM($BM$24:$BM$24)</f>
        <v>#REF!</v>
      </c>
      <c r="BN25" s="99" t="e">
        <f>SUM($BN$24:$BN$24)</f>
        <v>#REF!</v>
      </c>
      <c r="BO25" s="100" t="e">
        <f>SUM($BO$24:$BO$24)</f>
        <v>#REF!</v>
      </c>
      <c r="BP25" s="99" t="e">
        <f>SUM($BP$24:$BP$24)</f>
        <v>#REF!</v>
      </c>
      <c r="BQ25" s="100" t="e">
        <f>SUM($BQ$24:$BQ$24)</f>
        <v>#REF!</v>
      </c>
      <c r="BR25" s="99" t="e">
        <f>SUM($BR$24:$BR$24)</f>
        <v>#REF!</v>
      </c>
      <c r="BS25" s="100" t="e">
        <f>SUM($BS$24:$BS$24)</f>
        <v>#REF!</v>
      </c>
      <c r="BT25" s="99" t="e">
        <f>SUM($BT$24:$BT$24)</f>
        <v>#REF!</v>
      </c>
      <c r="BU25" s="100" t="e">
        <f>SUM($BU$24:$BU$24)</f>
        <v>#REF!</v>
      </c>
      <c r="BV25" s="99" t="e">
        <f>SUM($BV$24:$BV$24)</f>
        <v>#REF!</v>
      </c>
      <c r="BW25" s="100" t="e">
        <f>SUM($BW$24:$BW$24)</f>
        <v>#REF!</v>
      </c>
      <c r="BX25" s="99" t="e">
        <f>SUM($BX$24:$BX$24)</f>
        <v>#REF!</v>
      </c>
      <c r="BY25" s="100" t="e">
        <f>SUM($BY$24:$BY$24)</f>
        <v>#REF!</v>
      </c>
      <c r="BZ25" s="99" t="e">
        <f>SUM($BZ$24:$BZ$24)</f>
        <v>#REF!</v>
      </c>
      <c r="CA25" s="100" t="e">
        <f>SUM($CA$24:$CA$24)</f>
        <v>#REF!</v>
      </c>
      <c r="CB25" s="99" t="e">
        <f>SUM($CB$24:$CB$24)</f>
        <v>#REF!</v>
      </c>
      <c r="CC25" s="100" t="e">
        <f>SUM($CC$24:$CC$24)</f>
        <v>#REF!</v>
      </c>
      <c r="CD25" s="99" t="e">
        <f>SUM($CD$24:$CD$24)</f>
        <v>#REF!</v>
      </c>
      <c r="CE25" s="100" t="e">
        <f>SUM($CE$24:$CE$24)</f>
        <v>#REF!</v>
      </c>
      <c r="CF25" s="99" t="e">
        <f>SUM($CF$24:$CF$24)</f>
        <v>#REF!</v>
      </c>
      <c r="CG25" s="100" t="e">
        <f>SUM($CG$24:$CG$24)</f>
        <v>#REF!</v>
      </c>
      <c r="CH25" s="99" t="e">
        <f>SUM($CH$24:$CH$24)</f>
        <v>#REF!</v>
      </c>
      <c r="CI25" s="100" t="e">
        <f>SUM($CI$24:$CI$24)</f>
        <v>#REF!</v>
      </c>
      <c r="CJ25" s="99" t="e">
        <f>SUM($CJ$24:$CJ$24)</f>
        <v>#REF!</v>
      </c>
      <c r="CK25" s="100" t="e">
        <f>SUM($CK$24:$CK$24)</f>
        <v>#REF!</v>
      </c>
      <c r="CL25" s="99" t="e">
        <f>SUM($CL$24:$CL$24)</f>
        <v>#REF!</v>
      </c>
      <c r="CM25" s="100" t="e">
        <f>SUM($CM$24:$CM$24)</f>
        <v>#REF!</v>
      </c>
      <c r="CN25" s="99" t="e">
        <f>SUM($CN$24:$CN$24)</f>
        <v>#REF!</v>
      </c>
      <c r="CO25" s="100" t="e">
        <f>SUM($CO$24:$CO$24)</f>
        <v>#REF!</v>
      </c>
      <c r="CP25" s="99" t="e">
        <f>SUM($CP$24:$CP$24)</f>
        <v>#REF!</v>
      </c>
      <c r="CQ25" s="100" t="e">
        <f>SUM($CQ$24:$CQ$24)</f>
        <v>#REF!</v>
      </c>
      <c r="CR25" s="99" t="e">
        <f>SUM($CR$24:$CR$24)</f>
        <v>#REF!</v>
      </c>
      <c r="CS25" s="100" t="e">
        <f>SUM($CS$24:$CS$24)</f>
        <v>#REF!</v>
      </c>
      <c r="CT25" s="99" t="e">
        <f>SUM($CT$24:$CT$24)</f>
        <v>#REF!</v>
      </c>
      <c r="CU25" s="100" t="e">
        <f>SUM($CU$24:$CU$24)</f>
        <v>#REF!</v>
      </c>
      <c r="CV25" s="101" t="e">
        <f ca="1">SUMPRODUCT(($A$22- WEEKDAY($A$22) + 6 =$B$22:$CU$22)*("実績"=$B$23:$CU$23),$B$25:$CU$25)/SUMPRODUCT(($A$22- WEEKDAY($A$22) + 6 =$B$22:$CU$22)*("予定"=$B$23:$CU$23),$B$25:$CU$25)</f>
        <v>#REF!</v>
      </c>
      <c r="CW25" s="102" t="e">
        <f>$CU$25/$CT$25</f>
        <v>#REF!</v>
      </c>
    </row>
    <row r="27" spans="1:101" ht="20.149999999999999" customHeight="1" thickBot="1">
      <c r="A27" s="79" t="s">
        <v>109</v>
      </c>
      <c r="B27" s="43" t="s">
        <v>69</v>
      </c>
    </row>
    <row r="28" spans="1:101" ht="40" customHeight="1">
      <c r="A28" s="80">
        <f ca="1">TODAY()</f>
        <v>43566</v>
      </c>
      <c r="B28" s="82">
        <v>43528</v>
      </c>
      <c r="C28" s="53">
        <v>43528</v>
      </c>
      <c r="D28" s="83">
        <v>43529</v>
      </c>
      <c r="E28" s="63">
        <v>43529</v>
      </c>
      <c r="F28" s="82">
        <v>43530</v>
      </c>
      <c r="G28" s="53">
        <v>43530</v>
      </c>
      <c r="H28" s="83">
        <v>43531</v>
      </c>
      <c r="I28" s="63">
        <v>43531</v>
      </c>
      <c r="J28" s="82">
        <v>43532</v>
      </c>
      <c r="K28" s="53">
        <v>43532</v>
      </c>
      <c r="L28" s="83">
        <v>43533</v>
      </c>
      <c r="M28" s="63">
        <v>43533</v>
      </c>
      <c r="N28" s="82">
        <v>43534</v>
      </c>
      <c r="O28" s="53">
        <v>43534</v>
      </c>
      <c r="P28" s="83">
        <v>43535</v>
      </c>
      <c r="Q28" s="63">
        <v>43535</v>
      </c>
      <c r="R28" s="82">
        <v>43536</v>
      </c>
      <c r="S28" s="53">
        <v>43536</v>
      </c>
      <c r="T28" s="83">
        <v>43537</v>
      </c>
      <c r="U28" s="63">
        <v>43537</v>
      </c>
      <c r="V28" s="82">
        <v>43538</v>
      </c>
      <c r="W28" s="53">
        <v>43538</v>
      </c>
      <c r="X28" s="83">
        <v>43539</v>
      </c>
      <c r="Y28" s="63">
        <v>43539</v>
      </c>
      <c r="Z28" s="82">
        <v>43540</v>
      </c>
      <c r="AA28" s="53">
        <v>43540</v>
      </c>
      <c r="AB28" s="83">
        <v>43541</v>
      </c>
      <c r="AC28" s="63">
        <v>43541</v>
      </c>
      <c r="AD28" s="82">
        <v>43542</v>
      </c>
      <c r="AE28" s="53">
        <v>43542</v>
      </c>
      <c r="AF28" s="83">
        <v>43543</v>
      </c>
      <c r="AG28" s="63">
        <v>43543</v>
      </c>
      <c r="AH28" s="82">
        <v>43544</v>
      </c>
      <c r="AI28" s="53">
        <v>43544</v>
      </c>
      <c r="AJ28" s="83">
        <v>43545</v>
      </c>
      <c r="AK28" s="63">
        <v>43545</v>
      </c>
      <c r="AL28" s="82">
        <v>43546</v>
      </c>
      <c r="AM28" s="53">
        <v>43546</v>
      </c>
      <c r="AN28" s="83">
        <v>43547</v>
      </c>
      <c r="AO28" s="63">
        <v>43547</v>
      </c>
      <c r="AP28" s="82">
        <v>43548</v>
      </c>
      <c r="AQ28" s="53">
        <v>43548</v>
      </c>
      <c r="AR28" s="83">
        <v>43549</v>
      </c>
      <c r="AS28" s="63">
        <v>43549</v>
      </c>
      <c r="AT28" s="82">
        <v>43550</v>
      </c>
      <c r="AU28" s="53">
        <v>43550</v>
      </c>
      <c r="AV28" s="83">
        <v>43551</v>
      </c>
      <c r="AW28" s="63">
        <v>43551</v>
      </c>
      <c r="AX28" s="82">
        <v>43552</v>
      </c>
      <c r="AY28" s="53">
        <v>43552</v>
      </c>
      <c r="AZ28" s="83">
        <v>43553</v>
      </c>
      <c r="BA28" s="63">
        <v>43553</v>
      </c>
      <c r="BB28" s="82">
        <v>43554</v>
      </c>
      <c r="BC28" s="53">
        <v>43554</v>
      </c>
      <c r="BD28" s="83">
        <v>43555</v>
      </c>
      <c r="BE28" s="63">
        <v>43555</v>
      </c>
      <c r="BF28" s="82">
        <v>43556</v>
      </c>
      <c r="BG28" s="53">
        <v>43556</v>
      </c>
      <c r="BH28" s="83">
        <v>43557</v>
      </c>
      <c r="BI28" s="63">
        <v>43557</v>
      </c>
      <c r="BJ28" s="82">
        <v>43558</v>
      </c>
      <c r="BK28" s="53">
        <v>43558</v>
      </c>
      <c r="BL28" s="83">
        <v>43559</v>
      </c>
      <c r="BM28" s="63">
        <v>43559</v>
      </c>
      <c r="BN28" s="82">
        <v>43560</v>
      </c>
      <c r="BO28" s="53">
        <v>43560</v>
      </c>
      <c r="BP28" s="83">
        <v>43561</v>
      </c>
      <c r="BQ28" s="63">
        <v>43561</v>
      </c>
      <c r="BR28" s="82">
        <v>43562</v>
      </c>
      <c r="BS28" s="53">
        <v>43562</v>
      </c>
      <c r="BT28" s="83">
        <v>43563</v>
      </c>
      <c r="BU28" s="63">
        <v>43563</v>
      </c>
      <c r="BV28" s="82">
        <v>43564</v>
      </c>
      <c r="BW28" s="53">
        <v>43564</v>
      </c>
      <c r="BX28" s="83">
        <v>43565</v>
      </c>
      <c r="BY28" s="63">
        <v>43565</v>
      </c>
      <c r="BZ28" s="82">
        <v>43566</v>
      </c>
      <c r="CA28" s="53">
        <v>43566</v>
      </c>
      <c r="CB28" s="83">
        <v>43567</v>
      </c>
      <c r="CC28" s="63">
        <v>43567</v>
      </c>
      <c r="CD28" s="82">
        <v>43568</v>
      </c>
      <c r="CE28" s="53">
        <v>43568</v>
      </c>
      <c r="CF28" s="83">
        <v>43569</v>
      </c>
      <c r="CG28" s="63">
        <v>43569</v>
      </c>
      <c r="CH28" s="82">
        <v>43570</v>
      </c>
      <c r="CI28" s="53">
        <v>43570</v>
      </c>
      <c r="CJ28" s="83">
        <v>43571</v>
      </c>
      <c r="CK28" s="63">
        <v>43571</v>
      </c>
      <c r="CL28" s="82">
        <v>43572</v>
      </c>
      <c r="CM28" s="53">
        <v>43572</v>
      </c>
      <c r="CN28" s="83">
        <v>43573</v>
      </c>
      <c r="CO28" s="63">
        <v>43573</v>
      </c>
      <c r="CP28" s="82">
        <v>43574</v>
      </c>
      <c r="CQ28" s="53">
        <v>43574</v>
      </c>
      <c r="CR28" s="83">
        <v>43575</v>
      </c>
      <c r="CS28" s="63">
        <v>43575</v>
      </c>
      <c r="CT28" s="82">
        <v>43576</v>
      </c>
      <c r="CU28" s="53">
        <v>43576</v>
      </c>
      <c r="CV28" s="141" t="s">
        <v>66</v>
      </c>
      <c r="CW28" s="142"/>
    </row>
    <row r="29" spans="1:101" ht="20.149999999999999" customHeight="1" thickBot="1">
      <c r="A29" s="103" t="s">
        <v>64</v>
      </c>
      <c r="B29" s="85" t="s">
        <v>60</v>
      </c>
      <c r="C29" s="86" t="s">
        <v>61</v>
      </c>
      <c r="D29" s="87" t="s">
        <v>60</v>
      </c>
      <c r="E29" s="88" t="s">
        <v>61</v>
      </c>
      <c r="F29" s="85" t="s">
        <v>60</v>
      </c>
      <c r="G29" s="86" t="s">
        <v>61</v>
      </c>
      <c r="H29" s="87" t="s">
        <v>60</v>
      </c>
      <c r="I29" s="88" t="s">
        <v>61</v>
      </c>
      <c r="J29" s="85" t="s">
        <v>60</v>
      </c>
      <c r="K29" s="86" t="s">
        <v>61</v>
      </c>
      <c r="L29" s="87" t="s">
        <v>60</v>
      </c>
      <c r="M29" s="88" t="s">
        <v>61</v>
      </c>
      <c r="N29" s="85" t="s">
        <v>60</v>
      </c>
      <c r="O29" s="86" t="s">
        <v>61</v>
      </c>
      <c r="P29" s="87" t="s">
        <v>60</v>
      </c>
      <c r="Q29" s="88" t="s">
        <v>61</v>
      </c>
      <c r="R29" s="85" t="s">
        <v>60</v>
      </c>
      <c r="S29" s="86" t="s">
        <v>61</v>
      </c>
      <c r="T29" s="87" t="s">
        <v>60</v>
      </c>
      <c r="U29" s="88" t="s">
        <v>61</v>
      </c>
      <c r="V29" s="85" t="s">
        <v>60</v>
      </c>
      <c r="W29" s="86" t="s">
        <v>61</v>
      </c>
      <c r="X29" s="87" t="s">
        <v>60</v>
      </c>
      <c r="Y29" s="88" t="s">
        <v>61</v>
      </c>
      <c r="Z29" s="85" t="s">
        <v>60</v>
      </c>
      <c r="AA29" s="86" t="s">
        <v>61</v>
      </c>
      <c r="AB29" s="87" t="s">
        <v>60</v>
      </c>
      <c r="AC29" s="88" t="s">
        <v>61</v>
      </c>
      <c r="AD29" s="85" t="s">
        <v>60</v>
      </c>
      <c r="AE29" s="86" t="s">
        <v>61</v>
      </c>
      <c r="AF29" s="87" t="s">
        <v>60</v>
      </c>
      <c r="AG29" s="88" t="s">
        <v>61</v>
      </c>
      <c r="AH29" s="85" t="s">
        <v>60</v>
      </c>
      <c r="AI29" s="86" t="s">
        <v>61</v>
      </c>
      <c r="AJ29" s="87" t="s">
        <v>60</v>
      </c>
      <c r="AK29" s="88" t="s">
        <v>61</v>
      </c>
      <c r="AL29" s="85" t="s">
        <v>60</v>
      </c>
      <c r="AM29" s="86" t="s">
        <v>61</v>
      </c>
      <c r="AN29" s="87" t="s">
        <v>60</v>
      </c>
      <c r="AO29" s="88" t="s">
        <v>61</v>
      </c>
      <c r="AP29" s="85" t="s">
        <v>60</v>
      </c>
      <c r="AQ29" s="86" t="s">
        <v>61</v>
      </c>
      <c r="AR29" s="87" t="s">
        <v>60</v>
      </c>
      <c r="AS29" s="88" t="s">
        <v>61</v>
      </c>
      <c r="AT29" s="85" t="s">
        <v>60</v>
      </c>
      <c r="AU29" s="86" t="s">
        <v>61</v>
      </c>
      <c r="AV29" s="87" t="s">
        <v>60</v>
      </c>
      <c r="AW29" s="88" t="s">
        <v>61</v>
      </c>
      <c r="AX29" s="85" t="s">
        <v>60</v>
      </c>
      <c r="AY29" s="86" t="s">
        <v>61</v>
      </c>
      <c r="AZ29" s="87" t="s">
        <v>60</v>
      </c>
      <c r="BA29" s="88" t="s">
        <v>61</v>
      </c>
      <c r="BB29" s="85" t="s">
        <v>60</v>
      </c>
      <c r="BC29" s="86" t="s">
        <v>61</v>
      </c>
      <c r="BD29" s="87" t="s">
        <v>60</v>
      </c>
      <c r="BE29" s="88" t="s">
        <v>61</v>
      </c>
      <c r="BF29" s="85" t="s">
        <v>60</v>
      </c>
      <c r="BG29" s="86" t="s">
        <v>61</v>
      </c>
      <c r="BH29" s="87" t="s">
        <v>60</v>
      </c>
      <c r="BI29" s="88" t="s">
        <v>61</v>
      </c>
      <c r="BJ29" s="85" t="s">
        <v>60</v>
      </c>
      <c r="BK29" s="86" t="s">
        <v>61</v>
      </c>
      <c r="BL29" s="87" t="s">
        <v>60</v>
      </c>
      <c r="BM29" s="88" t="s">
        <v>61</v>
      </c>
      <c r="BN29" s="85" t="s">
        <v>60</v>
      </c>
      <c r="BO29" s="86" t="s">
        <v>61</v>
      </c>
      <c r="BP29" s="87" t="s">
        <v>60</v>
      </c>
      <c r="BQ29" s="88" t="s">
        <v>61</v>
      </c>
      <c r="BR29" s="85" t="s">
        <v>60</v>
      </c>
      <c r="BS29" s="86" t="s">
        <v>61</v>
      </c>
      <c r="BT29" s="87" t="s">
        <v>60</v>
      </c>
      <c r="BU29" s="88" t="s">
        <v>61</v>
      </c>
      <c r="BV29" s="85" t="s">
        <v>60</v>
      </c>
      <c r="BW29" s="86" t="s">
        <v>61</v>
      </c>
      <c r="BX29" s="87" t="s">
        <v>60</v>
      </c>
      <c r="BY29" s="88" t="s">
        <v>61</v>
      </c>
      <c r="BZ29" s="85" t="s">
        <v>60</v>
      </c>
      <c r="CA29" s="86" t="s">
        <v>61</v>
      </c>
      <c r="CB29" s="87" t="s">
        <v>60</v>
      </c>
      <c r="CC29" s="88" t="s">
        <v>61</v>
      </c>
      <c r="CD29" s="85" t="s">
        <v>60</v>
      </c>
      <c r="CE29" s="86" t="s">
        <v>61</v>
      </c>
      <c r="CF29" s="87" t="s">
        <v>60</v>
      </c>
      <c r="CG29" s="88" t="s">
        <v>61</v>
      </c>
      <c r="CH29" s="85" t="s">
        <v>60</v>
      </c>
      <c r="CI29" s="86" t="s">
        <v>61</v>
      </c>
      <c r="CJ29" s="87" t="s">
        <v>60</v>
      </c>
      <c r="CK29" s="88" t="s">
        <v>61</v>
      </c>
      <c r="CL29" s="85" t="s">
        <v>60</v>
      </c>
      <c r="CM29" s="86" t="s">
        <v>61</v>
      </c>
      <c r="CN29" s="87" t="s">
        <v>60</v>
      </c>
      <c r="CO29" s="88" t="s">
        <v>61</v>
      </c>
      <c r="CP29" s="85" t="s">
        <v>60</v>
      </c>
      <c r="CQ29" s="86" t="s">
        <v>61</v>
      </c>
      <c r="CR29" s="87" t="s">
        <v>60</v>
      </c>
      <c r="CS29" s="88" t="s">
        <v>61</v>
      </c>
      <c r="CT29" s="85" t="s">
        <v>60</v>
      </c>
      <c r="CU29" s="86" t="s">
        <v>61</v>
      </c>
      <c r="CV29" s="87" t="s">
        <v>67</v>
      </c>
      <c r="CW29" s="89" t="s">
        <v>68</v>
      </c>
    </row>
    <row r="30" spans="1:101" ht="20.149999999999999" customHeight="1">
      <c r="A30" s="81" t="s">
        <v>76</v>
      </c>
      <c r="B30" s="55" t="e">
        <f>SUMPRODUCT((日次管理!#REF!&lt;=$B$28)*(日次管理!#REF!=$A$30)*(日次管理!#REF!="精査完了")*(日次管理!#REF!="予定")*(日次管理!#REF!=$A$27),日次管理!#REF!)</f>
        <v>#REF!</v>
      </c>
      <c r="C30" s="56" t="e">
        <f>SUMPRODUCT((日次管理!#REF!&lt;=$C$28)*(日次管理!#REF!=$A$30)*(日次管理!#REF!="精査完了")*(日次管理!#REF!="実績")*(日次管理!#REF!=$A$27),日次管理!#REF!)</f>
        <v>#REF!</v>
      </c>
      <c r="D30" s="55" t="e">
        <f>SUMPRODUCT((日次管理!#REF!&lt;=$D$28)*(日次管理!#REF!=$A$30)*(日次管理!#REF!="精査完了")*(日次管理!#REF!="予定")*(日次管理!#REF!=$A$27),日次管理!#REF!)</f>
        <v>#REF!</v>
      </c>
      <c r="E30" s="56" t="e">
        <f>SUMPRODUCT((日次管理!#REF!&lt;=$E$28)*(日次管理!#REF!=$A$30)*(日次管理!#REF!="精査完了")*(日次管理!#REF!="実績")*(日次管理!#REF!=$A$27),日次管理!#REF!)</f>
        <v>#REF!</v>
      </c>
      <c r="F30" s="55" t="e">
        <f>SUMPRODUCT((日次管理!#REF!&lt;=$F$28)*(日次管理!#REF!=$A$30)*(日次管理!#REF!="精査完了")*(日次管理!#REF!="予定")*(日次管理!#REF!=$A$27),日次管理!#REF!)</f>
        <v>#REF!</v>
      </c>
      <c r="G30" s="56" t="e">
        <f>SUMPRODUCT((日次管理!#REF!&lt;=$G$28)*(日次管理!#REF!=$A$30)*(日次管理!#REF!="精査完了")*(日次管理!#REF!="実績")*(日次管理!#REF!=$A$27),日次管理!#REF!)</f>
        <v>#REF!</v>
      </c>
      <c r="H30" s="55" t="e">
        <f>SUMPRODUCT((日次管理!#REF!&lt;=$H$28)*(日次管理!#REF!=$A$30)*(日次管理!#REF!="精査完了")*(日次管理!#REF!="予定")*(日次管理!#REF!=$A$27),日次管理!#REF!)</f>
        <v>#REF!</v>
      </c>
      <c r="I30" s="56" t="e">
        <f>SUMPRODUCT((日次管理!#REF!&lt;=$I$28)*(日次管理!#REF!=$A$30)*(日次管理!#REF!="精査完了")*(日次管理!#REF!="実績")*(日次管理!#REF!=$A$27),日次管理!#REF!)</f>
        <v>#REF!</v>
      </c>
      <c r="J30" s="55" t="e">
        <f>SUMPRODUCT((日次管理!#REF!&lt;=$J$28)*(日次管理!#REF!=$A$30)*(日次管理!#REF!="精査完了")*(日次管理!#REF!="予定")*(日次管理!#REF!=$A$27),日次管理!#REF!)</f>
        <v>#REF!</v>
      </c>
      <c r="K30" s="56" t="e">
        <f>SUMPRODUCT((日次管理!#REF!&lt;=$K$28)*(日次管理!#REF!=$A$30)*(日次管理!#REF!="精査完了")*(日次管理!#REF!="実績")*(日次管理!#REF!=$A$27),日次管理!#REF!)</f>
        <v>#REF!</v>
      </c>
      <c r="L30" s="55" t="e">
        <f>SUMPRODUCT((日次管理!#REF!&lt;=$L$28)*(日次管理!#REF!=$A$30)*(日次管理!#REF!="精査完了")*(日次管理!#REF!="予定")*(日次管理!#REF!=$A$27),日次管理!#REF!)</f>
        <v>#REF!</v>
      </c>
      <c r="M30" s="56" t="e">
        <f>SUMPRODUCT((日次管理!#REF!&lt;=$M$28)*(日次管理!#REF!=$A$30)*(日次管理!#REF!="精査完了")*(日次管理!#REF!="実績")*(日次管理!#REF!=$A$27),日次管理!#REF!)</f>
        <v>#REF!</v>
      </c>
      <c r="N30" s="55" t="e">
        <f>SUMPRODUCT((日次管理!#REF!&lt;=$N$28)*(日次管理!#REF!=$A$30)*(日次管理!#REF!="精査完了")*(日次管理!#REF!="予定")*(日次管理!#REF!=$A$27),日次管理!#REF!)</f>
        <v>#REF!</v>
      </c>
      <c r="O30" s="56" t="e">
        <f>SUMPRODUCT((日次管理!#REF!&lt;=$O$28)*(日次管理!#REF!=$A$30)*(日次管理!#REF!="精査完了")*(日次管理!#REF!="実績")*(日次管理!#REF!=$A$27),日次管理!#REF!)</f>
        <v>#REF!</v>
      </c>
      <c r="P30" s="55" t="e">
        <f>SUMPRODUCT((日次管理!#REF!&lt;=$P$28)*(日次管理!#REF!=$A$30)*(日次管理!#REF!="精査完了")*(日次管理!#REF!="予定")*(日次管理!#REF!=$A$27),日次管理!#REF!)</f>
        <v>#REF!</v>
      </c>
      <c r="Q30" s="56" t="e">
        <f>SUMPRODUCT((日次管理!#REF!&lt;=$Q$28)*(日次管理!#REF!=$A$30)*(日次管理!#REF!="精査完了")*(日次管理!#REF!="実績")*(日次管理!#REF!=$A$27),日次管理!#REF!)</f>
        <v>#REF!</v>
      </c>
      <c r="R30" s="55" t="e">
        <f>SUMPRODUCT((日次管理!#REF!&lt;=$R$28)*(日次管理!#REF!=$A$30)*(日次管理!#REF!="精査完了")*(日次管理!#REF!="予定")*(日次管理!#REF!=$A$27),日次管理!#REF!)</f>
        <v>#REF!</v>
      </c>
      <c r="S30" s="56" t="e">
        <f>SUMPRODUCT((日次管理!#REF!&lt;=$S$28)*(日次管理!#REF!=$A$30)*(日次管理!#REF!="精査完了")*(日次管理!#REF!="実績")*(日次管理!#REF!=$A$27),日次管理!#REF!)</f>
        <v>#REF!</v>
      </c>
      <c r="T30" s="55" t="e">
        <f>SUMPRODUCT((日次管理!#REF!&lt;=$T$28)*(日次管理!#REF!=$A$30)*(日次管理!#REF!="精査完了")*(日次管理!#REF!="予定")*(日次管理!#REF!=$A$27),日次管理!#REF!)</f>
        <v>#REF!</v>
      </c>
      <c r="U30" s="56" t="e">
        <f>SUMPRODUCT((日次管理!#REF!&lt;=$U$28)*(日次管理!#REF!=$A$30)*(日次管理!#REF!="精査完了")*(日次管理!#REF!="実績")*(日次管理!#REF!=$A$27),日次管理!#REF!)</f>
        <v>#REF!</v>
      </c>
      <c r="V30" s="55" t="e">
        <f>SUMPRODUCT((日次管理!#REF!&lt;=$V$28)*(日次管理!#REF!=$A$30)*(日次管理!#REF!="精査完了")*(日次管理!#REF!="予定")*(日次管理!#REF!=$A$27),日次管理!#REF!)</f>
        <v>#REF!</v>
      </c>
      <c r="W30" s="56" t="e">
        <f>SUMPRODUCT((日次管理!#REF!&lt;=$W$28)*(日次管理!#REF!=$A$30)*(日次管理!#REF!="精査完了")*(日次管理!#REF!="実績")*(日次管理!#REF!=$A$27),日次管理!#REF!)</f>
        <v>#REF!</v>
      </c>
      <c r="X30" s="55" t="e">
        <f>SUMPRODUCT((日次管理!#REF!&lt;=$X$28)*(日次管理!#REF!=$A$30)*(日次管理!#REF!="精査完了")*(日次管理!#REF!="予定")*(日次管理!#REF!=$A$27),日次管理!#REF!)</f>
        <v>#REF!</v>
      </c>
      <c r="Y30" s="56" t="e">
        <f>SUMPRODUCT((日次管理!#REF!&lt;=$Y$28)*(日次管理!#REF!=$A$30)*(日次管理!#REF!="精査完了")*(日次管理!#REF!="実績")*(日次管理!#REF!=$A$27),日次管理!#REF!)</f>
        <v>#REF!</v>
      </c>
      <c r="Z30" s="55" t="e">
        <f>SUMPRODUCT((日次管理!#REF!&lt;=$Z$28)*(日次管理!#REF!=$A$30)*(日次管理!#REF!="精査完了")*(日次管理!#REF!="予定")*(日次管理!#REF!=$A$27),日次管理!#REF!)</f>
        <v>#REF!</v>
      </c>
      <c r="AA30" s="56" t="e">
        <f>SUMPRODUCT((日次管理!#REF!&lt;=$AA$28)*(日次管理!#REF!=$A$30)*(日次管理!#REF!="精査完了")*(日次管理!#REF!="実績")*(日次管理!#REF!=$A$27),日次管理!#REF!)</f>
        <v>#REF!</v>
      </c>
      <c r="AB30" s="55" t="e">
        <f>SUMPRODUCT((日次管理!#REF!&lt;=$AB$28)*(日次管理!#REF!=$A$30)*(日次管理!#REF!="精査完了")*(日次管理!#REF!="予定")*(日次管理!#REF!=$A$27),日次管理!#REF!)</f>
        <v>#REF!</v>
      </c>
      <c r="AC30" s="56" t="e">
        <f>SUMPRODUCT((日次管理!#REF!&lt;=$AC$28)*(日次管理!#REF!=$A$30)*(日次管理!#REF!="精査完了")*(日次管理!#REF!="実績")*(日次管理!#REF!=$A$27),日次管理!#REF!)</f>
        <v>#REF!</v>
      </c>
      <c r="AD30" s="55" t="e">
        <f>SUMPRODUCT((日次管理!#REF!&lt;=$AD$28)*(日次管理!#REF!=$A$30)*(日次管理!#REF!="精査完了")*(日次管理!#REF!="予定")*(日次管理!#REF!=$A$27),日次管理!#REF!)</f>
        <v>#REF!</v>
      </c>
      <c r="AE30" s="56" t="e">
        <f>SUMPRODUCT((日次管理!#REF!&lt;=$AE$28)*(日次管理!#REF!=$A$30)*(日次管理!#REF!="精査完了")*(日次管理!#REF!="実績")*(日次管理!#REF!=$A$27),日次管理!#REF!)</f>
        <v>#REF!</v>
      </c>
      <c r="AF30" s="55" t="e">
        <f>SUMPRODUCT((日次管理!#REF!&lt;=$AF$28)*(日次管理!#REF!=$A$30)*(日次管理!#REF!="精査完了")*(日次管理!#REF!="予定")*(日次管理!#REF!=$A$27),日次管理!#REF!)</f>
        <v>#REF!</v>
      </c>
      <c r="AG30" s="56" t="e">
        <f>SUMPRODUCT((日次管理!#REF!&lt;=$AG$28)*(日次管理!#REF!=$A$30)*(日次管理!#REF!="精査完了")*(日次管理!#REF!="実績")*(日次管理!#REF!=$A$27),日次管理!#REF!)</f>
        <v>#REF!</v>
      </c>
      <c r="AH30" s="55" t="e">
        <f>SUMPRODUCT((日次管理!#REF!&lt;=$AH$28)*(日次管理!#REF!=$A$30)*(日次管理!#REF!="精査完了")*(日次管理!#REF!="予定")*(日次管理!#REF!=$A$27),日次管理!#REF!)</f>
        <v>#REF!</v>
      </c>
      <c r="AI30" s="56" t="e">
        <f>SUMPRODUCT((日次管理!#REF!&lt;=$AI$28)*(日次管理!#REF!=$A$30)*(日次管理!#REF!="精査完了")*(日次管理!#REF!="実績")*(日次管理!#REF!=$A$27),日次管理!#REF!)</f>
        <v>#REF!</v>
      </c>
      <c r="AJ30" s="55" t="e">
        <f>SUMPRODUCT((日次管理!#REF!&lt;=$AJ$28)*(日次管理!#REF!=$A$30)*(日次管理!#REF!="精査完了")*(日次管理!#REF!="予定")*(日次管理!#REF!=$A$27),日次管理!#REF!)</f>
        <v>#REF!</v>
      </c>
      <c r="AK30" s="56" t="e">
        <f>SUMPRODUCT((日次管理!#REF!&lt;=$AK$28)*(日次管理!#REF!=$A$30)*(日次管理!#REF!="精査完了")*(日次管理!#REF!="実績")*(日次管理!#REF!=$A$27),日次管理!#REF!)</f>
        <v>#REF!</v>
      </c>
      <c r="AL30" s="55" t="e">
        <f>SUMPRODUCT((日次管理!#REF!&lt;=$AL$28)*(日次管理!#REF!=$A$30)*(日次管理!#REF!="精査完了")*(日次管理!#REF!="予定")*(日次管理!#REF!=$A$27),日次管理!#REF!)</f>
        <v>#REF!</v>
      </c>
      <c r="AM30" s="56" t="e">
        <f>SUMPRODUCT((日次管理!#REF!&lt;=$AM$28)*(日次管理!#REF!=$A$30)*(日次管理!#REF!="精査完了")*(日次管理!#REF!="実績")*(日次管理!#REF!=$A$27),日次管理!#REF!)</f>
        <v>#REF!</v>
      </c>
      <c r="AN30" s="55" t="e">
        <f>SUMPRODUCT((日次管理!#REF!&lt;=$AN$28)*(日次管理!#REF!=$A$30)*(日次管理!#REF!="精査完了")*(日次管理!#REF!="予定")*(日次管理!#REF!=$A$27),日次管理!#REF!)</f>
        <v>#REF!</v>
      </c>
      <c r="AO30" s="56" t="e">
        <f>SUMPRODUCT((日次管理!#REF!&lt;=$AO$28)*(日次管理!#REF!=$A$30)*(日次管理!#REF!="精査完了")*(日次管理!#REF!="実績")*(日次管理!#REF!=$A$27),日次管理!#REF!)</f>
        <v>#REF!</v>
      </c>
      <c r="AP30" s="55" t="e">
        <f>SUMPRODUCT((日次管理!#REF!&lt;=$AP$28)*(日次管理!#REF!=$A$30)*(日次管理!#REF!="精査完了")*(日次管理!#REF!="予定")*(日次管理!#REF!=$A$27),日次管理!#REF!)</f>
        <v>#REF!</v>
      </c>
      <c r="AQ30" s="56" t="e">
        <f>SUMPRODUCT((日次管理!#REF!&lt;=$AQ$28)*(日次管理!#REF!=$A$30)*(日次管理!#REF!="精査完了")*(日次管理!#REF!="実績")*(日次管理!#REF!=$A$27),日次管理!#REF!)</f>
        <v>#REF!</v>
      </c>
      <c r="AR30" s="55" t="e">
        <f>SUMPRODUCT((日次管理!#REF!&lt;=$AR$28)*(日次管理!#REF!=$A$30)*(日次管理!#REF!="精査完了")*(日次管理!#REF!="予定")*(日次管理!#REF!=$A$27),日次管理!#REF!)</f>
        <v>#REF!</v>
      </c>
      <c r="AS30" s="56" t="e">
        <f>SUMPRODUCT((日次管理!#REF!&lt;=$AS$28)*(日次管理!#REF!=$A$30)*(日次管理!#REF!="精査完了")*(日次管理!#REF!="実績")*(日次管理!#REF!=$A$27),日次管理!#REF!)</f>
        <v>#REF!</v>
      </c>
      <c r="AT30" s="55" t="e">
        <f>SUMPRODUCT((日次管理!#REF!&lt;=$AT$28)*(日次管理!#REF!=$A$30)*(日次管理!#REF!="精査完了")*(日次管理!#REF!="予定")*(日次管理!#REF!=$A$27),日次管理!#REF!)</f>
        <v>#REF!</v>
      </c>
      <c r="AU30" s="56" t="e">
        <f>SUMPRODUCT((日次管理!#REF!&lt;=$AU$28)*(日次管理!#REF!=$A$30)*(日次管理!#REF!="精査完了")*(日次管理!#REF!="実績")*(日次管理!#REF!=$A$27),日次管理!#REF!)</f>
        <v>#REF!</v>
      </c>
      <c r="AV30" s="55" t="e">
        <f>SUMPRODUCT((日次管理!#REF!&lt;=$AV$28)*(日次管理!#REF!=$A$30)*(日次管理!#REF!="精査完了")*(日次管理!#REF!="予定")*(日次管理!#REF!=$A$27),日次管理!#REF!)</f>
        <v>#REF!</v>
      </c>
      <c r="AW30" s="56" t="e">
        <f>SUMPRODUCT((日次管理!#REF!&lt;=$AW$28)*(日次管理!#REF!=$A$30)*(日次管理!#REF!="精査完了")*(日次管理!#REF!="実績")*(日次管理!#REF!=$A$27),日次管理!#REF!)</f>
        <v>#REF!</v>
      </c>
      <c r="AX30" s="55" t="e">
        <f>SUMPRODUCT((日次管理!#REF!&lt;=$AX$28)*(日次管理!#REF!=$A$30)*(日次管理!#REF!="精査完了")*(日次管理!#REF!="予定")*(日次管理!#REF!=$A$27),日次管理!#REF!)</f>
        <v>#REF!</v>
      </c>
      <c r="AY30" s="56" t="e">
        <f>SUMPRODUCT((日次管理!#REF!&lt;=$AY$28)*(日次管理!#REF!=$A$30)*(日次管理!#REF!="精査完了")*(日次管理!#REF!="実績")*(日次管理!#REF!=$A$27),日次管理!#REF!)</f>
        <v>#REF!</v>
      </c>
      <c r="AZ30" s="55" t="e">
        <f>SUMPRODUCT((日次管理!#REF!&lt;=$AZ$28)*(日次管理!#REF!=$A$30)*(日次管理!#REF!="精査完了")*(日次管理!#REF!="予定")*(日次管理!#REF!=$A$27),日次管理!#REF!)</f>
        <v>#REF!</v>
      </c>
      <c r="BA30" s="56" t="e">
        <f>SUMPRODUCT((日次管理!#REF!&lt;=$BA$28)*(日次管理!#REF!=$A$30)*(日次管理!#REF!="精査完了")*(日次管理!#REF!="実績")*(日次管理!#REF!=$A$27),日次管理!#REF!)</f>
        <v>#REF!</v>
      </c>
      <c r="BB30" s="55" t="e">
        <f>SUMPRODUCT((日次管理!#REF!&lt;=$BB$28)*(日次管理!#REF!=$A$30)*(日次管理!#REF!="精査完了")*(日次管理!#REF!="予定")*(日次管理!#REF!=$A$27),日次管理!#REF!)</f>
        <v>#REF!</v>
      </c>
      <c r="BC30" s="56" t="e">
        <f>SUMPRODUCT((日次管理!#REF!&lt;=$BC$28)*(日次管理!#REF!=$A$30)*(日次管理!#REF!="精査完了")*(日次管理!#REF!="実績")*(日次管理!#REF!=$A$27),日次管理!#REF!)</f>
        <v>#REF!</v>
      </c>
      <c r="BD30" s="55" t="e">
        <f>SUMPRODUCT((日次管理!#REF!&lt;=$BD$28)*(日次管理!#REF!=$A$30)*(日次管理!#REF!="精査完了")*(日次管理!#REF!="予定")*(日次管理!#REF!=$A$27),日次管理!#REF!)</f>
        <v>#REF!</v>
      </c>
      <c r="BE30" s="56" t="e">
        <f>SUMPRODUCT((日次管理!#REF!&lt;=$BE$28)*(日次管理!#REF!=$A$30)*(日次管理!#REF!="精査完了")*(日次管理!#REF!="実績")*(日次管理!#REF!=$A$27),日次管理!#REF!)</f>
        <v>#REF!</v>
      </c>
      <c r="BF30" s="55" t="e">
        <f>SUMPRODUCT((日次管理!#REF!&lt;=$BF$28)*(日次管理!#REF!=$A$30)*(日次管理!#REF!="精査完了")*(日次管理!#REF!="予定")*(日次管理!#REF!=$A$27),日次管理!#REF!)</f>
        <v>#REF!</v>
      </c>
      <c r="BG30" s="56" t="e">
        <f>SUMPRODUCT((日次管理!#REF!&lt;=$BG$28)*(日次管理!#REF!=$A$30)*(日次管理!#REF!="精査完了")*(日次管理!#REF!="実績")*(日次管理!#REF!=$A$27),日次管理!#REF!)</f>
        <v>#REF!</v>
      </c>
      <c r="BH30" s="55" t="e">
        <f>SUMPRODUCT((日次管理!#REF!&lt;=$BH$28)*(日次管理!#REF!=$A$30)*(日次管理!#REF!="精査完了")*(日次管理!#REF!="予定")*(日次管理!#REF!=$A$27),日次管理!#REF!)</f>
        <v>#REF!</v>
      </c>
      <c r="BI30" s="56" t="e">
        <f>SUMPRODUCT((日次管理!#REF!&lt;=$BI$28)*(日次管理!#REF!=$A$30)*(日次管理!#REF!="精査完了")*(日次管理!#REF!="実績")*(日次管理!#REF!=$A$27),日次管理!#REF!)</f>
        <v>#REF!</v>
      </c>
      <c r="BJ30" s="55" t="e">
        <f>SUMPRODUCT((日次管理!#REF!&lt;=$BJ$28)*(日次管理!#REF!=$A$30)*(日次管理!#REF!="精査完了")*(日次管理!#REF!="予定")*(日次管理!#REF!=$A$27),日次管理!#REF!)</f>
        <v>#REF!</v>
      </c>
      <c r="BK30" s="56" t="e">
        <f>SUMPRODUCT((日次管理!#REF!&lt;=$BK$28)*(日次管理!#REF!=$A$30)*(日次管理!#REF!="精査完了")*(日次管理!#REF!="実績")*(日次管理!#REF!=$A$27),日次管理!#REF!)</f>
        <v>#REF!</v>
      </c>
      <c r="BL30" s="55" t="e">
        <f>SUMPRODUCT((日次管理!#REF!&lt;=$BL$28)*(日次管理!#REF!=$A$30)*(日次管理!#REF!="精査完了")*(日次管理!#REF!="予定")*(日次管理!#REF!=$A$27),日次管理!#REF!)</f>
        <v>#REF!</v>
      </c>
      <c r="BM30" s="56" t="e">
        <f>SUMPRODUCT((日次管理!#REF!&lt;=$BM$28)*(日次管理!#REF!=$A$30)*(日次管理!#REF!="精査完了")*(日次管理!#REF!="実績")*(日次管理!#REF!=$A$27),日次管理!#REF!)</f>
        <v>#REF!</v>
      </c>
      <c r="BN30" s="55" t="e">
        <f>SUMPRODUCT((日次管理!#REF!&lt;=$BN$28)*(日次管理!#REF!=$A$30)*(日次管理!#REF!="精査完了")*(日次管理!#REF!="予定")*(日次管理!#REF!=$A$27),日次管理!#REF!)</f>
        <v>#REF!</v>
      </c>
      <c r="BO30" s="56" t="e">
        <f>SUMPRODUCT((日次管理!#REF!&lt;=$BO$28)*(日次管理!#REF!=$A$30)*(日次管理!#REF!="精査完了")*(日次管理!#REF!="実績")*(日次管理!#REF!=$A$27),日次管理!#REF!)</f>
        <v>#REF!</v>
      </c>
      <c r="BP30" s="55" t="e">
        <f>SUMPRODUCT((日次管理!#REF!&lt;=$BP$28)*(日次管理!#REF!=$A$30)*(日次管理!#REF!="精査完了")*(日次管理!#REF!="予定")*(日次管理!#REF!=$A$27),日次管理!#REF!)</f>
        <v>#REF!</v>
      </c>
      <c r="BQ30" s="56" t="e">
        <f>SUMPRODUCT((日次管理!#REF!&lt;=$BQ$28)*(日次管理!#REF!=$A$30)*(日次管理!#REF!="精査完了")*(日次管理!#REF!="実績")*(日次管理!#REF!=$A$27),日次管理!#REF!)</f>
        <v>#REF!</v>
      </c>
      <c r="BR30" s="55" t="e">
        <f>SUMPRODUCT((日次管理!#REF!&lt;=$BR$28)*(日次管理!#REF!=$A$30)*(日次管理!#REF!="精査完了")*(日次管理!#REF!="予定")*(日次管理!#REF!=$A$27),日次管理!#REF!)</f>
        <v>#REF!</v>
      </c>
      <c r="BS30" s="56" t="e">
        <f>SUMPRODUCT((日次管理!#REF!&lt;=$BS$28)*(日次管理!#REF!=$A$30)*(日次管理!#REF!="精査完了")*(日次管理!#REF!="実績")*(日次管理!#REF!=$A$27),日次管理!#REF!)</f>
        <v>#REF!</v>
      </c>
      <c r="BT30" s="55" t="e">
        <f>SUMPRODUCT((日次管理!#REF!&lt;=$BT$28)*(日次管理!#REF!=$A$30)*(日次管理!#REF!="精査完了")*(日次管理!#REF!="予定")*(日次管理!#REF!=$A$27),日次管理!#REF!)</f>
        <v>#REF!</v>
      </c>
      <c r="BU30" s="56" t="e">
        <f>SUMPRODUCT((日次管理!#REF!&lt;=$BU$28)*(日次管理!#REF!=$A$30)*(日次管理!#REF!="精査完了")*(日次管理!#REF!="実績")*(日次管理!#REF!=$A$27),日次管理!#REF!)</f>
        <v>#REF!</v>
      </c>
      <c r="BV30" s="55" t="e">
        <f>SUMPRODUCT((日次管理!#REF!&lt;=$BV$28)*(日次管理!#REF!=$A$30)*(日次管理!#REF!="精査完了")*(日次管理!#REF!="予定")*(日次管理!#REF!=$A$27),日次管理!#REF!)</f>
        <v>#REF!</v>
      </c>
      <c r="BW30" s="56" t="e">
        <f>SUMPRODUCT((日次管理!#REF!&lt;=$BW$28)*(日次管理!#REF!=$A$30)*(日次管理!#REF!="精査完了")*(日次管理!#REF!="実績")*(日次管理!#REF!=$A$27),日次管理!#REF!)</f>
        <v>#REF!</v>
      </c>
      <c r="BX30" s="55" t="e">
        <f>SUMPRODUCT((日次管理!#REF!&lt;=$BX$28)*(日次管理!#REF!=$A$30)*(日次管理!#REF!="精査完了")*(日次管理!#REF!="予定")*(日次管理!#REF!=$A$27),日次管理!#REF!)</f>
        <v>#REF!</v>
      </c>
      <c r="BY30" s="56" t="e">
        <f>SUMPRODUCT((日次管理!#REF!&lt;=$BY$28)*(日次管理!#REF!=$A$30)*(日次管理!#REF!="精査完了")*(日次管理!#REF!="実績")*(日次管理!#REF!=$A$27),日次管理!#REF!)</f>
        <v>#REF!</v>
      </c>
      <c r="BZ30" s="55" t="e">
        <f>SUMPRODUCT((日次管理!#REF!&lt;=$BZ$28)*(日次管理!#REF!=$A$30)*(日次管理!#REF!="精査完了")*(日次管理!#REF!="予定")*(日次管理!#REF!=$A$27),日次管理!#REF!)</f>
        <v>#REF!</v>
      </c>
      <c r="CA30" s="56" t="e">
        <f>SUMPRODUCT((日次管理!#REF!&lt;=$CA$28)*(日次管理!#REF!=$A$30)*(日次管理!#REF!="精査完了")*(日次管理!#REF!="実績")*(日次管理!#REF!=$A$27),日次管理!#REF!)</f>
        <v>#REF!</v>
      </c>
      <c r="CB30" s="55" t="e">
        <f>SUMPRODUCT((日次管理!#REF!&lt;=$CB$28)*(日次管理!#REF!=$A$30)*(日次管理!#REF!="精査完了")*(日次管理!#REF!="予定")*(日次管理!#REF!=$A$27),日次管理!#REF!)</f>
        <v>#REF!</v>
      </c>
      <c r="CC30" s="56" t="e">
        <f>SUMPRODUCT((日次管理!#REF!&lt;=$CC$28)*(日次管理!#REF!=$A$30)*(日次管理!#REF!="精査完了")*(日次管理!#REF!="実績")*(日次管理!#REF!=$A$27),日次管理!#REF!)</f>
        <v>#REF!</v>
      </c>
      <c r="CD30" s="55" t="e">
        <f>SUMPRODUCT((日次管理!#REF!&lt;=$CD$28)*(日次管理!#REF!=$A$30)*(日次管理!#REF!="精査完了")*(日次管理!#REF!="予定")*(日次管理!#REF!=$A$27),日次管理!#REF!)</f>
        <v>#REF!</v>
      </c>
      <c r="CE30" s="56" t="e">
        <f>SUMPRODUCT((日次管理!#REF!&lt;=$CE$28)*(日次管理!#REF!=$A$30)*(日次管理!#REF!="精査完了")*(日次管理!#REF!="実績")*(日次管理!#REF!=$A$27),日次管理!#REF!)</f>
        <v>#REF!</v>
      </c>
      <c r="CF30" s="55" t="e">
        <f>SUMPRODUCT((日次管理!#REF!&lt;=$CF$28)*(日次管理!#REF!=$A$30)*(日次管理!#REF!="精査完了")*(日次管理!#REF!="予定")*(日次管理!#REF!=$A$27),日次管理!#REF!)</f>
        <v>#REF!</v>
      </c>
      <c r="CG30" s="56" t="e">
        <f>SUMPRODUCT((日次管理!#REF!&lt;=$CG$28)*(日次管理!#REF!=$A$30)*(日次管理!#REF!="精査完了")*(日次管理!#REF!="実績")*(日次管理!#REF!=$A$27),日次管理!#REF!)</f>
        <v>#REF!</v>
      </c>
      <c r="CH30" s="55" t="e">
        <f>SUMPRODUCT((日次管理!#REF!&lt;=$CH$28)*(日次管理!#REF!=$A$30)*(日次管理!#REF!="精査完了")*(日次管理!#REF!="予定")*(日次管理!#REF!=$A$27),日次管理!#REF!)</f>
        <v>#REF!</v>
      </c>
      <c r="CI30" s="56" t="e">
        <f>SUMPRODUCT((日次管理!#REF!&lt;=$CI$28)*(日次管理!#REF!=$A$30)*(日次管理!#REF!="精査完了")*(日次管理!#REF!="実績")*(日次管理!#REF!=$A$27),日次管理!#REF!)</f>
        <v>#REF!</v>
      </c>
      <c r="CJ30" s="55" t="e">
        <f>SUMPRODUCT((日次管理!#REF!&lt;=$CJ$28)*(日次管理!#REF!=$A$30)*(日次管理!#REF!="精査完了")*(日次管理!#REF!="予定")*(日次管理!#REF!=$A$27),日次管理!#REF!)</f>
        <v>#REF!</v>
      </c>
      <c r="CK30" s="56" t="e">
        <f>SUMPRODUCT((日次管理!#REF!&lt;=$CK$28)*(日次管理!#REF!=$A$30)*(日次管理!#REF!="精査完了")*(日次管理!#REF!="実績")*(日次管理!#REF!=$A$27),日次管理!#REF!)</f>
        <v>#REF!</v>
      </c>
      <c r="CL30" s="55" t="e">
        <f>SUMPRODUCT((日次管理!#REF!&lt;=$CL$28)*(日次管理!#REF!=$A$30)*(日次管理!#REF!="精査完了")*(日次管理!#REF!="予定")*(日次管理!#REF!=$A$27),日次管理!#REF!)</f>
        <v>#REF!</v>
      </c>
      <c r="CM30" s="56" t="e">
        <f>SUMPRODUCT((日次管理!#REF!&lt;=$CM$28)*(日次管理!#REF!=$A$30)*(日次管理!#REF!="精査完了")*(日次管理!#REF!="実績")*(日次管理!#REF!=$A$27),日次管理!#REF!)</f>
        <v>#REF!</v>
      </c>
      <c r="CN30" s="55" t="e">
        <f>SUMPRODUCT((日次管理!#REF!&lt;=$CN$28)*(日次管理!#REF!=$A$30)*(日次管理!#REF!="精査完了")*(日次管理!#REF!="予定")*(日次管理!#REF!=$A$27),日次管理!#REF!)</f>
        <v>#REF!</v>
      </c>
      <c r="CO30" s="56" t="e">
        <f>SUMPRODUCT((日次管理!#REF!&lt;=$CO$28)*(日次管理!#REF!=$A$30)*(日次管理!#REF!="精査完了")*(日次管理!#REF!="実績")*(日次管理!#REF!=$A$27),日次管理!#REF!)</f>
        <v>#REF!</v>
      </c>
      <c r="CP30" s="55" t="e">
        <f>SUMPRODUCT((日次管理!#REF!&lt;=$CP$28)*(日次管理!#REF!=$A$30)*(日次管理!#REF!="精査完了")*(日次管理!#REF!="予定")*(日次管理!#REF!=$A$27),日次管理!#REF!)</f>
        <v>#REF!</v>
      </c>
      <c r="CQ30" s="56" t="e">
        <f>SUMPRODUCT((日次管理!#REF!&lt;=$CQ$28)*(日次管理!#REF!=$A$30)*(日次管理!#REF!="精査完了")*(日次管理!#REF!="実績")*(日次管理!#REF!=$A$27),日次管理!#REF!)</f>
        <v>#REF!</v>
      </c>
      <c r="CR30" s="55" t="e">
        <f>SUMPRODUCT((日次管理!#REF!&lt;=$CR$28)*(日次管理!#REF!=$A$30)*(日次管理!#REF!="精査完了")*(日次管理!#REF!="予定")*(日次管理!#REF!=$A$27),日次管理!#REF!)</f>
        <v>#REF!</v>
      </c>
      <c r="CS30" s="56" t="e">
        <f>SUMPRODUCT((日次管理!#REF!&lt;=$CS$28)*(日次管理!#REF!=$A$30)*(日次管理!#REF!="精査完了")*(日次管理!#REF!="実績")*(日次管理!#REF!=$A$27),日次管理!#REF!)</f>
        <v>#REF!</v>
      </c>
      <c r="CT30" s="55" t="e">
        <f>SUMPRODUCT((日次管理!#REF!&lt;=$CT$28)*(日次管理!#REF!=$A$30)*(日次管理!#REF!="精査完了")*(日次管理!#REF!="予定")*(日次管理!#REF!=$A$27),日次管理!#REF!)</f>
        <v>#REF!</v>
      </c>
      <c r="CU30" s="56" t="e">
        <f>SUMPRODUCT((日次管理!#REF!&lt;=$CU$28)*(日次管理!#REF!=$A$30)*(日次管理!#REF!="精査完了")*(日次管理!#REF!="実績")*(日次管理!#REF!=$A$27),日次管理!#REF!)</f>
        <v>#REF!</v>
      </c>
      <c r="CV30" s="57" t="e">
        <f ca="1">SUMPRODUCT(($A$28- WEEKDAY($A$28) + 6 =$B$28:$CU$28)*("実績"=$B$29:$CU$29),$B$30:$CU$30)/SUMPRODUCT(($A$28- WEEKDAY($A$28) + 6 =$B$28:$CU$28)*("予定"=$B$29:$CU$29),$B$30:$CU$30)</f>
        <v>#REF!</v>
      </c>
      <c r="CW30" s="58" t="e">
        <f>$CU$30/$CT$30</f>
        <v>#REF!</v>
      </c>
    </row>
    <row r="31" spans="1:101" ht="20.149999999999999" customHeight="1">
      <c r="A31" s="104" t="s">
        <v>77</v>
      </c>
      <c r="B31" s="91" t="e">
        <f>SUMPRODUCT((日次管理!#REF!&lt;=$B$28)*(日次管理!#REF!=$A$31)*(日次管理!#REF!="精査完了")*(日次管理!#REF!="予定")*(日次管理!#REF!=$A$27),日次管理!#REF!)</f>
        <v>#REF!</v>
      </c>
      <c r="C31" s="59" t="e">
        <f>SUMPRODUCT((日次管理!#REF!&lt;=$C$28)*(日次管理!#REF!=$A$31)*(日次管理!#REF!="精査完了")*(日次管理!#REF!="実績")*(日次管理!#REF!=$A$27),日次管理!#REF!)</f>
        <v>#REF!</v>
      </c>
      <c r="D31" s="91" t="e">
        <f>SUMPRODUCT((日次管理!#REF!&lt;=$D$28)*(日次管理!#REF!=$A$31)*(日次管理!#REF!="精査完了")*(日次管理!#REF!="予定")*(日次管理!#REF!=$A$27),日次管理!#REF!)</f>
        <v>#REF!</v>
      </c>
      <c r="E31" s="59" t="e">
        <f>SUMPRODUCT((日次管理!#REF!&lt;=$E$28)*(日次管理!#REF!=$A$31)*(日次管理!#REF!="精査完了")*(日次管理!#REF!="実績")*(日次管理!#REF!=$A$27),日次管理!#REF!)</f>
        <v>#REF!</v>
      </c>
      <c r="F31" s="91" t="e">
        <f>SUMPRODUCT((日次管理!#REF!&lt;=$F$28)*(日次管理!#REF!=$A$31)*(日次管理!#REF!="精査完了")*(日次管理!#REF!="予定")*(日次管理!#REF!=$A$27),日次管理!#REF!)</f>
        <v>#REF!</v>
      </c>
      <c r="G31" s="59" t="e">
        <f>SUMPRODUCT((日次管理!#REF!&lt;=$G$28)*(日次管理!#REF!=$A$31)*(日次管理!#REF!="精査完了")*(日次管理!#REF!="実績")*(日次管理!#REF!=$A$27),日次管理!#REF!)</f>
        <v>#REF!</v>
      </c>
      <c r="H31" s="91" t="e">
        <f>SUMPRODUCT((日次管理!#REF!&lt;=$H$28)*(日次管理!#REF!=$A$31)*(日次管理!#REF!="精査完了")*(日次管理!#REF!="予定")*(日次管理!#REF!=$A$27),日次管理!#REF!)</f>
        <v>#REF!</v>
      </c>
      <c r="I31" s="59" t="e">
        <f>SUMPRODUCT((日次管理!#REF!&lt;=$I$28)*(日次管理!#REF!=$A$31)*(日次管理!#REF!="精査完了")*(日次管理!#REF!="実績")*(日次管理!#REF!=$A$27),日次管理!#REF!)</f>
        <v>#REF!</v>
      </c>
      <c r="J31" s="91" t="e">
        <f>SUMPRODUCT((日次管理!#REF!&lt;=$J$28)*(日次管理!#REF!=$A$31)*(日次管理!#REF!="精査完了")*(日次管理!#REF!="予定")*(日次管理!#REF!=$A$27),日次管理!#REF!)</f>
        <v>#REF!</v>
      </c>
      <c r="K31" s="59" t="e">
        <f>SUMPRODUCT((日次管理!#REF!&lt;=$K$28)*(日次管理!#REF!=$A$31)*(日次管理!#REF!="精査完了")*(日次管理!#REF!="実績")*(日次管理!#REF!=$A$27),日次管理!#REF!)</f>
        <v>#REF!</v>
      </c>
      <c r="L31" s="91" t="e">
        <f>SUMPRODUCT((日次管理!#REF!&lt;=$L$28)*(日次管理!#REF!=$A$31)*(日次管理!#REF!="精査完了")*(日次管理!#REF!="予定")*(日次管理!#REF!=$A$27),日次管理!#REF!)</f>
        <v>#REF!</v>
      </c>
      <c r="M31" s="59" t="e">
        <f>SUMPRODUCT((日次管理!#REF!&lt;=$M$28)*(日次管理!#REF!=$A$31)*(日次管理!#REF!="精査完了")*(日次管理!#REF!="実績")*(日次管理!#REF!=$A$27),日次管理!#REF!)</f>
        <v>#REF!</v>
      </c>
      <c r="N31" s="91" t="e">
        <f>SUMPRODUCT((日次管理!#REF!&lt;=$N$28)*(日次管理!#REF!=$A$31)*(日次管理!#REF!="精査完了")*(日次管理!#REF!="予定")*(日次管理!#REF!=$A$27),日次管理!#REF!)</f>
        <v>#REF!</v>
      </c>
      <c r="O31" s="59" t="e">
        <f>SUMPRODUCT((日次管理!#REF!&lt;=$O$28)*(日次管理!#REF!=$A$31)*(日次管理!#REF!="精査完了")*(日次管理!#REF!="実績")*(日次管理!#REF!=$A$27),日次管理!#REF!)</f>
        <v>#REF!</v>
      </c>
      <c r="P31" s="91" t="e">
        <f>SUMPRODUCT((日次管理!#REF!&lt;=$P$28)*(日次管理!#REF!=$A$31)*(日次管理!#REF!="精査完了")*(日次管理!#REF!="予定")*(日次管理!#REF!=$A$27),日次管理!#REF!)</f>
        <v>#REF!</v>
      </c>
      <c r="Q31" s="59" t="e">
        <f>SUMPRODUCT((日次管理!#REF!&lt;=$Q$28)*(日次管理!#REF!=$A$31)*(日次管理!#REF!="精査完了")*(日次管理!#REF!="実績")*(日次管理!#REF!=$A$27),日次管理!#REF!)</f>
        <v>#REF!</v>
      </c>
      <c r="R31" s="91" t="e">
        <f>SUMPRODUCT((日次管理!#REF!&lt;=$R$28)*(日次管理!#REF!=$A$31)*(日次管理!#REF!="精査完了")*(日次管理!#REF!="予定")*(日次管理!#REF!=$A$27),日次管理!#REF!)</f>
        <v>#REF!</v>
      </c>
      <c r="S31" s="59" t="e">
        <f>SUMPRODUCT((日次管理!#REF!&lt;=$S$28)*(日次管理!#REF!=$A$31)*(日次管理!#REF!="精査完了")*(日次管理!#REF!="実績")*(日次管理!#REF!=$A$27),日次管理!#REF!)</f>
        <v>#REF!</v>
      </c>
      <c r="T31" s="91" t="e">
        <f>SUMPRODUCT((日次管理!#REF!&lt;=$T$28)*(日次管理!#REF!=$A$31)*(日次管理!#REF!="精査完了")*(日次管理!#REF!="予定")*(日次管理!#REF!=$A$27),日次管理!#REF!)</f>
        <v>#REF!</v>
      </c>
      <c r="U31" s="59" t="e">
        <f>SUMPRODUCT((日次管理!#REF!&lt;=$U$28)*(日次管理!#REF!=$A$31)*(日次管理!#REF!="精査完了")*(日次管理!#REF!="実績")*(日次管理!#REF!=$A$27),日次管理!#REF!)</f>
        <v>#REF!</v>
      </c>
      <c r="V31" s="91" t="e">
        <f>SUMPRODUCT((日次管理!#REF!&lt;=$V$28)*(日次管理!#REF!=$A$31)*(日次管理!#REF!="精査完了")*(日次管理!#REF!="予定")*(日次管理!#REF!=$A$27),日次管理!#REF!)</f>
        <v>#REF!</v>
      </c>
      <c r="W31" s="59" t="e">
        <f>SUMPRODUCT((日次管理!#REF!&lt;=$W$28)*(日次管理!#REF!=$A$31)*(日次管理!#REF!="精査完了")*(日次管理!#REF!="実績")*(日次管理!#REF!=$A$27),日次管理!#REF!)</f>
        <v>#REF!</v>
      </c>
      <c r="X31" s="91" t="e">
        <f>SUMPRODUCT((日次管理!#REF!&lt;=$X$28)*(日次管理!#REF!=$A$31)*(日次管理!#REF!="精査完了")*(日次管理!#REF!="予定")*(日次管理!#REF!=$A$27),日次管理!#REF!)</f>
        <v>#REF!</v>
      </c>
      <c r="Y31" s="59" t="e">
        <f>SUMPRODUCT((日次管理!#REF!&lt;=$Y$28)*(日次管理!#REF!=$A$31)*(日次管理!#REF!="精査完了")*(日次管理!#REF!="実績")*(日次管理!#REF!=$A$27),日次管理!#REF!)</f>
        <v>#REF!</v>
      </c>
      <c r="Z31" s="91" t="e">
        <f>SUMPRODUCT((日次管理!#REF!&lt;=$Z$28)*(日次管理!#REF!=$A$31)*(日次管理!#REF!="精査完了")*(日次管理!#REF!="予定")*(日次管理!#REF!=$A$27),日次管理!#REF!)</f>
        <v>#REF!</v>
      </c>
      <c r="AA31" s="59" t="e">
        <f>SUMPRODUCT((日次管理!#REF!&lt;=$AA$28)*(日次管理!#REF!=$A$31)*(日次管理!#REF!="精査完了")*(日次管理!#REF!="実績")*(日次管理!#REF!=$A$27),日次管理!#REF!)</f>
        <v>#REF!</v>
      </c>
      <c r="AB31" s="91" t="e">
        <f>SUMPRODUCT((日次管理!#REF!&lt;=$AB$28)*(日次管理!#REF!=$A$31)*(日次管理!#REF!="精査完了")*(日次管理!#REF!="予定")*(日次管理!#REF!=$A$27),日次管理!#REF!)</f>
        <v>#REF!</v>
      </c>
      <c r="AC31" s="59" t="e">
        <f>SUMPRODUCT((日次管理!#REF!&lt;=$AC$28)*(日次管理!#REF!=$A$31)*(日次管理!#REF!="精査完了")*(日次管理!#REF!="実績")*(日次管理!#REF!=$A$27),日次管理!#REF!)</f>
        <v>#REF!</v>
      </c>
      <c r="AD31" s="91" t="e">
        <f>SUMPRODUCT((日次管理!#REF!&lt;=$AD$28)*(日次管理!#REF!=$A$31)*(日次管理!#REF!="精査完了")*(日次管理!#REF!="予定")*(日次管理!#REF!=$A$27),日次管理!#REF!)</f>
        <v>#REF!</v>
      </c>
      <c r="AE31" s="59" t="e">
        <f>SUMPRODUCT((日次管理!#REF!&lt;=$AE$28)*(日次管理!#REF!=$A$31)*(日次管理!#REF!="精査完了")*(日次管理!#REF!="実績")*(日次管理!#REF!=$A$27),日次管理!#REF!)</f>
        <v>#REF!</v>
      </c>
      <c r="AF31" s="91" t="e">
        <f>SUMPRODUCT((日次管理!#REF!&lt;=$AF$28)*(日次管理!#REF!=$A$31)*(日次管理!#REF!="精査完了")*(日次管理!#REF!="予定")*(日次管理!#REF!=$A$27),日次管理!#REF!)</f>
        <v>#REF!</v>
      </c>
      <c r="AG31" s="59" t="e">
        <f>SUMPRODUCT((日次管理!#REF!&lt;=$AG$28)*(日次管理!#REF!=$A$31)*(日次管理!#REF!="精査完了")*(日次管理!#REF!="実績")*(日次管理!#REF!=$A$27),日次管理!#REF!)</f>
        <v>#REF!</v>
      </c>
      <c r="AH31" s="91" t="e">
        <f>SUMPRODUCT((日次管理!#REF!&lt;=$AH$28)*(日次管理!#REF!=$A$31)*(日次管理!#REF!="精査完了")*(日次管理!#REF!="予定")*(日次管理!#REF!=$A$27),日次管理!#REF!)</f>
        <v>#REF!</v>
      </c>
      <c r="AI31" s="59" t="e">
        <f>SUMPRODUCT((日次管理!#REF!&lt;=$AI$28)*(日次管理!#REF!=$A$31)*(日次管理!#REF!="精査完了")*(日次管理!#REF!="実績")*(日次管理!#REF!=$A$27),日次管理!#REF!)</f>
        <v>#REF!</v>
      </c>
      <c r="AJ31" s="91" t="e">
        <f>SUMPRODUCT((日次管理!#REF!&lt;=$AJ$28)*(日次管理!#REF!=$A$31)*(日次管理!#REF!="精査完了")*(日次管理!#REF!="予定")*(日次管理!#REF!=$A$27),日次管理!#REF!)</f>
        <v>#REF!</v>
      </c>
      <c r="AK31" s="59" t="e">
        <f>SUMPRODUCT((日次管理!#REF!&lt;=$AK$28)*(日次管理!#REF!=$A$31)*(日次管理!#REF!="精査完了")*(日次管理!#REF!="実績")*(日次管理!#REF!=$A$27),日次管理!#REF!)</f>
        <v>#REF!</v>
      </c>
      <c r="AL31" s="91" t="e">
        <f>SUMPRODUCT((日次管理!#REF!&lt;=$AL$28)*(日次管理!#REF!=$A$31)*(日次管理!#REF!="精査完了")*(日次管理!#REF!="予定")*(日次管理!#REF!=$A$27),日次管理!#REF!)</f>
        <v>#REF!</v>
      </c>
      <c r="AM31" s="59" t="e">
        <f>SUMPRODUCT((日次管理!#REF!&lt;=$AM$28)*(日次管理!#REF!=$A$31)*(日次管理!#REF!="精査完了")*(日次管理!#REF!="実績")*(日次管理!#REF!=$A$27),日次管理!#REF!)</f>
        <v>#REF!</v>
      </c>
      <c r="AN31" s="91" t="e">
        <f>SUMPRODUCT((日次管理!#REF!&lt;=$AN$28)*(日次管理!#REF!=$A$31)*(日次管理!#REF!="精査完了")*(日次管理!#REF!="予定")*(日次管理!#REF!=$A$27),日次管理!#REF!)</f>
        <v>#REF!</v>
      </c>
      <c r="AO31" s="59" t="e">
        <f>SUMPRODUCT((日次管理!#REF!&lt;=$AO$28)*(日次管理!#REF!=$A$31)*(日次管理!#REF!="精査完了")*(日次管理!#REF!="実績")*(日次管理!#REF!=$A$27),日次管理!#REF!)</f>
        <v>#REF!</v>
      </c>
      <c r="AP31" s="91" t="e">
        <f>SUMPRODUCT((日次管理!#REF!&lt;=$AP$28)*(日次管理!#REF!=$A$31)*(日次管理!#REF!="精査完了")*(日次管理!#REF!="予定")*(日次管理!#REF!=$A$27),日次管理!#REF!)</f>
        <v>#REF!</v>
      </c>
      <c r="AQ31" s="59" t="e">
        <f>SUMPRODUCT((日次管理!#REF!&lt;=$AQ$28)*(日次管理!#REF!=$A$31)*(日次管理!#REF!="精査完了")*(日次管理!#REF!="実績")*(日次管理!#REF!=$A$27),日次管理!#REF!)</f>
        <v>#REF!</v>
      </c>
      <c r="AR31" s="91" t="e">
        <f>SUMPRODUCT((日次管理!#REF!&lt;=$AR$28)*(日次管理!#REF!=$A$31)*(日次管理!#REF!="精査完了")*(日次管理!#REF!="予定")*(日次管理!#REF!=$A$27),日次管理!#REF!)</f>
        <v>#REF!</v>
      </c>
      <c r="AS31" s="59" t="e">
        <f>SUMPRODUCT((日次管理!#REF!&lt;=$AS$28)*(日次管理!#REF!=$A$31)*(日次管理!#REF!="精査完了")*(日次管理!#REF!="実績")*(日次管理!#REF!=$A$27),日次管理!#REF!)</f>
        <v>#REF!</v>
      </c>
      <c r="AT31" s="91" t="e">
        <f>SUMPRODUCT((日次管理!#REF!&lt;=$AT$28)*(日次管理!#REF!=$A$31)*(日次管理!#REF!="精査完了")*(日次管理!#REF!="予定")*(日次管理!#REF!=$A$27),日次管理!#REF!)</f>
        <v>#REF!</v>
      </c>
      <c r="AU31" s="59" t="e">
        <f>SUMPRODUCT((日次管理!#REF!&lt;=$AU$28)*(日次管理!#REF!=$A$31)*(日次管理!#REF!="精査完了")*(日次管理!#REF!="実績")*(日次管理!#REF!=$A$27),日次管理!#REF!)</f>
        <v>#REF!</v>
      </c>
      <c r="AV31" s="91" t="e">
        <f>SUMPRODUCT((日次管理!#REF!&lt;=$AV$28)*(日次管理!#REF!=$A$31)*(日次管理!#REF!="精査完了")*(日次管理!#REF!="予定")*(日次管理!#REF!=$A$27),日次管理!#REF!)</f>
        <v>#REF!</v>
      </c>
      <c r="AW31" s="59" t="e">
        <f>SUMPRODUCT((日次管理!#REF!&lt;=$AW$28)*(日次管理!#REF!=$A$31)*(日次管理!#REF!="精査完了")*(日次管理!#REF!="実績")*(日次管理!#REF!=$A$27),日次管理!#REF!)</f>
        <v>#REF!</v>
      </c>
      <c r="AX31" s="91" t="e">
        <f>SUMPRODUCT((日次管理!#REF!&lt;=$AX$28)*(日次管理!#REF!=$A$31)*(日次管理!#REF!="精査完了")*(日次管理!#REF!="予定")*(日次管理!#REF!=$A$27),日次管理!#REF!)</f>
        <v>#REF!</v>
      </c>
      <c r="AY31" s="59" t="e">
        <f>SUMPRODUCT((日次管理!#REF!&lt;=$AY$28)*(日次管理!#REF!=$A$31)*(日次管理!#REF!="精査完了")*(日次管理!#REF!="実績")*(日次管理!#REF!=$A$27),日次管理!#REF!)</f>
        <v>#REF!</v>
      </c>
      <c r="AZ31" s="91" t="e">
        <f>SUMPRODUCT((日次管理!#REF!&lt;=$AZ$28)*(日次管理!#REF!=$A$31)*(日次管理!#REF!="精査完了")*(日次管理!#REF!="予定")*(日次管理!#REF!=$A$27),日次管理!#REF!)</f>
        <v>#REF!</v>
      </c>
      <c r="BA31" s="59" t="e">
        <f>SUMPRODUCT((日次管理!#REF!&lt;=$BA$28)*(日次管理!#REF!=$A$31)*(日次管理!#REF!="精査完了")*(日次管理!#REF!="実績")*(日次管理!#REF!=$A$27),日次管理!#REF!)</f>
        <v>#REF!</v>
      </c>
      <c r="BB31" s="91" t="e">
        <f>SUMPRODUCT((日次管理!#REF!&lt;=$BB$28)*(日次管理!#REF!=$A$31)*(日次管理!#REF!="精査完了")*(日次管理!#REF!="予定")*(日次管理!#REF!=$A$27),日次管理!#REF!)</f>
        <v>#REF!</v>
      </c>
      <c r="BC31" s="59" t="e">
        <f>SUMPRODUCT((日次管理!#REF!&lt;=$BC$28)*(日次管理!#REF!=$A$31)*(日次管理!#REF!="精査完了")*(日次管理!#REF!="実績")*(日次管理!#REF!=$A$27),日次管理!#REF!)</f>
        <v>#REF!</v>
      </c>
      <c r="BD31" s="91" t="e">
        <f>SUMPRODUCT((日次管理!#REF!&lt;=$BD$28)*(日次管理!#REF!=$A$31)*(日次管理!#REF!="精査完了")*(日次管理!#REF!="予定")*(日次管理!#REF!=$A$27),日次管理!#REF!)</f>
        <v>#REF!</v>
      </c>
      <c r="BE31" s="59" t="e">
        <f>SUMPRODUCT((日次管理!#REF!&lt;=$BE$28)*(日次管理!#REF!=$A$31)*(日次管理!#REF!="精査完了")*(日次管理!#REF!="実績")*(日次管理!#REF!=$A$27),日次管理!#REF!)</f>
        <v>#REF!</v>
      </c>
      <c r="BF31" s="91" t="e">
        <f>SUMPRODUCT((日次管理!#REF!&lt;=$BF$28)*(日次管理!#REF!=$A$31)*(日次管理!#REF!="精査完了")*(日次管理!#REF!="予定")*(日次管理!#REF!=$A$27),日次管理!#REF!)</f>
        <v>#REF!</v>
      </c>
      <c r="BG31" s="59" t="e">
        <f>SUMPRODUCT((日次管理!#REF!&lt;=$BG$28)*(日次管理!#REF!=$A$31)*(日次管理!#REF!="精査完了")*(日次管理!#REF!="実績")*(日次管理!#REF!=$A$27),日次管理!#REF!)</f>
        <v>#REF!</v>
      </c>
      <c r="BH31" s="91" t="e">
        <f>SUMPRODUCT((日次管理!#REF!&lt;=$BH$28)*(日次管理!#REF!=$A$31)*(日次管理!#REF!="精査完了")*(日次管理!#REF!="予定")*(日次管理!#REF!=$A$27),日次管理!#REF!)</f>
        <v>#REF!</v>
      </c>
      <c r="BI31" s="59" t="e">
        <f>SUMPRODUCT((日次管理!#REF!&lt;=$BI$28)*(日次管理!#REF!=$A$31)*(日次管理!#REF!="精査完了")*(日次管理!#REF!="実績")*(日次管理!#REF!=$A$27),日次管理!#REF!)</f>
        <v>#REF!</v>
      </c>
      <c r="BJ31" s="91" t="e">
        <f>SUMPRODUCT((日次管理!#REF!&lt;=$BJ$28)*(日次管理!#REF!=$A$31)*(日次管理!#REF!="精査完了")*(日次管理!#REF!="予定")*(日次管理!#REF!=$A$27),日次管理!#REF!)</f>
        <v>#REF!</v>
      </c>
      <c r="BK31" s="59" t="e">
        <f>SUMPRODUCT((日次管理!#REF!&lt;=$BK$28)*(日次管理!#REF!=$A$31)*(日次管理!#REF!="精査完了")*(日次管理!#REF!="実績")*(日次管理!#REF!=$A$27),日次管理!#REF!)</f>
        <v>#REF!</v>
      </c>
      <c r="BL31" s="91" t="e">
        <f>SUMPRODUCT((日次管理!#REF!&lt;=$BL$28)*(日次管理!#REF!=$A$31)*(日次管理!#REF!="精査完了")*(日次管理!#REF!="予定")*(日次管理!#REF!=$A$27),日次管理!#REF!)</f>
        <v>#REF!</v>
      </c>
      <c r="BM31" s="59" t="e">
        <f>SUMPRODUCT((日次管理!#REF!&lt;=$BM$28)*(日次管理!#REF!=$A$31)*(日次管理!#REF!="精査完了")*(日次管理!#REF!="実績")*(日次管理!#REF!=$A$27),日次管理!#REF!)</f>
        <v>#REF!</v>
      </c>
      <c r="BN31" s="91" t="e">
        <f>SUMPRODUCT((日次管理!#REF!&lt;=$BN$28)*(日次管理!#REF!=$A$31)*(日次管理!#REF!="精査完了")*(日次管理!#REF!="予定")*(日次管理!#REF!=$A$27),日次管理!#REF!)</f>
        <v>#REF!</v>
      </c>
      <c r="BO31" s="59" t="e">
        <f>SUMPRODUCT((日次管理!#REF!&lt;=$BO$28)*(日次管理!#REF!=$A$31)*(日次管理!#REF!="精査完了")*(日次管理!#REF!="実績")*(日次管理!#REF!=$A$27),日次管理!#REF!)</f>
        <v>#REF!</v>
      </c>
      <c r="BP31" s="91" t="e">
        <f>SUMPRODUCT((日次管理!#REF!&lt;=$BP$28)*(日次管理!#REF!=$A$31)*(日次管理!#REF!="精査完了")*(日次管理!#REF!="予定")*(日次管理!#REF!=$A$27),日次管理!#REF!)</f>
        <v>#REF!</v>
      </c>
      <c r="BQ31" s="59" t="e">
        <f>SUMPRODUCT((日次管理!#REF!&lt;=$BQ$28)*(日次管理!#REF!=$A$31)*(日次管理!#REF!="精査完了")*(日次管理!#REF!="実績")*(日次管理!#REF!=$A$27),日次管理!#REF!)</f>
        <v>#REF!</v>
      </c>
      <c r="BR31" s="91" t="e">
        <f>SUMPRODUCT((日次管理!#REF!&lt;=$BR$28)*(日次管理!#REF!=$A$31)*(日次管理!#REF!="精査完了")*(日次管理!#REF!="予定")*(日次管理!#REF!=$A$27),日次管理!#REF!)</f>
        <v>#REF!</v>
      </c>
      <c r="BS31" s="59" t="e">
        <f>SUMPRODUCT((日次管理!#REF!&lt;=$BS$28)*(日次管理!#REF!=$A$31)*(日次管理!#REF!="精査完了")*(日次管理!#REF!="実績")*(日次管理!#REF!=$A$27),日次管理!#REF!)</f>
        <v>#REF!</v>
      </c>
      <c r="BT31" s="91" t="e">
        <f>SUMPRODUCT((日次管理!#REF!&lt;=$BT$28)*(日次管理!#REF!=$A$31)*(日次管理!#REF!="精査完了")*(日次管理!#REF!="予定")*(日次管理!#REF!=$A$27),日次管理!#REF!)</f>
        <v>#REF!</v>
      </c>
      <c r="BU31" s="59" t="e">
        <f>SUMPRODUCT((日次管理!#REF!&lt;=$BU$28)*(日次管理!#REF!=$A$31)*(日次管理!#REF!="精査完了")*(日次管理!#REF!="実績")*(日次管理!#REF!=$A$27),日次管理!#REF!)</f>
        <v>#REF!</v>
      </c>
      <c r="BV31" s="91" t="e">
        <f>SUMPRODUCT((日次管理!#REF!&lt;=$BV$28)*(日次管理!#REF!=$A$31)*(日次管理!#REF!="精査完了")*(日次管理!#REF!="予定")*(日次管理!#REF!=$A$27),日次管理!#REF!)</f>
        <v>#REF!</v>
      </c>
      <c r="BW31" s="59" t="e">
        <f>SUMPRODUCT((日次管理!#REF!&lt;=$BW$28)*(日次管理!#REF!=$A$31)*(日次管理!#REF!="精査完了")*(日次管理!#REF!="実績")*(日次管理!#REF!=$A$27),日次管理!#REF!)</f>
        <v>#REF!</v>
      </c>
      <c r="BX31" s="91" t="e">
        <f>SUMPRODUCT((日次管理!#REF!&lt;=$BX$28)*(日次管理!#REF!=$A$31)*(日次管理!#REF!="精査完了")*(日次管理!#REF!="予定")*(日次管理!#REF!=$A$27),日次管理!#REF!)</f>
        <v>#REF!</v>
      </c>
      <c r="BY31" s="59" t="e">
        <f>SUMPRODUCT((日次管理!#REF!&lt;=$BY$28)*(日次管理!#REF!=$A$31)*(日次管理!#REF!="精査完了")*(日次管理!#REF!="実績")*(日次管理!#REF!=$A$27),日次管理!#REF!)</f>
        <v>#REF!</v>
      </c>
      <c r="BZ31" s="91" t="e">
        <f>SUMPRODUCT((日次管理!#REF!&lt;=$BZ$28)*(日次管理!#REF!=$A$31)*(日次管理!#REF!="精査完了")*(日次管理!#REF!="予定")*(日次管理!#REF!=$A$27),日次管理!#REF!)</f>
        <v>#REF!</v>
      </c>
      <c r="CA31" s="59" t="e">
        <f>SUMPRODUCT((日次管理!#REF!&lt;=$CA$28)*(日次管理!#REF!=$A$31)*(日次管理!#REF!="精査完了")*(日次管理!#REF!="実績")*(日次管理!#REF!=$A$27),日次管理!#REF!)</f>
        <v>#REF!</v>
      </c>
      <c r="CB31" s="91" t="e">
        <f>SUMPRODUCT((日次管理!#REF!&lt;=$CB$28)*(日次管理!#REF!=$A$31)*(日次管理!#REF!="精査完了")*(日次管理!#REF!="予定")*(日次管理!#REF!=$A$27),日次管理!#REF!)</f>
        <v>#REF!</v>
      </c>
      <c r="CC31" s="59" t="e">
        <f>SUMPRODUCT((日次管理!#REF!&lt;=$CC$28)*(日次管理!#REF!=$A$31)*(日次管理!#REF!="精査完了")*(日次管理!#REF!="実績")*(日次管理!#REF!=$A$27),日次管理!#REF!)</f>
        <v>#REF!</v>
      </c>
      <c r="CD31" s="91" t="e">
        <f>SUMPRODUCT((日次管理!#REF!&lt;=$CD$28)*(日次管理!#REF!=$A$31)*(日次管理!#REF!="精査完了")*(日次管理!#REF!="予定")*(日次管理!#REF!=$A$27),日次管理!#REF!)</f>
        <v>#REF!</v>
      </c>
      <c r="CE31" s="59" t="e">
        <f>SUMPRODUCT((日次管理!#REF!&lt;=$CE$28)*(日次管理!#REF!=$A$31)*(日次管理!#REF!="精査完了")*(日次管理!#REF!="実績")*(日次管理!#REF!=$A$27),日次管理!#REF!)</f>
        <v>#REF!</v>
      </c>
      <c r="CF31" s="91" t="e">
        <f>SUMPRODUCT((日次管理!#REF!&lt;=$CF$28)*(日次管理!#REF!=$A$31)*(日次管理!#REF!="精査完了")*(日次管理!#REF!="予定")*(日次管理!#REF!=$A$27),日次管理!#REF!)</f>
        <v>#REF!</v>
      </c>
      <c r="CG31" s="59" t="e">
        <f>SUMPRODUCT((日次管理!#REF!&lt;=$CG$28)*(日次管理!#REF!=$A$31)*(日次管理!#REF!="精査完了")*(日次管理!#REF!="実績")*(日次管理!#REF!=$A$27),日次管理!#REF!)</f>
        <v>#REF!</v>
      </c>
      <c r="CH31" s="91" t="e">
        <f>SUMPRODUCT((日次管理!#REF!&lt;=$CH$28)*(日次管理!#REF!=$A$31)*(日次管理!#REF!="精査完了")*(日次管理!#REF!="予定")*(日次管理!#REF!=$A$27),日次管理!#REF!)</f>
        <v>#REF!</v>
      </c>
      <c r="CI31" s="59" t="e">
        <f>SUMPRODUCT((日次管理!#REF!&lt;=$CI$28)*(日次管理!#REF!=$A$31)*(日次管理!#REF!="精査完了")*(日次管理!#REF!="実績")*(日次管理!#REF!=$A$27),日次管理!#REF!)</f>
        <v>#REF!</v>
      </c>
      <c r="CJ31" s="91" t="e">
        <f>SUMPRODUCT((日次管理!#REF!&lt;=$CJ$28)*(日次管理!#REF!=$A$31)*(日次管理!#REF!="精査完了")*(日次管理!#REF!="予定")*(日次管理!#REF!=$A$27),日次管理!#REF!)</f>
        <v>#REF!</v>
      </c>
      <c r="CK31" s="59" t="e">
        <f>SUMPRODUCT((日次管理!#REF!&lt;=$CK$28)*(日次管理!#REF!=$A$31)*(日次管理!#REF!="精査完了")*(日次管理!#REF!="実績")*(日次管理!#REF!=$A$27),日次管理!#REF!)</f>
        <v>#REF!</v>
      </c>
      <c r="CL31" s="91" t="e">
        <f>SUMPRODUCT((日次管理!#REF!&lt;=$CL$28)*(日次管理!#REF!=$A$31)*(日次管理!#REF!="精査完了")*(日次管理!#REF!="予定")*(日次管理!#REF!=$A$27),日次管理!#REF!)</f>
        <v>#REF!</v>
      </c>
      <c r="CM31" s="59" t="e">
        <f>SUMPRODUCT((日次管理!#REF!&lt;=$CM$28)*(日次管理!#REF!=$A$31)*(日次管理!#REF!="精査完了")*(日次管理!#REF!="実績")*(日次管理!#REF!=$A$27),日次管理!#REF!)</f>
        <v>#REF!</v>
      </c>
      <c r="CN31" s="91" t="e">
        <f>SUMPRODUCT((日次管理!#REF!&lt;=$CN$28)*(日次管理!#REF!=$A$31)*(日次管理!#REF!="精査完了")*(日次管理!#REF!="予定")*(日次管理!#REF!=$A$27),日次管理!#REF!)</f>
        <v>#REF!</v>
      </c>
      <c r="CO31" s="59" t="e">
        <f>SUMPRODUCT((日次管理!#REF!&lt;=$CO$28)*(日次管理!#REF!=$A$31)*(日次管理!#REF!="精査完了")*(日次管理!#REF!="実績")*(日次管理!#REF!=$A$27),日次管理!#REF!)</f>
        <v>#REF!</v>
      </c>
      <c r="CP31" s="91" t="e">
        <f>SUMPRODUCT((日次管理!#REF!&lt;=$CP$28)*(日次管理!#REF!=$A$31)*(日次管理!#REF!="精査完了")*(日次管理!#REF!="予定")*(日次管理!#REF!=$A$27),日次管理!#REF!)</f>
        <v>#REF!</v>
      </c>
      <c r="CQ31" s="59" t="e">
        <f>SUMPRODUCT((日次管理!#REF!&lt;=$CQ$28)*(日次管理!#REF!=$A$31)*(日次管理!#REF!="精査完了")*(日次管理!#REF!="実績")*(日次管理!#REF!=$A$27),日次管理!#REF!)</f>
        <v>#REF!</v>
      </c>
      <c r="CR31" s="91" t="e">
        <f>SUMPRODUCT((日次管理!#REF!&lt;=$CR$28)*(日次管理!#REF!=$A$31)*(日次管理!#REF!="精査完了")*(日次管理!#REF!="予定")*(日次管理!#REF!=$A$27),日次管理!#REF!)</f>
        <v>#REF!</v>
      </c>
      <c r="CS31" s="59" t="e">
        <f>SUMPRODUCT((日次管理!#REF!&lt;=$CS$28)*(日次管理!#REF!=$A$31)*(日次管理!#REF!="精査完了")*(日次管理!#REF!="実績")*(日次管理!#REF!=$A$27),日次管理!#REF!)</f>
        <v>#REF!</v>
      </c>
      <c r="CT31" s="91" t="e">
        <f>SUMPRODUCT((日次管理!#REF!&lt;=$CT$28)*(日次管理!#REF!=$A$31)*(日次管理!#REF!="精査完了")*(日次管理!#REF!="予定")*(日次管理!#REF!=$A$27),日次管理!#REF!)</f>
        <v>#REF!</v>
      </c>
      <c r="CU31" s="59" t="e">
        <f>SUMPRODUCT((日次管理!#REF!&lt;=$CU$28)*(日次管理!#REF!=$A$31)*(日次管理!#REF!="精査完了")*(日次管理!#REF!="実績")*(日次管理!#REF!=$A$27),日次管理!#REF!)</f>
        <v>#REF!</v>
      </c>
      <c r="CV31" s="92" t="e">
        <f ca="1">SUMPRODUCT(($A$28- WEEKDAY($A$28) + 6 =$B$28:$CU$28)*("実績"=$B$29:$CU$29),$B$31:$CU$31)/SUMPRODUCT(($A$28- WEEKDAY($A$28) + 6 =$B$28:$CU$28)*("予定"=$B$29:$CU$29),$B$31:$CU$31)</f>
        <v>#REF!</v>
      </c>
      <c r="CW31" s="93" t="e">
        <f>$CU$31/$CT$31</f>
        <v>#REF!</v>
      </c>
    </row>
    <row r="32" spans="1:101" ht="20.149999999999999" customHeight="1" thickBot="1">
      <c r="A32" s="106" t="s">
        <v>65</v>
      </c>
      <c r="B32" s="107" t="e">
        <f>SUM($B$30:$B$31)</f>
        <v>#REF!</v>
      </c>
      <c r="C32" s="108" t="e">
        <f>SUM($C$30:$C$31)</f>
        <v>#REF!</v>
      </c>
      <c r="D32" s="107" t="e">
        <f>SUM($D$30:$D$31)</f>
        <v>#REF!</v>
      </c>
      <c r="E32" s="108" t="e">
        <f>SUM($E$30:$E$31)</f>
        <v>#REF!</v>
      </c>
      <c r="F32" s="107" t="e">
        <f>SUM($F$30:$F$31)</f>
        <v>#REF!</v>
      </c>
      <c r="G32" s="108" t="e">
        <f>SUM($G$30:$G$31)</f>
        <v>#REF!</v>
      </c>
      <c r="H32" s="107" t="e">
        <f>SUM($H$30:$H$31)</f>
        <v>#REF!</v>
      </c>
      <c r="I32" s="108" t="e">
        <f>SUM($I$30:$I$31)</f>
        <v>#REF!</v>
      </c>
      <c r="J32" s="107" t="e">
        <f>SUM($J$30:$J$31)</f>
        <v>#REF!</v>
      </c>
      <c r="K32" s="108" t="e">
        <f>SUM($K$30:$K$31)</f>
        <v>#REF!</v>
      </c>
      <c r="L32" s="107" t="e">
        <f>SUM($L$30:$L$31)</f>
        <v>#REF!</v>
      </c>
      <c r="M32" s="108" t="e">
        <f>SUM($M$30:$M$31)</f>
        <v>#REF!</v>
      </c>
      <c r="N32" s="107" t="e">
        <f>SUM($N$30:$N$31)</f>
        <v>#REF!</v>
      </c>
      <c r="O32" s="108" t="e">
        <f>SUM($O$30:$O$31)</f>
        <v>#REF!</v>
      </c>
      <c r="P32" s="107" t="e">
        <f>SUM($P$30:$P$31)</f>
        <v>#REF!</v>
      </c>
      <c r="Q32" s="108" t="e">
        <f>SUM($Q$30:$Q$31)</f>
        <v>#REF!</v>
      </c>
      <c r="R32" s="107" t="e">
        <f>SUM($R$30:$R$31)</f>
        <v>#REF!</v>
      </c>
      <c r="S32" s="108" t="e">
        <f>SUM($S$30:$S$31)</f>
        <v>#REF!</v>
      </c>
      <c r="T32" s="107" t="e">
        <f>SUM($T$30:$T$31)</f>
        <v>#REF!</v>
      </c>
      <c r="U32" s="108" t="e">
        <f>SUM($U$30:$U$31)</f>
        <v>#REF!</v>
      </c>
      <c r="V32" s="107" t="e">
        <f>SUM($V$30:$V$31)</f>
        <v>#REF!</v>
      </c>
      <c r="W32" s="108" t="e">
        <f>SUM($W$30:$W$31)</f>
        <v>#REF!</v>
      </c>
      <c r="X32" s="107" t="e">
        <f>SUM($X$30:$X$31)</f>
        <v>#REF!</v>
      </c>
      <c r="Y32" s="108" t="e">
        <f>SUM($Y$30:$Y$31)</f>
        <v>#REF!</v>
      </c>
      <c r="Z32" s="107" t="e">
        <f>SUM($Z$30:$Z$31)</f>
        <v>#REF!</v>
      </c>
      <c r="AA32" s="108" t="e">
        <f>SUM($AA$30:$AA$31)</f>
        <v>#REF!</v>
      </c>
      <c r="AB32" s="107" t="e">
        <f>SUM($AB$30:$AB$31)</f>
        <v>#REF!</v>
      </c>
      <c r="AC32" s="108" t="e">
        <f>SUM($AC$30:$AC$31)</f>
        <v>#REF!</v>
      </c>
      <c r="AD32" s="107" t="e">
        <f>SUM($AD$30:$AD$31)</f>
        <v>#REF!</v>
      </c>
      <c r="AE32" s="108" t="e">
        <f>SUM($AE$30:$AE$31)</f>
        <v>#REF!</v>
      </c>
      <c r="AF32" s="107" t="e">
        <f>SUM($AF$30:$AF$31)</f>
        <v>#REF!</v>
      </c>
      <c r="AG32" s="108" t="e">
        <f>SUM($AG$30:$AG$31)</f>
        <v>#REF!</v>
      </c>
      <c r="AH32" s="107" t="e">
        <f>SUM($AH$30:$AH$31)</f>
        <v>#REF!</v>
      </c>
      <c r="AI32" s="108" t="e">
        <f>SUM($AI$30:$AI$31)</f>
        <v>#REF!</v>
      </c>
      <c r="AJ32" s="107" t="e">
        <f>SUM($AJ$30:$AJ$31)</f>
        <v>#REF!</v>
      </c>
      <c r="AK32" s="108" t="e">
        <f>SUM($AK$30:$AK$31)</f>
        <v>#REF!</v>
      </c>
      <c r="AL32" s="107" t="e">
        <f>SUM($AL$30:$AL$31)</f>
        <v>#REF!</v>
      </c>
      <c r="AM32" s="108" t="e">
        <f>SUM($AM$30:$AM$31)</f>
        <v>#REF!</v>
      </c>
      <c r="AN32" s="107" t="e">
        <f>SUM($AN$30:$AN$31)</f>
        <v>#REF!</v>
      </c>
      <c r="AO32" s="108" t="e">
        <f>SUM($AO$30:$AO$31)</f>
        <v>#REF!</v>
      </c>
      <c r="AP32" s="107" t="e">
        <f>SUM($AP$30:$AP$31)</f>
        <v>#REF!</v>
      </c>
      <c r="AQ32" s="108" t="e">
        <f>SUM($AQ$30:$AQ$31)</f>
        <v>#REF!</v>
      </c>
      <c r="AR32" s="107" t="e">
        <f>SUM($AR$30:$AR$31)</f>
        <v>#REF!</v>
      </c>
      <c r="AS32" s="108" t="e">
        <f>SUM($AS$30:$AS$31)</f>
        <v>#REF!</v>
      </c>
      <c r="AT32" s="107" t="e">
        <f>SUM($AT$30:$AT$31)</f>
        <v>#REF!</v>
      </c>
      <c r="AU32" s="108" t="e">
        <f>SUM($AU$30:$AU$31)</f>
        <v>#REF!</v>
      </c>
      <c r="AV32" s="107" t="e">
        <f>SUM($AV$30:$AV$31)</f>
        <v>#REF!</v>
      </c>
      <c r="AW32" s="108" t="e">
        <f>SUM($AW$30:$AW$31)</f>
        <v>#REF!</v>
      </c>
      <c r="AX32" s="107" t="e">
        <f>SUM($AX$30:$AX$31)</f>
        <v>#REF!</v>
      </c>
      <c r="AY32" s="108" t="e">
        <f>SUM($AY$30:$AY$31)</f>
        <v>#REF!</v>
      </c>
      <c r="AZ32" s="107" t="e">
        <f>SUM($AZ$30:$AZ$31)</f>
        <v>#REF!</v>
      </c>
      <c r="BA32" s="108" t="e">
        <f>SUM($BA$30:$BA$31)</f>
        <v>#REF!</v>
      </c>
      <c r="BB32" s="107" t="e">
        <f>SUM($BB$30:$BB$31)</f>
        <v>#REF!</v>
      </c>
      <c r="BC32" s="108" t="e">
        <f>SUM($BC$30:$BC$31)</f>
        <v>#REF!</v>
      </c>
      <c r="BD32" s="107" t="e">
        <f>SUM($BD$30:$BD$31)</f>
        <v>#REF!</v>
      </c>
      <c r="BE32" s="108" t="e">
        <f>SUM($BE$30:$BE$31)</f>
        <v>#REF!</v>
      </c>
      <c r="BF32" s="107" t="e">
        <f>SUM($BF$30:$BF$31)</f>
        <v>#REF!</v>
      </c>
      <c r="BG32" s="108" t="e">
        <f>SUM($BG$30:$BG$31)</f>
        <v>#REF!</v>
      </c>
      <c r="BH32" s="107" t="e">
        <f>SUM($BH$30:$BH$31)</f>
        <v>#REF!</v>
      </c>
      <c r="BI32" s="108" t="e">
        <f>SUM($BI$30:$BI$31)</f>
        <v>#REF!</v>
      </c>
      <c r="BJ32" s="107" t="e">
        <f>SUM($BJ$30:$BJ$31)</f>
        <v>#REF!</v>
      </c>
      <c r="BK32" s="108" t="e">
        <f>SUM($BK$30:$BK$31)</f>
        <v>#REF!</v>
      </c>
      <c r="BL32" s="107" t="e">
        <f>SUM($BL$30:$BL$31)</f>
        <v>#REF!</v>
      </c>
      <c r="BM32" s="108" t="e">
        <f>SUM($BM$30:$BM$31)</f>
        <v>#REF!</v>
      </c>
      <c r="BN32" s="107" t="e">
        <f>SUM($BN$30:$BN$31)</f>
        <v>#REF!</v>
      </c>
      <c r="BO32" s="108" t="e">
        <f>SUM($BO$30:$BO$31)</f>
        <v>#REF!</v>
      </c>
      <c r="BP32" s="107" t="e">
        <f>SUM($BP$30:$BP$31)</f>
        <v>#REF!</v>
      </c>
      <c r="BQ32" s="108" t="e">
        <f>SUM($BQ$30:$BQ$31)</f>
        <v>#REF!</v>
      </c>
      <c r="BR32" s="107" t="e">
        <f>SUM($BR$30:$BR$31)</f>
        <v>#REF!</v>
      </c>
      <c r="BS32" s="108" t="e">
        <f>SUM($BS$30:$BS$31)</f>
        <v>#REF!</v>
      </c>
      <c r="BT32" s="107" t="e">
        <f>SUM($BT$30:$BT$31)</f>
        <v>#REF!</v>
      </c>
      <c r="BU32" s="108" t="e">
        <f>SUM($BU$30:$BU$31)</f>
        <v>#REF!</v>
      </c>
      <c r="BV32" s="107" t="e">
        <f>SUM($BV$30:$BV$31)</f>
        <v>#REF!</v>
      </c>
      <c r="BW32" s="108" t="e">
        <f>SUM($BW$30:$BW$31)</f>
        <v>#REF!</v>
      </c>
      <c r="BX32" s="107" t="e">
        <f>SUM($BX$30:$BX$31)</f>
        <v>#REF!</v>
      </c>
      <c r="BY32" s="108" t="e">
        <f>SUM($BY$30:$BY$31)</f>
        <v>#REF!</v>
      </c>
      <c r="BZ32" s="107" t="e">
        <f>SUM($BZ$30:$BZ$31)</f>
        <v>#REF!</v>
      </c>
      <c r="CA32" s="108" t="e">
        <f>SUM($CA$30:$CA$31)</f>
        <v>#REF!</v>
      </c>
      <c r="CB32" s="107" t="e">
        <f>SUM($CB$30:$CB$31)</f>
        <v>#REF!</v>
      </c>
      <c r="CC32" s="108" t="e">
        <f>SUM($CC$30:$CC$31)</f>
        <v>#REF!</v>
      </c>
      <c r="CD32" s="107" t="e">
        <f>SUM($CD$30:$CD$31)</f>
        <v>#REF!</v>
      </c>
      <c r="CE32" s="108" t="e">
        <f>SUM($CE$30:$CE$31)</f>
        <v>#REF!</v>
      </c>
      <c r="CF32" s="107" t="e">
        <f>SUM($CF$30:$CF$31)</f>
        <v>#REF!</v>
      </c>
      <c r="CG32" s="108" t="e">
        <f>SUM($CG$30:$CG$31)</f>
        <v>#REF!</v>
      </c>
      <c r="CH32" s="107" t="e">
        <f>SUM($CH$30:$CH$31)</f>
        <v>#REF!</v>
      </c>
      <c r="CI32" s="108" t="e">
        <f>SUM($CI$30:$CI$31)</f>
        <v>#REF!</v>
      </c>
      <c r="CJ32" s="107" t="e">
        <f>SUM($CJ$30:$CJ$31)</f>
        <v>#REF!</v>
      </c>
      <c r="CK32" s="108" t="e">
        <f>SUM($CK$30:$CK$31)</f>
        <v>#REF!</v>
      </c>
      <c r="CL32" s="107" t="e">
        <f>SUM($CL$30:$CL$31)</f>
        <v>#REF!</v>
      </c>
      <c r="CM32" s="108" t="e">
        <f>SUM($CM$30:$CM$31)</f>
        <v>#REF!</v>
      </c>
      <c r="CN32" s="107" t="e">
        <f>SUM($CN$30:$CN$31)</f>
        <v>#REF!</v>
      </c>
      <c r="CO32" s="108" t="e">
        <f>SUM($CO$30:$CO$31)</f>
        <v>#REF!</v>
      </c>
      <c r="CP32" s="107" t="e">
        <f>SUM($CP$30:$CP$31)</f>
        <v>#REF!</v>
      </c>
      <c r="CQ32" s="108" t="e">
        <f>SUM($CQ$30:$CQ$31)</f>
        <v>#REF!</v>
      </c>
      <c r="CR32" s="107" t="e">
        <f>SUM($CR$30:$CR$31)</f>
        <v>#REF!</v>
      </c>
      <c r="CS32" s="108" t="e">
        <f>SUM($CS$30:$CS$31)</f>
        <v>#REF!</v>
      </c>
      <c r="CT32" s="107" t="e">
        <f>SUM($CT$30:$CT$31)</f>
        <v>#REF!</v>
      </c>
      <c r="CU32" s="108" t="e">
        <f>SUM($CU$30:$CU$31)</f>
        <v>#REF!</v>
      </c>
      <c r="CV32" s="109" t="e">
        <f ca="1">SUMPRODUCT(($A$28- WEEKDAY($A$28) + 6 =$B$28:$CU$28)*("実績"=$B$29:$CU$29),$B$32:$CU$32)/SUMPRODUCT(($A$28- WEEKDAY($A$28) + 6 =$B$28:$CU$28)*("予定"=$B$29:$CU$29),$B$32:$CU$32)</f>
        <v>#REF!</v>
      </c>
      <c r="CW32" s="110" t="e">
        <f>$CU$32/$CT$32</f>
        <v>#REF!</v>
      </c>
    </row>
    <row r="36" spans="1:101" ht="20.149999999999999" customHeight="1" thickBot="1">
      <c r="A36" s="79" t="s">
        <v>110</v>
      </c>
      <c r="B36" s="43" t="s">
        <v>62</v>
      </c>
    </row>
    <row r="37" spans="1:101" ht="40" customHeight="1">
      <c r="A37" s="80">
        <f ca="1">TODAY()</f>
        <v>43566</v>
      </c>
      <c r="B37" s="82">
        <v>43528</v>
      </c>
      <c r="C37" s="53">
        <v>43528</v>
      </c>
      <c r="D37" s="83">
        <v>43529</v>
      </c>
      <c r="E37" s="63">
        <v>43529</v>
      </c>
      <c r="F37" s="82">
        <v>43530</v>
      </c>
      <c r="G37" s="53">
        <v>43530</v>
      </c>
      <c r="H37" s="83">
        <v>43531</v>
      </c>
      <c r="I37" s="63">
        <v>43531</v>
      </c>
      <c r="J37" s="82">
        <v>43532</v>
      </c>
      <c r="K37" s="53">
        <v>43532</v>
      </c>
      <c r="L37" s="83">
        <v>43533</v>
      </c>
      <c r="M37" s="63">
        <v>43533</v>
      </c>
      <c r="N37" s="82">
        <v>43534</v>
      </c>
      <c r="O37" s="53">
        <v>43534</v>
      </c>
      <c r="P37" s="83">
        <v>43535</v>
      </c>
      <c r="Q37" s="63">
        <v>43535</v>
      </c>
      <c r="R37" s="82">
        <v>43536</v>
      </c>
      <c r="S37" s="53">
        <v>43536</v>
      </c>
      <c r="T37" s="83">
        <v>43537</v>
      </c>
      <c r="U37" s="63">
        <v>43537</v>
      </c>
      <c r="V37" s="82">
        <v>43538</v>
      </c>
      <c r="W37" s="53">
        <v>43538</v>
      </c>
      <c r="X37" s="83">
        <v>43539</v>
      </c>
      <c r="Y37" s="63">
        <v>43539</v>
      </c>
      <c r="Z37" s="82">
        <v>43540</v>
      </c>
      <c r="AA37" s="53">
        <v>43540</v>
      </c>
      <c r="AB37" s="83">
        <v>43541</v>
      </c>
      <c r="AC37" s="63">
        <v>43541</v>
      </c>
      <c r="AD37" s="82">
        <v>43542</v>
      </c>
      <c r="AE37" s="53">
        <v>43542</v>
      </c>
      <c r="AF37" s="83">
        <v>43543</v>
      </c>
      <c r="AG37" s="63">
        <v>43543</v>
      </c>
      <c r="AH37" s="82">
        <v>43544</v>
      </c>
      <c r="AI37" s="53">
        <v>43544</v>
      </c>
      <c r="AJ37" s="83">
        <v>43545</v>
      </c>
      <c r="AK37" s="63">
        <v>43545</v>
      </c>
      <c r="AL37" s="82">
        <v>43546</v>
      </c>
      <c r="AM37" s="53">
        <v>43546</v>
      </c>
      <c r="AN37" s="83">
        <v>43547</v>
      </c>
      <c r="AO37" s="63">
        <v>43547</v>
      </c>
      <c r="AP37" s="82">
        <v>43548</v>
      </c>
      <c r="AQ37" s="53">
        <v>43548</v>
      </c>
      <c r="AR37" s="83">
        <v>43549</v>
      </c>
      <c r="AS37" s="63">
        <v>43549</v>
      </c>
      <c r="AT37" s="82">
        <v>43550</v>
      </c>
      <c r="AU37" s="53">
        <v>43550</v>
      </c>
      <c r="AV37" s="83">
        <v>43551</v>
      </c>
      <c r="AW37" s="63">
        <v>43551</v>
      </c>
      <c r="AX37" s="82">
        <v>43552</v>
      </c>
      <c r="AY37" s="53">
        <v>43552</v>
      </c>
      <c r="AZ37" s="83">
        <v>43553</v>
      </c>
      <c r="BA37" s="63">
        <v>43553</v>
      </c>
      <c r="BB37" s="82">
        <v>43554</v>
      </c>
      <c r="BC37" s="53">
        <v>43554</v>
      </c>
      <c r="BD37" s="83">
        <v>43555</v>
      </c>
      <c r="BE37" s="63">
        <v>43555</v>
      </c>
      <c r="BF37" s="82">
        <v>43556</v>
      </c>
      <c r="BG37" s="53">
        <v>43556</v>
      </c>
      <c r="BH37" s="83">
        <v>43557</v>
      </c>
      <c r="BI37" s="63">
        <v>43557</v>
      </c>
      <c r="BJ37" s="82">
        <v>43558</v>
      </c>
      <c r="BK37" s="53">
        <v>43558</v>
      </c>
      <c r="BL37" s="83">
        <v>43559</v>
      </c>
      <c r="BM37" s="63">
        <v>43559</v>
      </c>
      <c r="BN37" s="82">
        <v>43560</v>
      </c>
      <c r="BO37" s="53">
        <v>43560</v>
      </c>
      <c r="BP37" s="83">
        <v>43561</v>
      </c>
      <c r="BQ37" s="63">
        <v>43561</v>
      </c>
      <c r="BR37" s="82">
        <v>43562</v>
      </c>
      <c r="BS37" s="53">
        <v>43562</v>
      </c>
      <c r="BT37" s="83">
        <v>43563</v>
      </c>
      <c r="BU37" s="63">
        <v>43563</v>
      </c>
      <c r="BV37" s="82">
        <v>43564</v>
      </c>
      <c r="BW37" s="53">
        <v>43564</v>
      </c>
      <c r="BX37" s="83">
        <v>43565</v>
      </c>
      <c r="BY37" s="63">
        <v>43565</v>
      </c>
      <c r="BZ37" s="82">
        <v>43566</v>
      </c>
      <c r="CA37" s="53">
        <v>43566</v>
      </c>
      <c r="CB37" s="83">
        <v>43567</v>
      </c>
      <c r="CC37" s="63">
        <v>43567</v>
      </c>
      <c r="CD37" s="82">
        <v>43568</v>
      </c>
      <c r="CE37" s="53">
        <v>43568</v>
      </c>
      <c r="CF37" s="83">
        <v>43569</v>
      </c>
      <c r="CG37" s="63">
        <v>43569</v>
      </c>
      <c r="CH37" s="82">
        <v>43570</v>
      </c>
      <c r="CI37" s="53">
        <v>43570</v>
      </c>
      <c r="CJ37" s="83">
        <v>43571</v>
      </c>
      <c r="CK37" s="63">
        <v>43571</v>
      </c>
      <c r="CL37" s="82">
        <v>43572</v>
      </c>
      <c r="CM37" s="53">
        <v>43572</v>
      </c>
      <c r="CN37" s="83">
        <v>43573</v>
      </c>
      <c r="CO37" s="63">
        <v>43573</v>
      </c>
      <c r="CP37" s="82">
        <v>43574</v>
      </c>
      <c r="CQ37" s="53">
        <v>43574</v>
      </c>
      <c r="CR37" s="83">
        <v>43575</v>
      </c>
      <c r="CS37" s="63">
        <v>43575</v>
      </c>
      <c r="CT37" s="82">
        <v>43576</v>
      </c>
      <c r="CU37" s="53">
        <v>43576</v>
      </c>
      <c r="CV37" s="141" t="s">
        <v>66</v>
      </c>
      <c r="CW37" s="142"/>
    </row>
    <row r="38" spans="1:101" ht="20.149999999999999" customHeight="1" thickBot="1">
      <c r="A38" s="103" t="s">
        <v>64</v>
      </c>
      <c r="B38" s="85" t="s">
        <v>60</v>
      </c>
      <c r="C38" s="86" t="s">
        <v>61</v>
      </c>
      <c r="D38" s="87" t="s">
        <v>60</v>
      </c>
      <c r="E38" s="88" t="s">
        <v>61</v>
      </c>
      <c r="F38" s="85" t="s">
        <v>60</v>
      </c>
      <c r="G38" s="86" t="s">
        <v>61</v>
      </c>
      <c r="H38" s="87" t="s">
        <v>60</v>
      </c>
      <c r="I38" s="88" t="s">
        <v>61</v>
      </c>
      <c r="J38" s="85" t="s">
        <v>60</v>
      </c>
      <c r="K38" s="86" t="s">
        <v>61</v>
      </c>
      <c r="L38" s="87" t="s">
        <v>60</v>
      </c>
      <c r="M38" s="88" t="s">
        <v>61</v>
      </c>
      <c r="N38" s="85" t="s">
        <v>60</v>
      </c>
      <c r="O38" s="86" t="s">
        <v>61</v>
      </c>
      <c r="P38" s="87" t="s">
        <v>60</v>
      </c>
      <c r="Q38" s="88" t="s">
        <v>61</v>
      </c>
      <c r="R38" s="85" t="s">
        <v>60</v>
      </c>
      <c r="S38" s="86" t="s">
        <v>61</v>
      </c>
      <c r="T38" s="87" t="s">
        <v>60</v>
      </c>
      <c r="U38" s="88" t="s">
        <v>61</v>
      </c>
      <c r="V38" s="85" t="s">
        <v>60</v>
      </c>
      <c r="W38" s="86" t="s">
        <v>61</v>
      </c>
      <c r="X38" s="87" t="s">
        <v>60</v>
      </c>
      <c r="Y38" s="88" t="s">
        <v>61</v>
      </c>
      <c r="Z38" s="85" t="s">
        <v>60</v>
      </c>
      <c r="AA38" s="86" t="s">
        <v>61</v>
      </c>
      <c r="AB38" s="87" t="s">
        <v>60</v>
      </c>
      <c r="AC38" s="88" t="s">
        <v>61</v>
      </c>
      <c r="AD38" s="85" t="s">
        <v>60</v>
      </c>
      <c r="AE38" s="86" t="s">
        <v>61</v>
      </c>
      <c r="AF38" s="87" t="s">
        <v>60</v>
      </c>
      <c r="AG38" s="88" t="s">
        <v>61</v>
      </c>
      <c r="AH38" s="85" t="s">
        <v>60</v>
      </c>
      <c r="AI38" s="86" t="s">
        <v>61</v>
      </c>
      <c r="AJ38" s="87" t="s">
        <v>60</v>
      </c>
      <c r="AK38" s="88" t="s">
        <v>61</v>
      </c>
      <c r="AL38" s="85" t="s">
        <v>60</v>
      </c>
      <c r="AM38" s="86" t="s">
        <v>61</v>
      </c>
      <c r="AN38" s="87" t="s">
        <v>60</v>
      </c>
      <c r="AO38" s="88" t="s">
        <v>61</v>
      </c>
      <c r="AP38" s="85" t="s">
        <v>60</v>
      </c>
      <c r="AQ38" s="86" t="s">
        <v>61</v>
      </c>
      <c r="AR38" s="87" t="s">
        <v>60</v>
      </c>
      <c r="AS38" s="88" t="s">
        <v>61</v>
      </c>
      <c r="AT38" s="85" t="s">
        <v>60</v>
      </c>
      <c r="AU38" s="86" t="s">
        <v>61</v>
      </c>
      <c r="AV38" s="87" t="s">
        <v>60</v>
      </c>
      <c r="AW38" s="88" t="s">
        <v>61</v>
      </c>
      <c r="AX38" s="85" t="s">
        <v>60</v>
      </c>
      <c r="AY38" s="86" t="s">
        <v>61</v>
      </c>
      <c r="AZ38" s="87" t="s">
        <v>60</v>
      </c>
      <c r="BA38" s="88" t="s">
        <v>61</v>
      </c>
      <c r="BB38" s="85" t="s">
        <v>60</v>
      </c>
      <c r="BC38" s="86" t="s">
        <v>61</v>
      </c>
      <c r="BD38" s="87" t="s">
        <v>60</v>
      </c>
      <c r="BE38" s="88" t="s">
        <v>61</v>
      </c>
      <c r="BF38" s="85" t="s">
        <v>60</v>
      </c>
      <c r="BG38" s="86" t="s">
        <v>61</v>
      </c>
      <c r="BH38" s="87" t="s">
        <v>60</v>
      </c>
      <c r="BI38" s="88" t="s">
        <v>61</v>
      </c>
      <c r="BJ38" s="85" t="s">
        <v>60</v>
      </c>
      <c r="BK38" s="86" t="s">
        <v>61</v>
      </c>
      <c r="BL38" s="87" t="s">
        <v>60</v>
      </c>
      <c r="BM38" s="88" t="s">
        <v>61</v>
      </c>
      <c r="BN38" s="85" t="s">
        <v>60</v>
      </c>
      <c r="BO38" s="86" t="s">
        <v>61</v>
      </c>
      <c r="BP38" s="87" t="s">
        <v>60</v>
      </c>
      <c r="BQ38" s="88" t="s">
        <v>61</v>
      </c>
      <c r="BR38" s="85" t="s">
        <v>60</v>
      </c>
      <c r="BS38" s="86" t="s">
        <v>61</v>
      </c>
      <c r="BT38" s="87" t="s">
        <v>60</v>
      </c>
      <c r="BU38" s="88" t="s">
        <v>61</v>
      </c>
      <c r="BV38" s="85" t="s">
        <v>60</v>
      </c>
      <c r="BW38" s="86" t="s">
        <v>61</v>
      </c>
      <c r="BX38" s="87" t="s">
        <v>60</v>
      </c>
      <c r="BY38" s="88" t="s">
        <v>61</v>
      </c>
      <c r="BZ38" s="85" t="s">
        <v>60</v>
      </c>
      <c r="CA38" s="86" t="s">
        <v>61</v>
      </c>
      <c r="CB38" s="87" t="s">
        <v>60</v>
      </c>
      <c r="CC38" s="88" t="s">
        <v>61</v>
      </c>
      <c r="CD38" s="85" t="s">
        <v>60</v>
      </c>
      <c r="CE38" s="86" t="s">
        <v>61</v>
      </c>
      <c r="CF38" s="87" t="s">
        <v>60</v>
      </c>
      <c r="CG38" s="88" t="s">
        <v>61</v>
      </c>
      <c r="CH38" s="85" t="s">
        <v>60</v>
      </c>
      <c r="CI38" s="86" t="s">
        <v>61</v>
      </c>
      <c r="CJ38" s="87" t="s">
        <v>60</v>
      </c>
      <c r="CK38" s="88" t="s">
        <v>61</v>
      </c>
      <c r="CL38" s="85" t="s">
        <v>60</v>
      </c>
      <c r="CM38" s="86" t="s">
        <v>61</v>
      </c>
      <c r="CN38" s="87" t="s">
        <v>60</v>
      </c>
      <c r="CO38" s="88" t="s">
        <v>61</v>
      </c>
      <c r="CP38" s="85" t="s">
        <v>60</v>
      </c>
      <c r="CQ38" s="86" t="s">
        <v>61</v>
      </c>
      <c r="CR38" s="87" t="s">
        <v>60</v>
      </c>
      <c r="CS38" s="88" t="s">
        <v>61</v>
      </c>
      <c r="CT38" s="85" t="s">
        <v>60</v>
      </c>
      <c r="CU38" s="86" t="s">
        <v>61</v>
      </c>
      <c r="CV38" s="87" t="s">
        <v>67</v>
      </c>
      <c r="CW38" s="89" t="s">
        <v>68</v>
      </c>
    </row>
    <row r="39" spans="1:101" ht="20.149999999999999" customHeight="1">
      <c r="A39" s="81" t="s">
        <v>71</v>
      </c>
      <c r="B39" s="55" t="e">
        <f>SUMPRODUCT((日次管理!#REF!&lt;=$B$37)*(日次管理!#REF!=$A$39)*(日次管理!#REF!="実施完了")*(日次管理!#REF!="予定")*(日次管理!#REF!=$A$36),日次管理!#REF!)</f>
        <v>#REF!</v>
      </c>
      <c r="C39" s="56" t="e">
        <f>SUMPRODUCT((日次管理!#REF!&lt;=$C$37)*(日次管理!#REF!=$A$39)*(日次管理!#REF!="実施完了")*(日次管理!#REF!="実績")*(日次管理!#REF!=$A$36),日次管理!#REF!)</f>
        <v>#REF!</v>
      </c>
      <c r="D39" s="55" t="e">
        <f>SUMPRODUCT((日次管理!#REF!&lt;=$D$37)*(日次管理!#REF!=$A$39)*(日次管理!#REF!="実施完了")*(日次管理!#REF!="予定")*(日次管理!#REF!=$A$36),日次管理!#REF!)</f>
        <v>#REF!</v>
      </c>
      <c r="E39" s="56" t="e">
        <f>SUMPRODUCT((日次管理!#REF!&lt;=$E$37)*(日次管理!#REF!=$A$39)*(日次管理!#REF!="実施完了")*(日次管理!#REF!="実績")*(日次管理!#REF!=$A$36),日次管理!#REF!)</f>
        <v>#REF!</v>
      </c>
      <c r="F39" s="55" t="e">
        <f>SUMPRODUCT((日次管理!#REF!&lt;=$F$37)*(日次管理!#REF!=$A$39)*(日次管理!#REF!="実施完了")*(日次管理!#REF!="予定")*(日次管理!#REF!=$A$36),日次管理!#REF!)</f>
        <v>#REF!</v>
      </c>
      <c r="G39" s="56" t="e">
        <f>SUMPRODUCT((日次管理!#REF!&lt;=$G$37)*(日次管理!#REF!=$A$39)*(日次管理!#REF!="実施完了")*(日次管理!#REF!="実績")*(日次管理!#REF!=$A$36),日次管理!#REF!)</f>
        <v>#REF!</v>
      </c>
      <c r="H39" s="55" t="e">
        <f>SUMPRODUCT((日次管理!#REF!&lt;=$H$37)*(日次管理!#REF!=$A$39)*(日次管理!#REF!="実施完了")*(日次管理!#REF!="予定")*(日次管理!#REF!=$A$36),日次管理!#REF!)</f>
        <v>#REF!</v>
      </c>
      <c r="I39" s="56" t="e">
        <f>SUMPRODUCT((日次管理!#REF!&lt;=$I$37)*(日次管理!#REF!=$A$39)*(日次管理!#REF!="実施完了")*(日次管理!#REF!="実績")*(日次管理!#REF!=$A$36),日次管理!#REF!)</f>
        <v>#REF!</v>
      </c>
      <c r="J39" s="55" t="e">
        <f>SUMPRODUCT((日次管理!#REF!&lt;=$J$37)*(日次管理!#REF!=$A$39)*(日次管理!#REF!="実施完了")*(日次管理!#REF!="予定")*(日次管理!#REF!=$A$36),日次管理!#REF!)</f>
        <v>#REF!</v>
      </c>
      <c r="K39" s="56" t="e">
        <f>SUMPRODUCT((日次管理!#REF!&lt;=$K$37)*(日次管理!#REF!=$A$39)*(日次管理!#REF!="実施完了")*(日次管理!#REF!="実績")*(日次管理!#REF!=$A$36),日次管理!#REF!)</f>
        <v>#REF!</v>
      </c>
      <c r="L39" s="55" t="e">
        <f>SUMPRODUCT((日次管理!#REF!&lt;=$L$37)*(日次管理!#REF!=$A$39)*(日次管理!#REF!="実施完了")*(日次管理!#REF!="予定")*(日次管理!#REF!=$A$36),日次管理!#REF!)</f>
        <v>#REF!</v>
      </c>
      <c r="M39" s="56" t="e">
        <f>SUMPRODUCT((日次管理!#REF!&lt;=$M$37)*(日次管理!#REF!=$A$39)*(日次管理!#REF!="実施完了")*(日次管理!#REF!="実績")*(日次管理!#REF!=$A$36),日次管理!#REF!)</f>
        <v>#REF!</v>
      </c>
      <c r="N39" s="55" t="e">
        <f>SUMPRODUCT((日次管理!#REF!&lt;=$N$37)*(日次管理!#REF!=$A$39)*(日次管理!#REF!="実施完了")*(日次管理!#REF!="予定")*(日次管理!#REF!=$A$36),日次管理!#REF!)</f>
        <v>#REF!</v>
      </c>
      <c r="O39" s="56" t="e">
        <f>SUMPRODUCT((日次管理!#REF!&lt;=$O$37)*(日次管理!#REF!=$A$39)*(日次管理!#REF!="実施完了")*(日次管理!#REF!="実績")*(日次管理!#REF!=$A$36),日次管理!#REF!)</f>
        <v>#REF!</v>
      </c>
      <c r="P39" s="55" t="e">
        <f>SUMPRODUCT((日次管理!#REF!&lt;=$P$37)*(日次管理!#REF!=$A$39)*(日次管理!#REF!="実施完了")*(日次管理!#REF!="予定")*(日次管理!#REF!=$A$36),日次管理!#REF!)</f>
        <v>#REF!</v>
      </c>
      <c r="Q39" s="56" t="e">
        <f>SUMPRODUCT((日次管理!#REF!&lt;=$Q$37)*(日次管理!#REF!=$A$39)*(日次管理!#REF!="実施完了")*(日次管理!#REF!="実績")*(日次管理!#REF!=$A$36),日次管理!#REF!)</f>
        <v>#REF!</v>
      </c>
      <c r="R39" s="55" t="e">
        <f>SUMPRODUCT((日次管理!#REF!&lt;=$R$37)*(日次管理!#REF!=$A$39)*(日次管理!#REF!="実施完了")*(日次管理!#REF!="予定")*(日次管理!#REF!=$A$36),日次管理!#REF!)</f>
        <v>#REF!</v>
      </c>
      <c r="S39" s="56" t="e">
        <f>SUMPRODUCT((日次管理!#REF!&lt;=$S$37)*(日次管理!#REF!=$A$39)*(日次管理!#REF!="実施完了")*(日次管理!#REF!="実績")*(日次管理!#REF!=$A$36),日次管理!#REF!)</f>
        <v>#REF!</v>
      </c>
      <c r="T39" s="55" t="e">
        <f>SUMPRODUCT((日次管理!#REF!&lt;=$T$37)*(日次管理!#REF!=$A$39)*(日次管理!#REF!="実施完了")*(日次管理!#REF!="予定")*(日次管理!#REF!=$A$36),日次管理!#REF!)</f>
        <v>#REF!</v>
      </c>
      <c r="U39" s="56" t="e">
        <f>SUMPRODUCT((日次管理!#REF!&lt;=$U$37)*(日次管理!#REF!=$A$39)*(日次管理!#REF!="実施完了")*(日次管理!#REF!="実績")*(日次管理!#REF!=$A$36),日次管理!#REF!)</f>
        <v>#REF!</v>
      </c>
      <c r="V39" s="55" t="e">
        <f>SUMPRODUCT((日次管理!#REF!&lt;=$V$37)*(日次管理!#REF!=$A$39)*(日次管理!#REF!="実施完了")*(日次管理!#REF!="予定")*(日次管理!#REF!=$A$36),日次管理!#REF!)</f>
        <v>#REF!</v>
      </c>
      <c r="W39" s="56" t="e">
        <f>SUMPRODUCT((日次管理!#REF!&lt;=$W$37)*(日次管理!#REF!=$A$39)*(日次管理!#REF!="実施完了")*(日次管理!#REF!="実績")*(日次管理!#REF!=$A$36),日次管理!#REF!)</f>
        <v>#REF!</v>
      </c>
      <c r="X39" s="55" t="e">
        <f>SUMPRODUCT((日次管理!#REF!&lt;=$X$37)*(日次管理!#REF!=$A$39)*(日次管理!#REF!="実施完了")*(日次管理!#REF!="予定")*(日次管理!#REF!=$A$36),日次管理!#REF!)</f>
        <v>#REF!</v>
      </c>
      <c r="Y39" s="56" t="e">
        <f>SUMPRODUCT((日次管理!#REF!&lt;=$Y$37)*(日次管理!#REF!=$A$39)*(日次管理!#REF!="実施完了")*(日次管理!#REF!="実績")*(日次管理!#REF!=$A$36),日次管理!#REF!)</f>
        <v>#REF!</v>
      </c>
      <c r="Z39" s="55" t="e">
        <f>SUMPRODUCT((日次管理!#REF!&lt;=$Z$37)*(日次管理!#REF!=$A$39)*(日次管理!#REF!="実施完了")*(日次管理!#REF!="予定")*(日次管理!#REF!=$A$36),日次管理!#REF!)</f>
        <v>#REF!</v>
      </c>
      <c r="AA39" s="56" t="e">
        <f>SUMPRODUCT((日次管理!#REF!&lt;=$AA$37)*(日次管理!#REF!=$A$39)*(日次管理!#REF!="実施完了")*(日次管理!#REF!="実績")*(日次管理!#REF!=$A$36),日次管理!#REF!)</f>
        <v>#REF!</v>
      </c>
      <c r="AB39" s="55" t="e">
        <f>SUMPRODUCT((日次管理!#REF!&lt;=$AB$37)*(日次管理!#REF!=$A$39)*(日次管理!#REF!="実施完了")*(日次管理!#REF!="予定")*(日次管理!#REF!=$A$36),日次管理!#REF!)</f>
        <v>#REF!</v>
      </c>
      <c r="AC39" s="56" t="e">
        <f>SUMPRODUCT((日次管理!#REF!&lt;=$AC$37)*(日次管理!#REF!=$A$39)*(日次管理!#REF!="実施完了")*(日次管理!#REF!="実績")*(日次管理!#REF!=$A$36),日次管理!#REF!)</f>
        <v>#REF!</v>
      </c>
      <c r="AD39" s="55" t="e">
        <f>SUMPRODUCT((日次管理!#REF!&lt;=$AD$37)*(日次管理!#REF!=$A$39)*(日次管理!#REF!="実施完了")*(日次管理!#REF!="予定")*(日次管理!#REF!=$A$36),日次管理!#REF!)</f>
        <v>#REF!</v>
      </c>
      <c r="AE39" s="56" t="e">
        <f>SUMPRODUCT((日次管理!#REF!&lt;=$AE$37)*(日次管理!#REF!=$A$39)*(日次管理!#REF!="実施完了")*(日次管理!#REF!="実績")*(日次管理!#REF!=$A$36),日次管理!#REF!)</f>
        <v>#REF!</v>
      </c>
      <c r="AF39" s="55" t="e">
        <f>SUMPRODUCT((日次管理!#REF!&lt;=$AF$37)*(日次管理!#REF!=$A$39)*(日次管理!#REF!="実施完了")*(日次管理!#REF!="予定")*(日次管理!#REF!=$A$36),日次管理!#REF!)</f>
        <v>#REF!</v>
      </c>
      <c r="AG39" s="56" t="e">
        <f>SUMPRODUCT((日次管理!#REF!&lt;=$AG$37)*(日次管理!#REF!=$A$39)*(日次管理!#REF!="実施完了")*(日次管理!#REF!="実績")*(日次管理!#REF!=$A$36),日次管理!#REF!)</f>
        <v>#REF!</v>
      </c>
      <c r="AH39" s="55" t="e">
        <f>SUMPRODUCT((日次管理!#REF!&lt;=$AH$37)*(日次管理!#REF!=$A$39)*(日次管理!#REF!="実施完了")*(日次管理!#REF!="予定")*(日次管理!#REF!=$A$36),日次管理!#REF!)</f>
        <v>#REF!</v>
      </c>
      <c r="AI39" s="56" t="e">
        <f>SUMPRODUCT((日次管理!#REF!&lt;=$AI$37)*(日次管理!#REF!=$A$39)*(日次管理!#REF!="実施完了")*(日次管理!#REF!="実績")*(日次管理!#REF!=$A$36),日次管理!#REF!)</f>
        <v>#REF!</v>
      </c>
      <c r="AJ39" s="55" t="e">
        <f>SUMPRODUCT((日次管理!#REF!&lt;=$AJ$37)*(日次管理!#REF!=$A$39)*(日次管理!#REF!="実施完了")*(日次管理!#REF!="予定")*(日次管理!#REF!=$A$36),日次管理!#REF!)</f>
        <v>#REF!</v>
      </c>
      <c r="AK39" s="56" t="e">
        <f>SUMPRODUCT((日次管理!#REF!&lt;=$AK$37)*(日次管理!#REF!=$A$39)*(日次管理!#REF!="実施完了")*(日次管理!#REF!="実績")*(日次管理!#REF!=$A$36),日次管理!#REF!)</f>
        <v>#REF!</v>
      </c>
      <c r="AL39" s="55" t="e">
        <f>SUMPRODUCT((日次管理!#REF!&lt;=$AL$37)*(日次管理!#REF!=$A$39)*(日次管理!#REF!="実施完了")*(日次管理!#REF!="予定")*(日次管理!#REF!=$A$36),日次管理!#REF!)</f>
        <v>#REF!</v>
      </c>
      <c r="AM39" s="56" t="e">
        <f>SUMPRODUCT((日次管理!#REF!&lt;=$AM$37)*(日次管理!#REF!=$A$39)*(日次管理!#REF!="実施完了")*(日次管理!#REF!="実績")*(日次管理!#REF!=$A$36),日次管理!#REF!)</f>
        <v>#REF!</v>
      </c>
      <c r="AN39" s="55" t="e">
        <f>SUMPRODUCT((日次管理!#REF!&lt;=$AN$37)*(日次管理!#REF!=$A$39)*(日次管理!#REF!="実施完了")*(日次管理!#REF!="予定")*(日次管理!#REF!=$A$36),日次管理!#REF!)</f>
        <v>#REF!</v>
      </c>
      <c r="AO39" s="56" t="e">
        <f>SUMPRODUCT((日次管理!#REF!&lt;=$AO$37)*(日次管理!#REF!=$A$39)*(日次管理!#REF!="実施完了")*(日次管理!#REF!="実績")*(日次管理!#REF!=$A$36),日次管理!#REF!)</f>
        <v>#REF!</v>
      </c>
      <c r="AP39" s="55" t="e">
        <f>SUMPRODUCT((日次管理!#REF!&lt;=$AP$37)*(日次管理!#REF!=$A$39)*(日次管理!#REF!="実施完了")*(日次管理!#REF!="予定")*(日次管理!#REF!=$A$36),日次管理!#REF!)</f>
        <v>#REF!</v>
      </c>
      <c r="AQ39" s="56" t="e">
        <f>SUMPRODUCT((日次管理!#REF!&lt;=$AQ$37)*(日次管理!#REF!=$A$39)*(日次管理!#REF!="実施完了")*(日次管理!#REF!="実績")*(日次管理!#REF!=$A$36),日次管理!#REF!)</f>
        <v>#REF!</v>
      </c>
      <c r="AR39" s="55" t="e">
        <f>SUMPRODUCT((日次管理!#REF!&lt;=$AR$37)*(日次管理!#REF!=$A$39)*(日次管理!#REF!="実施完了")*(日次管理!#REF!="予定")*(日次管理!#REF!=$A$36),日次管理!#REF!)</f>
        <v>#REF!</v>
      </c>
      <c r="AS39" s="56" t="e">
        <f>SUMPRODUCT((日次管理!#REF!&lt;=$AS$37)*(日次管理!#REF!=$A$39)*(日次管理!#REF!="実施完了")*(日次管理!#REF!="実績")*(日次管理!#REF!=$A$36),日次管理!#REF!)</f>
        <v>#REF!</v>
      </c>
      <c r="AT39" s="55" t="e">
        <f>SUMPRODUCT((日次管理!#REF!&lt;=$AT$37)*(日次管理!#REF!=$A$39)*(日次管理!#REF!="実施完了")*(日次管理!#REF!="予定")*(日次管理!#REF!=$A$36),日次管理!#REF!)</f>
        <v>#REF!</v>
      </c>
      <c r="AU39" s="56" t="e">
        <f>SUMPRODUCT((日次管理!#REF!&lt;=$AU$37)*(日次管理!#REF!=$A$39)*(日次管理!#REF!="実施完了")*(日次管理!#REF!="実績")*(日次管理!#REF!=$A$36),日次管理!#REF!)</f>
        <v>#REF!</v>
      </c>
      <c r="AV39" s="55" t="e">
        <f>SUMPRODUCT((日次管理!#REF!&lt;=$AV$37)*(日次管理!#REF!=$A$39)*(日次管理!#REF!="実施完了")*(日次管理!#REF!="予定")*(日次管理!#REF!=$A$36),日次管理!#REF!)</f>
        <v>#REF!</v>
      </c>
      <c r="AW39" s="56" t="e">
        <f>SUMPRODUCT((日次管理!#REF!&lt;=$AW$37)*(日次管理!#REF!=$A$39)*(日次管理!#REF!="実施完了")*(日次管理!#REF!="実績")*(日次管理!#REF!=$A$36),日次管理!#REF!)</f>
        <v>#REF!</v>
      </c>
      <c r="AX39" s="55" t="e">
        <f>SUMPRODUCT((日次管理!#REF!&lt;=$AX$37)*(日次管理!#REF!=$A$39)*(日次管理!#REF!="実施完了")*(日次管理!#REF!="予定")*(日次管理!#REF!=$A$36),日次管理!#REF!)</f>
        <v>#REF!</v>
      </c>
      <c r="AY39" s="56" t="e">
        <f>SUMPRODUCT((日次管理!#REF!&lt;=$AY$37)*(日次管理!#REF!=$A$39)*(日次管理!#REF!="実施完了")*(日次管理!#REF!="実績")*(日次管理!#REF!=$A$36),日次管理!#REF!)</f>
        <v>#REF!</v>
      </c>
      <c r="AZ39" s="55" t="e">
        <f>SUMPRODUCT((日次管理!#REF!&lt;=$AZ$37)*(日次管理!#REF!=$A$39)*(日次管理!#REF!="実施完了")*(日次管理!#REF!="予定")*(日次管理!#REF!=$A$36),日次管理!#REF!)</f>
        <v>#REF!</v>
      </c>
      <c r="BA39" s="56" t="e">
        <f>SUMPRODUCT((日次管理!#REF!&lt;=$BA$37)*(日次管理!#REF!=$A$39)*(日次管理!#REF!="実施完了")*(日次管理!#REF!="実績")*(日次管理!#REF!=$A$36),日次管理!#REF!)</f>
        <v>#REF!</v>
      </c>
      <c r="BB39" s="55" t="e">
        <f>SUMPRODUCT((日次管理!#REF!&lt;=$BB$37)*(日次管理!#REF!=$A$39)*(日次管理!#REF!="実施完了")*(日次管理!#REF!="予定")*(日次管理!#REF!=$A$36),日次管理!#REF!)</f>
        <v>#REF!</v>
      </c>
      <c r="BC39" s="56" t="e">
        <f>SUMPRODUCT((日次管理!#REF!&lt;=$BC$37)*(日次管理!#REF!=$A$39)*(日次管理!#REF!="実施完了")*(日次管理!#REF!="実績")*(日次管理!#REF!=$A$36),日次管理!#REF!)</f>
        <v>#REF!</v>
      </c>
      <c r="BD39" s="55" t="e">
        <f>SUMPRODUCT((日次管理!#REF!&lt;=$BD$37)*(日次管理!#REF!=$A$39)*(日次管理!#REF!="実施完了")*(日次管理!#REF!="予定")*(日次管理!#REF!=$A$36),日次管理!#REF!)</f>
        <v>#REF!</v>
      </c>
      <c r="BE39" s="56" t="e">
        <f>SUMPRODUCT((日次管理!#REF!&lt;=$BE$37)*(日次管理!#REF!=$A$39)*(日次管理!#REF!="実施完了")*(日次管理!#REF!="実績")*(日次管理!#REF!=$A$36),日次管理!#REF!)</f>
        <v>#REF!</v>
      </c>
      <c r="BF39" s="55" t="e">
        <f>SUMPRODUCT((日次管理!#REF!&lt;=$BF$37)*(日次管理!#REF!=$A$39)*(日次管理!#REF!="実施完了")*(日次管理!#REF!="予定")*(日次管理!#REF!=$A$36),日次管理!#REF!)</f>
        <v>#REF!</v>
      </c>
      <c r="BG39" s="56" t="e">
        <f>SUMPRODUCT((日次管理!#REF!&lt;=$BG$37)*(日次管理!#REF!=$A$39)*(日次管理!#REF!="実施完了")*(日次管理!#REF!="実績")*(日次管理!#REF!=$A$36),日次管理!#REF!)</f>
        <v>#REF!</v>
      </c>
      <c r="BH39" s="55" t="e">
        <f>SUMPRODUCT((日次管理!#REF!&lt;=$BH$37)*(日次管理!#REF!=$A$39)*(日次管理!#REF!="実施完了")*(日次管理!#REF!="予定")*(日次管理!#REF!=$A$36),日次管理!#REF!)</f>
        <v>#REF!</v>
      </c>
      <c r="BI39" s="56" t="e">
        <f>SUMPRODUCT((日次管理!#REF!&lt;=$BI$37)*(日次管理!#REF!=$A$39)*(日次管理!#REF!="実施完了")*(日次管理!#REF!="実績")*(日次管理!#REF!=$A$36),日次管理!#REF!)</f>
        <v>#REF!</v>
      </c>
      <c r="BJ39" s="55" t="e">
        <f>SUMPRODUCT((日次管理!#REF!&lt;=$BJ$37)*(日次管理!#REF!=$A$39)*(日次管理!#REF!="実施完了")*(日次管理!#REF!="予定")*(日次管理!#REF!=$A$36),日次管理!#REF!)</f>
        <v>#REF!</v>
      </c>
      <c r="BK39" s="56" t="e">
        <f>SUMPRODUCT((日次管理!#REF!&lt;=$BK$37)*(日次管理!#REF!=$A$39)*(日次管理!#REF!="実施完了")*(日次管理!#REF!="実績")*(日次管理!#REF!=$A$36),日次管理!#REF!)</f>
        <v>#REF!</v>
      </c>
      <c r="BL39" s="55" t="e">
        <f>SUMPRODUCT((日次管理!#REF!&lt;=$BL$37)*(日次管理!#REF!=$A$39)*(日次管理!#REF!="実施完了")*(日次管理!#REF!="予定")*(日次管理!#REF!=$A$36),日次管理!#REF!)</f>
        <v>#REF!</v>
      </c>
      <c r="BM39" s="56" t="e">
        <f>SUMPRODUCT((日次管理!#REF!&lt;=$BM$37)*(日次管理!#REF!=$A$39)*(日次管理!#REF!="実施完了")*(日次管理!#REF!="実績")*(日次管理!#REF!=$A$36),日次管理!#REF!)</f>
        <v>#REF!</v>
      </c>
      <c r="BN39" s="55" t="e">
        <f>SUMPRODUCT((日次管理!#REF!&lt;=$BN$37)*(日次管理!#REF!=$A$39)*(日次管理!#REF!="実施完了")*(日次管理!#REF!="予定")*(日次管理!#REF!=$A$36),日次管理!#REF!)</f>
        <v>#REF!</v>
      </c>
      <c r="BO39" s="56" t="e">
        <f>SUMPRODUCT((日次管理!#REF!&lt;=$BO$37)*(日次管理!#REF!=$A$39)*(日次管理!#REF!="実施完了")*(日次管理!#REF!="実績")*(日次管理!#REF!=$A$36),日次管理!#REF!)</f>
        <v>#REF!</v>
      </c>
      <c r="BP39" s="55" t="e">
        <f>SUMPRODUCT((日次管理!#REF!&lt;=$BP$37)*(日次管理!#REF!=$A$39)*(日次管理!#REF!="実施完了")*(日次管理!#REF!="予定")*(日次管理!#REF!=$A$36),日次管理!#REF!)</f>
        <v>#REF!</v>
      </c>
      <c r="BQ39" s="56" t="e">
        <f>SUMPRODUCT((日次管理!#REF!&lt;=$BQ$37)*(日次管理!#REF!=$A$39)*(日次管理!#REF!="実施完了")*(日次管理!#REF!="実績")*(日次管理!#REF!=$A$36),日次管理!#REF!)</f>
        <v>#REF!</v>
      </c>
      <c r="BR39" s="55" t="e">
        <f>SUMPRODUCT((日次管理!#REF!&lt;=$BR$37)*(日次管理!#REF!=$A$39)*(日次管理!#REF!="実施完了")*(日次管理!#REF!="予定")*(日次管理!#REF!=$A$36),日次管理!#REF!)</f>
        <v>#REF!</v>
      </c>
      <c r="BS39" s="56" t="e">
        <f>SUMPRODUCT((日次管理!#REF!&lt;=$BS$37)*(日次管理!#REF!=$A$39)*(日次管理!#REF!="実施完了")*(日次管理!#REF!="実績")*(日次管理!#REF!=$A$36),日次管理!#REF!)</f>
        <v>#REF!</v>
      </c>
      <c r="BT39" s="55" t="e">
        <f>SUMPRODUCT((日次管理!#REF!&lt;=$BT$37)*(日次管理!#REF!=$A$39)*(日次管理!#REF!="実施完了")*(日次管理!#REF!="予定")*(日次管理!#REF!=$A$36),日次管理!#REF!)</f>
        <v>#REF!</v>
      </c>
      <c r="BU39" s="56" t="e">
        <f>SUMPRODUCT((日次管理!#REF!&lt;=$BU$37)*(日次管理!#REF!=$A$39)*(日次管理!#REF!="実施完了")*(日次管理!#REF!="実績")*(日次管理!#REF!=$A$36),日次管理!#REF!)</f>
        <v>#REF!</v>
      </c>
      <c r="BV39" s="55" t="e">
        <f>SUMPRODUCT((日次管理!#REF!&lt;=$BV$37)*(日次管理!#REF!=$A$39)*(日次管理!#REF!="実施完了")*(日次管理!#REF!="予定")*(日次管理!#REF!=$A$36),日次管理!#REF!)</f>
        <v>#REF!</v>
      </c>
      <c r="BW39" s="56" t="e">
        <f>SUMPRODUCT((日次管理!#REF!&lt;=$BW$37)*(日次管理!#REF!=$A$39)*(日次管理!#REF!="実施完了")*(日次管理!#REF!="実績")*(日次管理!#REF!=$A$36),日次管理!#REF!)</f>
        <v>#REF!</v>
      </c>
      <c r="BX39" s="55" t="e">
        <f>SUMPRODUCT((日次管理!#REF!&lt;=$BX$37)*(日次管理!#REF!=$A$39)*(日次管理!#REF!="実施完了")*(日次管理!#REF!="予定")*(日次管理!#REF!=$A$36),日次管理!#REF!)</f>
        <v>#REF!</v>
      </c>
      <c r="BY39" s="56" t="e">
        <f>SUMPRODUCT((日次管理!#REF!&lt;=$BY$37)*(日次管理!#REF!=$A$39)*(日次管理!#REF!="実施完了")*(日次管理!#REF!="実績")*(日次管理!#REF!=$A$36),日次管理!#REF!)</f>
        <v>#REF!</v>
      </c>
      <c r="BZ39" s="55" t="e">
        <f>SUMPRODUCT((日次管理!#REF!&lt;=$BZ$37)*(日次管理!#REF!=$A$39)*(日次管理!#REF!="実施完了")*(日次管理!#REF!="予定")*(日次管理!#REF!=$A$36),日次管理!#REF!)</f>
        <v>#REF!</v>
      </c>
      <c r="CA39" s="56" t="e">
        <f>SUMPRODUCT((日次管理!#REF!&lt;=$CA$37)*(日次管理!#REF!=$A$39)*(日次管理!#REF!="実施完了")*(日次管理!#REF!="実績")*(日次管理!#REF!=$A$36),日次管理!#REF!)</f>
        <v>#REF!</v>
      </c>
      <c r="CB39" s="55" t="e">
        <f>SUMPRODUCT((日次管理!#REF!&lt;=$CB$37)*(日次管理!#REF!=$A$39)*(日次管理!#REF!="実施完了")*(日次管理!#REF!="予定")*(日次管理!#REF!=$A$36),日次管理!#REF!)</f>
        <v>#REF!</v>
      </c>
      <c r="CC39" s="56" t="e">
        <f>SUMPRODUCT((日次管理!#REF!&lt;=$CC$37)*(日次管理!#REF!=$A$39)*(日次管理!#REF!="実施完了")*(日次管理!#REF!="実績")*(日次管理!#REF!=$A$36),日次管理!#REF!)</f>
        <v>#REF!</v>
      </c>
      <c r="CD39" s="55" t="e">
        <f>SUMPRODUCT((日次管理!#REF!&lt;=$CD$37)*(日次管理!#REF!=$A$39)*(日次管理!#REF!="実施完了")*(日次管理!#REF!="予定")*(日次管理!#REF!=$A$36),日次管理!#REF!)</f>
        <v>#REF!</v>
      </c>
      <c r="CE39" s="56" t="e">
        <f>SUMPRODUCT((日次管理!#REF!&lt;=$CE$37)*(日次管理!#REF!=$A$39)*(日次管理!#REF!="実施完了")*(日次管理!#REF!="実績")*(日次管理!#REF!=$A$36),日次管理!#REF!)</f>
        <v>#REF!</v>
      </c>
      <c r="CF39" s="55" t="e">
        <f>SUMPRODUCT((日次管理!#REF!&lt;=$CF$37)*(日次管理!#REF!=$A$39)*(日次管理!#REF!="実施完了")*(日次管理!#REF!="予定")*(日次管理!#REF!=$A$36),日次管理!#REF!)</f>
        <v>#REF!</v>
      </c>
      <c r="CG39" s="56" t="e">
        <f>SUMPRODUCT((日次管理!#REF!&lt;=$CG$37)*(日次管理!#REF!=$A$39)*(日次管理!#REF!="実施完了")*(日次管理!#REF!="実績")*(日次管理!#REF!=$A$36),日次管理!#REF!)</f>
        <v>#REF!</v>
      </c>
      <c r="CH39" s="55" t="e">
        <f>SUMPRODUCT((日次管理!#REF!&lt;=$CH$37)*(日次管理!#REF!=$A$39)*(日次管理!#REF!="実施完了")*(日次管理!#REF!="予定")*(日次管理!#REF!=$A$36),日次管理!#REF!)</f>
        <v>#REF!</v>
      </c>
      <c r="CI39" s="56" t="e">
        <f>SUMPRODUCT((日次管理!#REF!&lt;=$CI$37)*(日次管理!#REF!=$A$39)*(日次管理!#REF!="実施完了")*(日次管理!#REF!="実績")*(日次管理!#REF!=$A$36),日次管理!#REF!)</f>
        <v>#REF!</v>
      </c>
      <c r="CJ39" s="55" t="e">
        <f>SUMPRODUCT((日次管理!#REF!&lt;=$CJ$37)*(日次管理!#REF!=$A$39)*(日次管理!#REF!="実施完了")*(日次管理!#REF!="予定")*(日次管理!#REF!=$A$36),日次管理!#REF!)</f>
        <v>#REF!</v>
      </c>
      <c r="CK39" s="56" t="e">
        <f>SUMPRODUCT((日次管理!#REF!&lt;=$CK$37)*(日次管理!#REF!=$A$39)*(日次管理!#REF!="実施完了")*(日次管理!#REF!="実績")*(日次管理!#REF!=$A$36),日次管理!#REF!)</f>
        <v>#REF!</v>
      </c>
      <c r="CL39" s="55" t="e">
        <f>SUMPRODUCT((日次管理!#REF!&lt;=$CL$37)*(日次管理!#REF!=$A$39)*(日次管理!#REF!="実施完了")*(日次管理!#REF!="予定")*(日次管理!#REF!=$A$36),日次管理!#REF!)</f>
        <v>#REF!</v>
      </c>
      <c r="CM39" s="56" t="e">
        <f>SUMPRODUCT((日次管理!#REF!&lt;=$CM$37)*(日次管理!#REF!=$A$39)*(日次管理!#REF!="実施完了")*(日次管理!#REF!="実績")*(日次管理!#REF!=$A$36),日次管理!#REF!)</f>
        <v>#REF!</v>
      </c>
      <c r="CN39" s="55" t="e">
        <f>SUMPRODUCT((日次管理!#REF!&lt;=$CN$37)*(日次管理!#REF!=$A$39)*(日次管理!#REF!="実施完了")*(日次管理!#REF!="予定")*(日次管理!#REF!=$A$36),日次管理!#REF!)</f>
        <v>#REF!</v>
      </c>
      <c r="CO39" s="56" t="e">
        <f>SUMPRODUCT((日次管理!#REF!&lt;=$CO$37)*(日次管理!#REF!=$A$39)*(日次管理!#REF!="実施完了")*(日次管理!#REF!="実績")*(日次管理!#REF!=$A$36),日次管理!#REF!)</f>
        <v>#REF!</v>
      </c>
      <c r="CP39" s="55" t="e">
        <f>SUMPRODUCT((日次管理!#REF!&lt;=$CP$37)*(日次管理!#REF!=$A$39)*(日次管理!#REF!="実施完了")*(日次管理!#REF!="予定")*(日次管理!#REF!=$A$36),日次管理!#REF!)</f>
        <v>#REF!</v>
      </c>
      <c r="CQ39" s="56" t="e">
        <f>SUMPRODUCT((日次管理!#REF!&lt;=$CQ$37)*(日次管理!#REF!=$A$39)*(日次管理!#REF!="実施完了")*(日次管理!#REF!="実績")*(日次管理!#REF!=$A$36),日次管理!#REF!)</f>
        <v>#REF!</v>
      </c>
      <c r="CR39" s="55" t="e">
        <f>SUMPRODUCT((日次管理!#REF!&lt;=$CR$37)*(日次管理!#REF!=$A$39)*(日次管理!#REF!="実施完了")*(日次管理!#REF!="予定")*(日次管理!#REF!=$A$36),日次管理!#REF!)</f>
        <v>#REF!</v>
      </c>
      <c r="CS39" s="56" t="e">
        <f>SUMPRODUCT((日次管理!#REF!&lt;=$CS$37)*(日次管理!#REF!=$A$39)*(日次管理!#REF!="実施完了")*(日次管理!#REF!="実績")*(日次管理!#REF!=$A$36),日次管理!#REF!)</f>
        <v>#REF!</v>
      </c>
      <c r="CT39" s="55" t="e">
        <f>SUMPRODUCT((日次管理!#REF!&lt;=$CT$37)*(日次管理!#REF!=$A$39)*(日次管理!#REF!="実施完了")*(日次管理!#REF!="予定")*(日次管理!#REF!=$A$36),日次管理!#REF!)</f>
        <v>#REF!</v>
      </c>
      <c r="CU39" s="56" t="e">
        <f>SUMPRODUCT((日次管理!#REF!&lt;=$CU$37)*(日次管理!#REF!=$A$39)*(日次管理!#REF!="実施完了")*(日次管理!#REF!="実績")*(日次管理!#REF!=$A$36),日次管理!#REF!)</f>
        <v>#REF!</v>
      </c>
      <c r="CV39" s="57" t="e">
        <f ca="1">SUMPRODUCT(($A$37- WEEKDAY($A$37) + 6 =$B$37:$CU$37)*("実績"=$B$38:$CU$38),$B$39:$CU$39)/SUMPRODUCT(($A$37- WEEKDAY($A$37) + 6 =$B$37:$CU$37)*("予定"=$B$38:$CU$38),$B$39:$CU$39)</f>
        <v>#REF!</v>
      </c>
      <c r="CW39" s="58" t="e">
        <f>$CU$39/$CT$39</f>
        <v>#REF!</v>
      </c>
    </row>
    <row r="40" spans="1:101" ht="20.149999999999999" customHeight="1">
      <c r="A40" s="104" t="s">
        <v>79</v>
      </c>
      <c r="B40" s="91" t="e">
        <f>SUMPRODUCT((日次管理!#REF!&lt;=$B$37)*(日次管理!#REF!=$A$40)*(日次管理!#REF!="実施完了")*(日次管理!#REF!="予定")*(日次管理!#REF!=$A$36),日次管理!#REF!)</f>
        <v>#REF!</v>
      </c>
      <c r="C40" s="59" t="e">
        <f>SUMPRODUCT((日次管理!#REF!&lt;=$C$37)*(日次管理!#REF!=$A$40)*(日次管理!#REF!="実施完了")*(日次管理!#REF!="実績")*(日次管理!#REF!=$A$36),日次管理!#REF!)</f>
        <v>#REF!</v>
      </c>
      <c r="D40" s="91" t="e">
        <f>SUMPRODUCT((日次管理!#REF!&lt;=$D$37)*(日次管理!#REF!=$A$40)*(日次管理!#REF!="実施完了")*(日次管理!#REF!="予定")*(日次管理!#REF!=$A$36),日次管理!#REF!)</f>
        <v>#REF!</v>
      </c>
      <c r="E40" s="59" t="e">
        <f>SUMPRODUCT((日次管理!#REF!&lt;=$E$37)*(日次管理!#REF!=$A$40)*(日次管理!#REF!="実施完了")*(日次管理!#REF!="実績")*(日次管理!#REF!=$A$36),日次管理!#REF!)</f>
        <v>#REF!</v>
      </c>
      <c r="F40" s="91" t="e">
        <f>SUMPRODUCT((日次管理!#REF!&lt;=$F$37)*(日次管理!#REF!=$A$40)*(日次管理!#REF!="実施完了")*(日次管理!#REF!="予定")*(日次管理!#REF!=$A$36),日次管理!#REF!)</f>
        <v>#REF!</v>
      </c>
      <c r="G40" s="59" t="e">
        <f>SUMPRODUCT((日次管理!#REF!&lt;=$G$37)*(日次管理!#REF!=$A$40)*(日次管理!#REF!="実施完了")*(日次管理!#REF!="実績")*(日次管理!#REF!=$A$36),日次管理!#REF!)</f>
        <v>#REF!</v>
      </c>
      <c r="H40" s="91" t="e">
        <f>SUMPRODUCT((日次管理!#REF!&lt;=$H$37)*(日次管理!#REF!=$A$40)*(日次管理!#REF!="実施完了")*(日次管理!#REF!="予定")*(日次管理!#REF!=$A$36),日次管理!#REF!)</f>
        <v>#REF!</v>
      </c>
      <c r="I40" s="59" t="e">
        <f>SUMPRODUCT((日次管理!#REF!&lt;=$I$37)*(日次管理!#REF!=$A$40)*(日次管理!#REF!="実施完了")*(日次管理!#REF!="実績")*(日次管理!#REF!=$A$36),日次管理!#REF!)</f>
        <v>#REF!</v>
      </c>
      <c r="J40" s="91" t="e">
        <f>SUMPRODUCT((日次管理!#REF!&lt;=$J$37)*(日次管理!#REF!=$A$40)*(日次管理!#REF!="実施完了")*(日次管理!#REF!="予定")*(日次管理!#REF!=$A$36),日次管理!#REF!)</f>
        <v>#REF!</v>
      </c>
      <c r="K40" s="59" t="e">
        <f>SUMPRODUCT((日次管理!#REF!&lt;=$K$37)*(日次管理!#REF!=$A$40)*(日次管理!#REF!="実施完了")*(日次管理!#REF!="実績")*(日次管理!#REF!=$A$36),日次管理!#REF!)</f>
        <v>#REF!</v>
      </c>
      <c r="L40" s="91" t="e">
        <f>SUMPRODUCT((日次管理!#REF!&lt;=$L$37)*(日次管理!#REF!=$A$40)*(日次管理!#REF!="実施完了")*(日次管理!#REF!="予定")*(日次管理!#REF!=$A$36),日次管理!#REF!)</f>
        <v>#REF!</v>
      </c>
      <c r="M40" s="59" t="e">
        <f>SUMPRODUCT((日次管理!#REF!&lt;=$M$37)*(日次管理!#REF!=$A$40)*(日次管理!#REF!="実施完了")*(日次管理!#REF!="実績")*(日次管理!#REF!=$A$36),日次管理!#REF!)</f>
        <v>#REF!</v>
      </c>
      <c r="N40" s="91" t="e">
        <f>SUMPRODUCT((日次管理!#REF!&lt;=$N$37)*(日次管理!#REF!=$A$40)*(日次管理!#REF!="実施完了")*(日次管理!#REF!="予定")*(日次管理!#REF!=$A$36),日次管理!#REF!)</f>
        <v>#REF!</v>
      </c>
      <c r="O40" s="59" t="e">
        <f>SUMPRODUCT((日次管理!#REF!&lt;=$O$37)*(日次管理!#REF!=$A$40)*(日次管理!#REF!="実施完了")*(日次管理!#REF!="実績")*(日次管理!#REF!=$A$36),日次管理!#REF!)</f>
        <v>#REF!</v>
      </c>
      <c r="P40" s="91" t="e">
        <f>SUMPRODUCT((日次管理!#REF!&lt;=$P$37)*(日次管理!#REF!=$A$40)*(日次管理!#REF!="実施完了")*(日次管理!#REF!="予定")*(日次管理!#REF!=$A$36),日次管理!#REF!)</f>
        <v>#REF!</v>
      </c>
      <c r="Q40" s="59" t="e">
        <f>SUMPRODUCT((日次管理!#REF!&lt;=$Q$37)*(日次管理!#REF!=$A$40)*(日次管理!#REF!="実施完了")*(日次管理!#REF!="実績")*(日次管理!#REF!=$A$36),日次管理!#REF!)</f>
        <v>#REF!</v>
      </c>
      <c r="R40" s="91" t="e">
        <f>SUMPRODUCT((日次管理!#REF!&lt;=$R$37)*(日次管理!#REF!=$A$40)*(日次管理!#REF!="実施完了")*(日次管理!#REF!="予定")*(日次管理!#REF!=$A$36),日次管理!#REF!)</f>
        <v>#REF!</v>
      </c>
      <c r="S40" s="59" t="e">
        <f>SUMPRODUCT((日次管理!#REF!&lt;=$S$37)*(日次管理!#REF!=$A$40)*(日次管理!#REF!="実施完了")*(日次管理!#REF!="実績")*(日次管理!#REF!=$A$36),日次管理!#REF!)</f>
        <v>#REF!</v>
      </c>
      <c r="T40" s="91" t="e">
        <f>SUMPRODUCT((日次管理!#REF!&lt;=$T$37)*(日次管理!#REF!=$A$40)*(日次管理!#REF!="実施完了")*(日次管理!#REF!="予定")*(日次管理!#REF!=$A$36),日次管理!#REF!)</f>
        <v>#REF!</v>
      </c>
      <c r="U40" s="59" t="e">
        <f>SUMPRODUCT((日次管理!#REF!&lt;=$U$37)*(日次管理!#REF!=$A$40)*(日次管理!#REF!="実施完了")*(日次管理!#REF!="実績")*(日次管理!#REF!=$A$36),日次管理!#REF!)</f>
        <v>#REF!</v>
      </c>
      <c r="V40" s="91" t="e">
        <f>SUMPRODUCT((日次管理!#REF!&lt;=$V$37)*(日次管理!#REF!=$A$40)*(日次管理!#REF!="実施完了")*(日次管理!#REF!="予定")*(日次管理!#REF!=$A$36),日次管理!#REF!)</f>
        <v>#REF!</v>
      </c>
      <c r="W40" s="59" t="e">
        <f>SUMPRODUCT((日次管理!#REF!&lt;=$W$37)*(日次管理!#REF!=$A$40)*(日次管理!#REF!="実施完了")*(日次管理!#REF!="実績")*(日次管理!#REF!=$A$36),日次管理!#REF!)</f>
        <v>#REF!</v>
      </c>
      <c r="X40" s="91" t="e">
        <f>SUMPRODUCT((日次管理!#REF!&lt;=$X$37)*(日次管理!#REF!=$A$40)*(日次管理!#REF!="実施完了")*(日次管理!#REF!="予定")*(日次管理!#REF!=$A$36),日次管理!#REF!)</f>
        <v>#REF!</v>
      </c>
      <c r="Y40" s="59" t="e">
        <f>SUMPRODUCT((日次管理!#REF!&lt;=$Y$37)*(日次管理!#REF!=$A$40)*(日次管理!#REF!="実施完了")*(日次管理!#REF!="実績")*(日次管理!#REF!=$A$36),日次管理!#REF!)</f>
        <v>#REF!</v>
      </c>
      <c r="Z40" s="91" t="e">
        <f>SUMPRODUCT((日次管理!#REF!&lt;=$Z$37)*(日次管理!#REF!=$A$40)*(日次管理!#REF!="実施完了")*(日次管理!#REF!="予定")*(日次管理!#REF!=$A$36),日次管理!#REF!)</f>
        <v>#REF!</v>
      </c>
      <c r="AA40" s="59" t="e">
        <f>SUMPRODUCT((日次管理!#REF!&lt;=$AA$37)*(日次管理!#REF!=$A$40)*(日次管理!#REF!="実施完了")*(日次管理!#REF!="実績")*(日次管理!#REF!=$A$36),日次管理!#REF!)</f>
        <v>#REF!</v>
      </c>
      <c r="AB40" s="91" t="e">
        <f>SUMPRODUCT((日次管理!#REF!&lt;=$AB$37)*(日次管理!#REF!=$A$40)*(日次管理!#REF!="実施完了")*(日次管理!#REF!="予定")*(日次管理!#REF!=$A$36),日次管理!#REF!)</f>
        <v>#REF!</v>
      </c>
      <c r="AC40" s="59" t="e">
        <f>SUMPRODUCT((日次管理!#REF!&lt;=$AC$37)*(日次管理!#REF!=$A$40)*(日次管理!#REF!="実施完了")*(日次管理!#REF!="実績")*(日次管理!#REF!=$A$36),日次管理!#REF!)</f>
        <v>#REF!</v>
      </c>
      <c r="AD40" s="91" t="e">
        <f>SUMPRODUCT((日次管理!#REF!&lt;=$AD$37)*(日次管理!#REF!=$A$40)*(日次管理!#REF!="実施完了")*(日次管理!#REF!="予定")*(日次管理!#REF!=$A$36),日次管理!#REF!)</f>
        <v>#REF!</v>
      </c>
      <c r="AE40" s="59" t="e">
        <f>SUMPRODUCT((日次管理!#REF!&lt;=$AE$37)*(日次管理!#REF!=$A$40)*(日次管理!#REF!="実施完了")*(日次管理!#REF!="実績")*(日次管理!#REF!=$A$36),日次管理!#REF!)</f>
        <v>#REF!</v>
      </c>
      <c r="AF40" s="91" t="e">
        <f>SUMPRODUCT((日次管理!#REF!&lt;=$AF$37)*(日次管理!#REF!=$A$40)*(日次管理!#REF!="実施完了")*(日次管理!#REF!="予定")*(日次管理!#REF!=$A$36),日次管理!#REF!)</f>
        <v>#REF!</v>
      </c>
      <c r="AG40" s="59" t="e">
        <f>SUMPRODUCT((日次管理!#REF!&lt;=$AG$37)*(日次管理!#REF!=$A$40)*(日次管理!#REF!="実施完了")*(日次管理!#REF!="実績")*(日次管理!#REF!=$A$36),日次管理!#REF!)</f>
        <v>#REF!</v>
      </c>
      <c r="AH40" s="91" t="e">
        <f>SUMPRODUCT((日次管理!#REF!&lt;=$AH$37)*(日次管理!#REF!=$A$40)*(日次管理!#REF!="実施完了")*(日次管理!#REF!="予定")*(日次管理!#REF!=$A$36),日次管理!#REF!)</f>
        <v>#REF!</v>
      </c>
      <c r="AI40" s="59" t="e">
        <f>SUMPRODUCT((日次管理!#REF!&lt;=$AI$37)*(日次管理!#REF!=$A$40)*(日次管理!#REF!="実施完了")*(日次管理!#REF!="実績")*(日次管理!#REF!=$A$36),日次管理!#REF!)</f>
        <v>#REF!</v>
      </c>
      <c r="AJ40" s="91" t="e">
        <f>SUMPRODUCT((日次管理!#REF!&lt;=$AJ$37)*(日次管理!#REF!=$A$40)*(日次管理!#REF!="実施完了")*(日次管理!#REF!="予定")*(日次管理!#REF!=$A$36),日次管理!#REF!)</f>
        <v>#REF!</v>
      </c>
      <c r="AK40" s="59" t="e">
        <f>SUMPRODUCT((日次管理!#REF!&lt;=$AK$37)*(日次管理!#REF!=$A$40)*(日次管理!#REF!="実施完了")*(日次管理!#REF!="実績")*(日次管理!#REF!=$A$36),日次管理!#REF!)</f>
        <v>#REF!</v>
      </c>
      <c r="AL40" s="91" t="e">
        <f>SUMPRODUCT((日次管理!#REF!&lt;=$AL$37)*(日次管理!#REF!=$A$40)*(日次管理!#REF!="実施完了")*(日次管理!#REF!="予定")*(日次管理!#REF!=$A$36),日次管理!#REF!)</f>
        <v>#REF!</v>
      </c>
      <c r="AM40" s="59" t="e">
        <f>SUMPRODUCT((日次管理!#REF!&lt;=$AM$37)*(日次管理!#REF!=$A$40)*(日次管理!#REF!="実施完了")*(日次管理!#REF!="実績")*(日次管理!#REF!=$A$36),日次管理!#REF!)</f>
        <v>#REF!</v>
      </c>
      <c r="AN40" s="91" t="e">
        <f>SUMPRODUCT((日次管理!#REF!&lt;=$AN$37)*(日次管理!#REF!=$A$40)*(日次管理!#REF!="実施完了")*(日次管理!#REF!="予定")*(日次管理!#REF!=$A$36),日次管理!#REF!)</f>
        <v>#REF!</v>
      </c>
      <c r="AO40" s="59" t="e">
        <f>SUMPRODUCT((日次管理!#REF!&lt;=$AO$37)*(日次管理!#REF!=$A$40)*(日次管理!#REF!="実施完了")*(日次管理!#REF!="実績")*(日次管理!#REF!=$A$36),日次管理!#REF!)</f>
        <v>#REF!</v>
      </c>
      <c r="AP40" s="91" t="e">
        <f>SUMPRODUCT((日次管理!#REF!&lt;=$AP$37)*(日次管理!#REF!=$A$40)*(日次管理!#REF!="実施完了")*(日次管理!#REF!="予定")*(日次管理!#REF!=$A$36),日次管理!#REF!)</f>
        <v>#REF!</v>
      </c>
      <c r="AQ40" s="59" t="e">
        <f>SUMPRODUCT((日次管理!#REF!&lt;=$AQ$37)*(日次管理!#REF!=$A$40)*(日次管理!#REF!="実施完了")*(日次管理!#REF!="実績")*(日次管理!#REF!=$A$36),日次管理!#REF!)</f>
        <v>#REF!</v>
      </c>
      <c r="AR40" s="91" t="e">
        <f>SUMPRODUCT((日次管理!#REF!&lt;=$AR$37)*(日次管理!#REF!=$A$40)*(日次管理!#REF!="実施完了")*(日次管理!#REF!="予定")*(日次管理!#REF!=$A$36),日次管理!#REF!)</f>
        <v>#REF!</v>
      </c>
      <c r="AS40" s="59" t="e">
        <f>SUMPRODUCT((日次管理!#REF!&lt;=$AS$37)*(日次管理!#REF!=$A$40)*(日次管理!#REF!="実施完了")*(日次管理!#REF!="実績")*(日次管理!#REF!=$A$36),日次管理!#REF!)</f>
        <v>#REF!</v>
      </c>
      <c r="AT40" s="91" t="e">
        <f>SUMPRODUCT((日次管理!#REF!&lt;=$AT$37)*(日次管理!#REF!=$A$40)*(日次管理!#REF!="実施完了")*(日次管理!#REF!="予定")*(日次管理!#REF!=$A$36),日次管理!#REF!)</f>
        <v>#REF!</v>
      </c>
      <c r="AU40" s="59" t="e">
        <f>SUMPRODUCT((日次管理!#REF!&lt;=$AU$37)*(日次管理!#REF!=$A$40)*(日次管理!#REF!="実施完了")*(日次管理!#REF!="実績")*(日次管理!#REF!=$A$36),日次管理!#REF!)</f>
        <v>#REF!</v>
      </c>
      <c r="AV40" s="91" t="e">
        <f>SUMPRODUCT((日次管理!#REF!&lt;=$AV$37)*(日次管理!#REF!=$A$40)*(日次管理!#REF!="実施完了")*(日次管理!#REF!="予定")*(日次管理!#REF!=$A$36),日次管理!#REF!)</f>
        <v>#REF!</v>
      </c>
      <c r="AW40" s="59" t="e">
        <f>SUMPRODUCT((日次管理!#REF!&lt;=$AW$37)*(日次管理!#REF!=$A$40)*(日次管理!#REF!="実施完了")*(日次管理!#REF!="実績")*(日次管理!#REF!=$A$36),日次管理!#REF!)</f>
        <v>#REF!</v>
      </c>
      <c r="AX40" s="91" t="e">
        <f>SUMPRODUCT((日次管理!#REF!&lt;=$AX$37)*(日次管理!#REF!=$A$40)*(日次管理!#REF!="実施完了")*(日次管理!#REF!="予定")*(日次管理!#REF!=$A$36),日次管理!#REF!)</f>
        <v>#REF!</v>
      </c>
      <c r="AY40" s="59" t="e">
        <f>SUMPRODUCT((日次管理!#REF!&lt;=$AY$37)*(日次管理!#REF!=$A$40)*(日次管理!#REF!="実施完了")*(日次管理!#REF!="実績")*(日次管理!#REF!=$A$36),日次管理!#REF!)</f>
        <v>#REF!</v>
      </c>
      <c r="AZ40" s="91" t="e">
        <f>SUMPRODUCT((日次管理!#REF!&lt;=$AZ$37)*(日次管理!#REF!=$A$40)*(日次管理!#REF!="実施完了")*(日次管理!#REF!="予定")*(日次管理!#REF!=$A$36),日次管理!#REF!)</f>
        <v>#REF!</v>
      </c>
      <c r="BA40" s="59" t="e">
        <f>SUMPRODUCT((日次管理!#REF!&lt;=$BA$37)*(日次管理!#REF!=$A$40)*(日次管理!#REF!="実施完了")*(日次管理!#REF!="実績")*(日次管理!#REF!=$A$36),日次管理!#REF!)</f>
        <v>#REF!</v>
      </c>
      <c r="BB40" s="91" t="e">
        <f>SUMPRODUCT((日次管理!#REF!&lt;=$BB$37)*(日次管理!#REF!=$A$40)*(日次管理!#REF!="実施完了")*(日次管理!#REF!="予定")*(日次管理!#REF!=$A$36),日次管理!#REF!)</f>
        <v>#REF!</v>
      </c>
      <c r="BC40" s="59" t="e">
        <f>SUMPRODUCT((日次管理!#REF!&lt;=$BC$37)*(日次管理!#REF!=$A$40)*(日次管理!#REF!="実施完了")*(日次管理!#REF!="実績")*(日次管理!#REF!=$A$36),日次管理!#REF!)</f>
        <v>#REF!</v>
      </c>
      <c r="BD40" s="91" t="e">
        <f>SUMPRODUCT((日次管理!#REF!&lt;=$BD$37)*(日次管理!#REF!=$A$40)*(日次管理!#REF!="実施完了")*(日次管理!#REF!="予定")*(日次管理!#REF!=$A$36),日次管理!#REF!)</f>
        <v>#REF!</v>
      </c>
      <c r="BE40" s="59" t="e">
        <f>SUMPRODUCT((日次管理!#REF!&lt;=$BE$37)*(日次管理!#REF!=$A$40)*(日次管理!#REF!="実施完了")*(日次管理!#REF!="実績")*(日次管理!#REF!=$A$36),日次管理!#REF!)</f>
        <v>#REF!</v>
      </c>
      <c r="BF40" s="91" t="e">
        <f>SUMPRODUCT((日次管理!#REF!&lt;=$BF$37)*(日次管理!#REF!=$A$40)*(日次管理!#REF!="実施完了")*(日次管理!#REF!="予定")*(日次管理!#REF!=$A$36),日次管理!#REF!)</f>
        <v>#REF!</v>
      </c>
      <c r="BG40" s="59" t="e">
        <f>SUMPRODUCT((日次管理!#REF!&lt;=$BG$37)*(日次管理!#REF!=$A$40)*(日次管理!#REF!="実施完了")*(日次管理!#REF!="実績")*(日次管理!#REF!=$A$36),日次管理!#REF!)</f>
        <v>#REF!</v>
      </c>
      <c r="BH40" s="91" t="e">
        <f>SUMPRODUCT((日次管理!#REF!&lt;=$BH$37)*(日次管理!#REF!=$A$40)*(日次管理!#REF!="実施完了")*(日次管理!#REF!="予定")*(日次管理!#REF!=$A$36),日次管理!#REF!)</f>
        <v>#REF!</v>
      </c>
      <c r="BI40" s="59" t="e">
        <f>SUMPRODUCT((日次管理!#REF!&lt;=$BI$37)*(日次管理!#REF!=$A$40)*(日次管理!#REF!="実施完了")*(日次管理!#REF!="実績")*(日次管理!#REF!=$A$36),日次管理!#REF!)</f>
        <v>#REF!</v>
      </c>
      <c r="BJ40" s="91" t="e">
        <f>SUMPRODUCT((日次管理!#REF!&lt;=$BJ$37)*(日次管理!#REF!=$A$40)*(日次管理!#REF!="実施完了")*(日次管理!#REF!="予定")*(日次管理!#REF!=$A$36),日次管理!#REF!)</f>
        <v>#REF!</v>
      </c>
      <c r="BK40" s="59" t="e">
        <f>SUMPRODUCT((日次管理!#REF!&lt;=$BK$37)*(日次管理!#REF!=$A$40)*(日次管理!#REF!="実施完了")*(日次管理!#REF!="実績")*(日次管理!#REF!=$A$36),日次管理!#REF!)</f>
        <v>#REF!</v>
      </c>
      <c r="BL40" s="91" t="e">
        <f>SUMPRODUCT((日次管理!#REF!&lt;=$BL$37)*(日次管理!#REF!=$A$40)*(日次管理!#REF!="実施完了")*(日次管理!#REF!="予定")*(日次管理!#REF!=$A$36),日次管理!#REF!)</f>
        <v>#REF!</v>
      </c>
      <c r="BM40" s="59" t="e">
        <f>SUMPRODUCT((日次管理!#REF!&lt;=$BM$37)*(日次管理!#REF!=$A$40)*(日次管理!#REF!="実施完了")*(日次管理!#REF!="実績")*(日次管理!#REF!=$A$36),日次管理!#REF!)</f>
        <v>#REF!</v>
      </c>
      <c r="BN40" s="91" t="e">
        <f>SUMPRODUCT((日次管理!#REF!&lt;=$BN$37)*(日次管理!#REF!=$A$40)*(日次管理!#REF!="実施完了")*(日次管理!#REF!="予定")*(日次管理!#REF!=$A$36),日次管理!#REF!)</f>
        <v>#REF!</v>
      </c>
      <c r="BO40" s="59" t="e">
        <f>SUMPRODUCT((日次管理!#REF!&lt;=$BO$37)*(日次管理!#REF!=$A$40)*(日次管理!#REF!="実施完了")*(日次管理!#REF!="実績")*(日次管理!#REF!=$A$36),日次管理!#REF!)</f>
        <v>#REF!</v>
      </c>
      <c r="BP40" s="91" t="e">
        <f>SUMPRODUCT((日次管理!#REF!&lt;=$BP$37)*(日次管理!#REF!=$A$40)*(日次管理!#REF!="実施完了")*(日次管理!#REF!="予定")*(日次管理!#REF!=$A$36),日次管理!#REF!)</f>
        <v>#REF!</v>
      </c>
      <c r="BQ40" s="59" t="e">
        <f>SUMPRODUCT((日次管理!#REF!&lt;=$BQ$37)*(日次管理!#REF!=$A$40)*(日次管理!#REF!="実施完了")*(日次管理!#REF!="実績")*(日次管理!#REF!=$A$36),日次管理!#REF!)</f>
        <v>#REF!</v>
      </c>
      <c r="BR40" s="91" t="e">
        <f>SUMPRODUCT((日次管理!#REF!&lt;=$BR$37)*(日次管理!#REF!=$A$40)*(日次管理!#REF!="実施完了")*(日次管理!#REF!="予定")*(日次管理!#REF!=$A$36),日次管理!#REF!)</f>
        <v>#REF!</v>
      </c>
      <c r="BS40" s="59" t="e">
        <f>SUMPRODUCT((日次管理!#REF!&lt;=$BS$37)*(日次管理!#REF!=$A$40)*(日次管理!#REF!="実施完了")*(日次管理!#REF!="実績")*(日次管理!#REF!=$A$36),日次管理!#REF!)</f>
        <v>#REF!</v>
      </c>
      <c r="BT40" s="91" t="e">
        <f>SUMPRODUCT((日次管理!#REF!&lt;=$BT$37)*(日次管理!#REF!=$A$40)*(日次管理!#REF!="実施完了")*(日次管理!#REF!="予定")*(日次管理!#REF!=$A$36),日次管理!#REF!)</f>
        <v>#REF!</v>
      </c>
      <c r="BU40" s="59" t="e">
        <f>SUMPRODUCT((日次管理!#REF!&lt;=$BU$37)*(日次管理!#REF!=$A$40)*(日次管理!#REF!="実施完了")*(日次管理!#REF!="実績")*(日次管理!#REF!=$A$36),日次管理!#REF!)</f>
        <v>#REF!</v>
      </c>
      <c r="BV40" s="91" t="e">
        <f>SUMPRODUCT((日次管理!#REF!&lt;=$BV$37)*(日次管理!#REF!=$A$40)*(日次管理!#REF!="実施完了")*(日次管理!#REF!="予定")*(日次管理!#REF!=$A$36),日次管理!#REF!)</f>
        <v>#REF!</v>
      </c>
      <c r="BW40" s="59" t="e">
        <f>SUMPRODUCT((日次管理!#REF!&lt;=$BW$37)*(日次管理!#REF!=$A$40)*(日次管理!#REF!="実施完了")*(日次管理!#REF!="実績")*(日次管理!#REF!=$A$36),日次管理!#REF!)</f>
        <v>#REF!</v>
      </c>
      <c r="BX40" s="91" t="e">
        <f>SUMPRODUCT((日次管理!#REF!&lt;=$BX$37)*(日次管理!#REF!=$A$40)*(日次管理!#REF!="実施完了")*(日次管理!#REF!="予定")*(日次管理!#REF!=$A$36),日次管理!#REF!)</f>
        <v>#REF!</v>
      </c>
      <c r="BY40" s="59" t="e">
        <f>SUMPRODUCT((日次管理!#REF!&lt;=$BY$37)*(日次管理!#REF!=$A$40)*(日次管理!#REF!="実施完了")*(日次管理!#REF!="実績")*(日次管理!#REF!=$A$36),日次管理!#REF!)</f>
        <v>#REF!</v>
      </c>
      <c r="BZ40" s="91" t="e">
        <f>SUMPRODUCT((日次管理!#REF!&lt;=$BZ$37)*(日次管理!#REF!=$A$40)*(日次管理!#REF!="実施完了")*(日次管理!#REF!="予定")*(日次管理!#REF!=$A$36),日次管理!#REF!)</f>
        <v>#REF!</v>
      </c>
      <c r="CA40" s="59" t="e">
        <f>SUMPRODUCT((日次管理!#REF!&lt;=$CA$37)*(日次管理!#REF!=$A$40)*(日次管理!#REF!="実施完了")*(日次管理!#REF!="実績")*(日次管理!#REF!=$A$36),日次管理!#REF!)</f>
        <v>#REF!</v>
      </c>
      <c r="CB40" s="91" t="e">
        <f>SUMPRODUCT((日次管理!#REF!&lt;=$CB$37)*(日次管理!#REF!=$A$40)*(日次管理!#REF!="実施完了")*(日次管理!#REF!="予定")*(日次管理!#REF!=$A$36),日次管理!#REF!)</f>
        <v>#REF!</v>
      </c>
      <c r="CC40" s="59" t="e">
        <f>SUMPRODUCT((日次管理!#REF!&lt;=$CC$37)*(日次管理!#REF!=$A$40)*(日次管理!#REF!="実施完了")*(日次管理!#REF!="実績")*(日次管理!#REF!=$A$36),日次管理!#REF!)</f>
        <v>#REF!</v>
      </c>
      <c r="CD40" s="91" t="e">
        <f>SUMPRODUCT((日次管理!#REF!&lt;=$CD$37)*(日次管理!#REF!=$A$40)*(日次管理!#REF!="実施完了")*(日次管理!#REF!="予定")*(日次管理!#REF!=$A$36),日次管理!#REF!)</f>
        <v>#REF!</v>
      </c>
      <c r="CE40" s="59" t="e">
        <f>SUMPRODUCT((日次管理!#REF!&lt;=$CE$37)*(日次管理!#REF!=$A$40)*(日次管理!#REF!="実施完了")*(日次管理!#REF!="実績")*(日次管理!#REF!=$A$36),日次管理!#REF!)</f>
        <v>#REF!</v>
      </c>
      <c r="CF40" s="91" t="e">
        <f>SUMPRODUCT((日次管理!#REF!&lt;=$CF$37)*(日次管理!#REF!=$A$40)*(日次管理!#REF!="実施完了")*(日次管理!#REF!="予定")*(日次管理!#REF!=$A$36),日次管理!#REF!)</f>
        <v>#REF!</v>
      </c>
      <c r="CG40" s="59" t="e">
        <f>SUMPRODUCT((日次管理!#REF!&lt;=$CG$37)*(日次管理!#REF!=$A$40)*(日次管理!#REF!="実施完了")*(日次管理!#REF!="実績")*(日次管理!#REF!=$A$36),日次管理!#REF!)</f>
        <v>#REF!</v>
      </c>
      <c r="CH40" s="91" t="e">
        <f>SUMPRODUCT((日次管理!#REF!&lt;=$CH$37)*(日次管理!#REF!=$A$40)*(日次管理!#REF!="実施完了")*(日次管理!#REF!="予定")*(日次管理!#REF!=$A$36),日次管理!#REF!)</f>
        <v>#REF!</v>
      </c>
      <c r="CI40" s="59" t="e">
        <f>SUMPRODUCT((日次管理!#REF!&lt;=$CI$37)*(日次管理!#REF!=$A$40)*(日次管理!#REF!="実施完了")*(日次管理!#REF!="実績")*(日次管理!#REF!=$A$36),日次管理!#REF!)</f>
        <v>#REF!</v>
      </c>
      <c r="CJ40" s="91" t="e">
        <f>SUMPRODUCT((日次管理!#REF!&lt;=$CJ$37)*(日次管理!#REF!=$A$40)*(日次管理!#REF!="実施完了")*(日次管理!#REF!="予定")*(日次管理!#REF!=$A$36),日次管理!#REF!)</f>
        <v>#REF!</v>
      </c>
      <c r="CK40" s="59" t="e">
        <f>SUMPRODUCT((日次管理!#REF!&lt;=$CK$37)*(日次管理!#REF!=$A$40)*(日次管理!#REF!="実施完了")*(日次管理!#REF!="実績")*(日次管理!#REF!=$A$36),日次管理!#REF!)</f>
        <v>#REF!</v>
      </c>
      <c r="CL40" s="91" t="e">
        <f>SUMPRODUCT((日次管理!#REF!&lt;=$CL$37)*(日次管理!#REF!=$A$40)*(日次管理!#REF!="実施完了")*(日次管理!#REF!="予定")*(日次管理!#REF!=$A$36),日次管理!#REF!)</f>
        <v>#REF!</v>
      </c>
      <c r="CM40" s="59" t="e">
        <f>SUMPRODUCT((日次管理!#REF!&lt;=$CM$37)*(日次管理!#REF!=$A$40)*(日次管理!#REF!="実施完了")*(日次管理!#REF!="実績")*(日次管理!#REF!=$A$36),日次管理!#REF!)</f>
        <v>#REF!</v>
      </c>
      <c r="CN40" s="91" t="e">
        <f>SUMPRODUCT((日次管理!#REF!&lt;=$CN$37)*(日次管理!#REF!=$A$40)*(日次管理!#REF!="実施完了")*(日次管理!#REF!="予定")*(日次管理!#REF!=$A$36),日次管理!#REF!)</f>
        <v>#REF!</v>
      </c>
      <c r="CO40" s="59" t="e">
        <f>SUMPRODUCT((日次管理!#REF!&lt;=$CO$37)*(日次管理!#REF!=$A$40)*(日次管理!#REF!="実施完了")*(日次管理!#REF!="実績")*(日次管理!#REF!=$A$36),日次管理!#REF!)</f>
        <v>#REF!</v>
      </c>
      <c r="CP40" s="91" t="e">
        <f>SUMPRODUCT((日次管理!#REF!&lt;=$CP$37)*(日次管理!#REF!=$A$40)*(日次管理!#REF!="実施完了")*(日次管理!#REF!="予定")*(日次管理!#REF!=$A$36),日次管理!#REF!)</f>
        <v>#REF!</v>
      </c>
      <c r="CQ40" s="59" t="e">
        <f>SUMPRODUCT((日次管理!#REF!&lt;=$CQ$37)*(日次管理!#REF!=$A$40)*(日次管理!#REF!="実施完了")*(日次管理!#REF!="実績")*(日次管理!#REF!=$A$36),日次管理!#REF!)</f>
        <v>#REF!</v>
      </c>
      <c r="CR40" s="91" t="e">
        <f>SUMPRODUCT((日次管理!#REF!&lt;=$CR$37)*(日次管理!#REF!=$A$40)*(日次管理!#REF!="実施完了")*(日次管理!#REF!="予定")*(日次管理!#REF!=$A$36),日次管理!#REF!)</f>
        <v>#REF!</v>
      </c>
      <c r="CS40" s="59" t="e">
        <f>SUMPRODUCT((日次管理!#REF!&lt;=$CS$37)*(日次管理!#REF!=$A$40)*(日次管理!#REF!="実施完了")*(日次管理!#REF!="実績")*(日次管理!#REF!=$A$36),日次管理!#REF!)</f>
        <v>#REF!</v>
      </c>
      <c r="CT40" s="91" t="e">
        <f>SUMPRODUCT((日次管理!#REF!&lt;=$CT$37)*(日次管理!#REF!=$A$40)*(日次管理!#REF!="実施完了")*(日次管理!#REF!="予定")*(日次管理!#REF!=$A$36),日次管理!#REF!)</f>
        <v>#REF!</v>
      </c>
      <c r="CU40" s="59" t="e">
        <f>SUMPRODUCT((日次管理!#REF!&lt;=$CU$37)*(日次管理!#REF!=$A$40)*(日次管理!#REF!="実施完了")*(日次管理!#REF!="実績")*(日次管理!#REF!=$A$36),日次管理!#REF!)</f>
        <v>#REF!</v>
      </c>
      <c r="CV40" s="92" t="e">
        <f ca="1">SUMPRODUCT(($A$37- WEEKDAY($A$37) + 6 =$B$37:$CU$37)*("実績"=$B$38:$CU$38),$B$40:$CU$40)/SUMPRODUCT(($A$37- WEEKDAY($A$37) + 6 =$B$37:$CU$37)*("予定"=$B$38:$CU$38),$B$40:$CU$40)</f>
        <v>#REF!</v>
      </c>
      <c r="CW40" s="93" t="e">
        <f>$CU$40/$CT$40</f>
        <v>#REF!</v>
      </c>
    </row>
    <row r="41" spans="1:101" ht="20.149999999999999" customHeight="1">
      <c r="A41" s="105" t="s">
        <v>84</v>
      </c>
      <c r="B41" s="95" t="e">
        <f>SUMPRODUCT((日次管理!#REF!&lt;=$B$37)*(日次管理!#REF!=$A$41)*(日次管理!#REF!="実施完了")*(日次管理!#REF!="予定")*(日次管理!#REF!=$A$36),日次管理!#REF!)</f>
        <v>#REF!</v>
      </c>
      <c r="C41" s="60" t="e">
        <f>SUMPRODUCT((日次管理!#REF!&lt;=$C$37)*(日次管理!#REF!=$A$41)*(日次管理!#REF!="実施完了")*(日次管理!#REF!="実績")*(日次管理!#REF!=$A$36),日次管理!#REF!)</f>
        <v>#REF!</v>
      </c>
      <c r="D41" s="95" t="e">
        <f>SUMPRODUCT((日次管理!#REF!&lt;=$D$37)*(日次管理!#REF!=$A$41)*(日次管理!#REF!="実施完了")*(日次管理!#REF!="予定")*(日次管理!#REF!=$A$36),日次管理!#REF!)</f>
        <v>#REF!</v>
      </c>
      <c r="E41" s="60" t="e">
        <f>SUMPRODUCT((日次管理!#REF!&lt;=$E$37)*(日次管理!#REF!=$A$41)*(日次管理!#REF!="実施完了")*(日次管理!#REF!="実績")*(日次管理!#REF!=$A$36),日次管理!#REF!)</f>
        <v>#REF!</v>
      </c>
      <c r="F41" s="95" t="e">
        <f>SUMPRODUCT((日次管理!#REF!&lt;=$F$37)*(日次管理!#REF!=$A$41)*(日次管理!#REF!="実施完了")*(日次管理!#REF!="予定")*(日次管理!#REF!=$A$36),日次管理!#REF!)</f>
        <v>#REF!</v>
      </c>
      <c r="G41" s="60" t="e">
        <f>SUMPRODUCT((日次管理!#REF!&lt;=$G$37)*(日次管理!#REF!=$A$41)*(日次管理!#REF!="実施完了")*(日次管理!#REF!="実績")*(日次管理!#REF!=$A$36),日次管理!#REF!)</f>
        <v>#REF!</v>
      </c>
      <c r="H41" s="95" t="e">
        <f>SUMPRODUCT((日次管理!#REF!&lt;=$H$37)*(日次管理!#REF!=$A$41)*(日次管理!#REF!="実施完了")*(日次管理!#REF!="予定")*(日次管理!#REF!=$A$36),日次管理!#REF!)</f>
        <v>#REF!</v>
      </c>
      <c r="I41" s="60" t="e">
        <f>SUMPRODUCT((日次管理!#REF!&lt;=$I$37)*(日次管理!#REF!=$A$41)*(日次管理!#REF!="実施完了")*(日次管理!#REF!="実績")*(日次管理!#REF!=$A$36),日次管理!#REF!)</f>
        <v>#REF!</v>
      </c>
      <c r="J41" s="95" t="e">
        <f>SUMPRODUCT((日次管理!#REF!&lt;=$J$37)*(日次管理!#REF!=$A$41)*(日次管理!#REF!="実施完了")*(日次管理!#REF!="予定")*(日次管理!#REF!=$A$36),日次管理!#REF!)</f>
        <v>#REF!</v>
      </c>
      <c r="K41" s="60" t="e">
        <f>SUMPRODUCT((日次管理!#REF!&lt;=$K$37)*(日次管理!#REF!=$A$41)*(日次管理!#REF!="実施完了")*(日次管理!#REF!="実績")*(日次管理!#REF!=$A$36),日次管理!#REF!)</f>
        <v>#REF!</v>
      </c>
      <c r="L41" s="95" t="e">
        <f>SUMPRODUCT((日次管理!#REF!&lt;=$L$37)*(日次管理!#REF!=$A$41)*(日次管理!#REF!="実施完了")*(日次管理!#REF!="予定")*(日次管理!#REF!=$A$36),日次管理!#REF!)</f>
        <v>#REF!</v>
      </c>
      <c r="M41" s="60" t="e">
        <f>SUMPRODUCT((日次管理!#REF!&lt;=$M$37)*(日次管理!#REF!=$A$41)*(日次管理!#REF!="実施完了")*(日次管理!#REF!="実績")*(日次管理!#REF!=$A$36),日次管理!#REF!)</f>
        <v>#REF!</v>
      </c>
      <c r="N41" s="95" t="e">
        <f>SUMPRODUCT((日次管理!#REF!&lt;=$N$37)*(日次管理!#REF!=$A$41)*(日次管理!#REF!="実施完了")*(日次管理!#REF!="予定")*(日次管理!#REF!=$A$36),日次管理!#REF!)</f>
        <v>#REF!</v>
      </c>
      <c r="O41" s="60" t="e">
        <f>SUMPRODUCT((日次管理!#REF!&lt;=$O$37)*(日次管理!#REF!=$A$41)*(日次管理!#REF!="実施完了")*(日次管理!#REF!="実績")*(日次管理!#REF!=$A$36),日次管理!#REF!)</f>
        <v>#REF!</v>
      </c>
      <c r="P41" s="95" t="e">
        <f>SUMPRODUCT((日次管理!#REF!&lt;=$P$37)*(日次管理!#REF!=$A$41)*(日次管理!#REF!="実施完了")*(日次管理!#REF!="予定")*(日次管理!#REF!=$A$36),日次管理!#REF!)</f>
        <v>#REF!</v>
      </c>
      <c r="Q41" s="60" t="e">
        <f>SUMPRODUCT((日次管理!#REF!&lt;=$Q$37)*(日次管理!#REF!=$A$41)*(日次管理!#REF!="実施完了")*(日次管理!#REF!="実績")*(日次管理!#REF!=$A$36),日次管理!#REF!)</f>
        <v>#REF!</v>
      </c>
      <c r="R41" s="95" t="e">
        <f>SUMPRODUCT((日次管理!#REF!&lt;=$R$37)*(日次管理!#REF!=$A$41)*(日次管理!#REF!="実施完了")*(日次管理!#REF!="予定")*(日次管理!#REF!=$A$36),日次管理!#REF!)</f>
        <v>#REF!</v>
      </c>
      <c r="S41" s="60" t="e">
        <f>SUMPRODUCT((日次管理!#REF!&lt;=$S$37)*(日次管理!#REF!=$A$41)*(日次管理!#REF!="実施完了")*(日次管理!#REF!="実績")*(日次管理!#REF!=$A$36),日次管理!#REF!)</f>
        <v>#REF!</v>
      </c>
      <c r="T41" s="95" t="e">
        <f>SUMPRODUCT((日次管理!#REF!&lt;=$T$37)*(日次管理!#REF!=$A$41)*(日次管理!#REF!="実施完了")*(日次管理!#REF!="予定")*(日次管理!#REF!=$A$36),日次管理!#REF!)</f>
        <v>#REF!</v>
      </c>
      <c r="U41" s="60" t="e">
        <f>SUMPRODUCT((日次管理!#REF!&lt;=$U$37)*(日次管理!#REF!=$A$41)*(日次管理!#REF!="実施完了")*(日次管理!#REF!="実績")*(日次管理!#REF!=$A$36),日次管理!#REF!)</f>
        <v>#REF!</v>
      </c>
      <c r="V41" s="95" t="e">
        <f>SUMPRODUCT((日次管理!#REF!&lt;=$V$37)*(日次管理!#REF!=$A$41)*(日次管理!#REF!="実施完了")*(日次管理!#REF!="予定")*(日次管理!#REF!=$A$36),日次管理!#REF!)</f>
        <v>#REF!</v>
      </c>
      <c r="W41" s="60" t="e">
        <f>SUMPRODUCT((日次管理!#REF!&lt;=$W$37)*(日次管理!#REF!=$A$41)*(日次管理!#REF!="実施完了")*(日次管理!#REF!="実績")*(日次管理!#REF!=$A$36),日次管理!#REF!)</f>
        <v>#REF!</v>
      </c>
      <c r="X41" s="95" t="e">
        <f>SUMPRODUCT((日次管理!#REF!&lt;=$X$37)*(日次管理!#REF!=$A$41)*(日次管理!#REF!="実施完了")*(日次管理!#REF!="予定")*(日次管理!#REF!=$A$36),日次管理!#REF!)</f>
        <v>#REF!</v>
      </c>
      <c r="Y41" s="60" t="e">
        <f>SUMPRODUCT((日次管理!#REF!&lt;=$Y$37)*(日次管理!#REF!=$A$41)*(日次管理!#REF!="実施完了")*(日次管理!#REF!="実績")*(日次管理!#REF!=$A$36),日次管理!#REF!)</f>
        <v>#REF!</v>
      </c>
      <c r="Z41" s="95" t="e">
        <f>SUMPRODUCT((日次管理!#REF!&lt;=$Z$37)*(日次管理!#REF!=$A$41)*(日次管理!#REF!="実施完了")*(日次管理!#REF!="予定")*(日次管理!#REF!=$A$36),日次管理!#REF!)</f>
        <v>#REF!</v>
      </c>
      <c r="AA41" s="60" t="e">
        <f>SUMPRODUCT((日次管理!#REF!&lt;=$AA$37)*(日次管理!#REF!=$A$41)*(日次管理!#REF!="実施完了")*(日次管理!#REF!="実績")*(日次管理!#REF!=$A$36),日次管理!#REF!)</f>
        <v>#REF!</v>
      </c>
      <c r="AB41" s="95" t="e">
        <f>SUMPRODUCT((日次管理!#REF!&lt;=$AB$37)*(日次管理!#REF!=$A$41)*(日次管理!#REF!="実施完了")*(日次管理!#REF!="予定")*(日次管理!#REF!=$A$36),日次管理!#REF!)</f>
        <v>#REF!</v>
      </c>
      <c r="AC41" s="60" t="e">
        <f>SUMPRODUCT((日次管理!#REF!&lt;=$AC$37)*(日次管理!#REF!=$A$41)*(日次管理!#REF!="実施完了")*(日次管理!#REF!="実績")*(日次管理!#REF!=$A$36),日次管理!#REF!)</f>
        <v>#REF!</v>
      </c>
      <c r="AD41" s="95" t="e">
        <f>SUMPRODUCT((日次管理!#REF!&lt;=$AD$37)*(日次管理!#REF!=$A$41)*(日次管理!#REF!="実施完了")*(日次管理!#REF!="予定")*(日次管理!#REF!=$A$36),日次管理!#REF!)</f>
        <v>#REF!</v>
      </c>
      <c r="AE41" s="60" t="e">
        <f>SUMPRODUCT((日次管理!#REF!&lt;=$AE$37)*(日次管理!#REF!=$A$41)*(日次管理!#REF!="実施完了")*(日次管理!#REF!="実績")*(日次管理!#REF!=$A$36),日次管理!#REF!)</f>
        <v>#REF!</v>
      </c>
      <c r="AF41" s="95" t="e">
        <f>SUMPRODUCT((日次管理!#REF!&lt;=$AF$37)*(日次管理!#REF!=$A$41)*(日次管理!#REF!="実施完了")*(日次管理!#REF!="予定")*(日次管理!#REF!=$A$36),日次管理!#REF!)</f>
        <v>#REF!</v>
      </c>
      <c r="AG41" s="60" t="e">
        <f>SUMPRODUCT((日次管理!#REF!&lt;=$AG$37)*(日次管理!#REF!=$A$41)*(日次管理!#REF!="実施完了")*(日次管理!#REF!="実績")*(日次管理!#REF!=$A$36),日次管理!#REF!)</f>
        <v>#REF!</v>
      </c>
      <c r="AH41" s="95" t="e">
        <f>SUMPRODUCT((日次管理!#REF!&lt;=$AH$37)*(日次管理!#REF!=$A$41)*(日次管理!#REF!="実施完了")*(日次管理!#REF!="予定")*(日次管理!#REF!=$A$36),日次管理!#REF!)</f>
        <v>#REF!</v>
      </c>
      <c r="AI41" s="60" t="e">
        <f>SUMPRODUCT((日次管理!#REF!&lt;=$AI$37)*(日次管理!#REF!=$A$41)*(日次管理!#REF!="実施完了")*(日次管理!#REF!="実績")*(日次管理!#REF!=$A$36),日次管理!#REF!)</f>
        <v>#REF!</v>
      </c>
      <c r="AJ41" s="95" t="e">
        <f>SUMPRODUCT((日次管理!#REF!&lt;=$AJ$37)*(日次管理!#REF!=$A$41)*(日次管理!#REF!="実施完了")*(日次管理!#REF!="予定")*(日次管理!#REF!=$A$36),日次管理!#REF!)</f>
        <v>#REF!</v>
      </c>
      <c r="AK41" s="60" t="e">
        <f>SUMPRODUCT((日次管理!#REF!&lt;=$AK$37)*(日次管理!#REF!=$A$41)*(日次管理!#REF!="実施完了")*(日次管理!#REF!="実績")*(日次管理!#REF!=$A$36),日次管理!#REF!)</f>
        <v>#REF!</v>
      </c>
      <c r="AL41" s="95" t="e">
        <f>SUMPRODUCT((日次管理!#REF!&lt;=$AL$37)*(日次管理!#REF!=$A$41)*(日次管理!#REF!="実施完了")*(日次管理!#REF!="予定")*(日次管理!#REF!=$A$36),日次管理!#REF!)</f>
        <v>#REF!</v>
      </c>
      <c r="AM41" s="60" t="e">
        <f>SUMPRODUCT((日次管理!#REF!&lt;=$AM$37)*(日次管理!#REF!=$A$41)*(日次管理!#REF!="実施完了")*(日次管理!#REF!="実績")*(日次管理!#REF!=$A$36),日次管理!#REF!)</f>
        <v>#REF!</v>
      </c>
      <c r="AN41" s="95" t="e">
        <f>SUMPRODUCT((日次管理!#REF!&lt;=$AN$37)*(日次管理!#REF!=$A$41)*(日次管理!#REF!="実施完了")*(日次管理!#REF!="予定")*(日次管理!#REF!=$A$36),日次管理!#REF!)</f>
        <v>#REF!</v>
      </c>
      <c r="AO41" s="60" t="e">
        <f>SUMPRODUCT((日次管理!#REF!&lt;=$AO$37)*(日次管理!#REF!=$A$41)*(日次管理!#REF!="実施完了")*(日次管理!#REF!="実績")*(日次管理!#REF!=$A$36),日次管理!#REF!)</f>
        <v>#REF!</v>
      </c>
      <c r="AP41" s="95" t="e">
        <f>SUMPRODUCT((日次管理!#REF!&lt;=$AP$37)*(日次管理!#REF!=$A$41)*(日次管理!#REF!="実施完了")*(日次管理!#REF!="予定")*(日次管理!#REF!=$A$36),日次管理!#REF!)</f>
        <v>#REF!</v>
      </c>
      <c r="AQ41" s="60" t="e">
        <f>SUMPRODUCT((日次管理!#REF!&lt;=$AQ$37)*(日次管理!#REF!=$A$41)*(日次管理!#REF!="実施完了")*(日次管理!#REF!="実績")*(日次管理!#REF!=$A$36),日次管理!#REF!)</f>
        <v>#REF!</v>
      </c>
      <c r="AR41" s="95" t="e">
        <f>SUMPRODUCT((日次管理!#REF!&lt;=$AR$37)*(日次管理!#REF!=$A$41)*(日次管理!#REF!="実施完了")*(日次管理!#REF!="予定")*(日次管理!#REF!=$A$36),日次管理!#REF!)</f>
        <v>#REF!</v>
      </c>
      <c r="AS41" s="60" t="e">
        <f>SUMPRODUCT((日次管理!#REF!&lt;=$AS$37)*(日次管理!#REF!=$A$41)*(日次管理!#REF!="実施完了")*(日次管理!#REF!="実績")*(日次管理!#REF!=$A$36),日次管理!#REF!)</f>
        <v>#REF!</v>
      </c>
      <c r="AT41" s="95" t="e">
        <f>SUMPRODUCT((日次管理!#REF!&lt;=$AT$37)*(日次管理!#REF!=$A$41)*(日次管理!#REF!="実施完了")*(日次管理!#REF!="予定")*(日次管理!#REF!=$A$36),日次管理!#REF!)</f>
        <v>#REF!</v>
      </c>
      <c r="AU41" s="60" t="e">
        <f>SUMPRODUCT((日次管理!#REF!&lt;=$AU$37)*(日次管理!#REF!=$A$41)*(日次管理!#REF!="実施完了")*(日次管理!#REF!="実績")*(日次管理!#REF!=$A$36),日次管理!#REF!)</f>
        <v>#REF!</v>
      </c>
      <c r="AV41" s="95" t="e">
        <f>SUMPRODUCT((日次管理!#REF!&lt;=$AV$37)*(日次管理!#REF!=$A$41)*(日次管理!#REF!="実施完了")*(日次管理!#REF!="予定")*(日次管理!#REF!=$A$36),日次管理!#REF!)</f>
        <v>#REF!</v>
      </c>
      <c r="AW41" s="60" t="e">
        <f>SUMPRODUCT((日次管理!#REF!&lt;=$AW$37)*(日次管理!#REF!=$A$41)*(日次管理!#REF!="実施完了")*(日次管理!#REF!="実績")*(日次管理!#REF!=$A$36),日次管理!#REF!)</f>
        <v>#REF!</v>
      </c>
      <c r="AX41" s="95" t="e">
        <f>SUMPRODUCT((日次管理!#REF!&lt;=$AX$37)*(日次管理!#REF!=$A$41)*(日次管理!#REF!="実施完了")*(日次管理!#REF!="予定")*(日次管理!#REF!=$A$36),日次管理!#REF!)</f>
        <v>#REF!</v>
      </c>
      <c r="AY41" s="60" t="e">
        <f>SUMPRODUCT((日次管理!#REF!&lt;=$AY$37)*(日次管理!#REF!=$A$41)*(日次管理!#REF!="実施完了")*(日次管理!#REF!="実績")*(日次管理!#REF!=$A$36),日次管理!#REF!)</f>
        <v>#REF!</v>
      </c>
      <c r="AZ41" s="95" t="e">
        <f>SUMPRODUCT((日次管理!#REF!&lt;=$AZ$37)*(日次管理!#REF!=$A$41)*(日次管理!#REF!="実施完了")*(日次管理!#REF!="予定")*(日次管理!#REF!=$A$36),日次管理!#REF!)</f>
        <v>#REF!</v>
      </c>
      <c r="BA41" s="60" t="e">
        <f>SUMPRODUCT((日次管理!#REF!&lt;=$BA$37)*(日次管理!#REF!=$A$41)*(日次管理!#REF!="実施完了")*(日次管理!#REF!="実績")*(日次管理!#REF!=$A$36),日次管理!#REF!)</f>
        <v>#REF!</v>
      </c>
      <c r="BB41" s="95" t="e">
        <f>SUMPRODUCT((日次管理!#REF!&lt;=$BB$37)*(日次管理!#REF!=$A$41)*(日次管理!#REF!="実施完了")*(日次管理!#REF!="予定")*(日次管理!#REF!=$A$36),日次管理!#REF!)</f>
        <v>#REF!</v>
      </c>
      <c r="BC41" s="60" t="e">
        <f>SUMPRODUCT((日次管理!#REF!&lt;=$BC$37)*(日次管理!#REF!=$A$41)*(日次管理!#REF!="実施完了")*(日次管理!#REF!="実績")*(日次管理!#REF!=$A$36),日次管理!#REF!)</f>
        <v>#REF!</v>
      </c>
      <c r="BD41" s="95" t="e">
        <f>SUMPRODUCT((日次管理!#REF!&lt;=$BD$37)*(日次管理!#REF!=$A$41)*(日次管理!#REF!="実施完了")*(日次管理!#REF!="予定")*(日次管理!#REF!=$A$36),日次管理!#REF!)</f>
        <v>#REF!</v>
      </c>
      <c r="BE41" s="60" t="e">
        <f>SUMPRODUCT((日次管理!#REF!&lt;=$BE$37)*(日次管理!#REF!=$A$41)*(日次管理!#REF!="実施完了")*(日次管理!#REF!="実績")*(日次管理!#REF!=$A$36),日次管理!#REF!)</f>
        <v>#REF!</v>
      </c>
      <c r="BF41" s="95" t="e">
        <f>SUMPRODUCT((日次管理!#REF!&lt;=$BF$37)*(日次管理!#REF!=$A$41)*(日次管理!#REF!="実施完了")*(日次管理!#REF!="予定")*(日次管理!#REF!=$A$36),日次管理!#REF!)</f>
        <v>#REF!</v>
      </c>
      <c r="BG41" s="60" t="e">
        <f>SUMPRODUCT((日次管理!#REF!&lt;=$BG$37)*(日次管理!#REF!=$A$41)*(日次管理!#REF!="実施完了")*(日次管理!#REF!="実績")*(日次管理!#REF!=$A$36),日次管理!#REF!)</f>
        <v>#REF!</v>
      </c>
      <c r="BH41" s="95" t="e">
        <f>SUMPRODUCT((日次管理!#REF!&lt;=$BH$37)*(日次管理!#REF!=$A$41)*(日次管理!#REF!="実施完了")*(日次管理!#REF!="予定")*(日次管理!#REF!=$A$36),日次管理!#REF!)</f>
        <v>#REF!</v>
      </c>
      <c r="BI41" s="60" t="e">
        <f>SUMPRODUCT((日次管理!#REF!&lt;=$BI$37)*(日次管理!#REF!=$A$41)*(日次管理!#REF!="実施完了")*(日次管理!#REF!="実績")*(日次管理!#REF!=$A$36),日次管理!#REF!)</f>
        <v>#REF!</v>
      </c>
      <c r="BJ41" s="95" t="e">
        <f>SUMPRODUCT((日次管理!#REF!&lt;=$BJ$37)*(日次管理!#REF!=$A$41)*(日次管理!#REF!="実施完了")*(日次管理!#REF!="予定")*(日次管理!#REF!=$A$36),日次管理!#REF!)</f>
        <v>#REF!</v>
      </c>
      <c r="BK41" s="60" t="e">
        <f>SUMPRODUCT((日次管理!#REF!&lt;=$BK$37)*(日次管理!#REF!=$A$41)*(日次管理!#REF!="実施完了")*(日次管理!#REF!="実績")*(日次管理!#REF!=$A$36),日次管理!#REF!)</f>
        <v>#REF!</v>
      </c>
      <c r="BL41" s="95" t="e">
        <f>SUMPRODUCT((日次管理!#REF!&lt;=$BL$37)*(日次管理!#REF!=$A$41)*(日次管理!#REF!="実施完了")*(日次管理!#REF!="予定")*(日次管理!#REF!=$A$36),日次管理!#REF!)</f>
        <v>#REF!</v>
      </c>
      <c r="BM41" s="60" t="e">
        <f>SUMPRODUCT((日次管理!#REF!&lt;=$BM$37)*(日次管理!#REF!=$A$41)*(日次管理!#REF!="実施完了")*(日次管理!#REF!="実績")*(日次管理!#REF!=$A$36),日次管理!#REF!)</f>
        <v>#REF!</v>
      </c>
      <c r="BN41" s="95" t="e">
        <f>SUMPRODUCT((日次管理!#REF!&lt;=$BN$37)*(日次管理!#REF!=$A$41)*(日次管理!#REF!="実施完了")*(日次管理!#REF!="予定")*(日次管理!#REF!=$A$36),日次管理!#REF!)</f>
        <v>#REF!</v>
      </c>
      <c r="BO41" s="60" t="e">
        <f>SUMPRODUCT((日次管理!#REF!&lt;=$BO$37)*(日次管理!#REF!=$A$41)*(日次管理!#REF!="実施完了")*(日次管理!#REF!="実績")*(日次管理!#REF!=$A$36),日次管理!#REF!)</f>
        <v>#REF!</v>
      </c>
      <c r="BP41" s="95" t="e">
        <f>SUMPRODUCT((日次管理!#REF!&lt;=$BP$37)*(日次管理!#REF!=$A$41)*(日次管理!#REF!="実施完了")*(日次管理!#REF!="予定")*(日次管理!#REF!=$A$36),日次管理!#REF!)</f>
        <v>#REF!</v>
      </c>
      <c r="BQ41" s="60" t="e">
        <f>SUMPRODUCT((日次管理!#REF!&lt;=$BQ$37)*(日次管理!#REF!=$A$41)*(日次管理!#REF!="実施完了")*(日次管理!#REF!="実績")*(日次管理!#REF!=$A$36),日次管理!#REF!)</f>
        <v>#REF!</v>
      </c>
      <c r="BR41" s="95" t="e">
        <f>SUMPRODUCT((日次管理!#REF!&lt;=$BR$37)*(日次管理!#REF!=$A$41)*(日次管理!#REF!="実施完了")*(日次管理!#REF!="予定")*(日次管理!#REF!=$A$36),日次管理!#REF!)</f>
        <v>#REF!</v>
      </c>
      <c r="BS41" s="60" t="e">
        <f>SUMPRODUCT((日次管理!#REF!&lt;=$BS$37)*(日次管理!#REF!=$A$41)*(日次管理!#REF!="実施完了")*(日次管理!#REF!="実績")*(日次管理!#REF!=$A$36),日次管理!#REF!)</f>
        <v>#REF!</v>
      </c>
      <c r="BT41" s="95" t="e">
        <f>SUMPRODUCT((日次管理!#REF!&lt;=$BT$37)*(日次管理!#REF!=$A$41)*(日次管理!#REF!="実施完了")*(日次管理!#REF!="予定")*(日次管理!#REF!=$A$36),日次管理!#REF!)</f>
        <v>#REF!</v>
      </c>
      <c r="BU41" s="60" t="e">
        <f>SUMPRODUCT((日次管理!#REF!&lt;=$BU$37)*(日次管理!#REF!=$A$41)*(日次管理!#REF!="実施完了")*(日次管理!#REF!="実績")*(日次管理!#REF!=$A$36),日次管理!#REF!)</f>
        <v>#REF!</v>
      </c>
      <c r="BV41" s="95" t="e">
        <f>SUMPRODUCT((日次管理!#REF!&lt;=$BV$37)*(日次管理!#REF!=$A$41)*(日次管理!#REF!="実施完了")*(日次管理!#REF!="予定")*(日次管理!#REF!=$A$36),日次管理!#REF!)</f>
        <v>#REF!</v>
      </c>
      <c r="BW41" s="60" t="e">
        <f>SUMPRODUCT((日次管理!#REF!&lt;=$BW$37)*(日次管理!#REF!=$A$41)*(日次管理!#REF!="実施完了")*(日次管理!#REF!="実績")*(日次管理!#REF!=$A$36),日次管理!#REF!)</f>
        <v>#REF!</v>
      </c>
      <c r="BX41" s="95" t="e">
        <f>SUMPRODUCT((日次管理!#REF!&lt;=$BX$37)*(日次管理!#REF!=$A$41)*(日次管理!#REF!="実施完了")*(日次管理!#REF!="予定")*(日次管理!#REF!=$A$36),日次管理!#REF!)</f>
        <v>#REF!</v>
      </c>
      <c r="BY41" s="60" t="e">
        <f>SUMPRODUCT((日次管理!#REF!&lt;=$BY$37)*(日次管理!#REF!=$A$41)*(日次管理!#REF!="実施完了")*(日次管理!#REF!="実績")*(日次管理!#REF!=$A$36),日次管理!#REF!)</f>
        <v>#REF!</v>
      </c>
      <c r="BZ41" s="95" t="e">
        <f>SUMPRODUCT((日次管理!#REF!&lt;=$BZ$37)*(日次管理!#REF!=$A$41)*(日次管理!#REF!="実施完了")*(日次管理!#REF!="予定")*(日次管理!#REF!=$A$36),日次管理!#REF!)</f>
        <v>#REF!</v>
      </c>
      <c r="CA41" s="60" t="e">
        <f>SUMPRODUCT((日次管理!#REF!&lt;=$CA$37)*(日次管理!#REF!=$A$41)*(日次管理!#REF!="実施完了")*(日次管理!#REF!="実績")*(日次管理!#REF!=$A$36),日次管理!#REF!)</f>
        <v>#REF!</v>
      </c>
      <c r="CB41" s="95" t="e">
        <f>SUMPRODUCT((日次管理!#REF!&lt;=$CB$37)*(日次管理!#REF!=$A$41)*(日次管理!#REF!="実施完了")*(日次管理!#REF!="予定")*(日次管理!#REF!=$A$36),日次管理!#REF!)</f>
        <v>#REF!</v>
      </c>
      <c r="CC41" s="60" t="e">
        <f>SUMPRODUCT((日次管理!#REF!&lt;=$CC$37)*(日次管理!#REF!=$A$41)*(日次管理!#REF!="実施完了")*(日次管理!#REF!="実績")*(日次管理!#REF!=$A$36),日次管理!#REF!)</f>
        <v>#REF!</v>
      </c>
      <c r="CD41" s="95" t="e">
        <f>SUMPRODUCT((日次管理!#REF!&lt;=$CD$37)*(日次管理!#REF!=$A$41)*(日次管理!#REF!="実施完了")*(日次管理!#REF!="予定")*(日次管理!#REF!=$A$36),日次管理!#REF!)</f>
        <v>#REF!</v>
      </c>
      <c r="CE41" s="60" t="e">
        <f>SUMPRODUCT((日次管理!#REF!&lt;=$CE$37)*(日次管理!#REF!=$A$41)*(日次管理!#REF!="実施完了")*(日次管理!#REF!="実績")*(日次管理!#REF!=$A$36),日次管理!#REF!)</f>
        <v>#REF!</v>
      </c>
      <c r="CF41" s="95" t="e">
        <f>SUMPRODUCT((日次管理!#REF!&lt;=$CF$37)*(日次管理!#REF!=$A$41)*(日次管理!#REF!="実施完了")*(日次管理!#REF!="予定")*(日次管理!#REF!=$A$36),日次管理!#REF!)</f>
        <v>#REF!</v>
      </c>
      <c r="CG41" s="60" t="e">
        <f>SUMPRODUCT((日次管理!#REF!&lt;=$CG$37)*(日次管理!#REF!=$A$41)*(日次管理!#REF!="実施完了")*(日次管理!#REF!="実績")*(日次管理!#REF!=$A$36),日次管理!#REF!)</f>
        <v>#REF!</v>
      </c>
      <c r="CH41" s="95" t="e">
        <f>SUMPRODUCT((日次管理!#REF!&lt;=$CH$37)*(日次管理!#REF!=$A$41)*(日次管理!#REF!="実施完了")*(日次管理!#REF!="予定")*(日次管理!#REF!=$A$36),日次管理!#REF!)</f>
        <v>#REF!</v>
      </c>
      <c r="CI41" s="60" t="e">
        <f>SUMPRODUCT((日次管理!#REF!&lt;=$CI$37)*(日次管理!#REF!=$A$41)*(日次管理!#REF!="実施完了")*(日次管理!#REF!="実績")*(日次管理!#REF!=$A$36),日次管理!#REF!)</f>
        <v>#REF!</v>
      </c>
      <c r="CJ41" s="95" t="e">
        <f>SUMPRODUCT((日次管理!#REF!&lt;=$CJ$37)*(日次管理!#REF!=$A$41)*(日次管理!#REF!="実施完了")*(日次管理!#REF!="予定")*(日次管理!#REF!=$A$36),日次管理!#REF!)</f>
        <v>#REF!</v>
      </c>
      <c r="CK41" s="60" t="e">
        <f>SUMPRODUCT((日次管理!#REF!&lt;=$CK$37)*(日次管理!#REF!=$A$41)*(日次管理!#REF!="実施完了")*(日次管理!#REF!="実績")*(日次管理!#REF!=$A$36),日次管理!#REF!)</f>
        <v>#REF!</v>
      </c>
      <c r="CL41" s="95" t="e">
        <f>SUMPRODUCT((日次管理!#REF!&lt;=$CL$37)*(日次管理!#REF!=$A$41)*(日次管理!#REF!="実施完了")*(日次管理!#REF!="予定")*(日次管理!#REF!=$A$36),日次管理!#REF!)</f>
        <v>#REF!</v>
      </c>
      <c r="CM41" s="60" t="e">
        <f>SUMPRODUCT((日次管理!#REF!&lt;=$CM$37)*(日次管理!#REF!=$A$41)*(日次管理!#REF!="実施完了")*(日次管理!#REF!="実績")*(日次管理!#REF!=$A$36),日次管理!#REF!)</f>
        <v>#REF!</v>
      </c>
      <c r="CN41" s="95" t="e">
        <f>SUMPRODUCT((日次管理!#REF!&lt;=$CN$37)*(日次管理!#REF!=$A$41)*(日次管理!#REF!="実施完了")*(日次管理!#REF!="予定")*(日次管理!#REF!=$A$36),日次管理!#REF!)</f>
        <v>#REF!</v>
      </c>
      <c r="CO41" s="60" t="e">
        <f>SUMPRODUCT((日次管理!#REF!&lt;=$CO$37)*(日次管理!#REF!=$A$41)*(日次管理!#REF!="実施完了")*(日次管理!#REF!="実績")*(日次管理!#REF!=$A$36),日次管理!#REF!)</f>
        <v>#REF!</v>
      </c>
      <c r="CP41" s="95" t="e">
        <f>SUMPRODUCT((日次管理!#REF!&lt;=$CP$37)*(日次管理!#REF!=$A$41)*(日次管理!#REF!="実施完了")*(日次管理!#REF!="予定")*(日次管理!#REF!=$A$36),日次管理!#REF!)</f>
        <v>#REF!</v>
      </c>
      <c r="CQ41" s="60" t="e">
        <f>SUMPRODUCT((日次管理!#REF!&lt;=$CQ$37)*(日次管理!#REF!=$A$41)*(日次管理!#REF!="実施完了")*(日次管理!#REF!="実績")*(日次管理!#REF!=$A$36),日次管理!#REF!)</f>
        <v>#REF!</v>
      </c>
      <c r="CR41" s="95" t="e">
        <f>SUMPRODUCT((日次管理!#REF!&lt;=$CR$37)*(日次管理!#REF!=$A$41)*(日次管理!#REF!="実施完了")*(日次管理!#REF!="予定")*(日次管理!#REF!=$A$36),日次管理!#REF!)</f>
        <v>#REF!</v>
      </c>
      <c r="CS41" s="60" t="e">
        <f>SUMPRODUCT((日次管理!#REF!&lt;=$CS$37)*(日次管理!#REF!=$A$41)*(日次管理!#REF!="実施完了")*(日次管理!#REF!="実績")*(日次管理!#REF!=$A$36),日次管理!#REF!)</f>
        <v>#REF!</v>
      </c>
      <c r="CT41" s="95" t="e">
        <f>SUMPRODUCT((日次管理!#REF!&lt;=$CT$37)*(日次管理!#REF!=$A$41)*(日次管理!#REF!="実施完了")*(日次管理!#REF!="予定")*(日次管理!#REF!=$A$36),日次管理!#REF!)</f>
        <v>#REF!</v>
      </c>
      <c r="CU41" s="60" t="e">
        <f>SUMPRODUCT((日次管理!#REF!&lt;=$CU$37)*(日次管理!#REF!=$A$41)*(日次管理!#REF!="実施完了")*(日次管理!#REF!="実績")*(日次管理!#REF!=$A$36),日次管理!#REF!)</f>
        <v>#REF!</v>
      </c>
      <c r="CV41" s="96" t="e">
        <f ca="1">SUMPRODUCT(($A$37- WEEKDAY($A$37) + 6 =$B$37:$CU$37)*("実績"=$B$38:$CU$38),$B$41:$CU$41)/SUMPRODUCT(($A$37- WEEKDAY($A$37) + 6 =$B$37:$CU$37)*("予定"=$B$38:$CU$38),$B$41:$CU$41)</f>
        <v>#REF!</v>
      </c>
      <c r="CW41" s="97" t="e">
        <f>$CU$41/$CT$41</f>
        <v>#REF!</v>
      </c>
    </row>
    <row r="42" spans="1:101" ht="20.149999999999999" customHeight="1">
      <c r="A42" s="104" t="s">
        <v>72</v>
      </c>
      <c r="B42" s="91" t="e">
        <f>SUMPRODUCT((日次管理!#REF!&lt;=$B$37)*(日次管理!#REF!=$A$42)*(日次管理!#REF!="実施完了")*(日次管理!#REF!="予定")*(日次管理!#REF!=$A$36),日次管理!#REF!)</f>
        <v>#REF!</v>
      </c>
      <c r="C42" s="59" t="e">
        <f>SUMPRODUCT((日次管理!#REF!&lt;=$C$37)*(日次管理!#REF!=$A$42)*(日次管理!#REF!="実施完了")*(日次管理!#REF!="実績")*(日次管理!#REF!=$A$36),日次管理!#REF!)</f>
        <v>#REF!</v>
      </c>
      <c r="D42" s="91" t="e">
        <f>SUMPRODUCT((日次管理!#REF!&lt;=$D$37)*(日次管理!#REF!=$A$42)*(日次管理!#REF!="実施完了")*(日次管理!#REF!="予定")*(日次管理!#REF!=$A$36),日次管理!#REF!)</f>
        <v>#REF!</v>
      </c>
      <c r="E42" s="59" t="e">
        <f>SUMPRODUCT((日次管理!#REF!&lt;=$E$37)*(日次管理!#REF!=$A$42)*(日次管理!#REF!="実施完了")*(日次管理!#REF!="実績")*(日次管理!#REF!=$A$36),日次管理!#REF!)</f>
        <v>#REF!</v>
      </c>
      <c r="F42" s="91" t="e">
        <f>SUMPRODUCT((日次管理!#REF!&lt;=$F$37)*(日次管理!#REF!=$A$42)*(日次管理!#REF!="実施完了")*(日次管理!#REF!="予定")*(日次管理!#REF!=$A$36),日次管理!#REF!)</f>
        <v>#REF!</v>
      </c>
      <c r="G42" s="59" t="e">
        <f>SUMPRODUCT((日次管理!#REF!&lt;=$G$37)*(日次管理!#REF!=$A$42)*(日次管理!#REF!="実施完了")*(日次管理!#REF!="実績")*(日次管理!#REF!=$A$36),日次管理!#REF!)</f>
        <v>#REF!</v>
      </c>
      <c r="H42" s="91" t="e">
        <f>SUMPRODUCT((日次管理!#REF!&lt;=$H$37)*(日次管理!#REF!=$A$42)*(日次管理!#REF!="実施完了")*(日次管理!#REF!="予定")*(日次管理!#REF!=$A$36),日次管理!#REF!)</f>
        <v>#REF!</v>
      </c>
      <c r="I42" s="59" t="e">
        <f>SUMPRODUCT((日次管理!#REF!&lt;=$I$37)*(日次管理!#REF!=$A$42)*(日次管理!#REF!="実施完了")*(日次管理!#REF!="実績")*(日次管理!#REF!=$A$36),日次管理!#REF!)</f>
        <v>#REF!</v>
      </c>
      <c r="J42" s="91" t="e">
        <f>SUMPRODUCT((日次管理!#REF!&lt;=$J$37)*(日次管理!#REF!=$A$42)*(日次管理!#REF!="実施完了")*(日次管理!#REF!="予定")*(日次管理!#REF!=$A$36),日次管理!#REF!)</f>
        <v>#REF!</v>
      </c>
      <c r="K42" s="59" t="e">
        <f>SUMPRODUCT((日次管理!#REF!&lt;=$K$37)*(日次管理!#REF!=$A$42)*(日次管理!#REF!="実施完了")*(日次管理!#REF!="実績")*(日次管理!#REF!=$A$36),日次管理!#REF!)</f>
        <v>#REF!</v>
      </c>
      <c r="L42" s="91" t="e">
        <f>SUMPRODUCT((日次管理!#REF!&lt;=$L$37)*(日次管理!#REF!=$A$42)*(日次管理!#REF!="実施完了")*(日次管理!#REF!="予定")*(日次管理!#REF!=$A$36),日次管理!#REF!)</f>
        <v>#REF!</v>
      </c>
      <c r="M42" s="59" t="e">
        <f>SUMPRODUCT((日次管理!#REF!&lt;=$M$37)*(日次管理!#REF!=$A$42)*(日次管理!#REF!="実施完了")*(日次管理!#REF!="実績")*(日次管理!#REF!=$A$36),日次管理!#REF!)</f>
        <v>#REF!</v>
      </c>
      <c r="N42" s="91" t="e">
        <f>SUMPRODUCT((日次管理!#REF!&lt;=$N$37)*(日次管理!#REF!=$A$42)*(日次管理!#REF!="実施完了")*(日次管理!#REF!="予定")*(日次管理!#REF!=$A$36),日次管理!#REF!)</f>
        <v>#REF!</v>
      </c>
      <c r="O42" s="59" t="e">
        <f>SUMPRODUCT((日次管理!#REF!&lt;=$O$37)*(日次管理!#REF!=$A$42)*(日次管理!#REF!="実施完了")*(日次管理!#REF!="実績")*(日次管理!#REF!=$A$36),日次管理!#REF!)</f>
        <v>#REF!</v>
      </c>
      <c r="P42" s="91" t="e">
        <f>SUMPRODUCT((日次管理!#REF!&lt;=$P$37)*(日次管理!#REF!=$A$42)*(日次管理!#REF!="実施完了")*(日次管理!#REF!="予定")*(日次管理!#REF!=$A$36),日次管理!#REF!)</f>
        <v>#REF!</v>
      </c>
      <c r="Q42" s="59" t="e">
        <f>SUMPRODUCT((日次管理!#REF!&lt;=$Q$37)*(日次管理!#REF!=$A$42)*(日次管理!#REF!="実施完了")*(日次管理!#REF!="実績")*(日次管理!#REF!=$A$36),日次管理!#REF!)</f>
        <v>#REF!</v>
      </c>
      <c r="R42" s="91" t="e">
        <f>SUMPRODUCT((日次管理!#REF!&lt;=$R$37)*(日次管理!#REF!=$A$42)*(日次管理!#REF!="実施完了")*(日次管理!#REF!="予定")*(日次管理!#REF!=$A$36),日次管理!#REF!)</f>
        <v>#REF!</v>
      </c>
      <c r="S42" s="59" t="e">
        <f>SUMPRODUCT((日次管理!#REF!&lt;=$S$37)*(日次管理!#REF!=$A$42)*(日次管理!#REF!="実施完了")*(日次管理!#REF!="実績")*(日次管理!#REF!=$A$36),日次管理!#REF!)</f>
        <v>#REF!</v>
      </c>
      <c r="T42" s="91" t="e">
        <f>SUMPRODUCT((日次管理!#REF!&lt;=$T$37)*(日次管理!#REF!=$A$42)*(日次管理!#REF!="実施完了")*(日次管理!#REF!="予定")*(日次管理!#REF!=$A$36),日次管理!#REF!)</f>
        <v>#REF!</v>
      </c>
      <c r="U42" s="59" t="e">
        <f>SUMPRODUCT((日次管理!#REF!&lt;=$U$37)*(日次管理!#REF!=$A$42)*(日次管理!#REF!="実施完了")*(日次管理!#REF!="実績")*(日次管理!#REF!=$A$36),日次管理!#REF!)</f>
        <v>#REF!</v>
      </c>
      <c r="V42" s="91" t="e">
        <f>SUMPRODUCT((日次管理!#REF!&lt;=$V$37)*(日次管理!#REF!=$A$42)*(日次管理!#REF!="実施完了")*(日次管理!#REF!="予定")*(日次管理!#REF!=$A$36),日次管理!#REF!)</f>
        <v>#REF!</v>
      </c>
      <c r="W42" s="59" t="e">
        <f>SUMPRODUCT((日次管理!#REF!&lt;=$W$37)*(日次管理!#REF!=$A$42)*(日次管理!#REF!="実施完了")*(日次管理!#REF!="実績")*(日次管理!#REF!=$A$36),日次管理!#REF!)</f>
        <v>#REF!</v>
      </c>
      <c r="X42" s="91" t="e">
        <f>SUMPRODUCT((日次管理!#REF!&lt;=$X$37)*(日次管理!#REF!=$A$42)*(日次管理!#REF!="実施完了")*(日次管理!#REF!="予定")*(日次管理!#REF!=$A$36),日次管理!#REF!)</f>
        <v>#REF!</v>
      </c>
      <c r="Y42" s="59" t="e">
        <f>SUMPRODUCT((日次管理!#REF!&lt;=$Y$37)*(日次管理!#REF!=$A$42)*(日次管理!#REF!="実施完了")*(日次管理!#REF!="実績")*(日次管理!#REF!=$A$36),日次管理!#REF!)</f>
        <v>#REF!</v>
      </c>
      <c r="Z42" s="91" t="e">
        <f>SUMPRODUCT((日次管理!#REF!&lt;=$Z$37)*(日次管理!#REF!=$A$42)*(日次管理!#REF!="実施完了")*(日次管理!#REF!="予定")*(日次管理!#REF!=$A$36),日次管理!#REF!)</f>
        <v>#REF!</v>
      </c>
      <c r="AA42" s="59" t="e">
        <f>SUMPRODUCT((日次管理!#REF!&lt;=$AA$37)*(日次管理!#REF!=$A$42)*(日次管理!#REF!="実施完了")*(日次管理!#REF!="実績")*(日次管理!#REF!=$A$36),日次管理!#REF!)</f>
        <v>#REF!</v>
      </c>
      <c r="AB42" s="91" t="e">
        <f>SUMPRODUCT((日次管理!#REF!&lt;=$AB$37)*(日次管理!#REF!=$A$42)*(日次管理!#REF!="実施完了")*(日次管理!#REF!="予定")*(日次管理!#REF!=$A$36),日次管理!#REF!)</f>
        <v>#REF!</v>
      </c>
      <c r="AC42" s="59" t="e">
        <f>SUMPRODUCT((日次管理!#REF!&lt;=$AC$37)*(日次管理!#REF!=$A$42)*(日次管理!#REF!="実施完了")*(日次管理!#REF!="実績")*(日次管理!#REF!=$A$36),日次管理!#REF!)</f>
        <v>#REF!</v>
      </c>
      <c r="AD42" s="91" t="e">
        <f>SUMPRODUCT((日次管理!#REF!&lt;=$AD$37)*(日次管理!#REF!=$A$42)*(日次管理!#REF!="実施完了")*(日次管理!#REF!="予定")*(日次管理!#REF!=$A$36),日次管理!#REF!)</f>
        <v>#REF!</v>
      </c>
      <c r="AE42" s="59" t="e">
        <f>SUMPRODUCT((日次管理!#REF!&lt;=$AE$37)*(日次管理!#REF!=$A$42)*(日次管理!#REF!="実施完了")*(日次管理!#REF!="実績")*(日次管理!#REF!=$A$36),日次管理!#REF!)</f>
        <v>#REF!</v>
      </c>
      <c r="AF42" s="91" t="e">
        <f>SUMPRODUCT((日次管理!#REF!&lt;=$AF$37)*(日次管理!#REF!=$A$42)*(日次管理!#REF!="実施完了")*(日次管理!#REF!="予定")*(日次管理!#REF!=$A$36),日次管理!#REF!)</f>
        <v>#REF!</v>
      </c>
      <c r="AG42" s="59" t="e">
        <f>SUMPRODUCT((日次管理!#REF!&lt;=$AG$37)*(日次管理!#REF!=$A$42)*(日次管理!#REF!="実施完了")*(日次管理!#REF!="実績")*(日次管理!#REF!=$A$36),日次管理!#REF!)</f>
        <v>#REF!</v>
      </c>
      <c r="AH42" s="91" t="e">
        <f>SUMPRODUCT((日次管理!#REF!&lt;=$AH$37)*(日次管理!#REF!=$A$42)*(日次管理!#REF!="実施完了")*(日次管理!#REF!="予定")*(日次管理!#REF!=$A$36),日次管理!#REF!)</f>
        <v>#REF!</v>
      </c>
      <c r="AI42" s="59" t="e">
        <f>SUMPRODUCT((日次管理!#REF!&lt;=$AI$37)*(日次管理!#REF!=$A$42)*(日次管理!#REF!="実施完了")*(日次管理!#REF!="実績")*(日次管理!#REF!=$A$36),日次管理!#REF!)</f>
        <v>#REF!</v>
      </c>
      <c r="AJ42" s="91" t="e">
        <f>SUMPRODUCT((日次管理!#REF!&lt;=$AJ$37)*(日次管理!#REF!=$A$42)*(日次管理!#REF!="実施完了")*(日次管理!#REF!="予定")*(日次管理!#REF!=$A$36),日次管理!#REF!)</f>
        <v>#REF!</v>
      </c>
      <c r="AK42" s="59" t="e">
        <f>SUMPRODUCT((日次管理!#REF!&lt;=$AK$37)*(日次管理!#REF!=$A$42)*(日次管理!#REF!="実施完了")*(日次管理!#REF!="実績")*(日次管理!#REF!=$A$36),日次管理!#REF!)</f>
        <v>#REF!</v>
      </c>
      <c r="AL42" s="91" t="e">
        <f>SUMPRODUCT((日次管理!#REF!&lt;=$AL$37)*(日次管理!#REF!=$A$42)*(日次管理!#REF!="実施完了")*(日次管理!#REF!="予定")*(日次管理!#REF!=$A$36),日次管理!#REF!)</f>
        <v>#REF!</v>
      </c>
      <c r="AM42" s="59" t="e">
        <f>SUMPRODUCT((日次管理!#REF!&lt;=$AM$37)*(日次管理!#REF!=$A$42)*(日次管理!#REF!="実施完了")*(日次管理!#REF!="実績")*(日次管理!#REF!=$A$36),日次管理!#REF!)</f>
        <v>#REF!</v>
      </c>
      <c r="AN42" s="91" t="e">
        <f>SUMPRODUCT((日次管理!#REF!&lt;=$AN$37)*(日次管理!#REF!=$A$42)*(日次管理!#REF!="実施完了")*(日次管理!#REF!="予定")*(日次管理!#REF!=$A$36),日次管理!#REF!)</f>
        <v>#REF!</v>
      </c>
      <c r="AO42" s="59" t="e">
        <f>SUMPRODUCT((日次管理!#REF!&lt;=$AO$37)*(日次管理!#REF!=$A$42)*(日次管理!#REF!="実施完了")*(日次管理!#REF!="実績")*(日次管理!#REF!=$A$36),日次管理!#REF!)</f>
        <v>#REF!</v>
      </c>
      <c r="AP42" s="91" t="e">
        <f>SUMPRODUCT((日次管理!#REF!&lt;=$AP$37)*(日次管理!#REF!=$A$42)*(日次管理!#REF!="実施完了")*(日次管理!#REF!="予定")*(日次管理!#REF!=$A$36),日次管理!#REF!)</f>
        <v>#REF!</v>
      </c>
      <c r="AQ42" s="59" t="e">
        <f>SUMPRODUCT((日次管理!#REF!&lt;=$AQ$37)*(日次管理!#REF!=$A$42)*(日次管理!#REF!="実施完了")*(日次管理!#REF!="実績")*(日次管理!#REF!=$A$36),日次管理!#REF!)</f>
        <v>#REF!</v>
      </c>
      <c r="AR42" s="91" t="e">
        <f>SUMPRODUCT((日次管理!#REF!&lt;=$AR$37)*(日次管理!#REF!=$A$42)*(日次管理!#REF!="実施完了")*(日次管理!#REF!="予定")*(日次管理!#REF!=$A$36),日次管理!#REF!)</f>
        <v>#REF!</v>
      </c>
      <c r="AS42" s="59" t="e">
        <f>SUMPRODUCT((日次管理!#REF!&lt;=$AS$37)*(日次管理!#REF!=$A$42)*(日次管理!#REF!="実施完了")*(日次管理!#REF!="実績")*(日次管理!#REF!=$A$36),日次管理!#REF!)</f>
        <v>#REF!</v>
      </c>
      <c r="AT42" s="91" t="e">
        <f>SUMPRODUCT((日次管理!#REF!&lt;=$AT$37)*(日次管理!#REF!=$A$42)*(日次管理!#REF!="実施完了")*(日次管理!#REF!="予定")*(日次管理!#REF!=$A$36),日次管理!#REF!)</f>
        <v>#REF!</v>
      </c>
      <c r="AU42" s="59" t="e">
        <f>SUMPRODUCT((日次管理!#REF!&lt;=$AU$37)*(日次管理!#REF!=$A$42)*(日次管理!#REF!="実施完了")*(日次管理!#REF!="実績")*(日次管理!#REF!=$A$36),日次管理!#REF!)</f>
        <v>#REF!</v>
      </c>
      <c r="AV42" s="91" t="e">
        <f>SUMPRODUCT((日次管理!#REF!&lt;=$AV$37)*(日次管理!#REF!=$A$42)*(日次管理!#REF!="実施完了")*(日次管理!#REF!="予定")*(日次管理!#REF!=$A$36),日次管理!#REF!)</f>
        <v>#REF!</v>
      </c>
      <c r="AW42" s="59" t="e">
        <f>SUMPRODUCT((日次管理!#REF!&lt;=$AW$37)*(日次管理!#REF!=$A$42)*(日次管理!#REF!="実施完了")*(日次管理!#REF!="実績")*(日次管理!#REF!=$A$36),日次管理!#REF!)</f>
        <v>#REF!</v>
      </c>
      <c r="AX42" s="91" t="e">
        <f>SUMPRODUCT((日次管理!#REF!&lt;=$AX$37)*(日次管理!#REF!=$A$42)*(日次管理!#REF!="実施完了")*(日次管理!#REF!="予定")*(日次管理!#REF!=$A$36),日次管理!#REF!)</f>
        <v>#REF!</v>
      </c>
      <c r="AY42" s="59" t="e">
        <f>SUMPRODUCT((日次管理!#REF!&lt;=$AY$37)*(日次管理!#REF!=$A$42)*(日次管理!#REF!="実施完了")*(日次管理!#REF!="実績")*(日次管理!#REF!=$A$36),日次管理!#REF!)</f>
        <v>#REF!</v>
      </c>
      <c r="AZ42" s="91" t="e">
        <f>SUMPRODUCT((日次管理!#REF!&lt;=$AZ$37)*(日次管理!#REF!=$A$42)*(日次管理!#REF!="実施完了")*(日次管理!#REF!="予定")*(日次管理!#REF!=$A$36),日次管理!#REF!)</f>
        <v>#REF!</v>
      </c>
      <c r="BA42" s="59" t="e">
        <f>SUMPRODUCT((日次管理!#REF!&lt;=$BA$37)*(日次管理!#REF!=$A$42)*(日次管理!#REF!="実施完了")*(日次管理!#REF!="実績")*(日次管理!#REF!=$A$36),日次管理!#REF!)</f>
        <v>#REF!</v>
      </c>
      <c r="BB42" s="91" t="e">
        <f>SUMPRODUCT((日次管理!#REF!&lt;=$BB$37)*(日次管理!#REF!=$A$42)*(日次管理!#REF!="実施完了")*(日次管理!#REF!="予定")*(日次管理!#REF!=$A$36),日次管理!#REF!)</f>
        <v>#REF!</v>
      </c>
      <c r="BC42" s="59" t="e">
        <f>SUMPRODUCT((日次管理!#REF!&lt;=$BC$37)*(日次管理!#REF!=$A$42)*(日次管理!#REF!="実施完了")*(日次管理!#REF!="実績")*(日次管理!#REF!=$A$36),日次管理!#REF!)</f>
        <v>#REF!</v>
      </c>
      <c r="BD42" s="91" t="e">
        <f>SUMPRODUCT((日次管理!#REF!&lt;=$BD$37)*(日次管理!#REF!=$A$42)*(日次管理!#REF!="実施完了")*(日次管理!#REF!="予定")*(日次管理!#REF!=$A$36),日次管理!#REF!)</f>
        <v>#REF!</v>
      </c>
      <c r="BE42" s="59" t="e">
        <f>SUMPRODUCT((日次管理!#REF!&lt;=$BE$37)*(日次管理!#REF!=$A$42)*(日次管理!#REF!="実施完了")*(日次管理!#REF!="実績")*(日次管理!#REF!=$A$36),日次管理!#REF!)</f>
        <v>#REF!</v>
      </c>
      <c r="BF42" s="91" t="e">
        <f>SUMPRODUCT((日次管理!#REF!&lt;=$BF$37)*(日次管理!#REF!=$A$42)*(日次管理!#REF!="実施完了")*(日次管理!#REF!="予定")*(日次管理!#REF!=$A$36),日次管理!#REF!)</f>
        <v>#REF!</v>
      </c>
      <c r="BG42" s="59" t="e">
        <f>SUMPRODUCT((日次管理!#REF!&lt;=$BG$37)*(日次管理!#REF!=$A$42)*(日次管理!#REF!="実施完了")*(日次管理!#REF!="実績")*(日次管理!#REF!=$A$36),日次管理!#REF!)</f>
        <v>#REF!</v>
      </c>
      <c r="BH42" s="91" t="e">
        <f>SUMPRODUCT((日次管理!#REF!&lt;=$BH$37)*(日次管理!#REF!=$A$42)*(日次管理!#REF!="実施完了")*(日次管理!#REF!="予定")*(日次管理!#REF!=$A$36),日次管理!#REF!)</f>
        <v>#REF!</v>
      </c>
      <c r="BI42" s="59" t="e">
        <f>SUMPRODUCT((日次管理!#REF!&lt;=$BI$37)*(日次管理!#REF!=$A$42)*(日次管理!#REF!="実施完了")*(日次管理!#REF!="実績")*(日次管理!#REF!=$A$36),日次管理!#REF!)</f>
        <v>#REF!</v>
      </c>
      <c r="BJ42" s="91" t="e">
        <f>SUMPRODUCT((日次管理!#REF!&lt;=$BJ$37)*(日次管理!#REF!=$A$42)*(日次管理!#REF!="実施完了")*(日次管理!#REF!="予定")*(日次管理!#REF!=$A$36),日次管理!#REF!)</f>
        <v>#REF!</v>
      </c>
      <c r="BK42" s="59" t="e">
        <f>SUMPRODUCT((日次管理!#REF!&lt;=$BK$37)*(日次管理!#REF!=$A$42)*(日次管理!#REF!="実施完了")*(日次管理!#REF!="実績")*(日次管理!#REF!=$A$36),日次管理!#REF!)</f>
        <v>#REF!</v>
      </c>
      <c r="BL42" s="91" t="e">
        <f>SUMPRODUCT((日次管理!#REF!&lt;=$BL$37)*(日次管理!#REF!=$A$42)*(日次管理!#REF!="実施完了")*(日次管理!#REF!="予定")*(日次管理!#REF!=$A$36),日次管理!#REF!)</f>
        <v>#REF!</v>
      </c>
      <c r="BM42" s="59" t="e">
        <f>SUMPRODUCT((日次管理!#REF!&lt;=$BM$37)*(日次管理!#REF!=$A$42)*(日次管理!#REF!="実施完了")*(日次管理!#REF!="実績")*(日次管理!#REF!=$A$36),日次管理!#REF!)</f>
        <v>#REF!</v>
      </c>
      <c r="BN42" s="91" t="e">
        <f>SUMPRODUCT((日次管理!#REF!&lt;=$BN$37)*(日次管理!#REF!=$A$42)*(日次管理!#REF!="実施完了")*(日次管理!#REF!="予定")*(日次管理!#REF!=$A$36),日次管理!#REF!)</f>
        <v>#REF!</v>
      </c>
      <c r="BO42" s="59" t="e">
        <f>SUMPRODUCT((日次管理!#REF!&lt;=$BO$37)*(日次管理!#REF!=$A$42)*(日次管理!#REF!="実施完了")*(日次管理!#REF!="実績")*(日次管理!#REF!=$A$36),日次管理!#REF!)</f>
        <v>#REF!</v>
      </c>
      <c r="BP42" s="91" t="e">
        <f>SUMPRODUCT((日次管理!#REF!&lt;=$BP$37)*(日次管理!#REF!=$A$42)*(日次管理!#REF!="実施完了")*(日次管理!#REF!="予定")*(日次管理!#REF!=$A$36),日次管理!#REF!)</f>
        <v>#REF!</v>
      </c>
      <c r="BQ42" s="59" t="e">
        <f>SUMPRODUCT((日次管理!#REF!&lt;=$BQ$37)*(日次管理!#REF!=$A$42)*(日次管理!#REF!="実施完了")*(日次管理!#REF!="実績")*(日次管理!#REF!=$A$36),日次管理!#REF!)</f>
        <v>#REF!</v>
      </c>
      <c r="BR42" s="91" t="e">
        <f>SUMPRODUCT((日次管理!#REF!&lt;=$BR$37)*(日次管理!#REF!=$A$42)*(日次管理!#REF!="実施完了")*(日次管理!#REF!="予定")*(日次管理!#REF!=$A$36),日次管理!#REF!)</f>
        <v>#REF!</v>
      </c>
      <c r="BS42" s="59" t="e">
        <f>SUMPRODUCT((日次管理!#REF!&lt;=$BS$37)*(日次管理!#REF!=$A$42)*(日次管理!#REF!="実施完了")*(日次管理!#REF!="実績")*(日次管理!#REF!=$A$36),日次管理!#REF!)</f>
        <v>#REF!</v>
      </c>
      <c r="BT42" s="91" t="e">
        <f>SUMPRODUCT((日次管理!#REF!&lt;=$BT$37)*(日次管理!#REF!=$A$42)*(日次管理!#REF!="実施完了")*(日次管理!#REF!="予定")*(日次管理!#REF!=$A$36),日次管理!#REF!)</f>
        <v>#REF!</v>
      </c>
      <c r="BU42" s="59" t="e">
        <f>SUMPRODUCT((日次管理!#REF!&lt;=$BU$37)*(日次管理!#REF!=$A$42)*(日次管理!#REF!="実施完了")*(日次管理!#REF!="実績")*(日次管理!#REF!=$A$36),日次管理!#REF!)</f>
        <v>#REF!</v>
      </c>
      <c r="BV42" s="91" t="e">
        <f>SUMPRODUCT((日次管理!#REF!&lt;=$BV$37)*(日次管理!#REF!=$A$42)*(日次管理!#REF!="実施完了")*(日次管理!#REF!="予定")*(日次管理!#REF!=$A$36),日次管理!#REF!)</f>
        <v>#REF!</v>
      </c>
      <c r="BW42" s="59" t="e">
        <f>SUMPRODUCT((日次管理!#REF!&lt;=$BW$37)*(日次管理!#REF!=$A$42)*(日次管理!#REF!="実施完了")*(日次管理!#REF!="実績")*(日次管理!#REF!=$A$36),日次管理!#REF!)</f>
        <v>#REF!</v>
      </c>
      <c r="BX42" s="91" t="e">
        <f>SUMPRODUCT((日次管理!#REF!&lt;=$BX$37)*(日次管理!#REF!=$A$42)*(日次管理!#REF!="実施完了")*(日次管理!#REF!="予定")*(日次管理!#REF!=$A$36),日次管理!#REF!)</f>
        <v>#REF!</v>
      </c>
      <c r="BY42" s="59" t="e">
        <f>SUMPRODUCT((日次管理!#REF!&lt;=$BY$37)*(日次管理!#REF!=$A$42)*(日次管理!#REF!="実施完了")*(日次管理!#REF!="実績")*(日次管理!#REF!=$A$36),日次管理!#REF!)</f>
        <v>#REF!</v>
      </c>
      <c r="BZ42" s="91" t="e">
        <f>SUMPRODUCT((日次管理!#REF!&lt;=$BZ$37)*(日次管理!#REF!=$A$42)*(日次管理!#REF!="実施完了")*(日次管理!#REF!="予定")*(日次管理!#REF!=$A$36),日次管理!#REF!)</f>
        <v>#REF!</v>
      </c>
      <c r="CA42" s="59" t="e">
        <f>SUMPRODUCT((日次管理!#REF!&lt;=$CA$37)*(日次管理!#REF!=$A$42)*(日次管理!#REF!="実施完了")*(日次管理!#REF!="実績")*(日次管理!#REF!=$A$36),日次管理!#REF!)</f>
        <v>#REF!</v>
      </c>
      <c r="CB42" s="91" t="e">
        <f>SUMPRODUCT((日次管理!#REF!&lt;=$CB$37)*(日次管理!#REF!=$A$42)*(日次管理!#REF!="実施完了")*(日次管理!#REF!="予定")*(日次管理!#REF!=$A$36),日次管理!#REF!)</f>
        <v>#REF!</v>
      </c>
      <c r="CC42" s="59" t="e">
        <f>SUMPRODUCT((日次管理!#REF!&lt;=$CC$37)*(日次管理!#REF!=$A$42)*(日次管理!#REF!="実施完了")*(日次管理!#REF!="実績")*(日次管理!#REF!=$A$36),日次管理!#REF!)</f>
        <v>#REF!</v>
      </c>
      <c r="CD42" s="91" t="e">
        <f>SUMPRODUCT((日次管理!#REF!&lt;=$CD$37)*(日次管理!#REF!=$A$42)*(日次管理!#REF!="実施完了")*(日次管理!#REF!="予定")*(日次管理!#REF!=$A$36),日次管理!#REF!)</f>
        <v>#REF!</v>
      </c>
      <c r="CE42" s="59" t="e">
        <f>SUMPRODUCT((日次管理!#REF!&lt;=$CE$37)*(日次管理!#REF!=$A$42)*(日次管理!#REF!="実施完了")*(日次管理!#REF!="実績")*(日次管理!#REF!=$A$36),日次管理!#REF!)</f>
        <v>#REF!</v>
      </c>
      <c r="CF42" s="91" t="e">
        <f>SUMPRODUCT((日次管理!#REF!&lt;=$CF$37)*(日次管理!#REF!=$A$42)*(日次管理!#REF!="実施完了")*(日次管理!#REF!="予定")*(日次管理!#REF!=$A$36),日次管理!#REF!)</f>
        <v>#REF!</v>
      </c>
      <c r="CG42" s="59" t="e">
        <f>SUMPRODUCT((日次管理!#REF!&lt;=$CG$37)*(日次管理!#REF!=$A$42)*(日次管理!#REF!="実施完了")*(日次管理!#REF!="実績")*(日次管理!#REF!=$A$36),日次管理!#REF!)</f>
        <v>#REF!</v>
      </c>
      <c r="CH42" s="91" t="e">
        <f>SUMPRODUCT((日次管理!#REF!&lt;=$CH$37)*(日次管理!#REF!=$A$42)*(日次管理!#REF!="実施完了")*(日次管理!#REF!="予定")*(日次管理!#REF!=$A$36),日次管理!#REF!)</f>
        <v>#REF!</v>
      </c>
      <c r="CI42" s="59" t="e">
        <f>SUMPRODUCT((日次管理!#REF!&lt;=$CI$37)*(日次管理!#REF!=$A$42)*(日次管理!#REF!="実施完了")*(日次管理!#REF!="実績")*(日次管理!#REF!=$A$36),日次管理!#REF!)</f>
        <v>#REF!</v>
      </c>
      <c r="CJ42" s="91" t="e">
        <f>SUMPRODUCT((日次管理!#REF!&lt;=$CJ$37)*(日次管理!#REF!=$A$42)*(日次管理!#REF!="実施完了")*(日次管理!#REF!="予定")*(日次管理!#REF!=$A$36),日次管理!#REF!)</f>
        <v>#REF!</v>
      </c>
      <c r="CK42" s="59" t="e">
        <f>SUMPRODUCT((日次管理!#REF!&lt;=$CK$37)*(日次管理!#REF!=$A$42)*(日次管理!#REF!="実施完了")*(日次管理!#REF!="実績")*(日次管理!#REF!=$A$36),日次管理!#REF!)</f>
        <v>#REF!</v>
      </c>
      <c r="CL42" s="91" t="e">
        <f>SUMPRODUCT((日次管理!#REF!&lt;=$CL$37)*(日次管理!#REF!=$A$42)*(日次管理!#REF!="実施完了")*(日次管理!#REF!="予定")*(日次管理!#REF!=$A$36),日次管理!#REF!)</f>
        <v>#REF!</v>
      </c>
      <c r="CM42" s="59" t="e">
        <f>SUMPRODUCT((日次管理!#REF!&lt;=$CM$37)*(日次管理!#REF!=$A$42)*(日次管理!#REF!="実施完了")*(日次管理!#REF!="実績")*(日次管理!#REF!=$A$36),日次管理!#REF!)</f>
        <v>#REF!</v>
      </c>
      <c r="CN42" s="91" t="e">
        <f>SUMPRODUCT((日次管理!#REF!&lt;=$CN$37)*(日次管理!#REF!=$A$42)*(日次管理!#REF!="実施完了")*(日次管理!#REF!="予定")*(日次管理!#REF!=$A$36),日次管理!#REF!)</f>
        <v>#REF!</v>
      </c>
      <c r="CO42" s="59" t="e">
        <f>SUMPRODUCT((日次管理!#REF!&lt;=$CO$37)*(日次管理!#REF!=$A$42)*(日次管理!#REF!="実施完了")*(日次管理!#REF!="実績")*(日次管理!#REF!=$A$36),日次管理!#REF!)</f>
        <v>#REF!</v>
      </c>
      <c r="CP42" s="91" t="e">
        <f>SUMPRODUCT((日次管理!#REF!&lt;=$CP$37)*(日次管理!#REF!=$A$42)*(日次管理!#REF!="実施完了")*(日次管理!#REF!="予定")*(日次管理!#REF!=$A$36),日次管理!#REF!)</f>
        <v>#REF!</v>
      </c>
      <c r="CQ42" s="59" t="e">
        <f>SUMPRODUCT((日次管理!#REF!&lt;=$CQ$37)*(日次管理!#REF!=$A$42)*(日次管理!#REF!="実施完了")*(日次管理!#REF!="実績")*(日次管理!#REF!=$A$36),日次管理!#REF!)</f>
        <v>#REF!</v>
      </c>
      <c r="CR42" s="91" t="e">
        <f>SUMPRODUCT((日次管理!#REF!&lt;=$CR$37)*(日次管理!#REF!=$A$42)*(日次管理!#REF!="実施完了")*(日次管理!#REF!="予定")*(日次管理!#REF!=$A$36),日次管理!#REF!)</f>
        <v>#REF!</v>
      </c>
      <c r="CS42" s="59" t="e">
        <f>SUMPRODUCT((日次管理!#REF!&lt;=$CS$37)*(日次管理!#REF!=$A$42)*(日次管理!#REF!="実施完了")*(日次管理!#REF!="実績")*(日次管理!#REF!=$A$36),日次管理!#REF!)</f>
        <v>#REF!</v>
      </c>
      <c r="CT42" s="91" t="e">
        <f>SUMPRODUCT((日次管理!#REF!&lt;=$CT$37)*(日次管理!#REF!=$A$42)*(日次管理!#REF!="実施完了")*(日次管理!#REF!="予定")*(日次管理!#REF!=$A$36),日次管理!#REF!)</f>
        <v>#REF!</v>
      </c>
      <c r="CU42" s="59" t="e">
        <f>SUMPRODUCT((日次管理!#REF!&lt;=$CU$37)*(日次管理!#REF!=$A$42)*(日次管理!#REF!="実施完了")*(日次管理!#REF!="実績")*(日次管理!#REF!=$A$36),日次管理!#REF!)</f>
        <v>#REF!</v>
      </c>
      <c r="CV42" s="92" t="e">
        <f ca="1">SUMPRODUCT(($A$37- WEEKDAY($A$37) + 6 =$B$37:$CU$37)*("実績"=$B$38:$CU$38),$B$42:$CU$42)/SUMPRODUCT(($A$37- WEEKDAY($A$37) + 6 =$B$37:$CU$37)*("予定"=$B$38:$CU$38),$B$42:$CU$42)</f>
        <v>#REF!</v>
      </c>
      <c r="CW42" s="93" t="e">
        <f>$CU$42/$CT$42</f>
        <v>#REF!</v>
      </c>
    </row>
    <row r="43" spans="1:101" ht="20.149999999999999" customHeight="1" thickBot="1">
      <c r="A43" s="106" t="s">
        <v>65</v>
      </c>
      <c r="B43" s="107" t="e">
        <f>SUM($B$39:$B$42)</f>
        <v>#REF!</v>
      </c>
      <c r="C43" s="108" t="e">
        <f>SUM($C$39:$C$42)</f>
        <v>#REF!</v>
      </c>
      <c r="D43" s="107" t="e">
        <f>SUM($D$39:$D$42)</f>
        <v>#REF!</v>
      </c>
      <c r="E43" s="108" t="e">
        <f>SUM($E$39:$E$42)</f>
        <v>#REF!</v>
      </c>
      <c r="F43" s="107" t="e">
        <f>SUM($F$39:$F$42)</f>
        <v>#REF!</v>
      </c>
      <c r="G43" s="108" t="e">
        <f>SUM($G$39:$G$42)</f>
        <v>#REF!</v>
      </c>
      <c r="H43" s="107" t="e">
        <f>SUM($H$39:$H$42)</f>
        <v>#REF!</v>
      </c>
      <c r="I43" s="108" t="e">
        <f>SUM($I$39:$I$42)</f>
        <v>#REF!</v>
      </c>
      <c r="J43" s="107" t="e">
        <f>SUM($J$39:$J$42)</f>
        <v>#REF!</v>
      </c>
      <c r="K43" s="108" t="e">
        <f>SUM($K$39:$K$42)</f>
        <v>#REF!</v>
      </c>
      <c r="L43" s="107" t="e">
        <f>SUM($L$39:$L$42)</f>
        <v>#REF!</v>
      </c>
      <c r="M43" s="108" t="e">
        <f>SUM($M$39:$M$42)</f>
        <v>#REF!</v>
      </c>
      <c r="N43" s="107" t="e">
        <f>SUM($N$39:$N$42)</f>
        <v>#REF!</v>
      </c>
      <c r="O43" s="108" t="e">
        <f>SUM($O$39:$O$42)</f>
        <v>#REF!</v>
      </c>
      <c r="P43" s="107" t="e">
        <f>SUM($P$39:$P$42)</f>
        <v>#REF!</v>
      </c>
      <c r="Q43" s="108" t="e">
        <f>SUM($Q$39:$Q$42)</f>
        <v>#REF!</v>
      </c>
      <c r="R43" s="107" t="e">
        <f>SUM($R$39:$R$42)</f>
        <v>#REF!</v>
      </c>
      <c r="S43" s="108" t="e">
        <f>SUM($S$39:$S$42)</f>
        <v>#REF!</v>
      </c>
      <c r="T43" s="107" t="e">
        <f>SUM($T$39:$T$42)</f>
        <v>#REF!</v>
      </c>
      <c r="U43" s="108" t="e">
        <f>SUM($U$39:$U$42)</f>
        <v>#REF!</v>
      </c>
      <c r="V43" s="107" t="e">
        <f>SUM($V$39:$V$42)</f>
        <v>#REF!</v>
      </c>
      <c r="W43" s="108" t="e">
        <f>SUM($W$39:$W$42)</f>
        <v>#REF!</v>
      </c>
      <c r="X43" s="107" t="e">
        <f>SUM($X$39:$X$42)</f>
        <v>#REF!</v>
      </c>
      <c r="Y43" s="108" t="e">
        <f>SUM($Y$39:$Y$42)</f>
        <v>#REF!</v>
      </c>
      <c r="Z43" s="107" t="e">
        <f>SUM($Z$39:$Z$42)</f>
        <v>#REF!</v>
      </c>
      <c r="AA43" s="108" t="e">
        <f>SUM($AA$39:$AA$42)</f>
        <v>#REF!</v>
      </c>
      <c r="AB43" s="107" t="e">
        <f>SUM($AB$39:$AB$42)</f>
        <v>#REF!</v>
      </c>
      <c r="AC43" s="108" t="e">
        <f>SUM($AC$39:$AC$42)</f>
        <v>#REF!</v>
      </c>
      <c r="AD43" s="107" t="e">
        <f>SUM($AD$39:$AD$42)</f>
        <v>#REF!</v>
      </c>
      <c r="AE43" s="108" t="e">
        <f>SUM($AE$39:$AE$42)</f>
        <v>#REF!</v>
      </c>
      <c r="AF43" s="107" t="e">
        <f>SUM($AF$39:$AF$42)</f>
        <v>#REF!</v>
      </c>
      <c r="AG43" s="108" t="e">
        <f>SUM($AG$39:$AG$42)</f>
        <v>#REF!</v>
      </c>
      <c r="AH43" s="107" t="e">
        <f>SUM($AH$39:$AH$42)</f>
        <v>#REF!</v>
      </c>
      <c r="AI43" s="108" t="e">
        <f>SUM($AI$39:$AI$42)</f>
        <v>#REF!</v>
      </c>
      <c r="AJ43" s="107" t="e">
        <f>SUM($AJ$39:$AJ$42)</f>
        <v>#REF!</v>
      </c>
      <c r="AK43" s="108" t="e">
        <f>SUM($AK$39:$AK$42)</f>
        <v>#REF!</v>
      </c>
      <c r="AL43" s="107" t="e">
        <f>SUM($AL$39:$AL$42)</f>
        <v>#REF!</v>
      </c>
      <c r="AM43" s="108" t="e">
        <f>SUM($AM$39:$AM$42)</f>
        <v>#REF!</v>
      </c>
      <c r="AN43" s="107" t="e">
        <f>SUM($AN$39:$AN$42)</f>
        <v>#REF!</v>
      </c>
      <c r="AO43" s="108" t="e">
        <f>SUM($AO$39:$AO$42)</f>
        <v>#REF!</v>
      </c>
      <c r="AP43" s="107" t="e">
        <f>SUM($AP$39:$AP$42)</f>
        <v>#REF!</v>
      </c>
      <c r="AQ43" s="108" t="e">
        <f>SUM($AQ$39:$AQ$42)</f>
        <v>#REF!</v>
      </c>
      <c r="AR43" s="107" t="e">
        <f>SUM($AR$39:$AR$42)</f>
        <v>#REF!</v>
      </c>
      <c r="AS43" s="108" t="e">
        <f>SUM($AS$39:$AS$42)</f>
        <v>#REF!</v>
      </c>
      <c r="AT43" s="107" t="e">
        <f>SUM($AT$39:$AT$42)</f>
        <v>#REF!</v>
      </c>
      <c r="AU43" s="108" t="e">
        <f>SUM($AU$39:$AU$42)</f>
        <v>#REF!</v>
      </c>
      <c r="AV43" s="107" t="e">
        <f>SUM($AV$39:$AV$42)</f>
        <v>#REF!</v>
      </c>
      <c r="AW43" s="108" t="e">
        <f>SUM($AW$39:$AW$42)</f>
        <v>#REF!</v>
      </c>
      <c r="AX43" s="107" t="e">
        <f>SUM($AX$39:$AX$42)</f>
        <v>#REF!</v>
      </c>
      <c r="AY43" s="108" t="e">
        <f>SUM($AY$39:$AY$42)</f>
        <v>#REF!</v>
      </c>
      <c r="AZ43" s="107" t="e">
        <f>SUM($AZ$39:$AZ$42)</f>
        <v>#REF!</v>
      </c>
      <c r="BA43" s="108" t="e">
        <f>SUM($BA$39:$BA$42)</f>
        <v>#REF!</v>
      </c>
      <c r="BB43" s="107" t="e">
        <f>SUM($BB$39:$BB$42)</f>
        <v>#REF!</v>
      </c>
      <c r="BC43" s="108" t="e">
        <f>SUM($BC$39:$BC$42)</f>
        <v>#REF!</v>
      </c>
      <c r="BD43" s="107" t="e">
        <f>SUM($BD$39:$BD$42)</f>
        <v>#REF!</v>
      </c>
      <c r="BE43" s="108" t="e">
        <f>SUM($BE$39:$BE$42)</f>
        <v>#REF!</v>
      </c>
      <c r="BF43" s="107" t="e">
        <f>SUM($BF$39:$BF$42)</f>
        <v>#REF!</v>
      </c>
      <c r="BG43" s="108" t="e">
        <f>SUM($BG$39:$BG$42)</f>
        <v>#REF!</v>
      </c>
      <c r="BH43" s="107" t="e">
        <f>SUM($BH$39:$BH$42)</f>
        <v>#REF!</v>
      </c>
      <c r="BI43" s="108" t="e">
        <f>SUM($BI$39:$BI$42)</f>
        <v>#REF!</v>
      </c>
      <c r="BJ43" s="107" t="e">
        <f>SUM($BJ$39:$BJ$42)</f>
        <v>#REF!</v>
      </c>
      <c r="BK43" s="108" t="e">
        <f>SUM($BK$39:$BK$42)</f>
        <v>#REF!</v>
      </c>
      <c r="BL43" s="107" t="e">
        <f>SUM($BL$39:$BL$42)</f>
        <v>#REF!</v>
      </c>
      <c r="BM43" s="108" t="e">
        <f>SUM($BM$39:$BM$42)</f>
        <v>#REF!</v>
      </c>
      <c r="BN43" s="107" t="e">
        <f>SUM($BN$39:$BN$42)</f>
        <v>#REF!</v>
      </c>
      <c r="BO43" s="108" t="e">
        <f>SUM($BO$39:$BO$42)</f>
        <v>#REF!</v>
      </c>
      <c r="BP43" s="107" t="e">
        <f>SUM($BP$39:$BP$42)</f>
        <v>#REF!</v>
      </c>
      <c r="BQ43" s="108" t="e">
        <f>SUM($BQ$39:$BQ$42)</f>
        <v>#REF!</v>
      </c>
      <c r="BR43" s="107" t="e">
        <f>SUM($BR$39:$BR$42)</f>
        <v>#REF!</v>
      </c>
      <c r="BS43" s="108" t="e">
        <f>SUM($BS$39:$BS$42)</f>
        <v>#REF!</v>
      </c>
      <c r="BT43" s="107" t="e">
        <f>SUM($BT$39:$BT$42)</f>
        <v>#REF!</v>
      </c>
      <c r="BU43" s="108" t="e">
        <f>SUM($BU$39:$BU$42)</f>
        <v>#REF!</v>
      </c>
      <c r="BV43" s="107" t="e">
        <f>SUM($BV$39:$BV$42)</f>
        <v>#REF!</v>
      </c>
      <c r="BW43" s="108" t="e">
        <f>SUM($BW$39:$BW$42)</f>
        <v>#REF!</v>
      </c>
      <c r="BX43" s="107" t="e">
        <f>SUM($BX$39:$BX$42)</f>
        <v>#REF!</v>
      </c>
      <c r="BY43" s="108" t="e">
        <f>SUM($BY$39:$BY$42)</f>
        <v>#REF!</v>
      </c>
      <c r="BZ43" s="107" t="e">
        <f>SUM($BZ$39:$BZ$42)</f>
        <v>#REF!</v>
      </c>
      <c r="CA43" s="108" t="e">
        <f>SUM($CA$39:$CA$42)</f>
        <v>#REF!</v>
      </c>
      <c r="CB43" s="107" t="e">
        <f>SUM($CB$39:$CB$42)</f>
        <v>#REF!</v>
      </c>
      <c r="CC43" s="108" t="e">
        <f>SUM($CC$39:$CC$42)</f>
        <v>#REF!</v>
      </c>
      <c r="CD43" s="107" t="e">
        <f>SUM($CD$39:$CD$42)</f>
        <v>#REF!</v>
      </c>
      <c r="CE43" s="108" t="e">
        <f>SUM($CE$39:$CE$42)</f>
        <v>#REF!</v>
      </c>
      <c r="CF43" s="107" t="e">
        <f>SUM($CF$39:$CF$42)</f>
        <v>#REF!</v>
      </c>
      <c r="CG43" s="108" t="e">
        <f>SUM($CG$39:$CG$42)</f>
        <v>#REF!</v>
      </c>
      <c r="CH43" s="107" t="e">
        <f>SUM($CH$39:$CH$42)</f>
        <v>#REF!</v>
      </c>
      <c r="CI43" s="108" t="e">
        <f>SUM($CI$39:$CI$42)</f>
        <v>#REF!</v>
      </c>
      <c r="CJ43" s="107" t="e">
        <f>SUM($CJ$39:$CJ$42)</f>
        <v>#REF!</v>
      </c>
      <c r="CK43" s="108" t="e">
        <f>SUM($CK$39:$CK$42)</f>
        <v>#REF!</v>
      </c>
      <c r="CL43" s="107" t="e">
        <f>SUM($CL$39:$CL$42)</f>
        <v>#REF!</v>
      </c>
      <c r="CM43" s="108" t="e">
        <f>SUM($CM$39:$CM$42)</f>
        <v>#REF!</v>
      </c>
      <c r="CN43" s="107" t="e">
        <f>SUM($CN$39:$CN$42)</f>
        <v>#REF!</v>
      </c>
      <c r="CO43" s="108" t="e">
        <f>SUM($CO$39:$CO$42)</f>
        <v>#REF!</v>
      </c>
      <c r="CP43" s="107" t="e">
        <f>SUM($CP$39:$CP$42)</f>
        <v>#REF!</v>
      </c>
      <c r="CQ43" s="108" t="e">
        <f>SUM($CQ$39:$CQ$42)</f>
        <v>#REF!</v>
      </c>
      <c r="CR43" s="107" t="e">
        <f>SUM($CR$39:$CR$42)</f>
        <v>#REF!</v>
      </c>
      <c r="CS43" s="108" t="e">
        <f>SUM($CS$39:$CS$42)</f>
        <v>#REF!</v>
      </c>
      <c r="CT43" s="107" t="e">
        <f>SUM($CT$39:$CT$42)</f>
        <v>#REF!</v>
      </c>
      <c r="CU43" s="108" t="e">
        <f>SUM($CU$39:$CU$42)</f>
        <v>#REF!</v>
      </c>
      <c r="CV43" s="109" t="e">
        <f ca="1">SUMPRODUCT(($A$37- WEEKDAY($A$37) + 6 =$B$37:$CU$37)*("実績"=$B$38:$CU$38),$B$43:$CU$43)/SUMPRODUCT(($A$37- WEEKDAY($A$37) + 6 =$B$37:$CU$37)*("予定"=$B$38:$CU$38),$B$43:$CU$43)</f>
        <v>#REF!</v>
      </c>
      <c r="CW43" s="110" t="e">
        <f>$CU$43/$CT$43</f>
        <v>#REF!</v>
      </c>
    </row>
    <row r="45" spans="1:101" ht="20.149999999999999" customHeight="1" thickBot="1">
      <c r="A45" s="79" t="s">
        <v>110</v>
      </c>
      <c r="B45" s="43" t="s">
        <v>69</v>
      </c>
    </row>
    <row r="46" spans="1:101" ht="40" customHeight="1">
      <c r="A46" s="80">
        <f ca="1">TODAY()</f>
        <v>43566</v>
      </c>
      <c r="B46" s="82">
        <v>43528</v>
      </c>
      <c r="C46" s="53">
        <v>43528</v>
      </c>
      <c r="D46" s="83">
        <v>43529</v>
      </c>
      <c r="E46" s="63">
        <v>43529</v>
      </c>
      <c r="F46" s="82">
        <v>43530</v>
      </c>
      <c r="G46" s="53">
        <v>43530</v>
      </c>
      <c r="H46" s="83">
        <v>43531</v>
      </c>
      <c r="I46" s="63">
        <v>43531</v>
      </c>
      <c r="J46" s="82">
        <v>43532</v>
      </c>
      <c r="K46" s="53">
        <v>43532</v>
      </c>
      <c r="L46" s="83">
        <v>43533</v>
      </c>
      <c r="M46" s="63">
        <v>43533</v>
      </c>
      <c r="N46" s="82">
        <v>43534</v>
      </c>
      <c r="O46" s="53">
        <v>43534</v>
      </c>
      <c r="P46" s="83">
        <v>43535</v>
      </c>
      <c r="Q46" s="63">
        <v>43535</v>
      </c>
      <c r="R46" s="82">
        <v>43536</v>
      </c>
      <c r="S46" s="53">
        <v>43536</v>
      </c>
      <c r="T46" s="83">
        <v>43537</v>
      </c>
      <c r="U46" s="63">
        <v>43537</v>
      </c>
      <c r="V46" s="82">
        <v>43538</v>
      </c>
      <c r="W46" s="53">
        <v>43538</v>
      </c>
      <c r="X46" s="83">
        <v>43539</v>
      </c>
      <c r="Y46" s="63">
        <v>43539</v>
      </c>
      <c r="Z46" s="82">
        <v>43540</v>
      </c>
      <c r="AA46" s="53">
        <v>43540</v>
      </c>
      <c r="AB46" s="83">
        <v>43541</v>
      </c>
      <c r="AC46" s="63">
        <v>43541</v>
      </c>
      <c r="AD46" s="82">
        <v>43542</v>
      </c>
      <c r="AE46" s="53">
        <v>43542</v>
      </c>
      <c r="AF46" s="83">
        <v>43543</v>
      </c>
      <c r="AG46" s="63">
        <v>43543</v>
      </c>
      <c r="AH46" s="82">
        <v>43544</v>
      </c>
      <c r="AI46" s="53">
        <v>43544</v>
      </c>
      <c r="AJ46" s="83">
        <v>43545</v>
      </c>
      <c r="AK46" s="63">
        <v>43545</v>
      </c>
      <c r="AL46" s="82">
        <v>43546</v>
      </c>
      <c r="AM46" s="53">
        <v>43546</v>
      </c>
      <c r="AN46" s="83">
        <v>43547</v>
      </c>
      <c r="AO46" s="63">
        <v>43547</v>
      </c>
      <c r="AP46" s="82">
        <v>43548</v>
      </c>
      <c r="AQ46" s="53">
        <v>43548</v>
      </c>
      <c r="AR46" s="83">
        <v>43549</v>
      </c>
      <c r="AS46" s="63">
        <v>43549</v>
      </c>
      <c r="AT46" s="82">
        <v>43550</v>
      </c>
      <c r="AU46" s="53">
        <v>43550</v>
      </c>
      <c r="AV46" s="83">
        <v>43551</v>
      </c>
      <c r="AW46" s="63">
        <v>43551</v>
      </c>
      <c r="AX46" s="82">
        <v>43552</v>
      </c>
      <c r="AY46" s="53">
        <v>43552</v>
      </c>
      <c r="AZ46" s="83">
        <v>43553</v>
      </c>
      <c r="BA46" s="63">
        <v>43553</v>
      </c>
      <c r="BB46" s="82">
        <v>43554</v>
      </c>
      <c r="BC46" s="53">
        <v>43554</v>
      </c>
      <c r="BD46" s="83">
        <v>43555</v>
      </c>
      <c r="BE46" s="63">
        <v>43555</v>
      </c>
      <c r="BF46" s="82">
        <v>43556</v>
      </c>
      <c r="BG46" s="53">
        <v>43556</v>
      </c>
      <c r="BH46" s="83">
        <v>43557</v>
      </c>
      <c r="BI46" s="63">
        <v>43557</v>
      </c>
      <c r="BJ46" s="82">
        <v>43558</v>
      </c>
      <c r="BK46" s="53">
        <v>43558</v>
      </c>
      <c r="BL46" s="83">
        <v>43559</v>
      </c>
      <c r="BM46" s="63">
        <v>43559</v>
      </c>
      <c r="BN46" s="82">
        <v>43560</v>
      </c>
      <c r="BO46" s="53">
        <v>43560</v>
      </c>
      <c r="BP46" s="83">
        <v>43561</v>
      </c>
      <c r="BQ46" s="63">
        <v>43561</v>
      </c>
      <c r="BR46" s="82">
        <v>43562</v>
      </c>
      <c r="BS46" s="53">
        <v>43562</v>
      </c>
      <c r="BT46" s="83">
        <v>43563</v>
      </c>
      <c r="BU46" s="63">
        <v>43563</v>
      </c>
      <c r="BV46" s="82">
        <v>43564</v>
      </c>
      <c r="BW46" s="53">
        <v>43564</v>
      </c>
      <c r="BX46" s="83">
        <v>43565</v>
      </c>
      <c r="BY46" s="63">
        <v>43565</v>
      </c>
      <c r="BZ46" s="82">
        <v>43566</v>
      </c>
      <c r="CA46" s="53">
        <v>43566</v>
      </c>
      <c r="CB46" s="83">
        <v>43567</v>
      </c>
      <c r="CC46" s="63">
        <v>43567</v>
      </c>
      <c r="CD46" s="82">
        <v>43568</v>
      </c>
      <c r="CE46" s="53">
        <v>43568</v>
      </c>
      <c r="CF46" s="83">
        <v>43569</v>
      </c>
      <c r="CG46" s="63">
        <v>43569</v>
      </c>
      <c r="CH46" s="82">
        <v>43570</v>
      </c>
      <c r="CI46" s="53">
        <v>43570</v>
      </c>
      <c r="CJ46" s="83">
        <v>43571</v>
      </c>
      <c r="CK46" s="63">
        <v>43571</v>
      </c>
      <c r="CL46" s="82">
        <v>43572</v>
      </c>
      <c r="CM46" s="53">
        <v>43572</v>
      </c>
      <c r="CN46" s="83">
        <v>43573</v>
      </c>
      <c r="CO46" s="63">
        <v>43573</v>
      </c>
      <c r="CP46" s="82">
        <v>43574</v>
      </c>
      <c r="CQ46" s="53">
        <v>43574</v>
      </c>
      <c r="CR46" s="83">
        <v>43575</v>
      </c>
      <c r="CS46" s="63">
        <v>43575</v>
      </c>
      <c r="CT46" s="82">
        <v>43576</v>
      </c>
      <c r="CU46" s="53">
        <v>43576</v>
      </c>
      <c r="CV46" s="141" t="s">
        <v>66</v>
      </c>
      <c r="CW46" s="142"/>
    </row>
    <row r="47" spans="1:101" ht="20.149999999999999" customHeight="1" thickBot="1">
      <c r="A47" s="103" t="s">
        <v>64</v>
      </c>
      <c r="B47" s="85" t="s">
        <v>60</v>
      </c>
      <c r="C47" s="86" t="s">
        <v>61</v>
      </c>
      <c r="D47" s="87" t="s">
        <v>60</v>
      </c>
      <c r="E47" s="88" t="s">
        <v>61</v>
      </c>
      <c r="F47" s="85" t="s">
        <v>60</v>
      </c>
      <c r="G47" s="86" t="s">
        <v>61</v>
      </c>
      <c r="H47" s="87" t="s">
        <v>60</v>
      </c>
      <c r="I47" s="88" t="s">
        <v>61</v>
      </c>
      <c r="J47" s="85" t="s">
        <v>60</v>
      </c>
      <c r="K47" s="86" t="s">
        <v>61</v>
      </c>
      <c r="L47" s="87" t="s">
        <v>60</v>
      </c>
      <c r="M47" s="88" t="s">
        <v>61</v>
      </c>
      <c r="N47" s="85" t="s">
        <v>60</v>
      </c>
      <c r="O47" s="86" t="s">
        <v>61</v>
      </c>
      <c r="P47" s="87" t="s">
        <v>60</v>
      </c>
      <c r="Q47" s="88" t="s">
        <v>61</v>
      </c>
      <c r="R47" s="85" t="s">
        <v>60</v>
      </c>
      <c r="S47" s="86" t="s">
        <v>61</v>
      </c>
      <c r="T47" s="87" t="s">
        <v>60</v>
      </c>
      <c r="U47" s="88" t="s">
        <v>61</v>
      </c>
      <c r="V47" s="85" t="s">
        <v>60</v>
      </c>
      <c r="W47" s="86" t="s">
        <v>61</v>
      </c>
      <c r="X47" s="87" t="s">
        <v>60</v>
      </c>
      <c r="Y47" s="88" t="s">
        <v>61</v>
      </c>
      <c r="Z47" s="85" t="s">
        <v>60</v>
      </c>
      <c r="AA47" s="86" t="s">
        <v>61</v>
      </c>
      <c r="AB47" s="87" t="s">
        <v>60</v>
      </c>
      <c r="AC47" s="88" t="s">
        <v>61</v>
      </c>
      <c r="AD47" s="85" t="s">
        <v>60</v>
      </c>
      <c r="AE47" s="86" t="s">
        <v>61</v>
      </c>
      <c r="AF47" s="87" t="s">
        <v>60</v>
      </c>
      <c r="AG47" s="88" t="s">
        <v>61</v>
      </c>
      <c r="AH47" s="85" t="s">
        <v>60</v>
      </c>
      <c r="AI47" s="86" t="s">
        <v>61</v>
      </c>
      <c r="AJ47" s="87" t="s">
        <v>60</v>
      </c>
      <c r="AK47" s="88" t="s">
        <v>61</v>
      </c>
      <c r="AL47" s="85" t="s">
        <v>60</v>
      </c>
      <c r="AM47" s="86" t="s">
        <v>61</v>
      </c>
      <c r="AN47" s="87" t="s">
        <v>60</v>
      </c>
      <c r="AO47" s="88" t="s">
        <v>61</v>
      </c>
      <c r="AP47" s="85" t="s">
        <v>60</v>
      </c>
      <c r="AQ47" s="86" t="s">
        <v>61</v>
      </c>
      <c r="AR47" s="87" t="s">
        <v>60</v>
      </c>
      <c r="AS47" s="88" t="s">
        <v>61</v>
      </c>
      <c r="AT47" s="85" t="s">
        <v>60</v>
      </c>
      <c r="AU47" s="86" t="s">
        <v>61</v>
      </c>
      <c r="AV47" s="87" t="s">
        <v>60</v>
      </c>
      <c r="AW47" s="88" t="s">
        <v>61</v>
      </c>
      <c r="AX47" s="85" t="s">
        <v>60</v>
      </c>
      <c r="AY47" s="86" t="s">
        <v>61</v>
      </c>
      <c r="AZ47" s="87" t="s">
        <v>60</v>
      </c>
      <c r="BA47" s="88" t="s">
        <v>61</v>
      </c>
      <c r="BB47" s="85" t="s">
        <v>60</v>
      </c>
      <c r="BC47" s="86" t="s">
        <v>61</v>
      </c>
      <c r="BD47" s="87" t="s">
        <v>60</v>
      </c>
      <c r="BE47" s="88" t="s">
        <v>61</v>
      </c>
      <c r="BF47" s="85" t="s">
        <v>60</v>
      </c>
      <c r="BG47" s="86" t="s">
        <v>61</v>
      </c>
      <c r="BH47" s="87" t="s">
        <v>60</v>
      </c>
      <c r="BI47" s="88" t="s">
        <v>61</v>
      </c>
      <c r="BJ47" s="85" t="s">
        <v>60</v>
      </c>
      <c r="BK47" s="86" t="s">
        <v>61</v>
      </c>
      <c r="BL47" s="87" t="s">
        <v>60</v>
      </c>
      <c r="BM47" s="88" t="s">
        <v>61</v>
      </c>
      <c r="BN47" s="85" t="s">
        <v>60</v>
      </c>
      <c r="BO47" s="86" t="s">
        <v>61</v>
      </c>
      <c r="BP47" s="87" t="s">
        <v>60</v>
      </c>
      <c r="BQ47" s="88" t="s">
        <v>61</v>
      </c>
      <c r="BR47" s="85" t="s">
        <v>60</v>
      </c>
      <c r="BS47" s="86" t="s">
        <v>61</v>
      </c>
      <c r="BT47" s="87" t="s">
        <v>60</v>
      </c>
      <c r="BU47" s="88" t="s">
        <v>61</v>
      </c>
      <c r="BV47" s="85" t="s">
        <v>60</v>
      </c>
      <c r="BW47" s="86" t="s">
        <v>61</v>
      </c>
      <c r="BX47" s="87" t="s">
        <v>60</v>
      </c>
      <c r="BY47" s="88" t="s">
        <v>61</v>
      </c>
      <c r="BZ47" s="85" t="s">
        <v>60</v>
      </c>
      <c r="CA47" s="86" t="s">
        <v>61</v>
      </c>
      <c r="CB47" s="87" t="s">
        <v>60</v>
      </c>
      <c r="CC47" s="88" t="s">
        <v>61</v>
      </c>
      <c r="CD47" s="85" t="s">
        <v>60</v>
      </c>
      <c r="CE47" s="86" t="s">
        <v>61</v>
      </c>
      <c r="CF47" s="87" t="s">
        <v>60</v>
      </c>
      <c r="CG47" s="88" t="s">
        <v>61</v>
      </c>
      <c r="CH47" s="85" t="s">
        <v>60</v>
      </c>
      <c r="CI47" s="86" t="s">
        <v>61</v>
      </c>
      <c r="CJ47" s="87" t="s">
        <v>60</v>
      </c>
      <c r="CK47" s="88" t="s">
        <v>61</v>
      </c>
      <c r="CL47" s="85" t="s">
        <v>60</v>
      </c>
      <c r="CM47" s="86" t="s">
        <v>61</v>
      </c>
      <c r="CN47" s="87" t="s">
        <v>60</v>
      </c>
      <c r="CO47" s="88" t="s">
        <v>61</v>
      </c>
      <c r="CP47" s="85" t="s">
        <v>60</v>
      </c>
      <c r="CQ47" s="86" t="s">
        <v>61</v>
      </c>
      <c r="CR47" s="87" t="s">
        <v>60</v>
      </c>
      <c r="CS47" s="88" t="s">
        <v>61</v>
      </c>
      <c r="CT47" s="85" t="s">
        <v>60</v>
      </c>
      <c r="CU47" s="86" t="s">
        <v>61</v>
      </c>
      <c r="CV47" s="87" t="s">
        <v>67</v>
      </c>
      <c r="CW47" s="89" t="s">
        <v>68</v>
      </c>
    </row>
    <row r="48" spans="1:101" ht="20.149999999999999" customHeight="1">
      <c r="A48" s="81" t="s">
        <v>78</v>
      </c>
      <c r="B48" s="55" t="e">
        <f>SUMPRODUCT((日次管理!#REF!&lt;=$B$46)*(日次管理!#REF!=$A$48)*(日次管理!#REF!="精査完了")*(日次管理!#REF!="予定")*(日次管理!#REF!=$A$45),日次管理!#REF!)</f>
        <v>#REF!</v>
      </c>
      <c r="C48" s="56" t="e">
        <f>SUMPRODUCT((日次管理!#REF!&lt;=$C$46)*(日次管理!#REF!=$A$48)*(日次管理!#REF!="精査完了")*(日次管理!#REF!="実績")*(日次管理!#REF!=$A$45),日次管理!#REF!)</f>
        <v>#REF!</v>
      </c>
      <c r="D48" s="55" t="e">
        <f>SUMPRODUCT((日次管理!#REF!&lt;=$D$46)*(日次管理!#REF!=$A$48)*(日次管理!#REF!="精査完了")*(日次管理!#REF!="予定")*(日次管理!#REF!=$A$45),日次管理!#REF!)</f>
        <v>#REF!</v>
      </c>
      <c r="E48" s="56" t="e">
        <f>SUMPRODUCT((日次管理!#REF!&lt;=$E$46)*(日次管理!#REF!=$A$48)*(日次管理!#REF!="精査完了")*(日次管理!#REF!="実績")*(日次管理!#REF!=$A$45),日次管理!#REF!)</f>
        <v>#REF!</v>
      </c>
      <c r="F48" s="55" t="e">
        <f>SUMPRODUCT((日次管理!#REF!&lt;=$F$46)*(日次管理!#REF!=$A$48)*(日次管理!#REF!="精査完了")*(日次管理!#REF!="予定")*(日次管理!#REF!=$A$45),日次管理!#REF!)</f>
        <v>#REF!</v>
      </c>
      <c r="G48" s="56" t="e">
        <f>SUMPRODUCT((日次管理!#REF!&lt;=$G$46)*(日次管理!#REF!=$A$48)*(日次管理!#REF!="精査完了")*(日次管理!#REF!="実績")*(日次管理!#REF!=$A$45),日次管理!#REF!)</f>
        <v>#REF!</v>
      </c>
      <c r="H48" s="55" t="e">
        <f>SUMPRODUCT((日次管理!#REF!&lt;=$H$46)*(日次管理!#REF!=$A$48)*(日次管理!#REF!="精査完了")*(日次管理!#REF!="予定")*(日次管理!#REF!=$A$45),日次管理!#REF!)</f>
        <v>#REF!</v>
      </c>
      <c r="I48" s="56" t="e">
        <f>SUMPRODUCT((日次管理!#REF!&lt;=$I$46)*(日次管理!#REF!=$A$48)*(日次管理!#REF!="精査完了")*(日次管理!#REF!="実績")*(日次管理!#REF!=$A$45),日次管理!#REF!)</f>
        <v>#REF!</v>
      </c>
      <c r="J48" s="55" t="e">
        <f>SUMPRODUCT((日次管理!#REF!&lt;=$J$46)*(日次管理!#REF!=$A$48)*(日次管理!#REF!="精査完了")*(日次管理!#REF!="予定")*(日次管理!#REF!=$A$45),日次管理!#REF!)</f>
        <v>#REF!</v>
      </c>
      <c r="K48" s="56" t="e">
        <f>SUMPRODUCT((日次管理!#REF!&lt;=$K$46)*(日次管理!#REF!=$A$48)*(日次管理!#REF!="精査完了")*(日次管理!#REF!="実績")*(日次管理!#REF!=$A$45),日次管理!#REF!)</f>
        <v>#REF!</v>
      </c>
      <c r="L48" s="55" t="e">
        <f>SUMPRODUCT((日次管理!#REF!&lt;=$L$46)*(日次管理!#REF!=$A$48)*(日次管理!#REF!="精査完了")*(日次管理!#REF!="予定")*(日次管理!#REF!=$A$45),日次管理!#REF!)</f>
        <v>#REF!</v>
      </c>
      <c r="M48" s="56" t="e">
        <f>SUMPRODUCT((日次管理!#REF!&lt;=$M$46)*(日次管理!#REF!=$A$48)*(日次管理!#REF!="精査完了")*(日次管理!#REF!="実績")*(日次管理!#REF!=$A$45),日次管理!#REF!)</f>
        <v>#REF!</v>
      </c>
      <c r="N48" s="55" t="e">
        <f>SUMPRODUCT((日次管理!#REF!&lt;=$N$46)*(日次管理!#REF!=$A$48)*(日次管理!#REF!="精査完了")*(日次管理!#REF!="予定")*(日次管理!#REF!=$A$45),日次管理!#REF!)</f>
        <v>#REF!</v>
      </c>
      <c r="O48" s="56" t="e">
        <f>SUMPRODUCT((日次管理!#REF!&lt;=$O$46)*(日次管理!#REF!=$A$48)*(日次管理!#REF!="精査完了")*(日次管理!#REF!="実績")*(日次管理!#REF!=$A$45),日次管理!#REF!)</f>
        <v>#REF!</v>
      </c>
      <c r="P48" s="55" t="e">
        <f>SUMPRODUCT((日次管理!#REF!&lt;=$P$46)*(日次管理!#REF!=$A$48)*(日次管理!#REF!="精査完了")*(日次管理!#REF!="予定")*(日次管理!#REF!=$A$45),日次管理!#REF!)</f>
        <v>#REF!</v>
      </c>
      <c r="Q48" s="56" t="e">
        <f>SUMPRODUCT((日次管理!#REF!&lt;=$Q$46)*(日次管理!#REF!=$A$48)*(日次管理!#REF!="精査完了")*(日次管理!#REF!="実績")*(日次管理!#REF!=$A$45),日次管理!#REF!)</f>
        <v>#REF!</v>
      </c>
      <c r="R48" s="55" t="e">
        <f>SUMPRODUCT((日次管理!#REF!&lt;=$R$46)*(日次管理!#REF!=$A$48)*(日次管理!#REF!="精査完了")*(日次管理!#REF!="予定")*(日次管理!#REF!=$A$45),日次管理!#REF!)</f>
        <v>#REF!</v>
      </c>
      <c r="S48" s="56" t="e">
        <f>SUMPRODUCT((日次管理!#REF!&lt;=$S$46)*(日次管理!#REF!=$A$48)*(日次管理!#REF!="精査完了")*(日次管理!#REF!="実績")*(日次管理!#REF!=$A$45),日次管理!#REF!)</f>
        <v>#REF!</v>
      </c>
      <c r="T48" s="55" t="e">
        <f>SUMPRODUCT((日次管理!#REF!&lt;=$T$46)*(日次管理!#REF!=$A$48)*(日次管理!#REF!="精査完了")*(日次管理!#REF!="予定")*(日次管理!#REF!=$A$45),日次管理!#REF!)</f>
        <v>#REF!</v>
      </c>
      <c r="U48" s="56" t="e">
        <f>SUMPRODUCT((日次管理!#REF!&lt;=$U$46)*(日次管理!#REF!=$A$48)*(日次管理!#REF!="精査完了")*(日次管理!#REF!="実績")*(日次管理!#REF!=$A$45),日次管理!#REF!)</f>
        <v>#REF!</v>
      </c>
      <c r="V48" s="55" t="e">
        <f>SUMPRODUCT((日次管理!#REF!&lt;=$V$46)*(日次管理!#REF!=$A$48)*(日次管理!#REF!="精査完了")*(日次管理!#REF!="予定")*(日次管理!#REF!=$A$45),日次管理!#REF!)</f>
        <v>#REF!</v>
      </c>
      <c r="W48" s="56" t="e">
        <f>SUMPRODUCT((日次管理!#REF!&lt;=$W$46)*(日次管理!#REF!=$A$48)*(日次管理!#REF!="精査完了")*(日次管理!#REF!="実績")*(日次管理!#REF!=$A$45),日次管理!#REF!)</f>
        <v>#REF!</v>
      </c>
      <c r="X48" s="55" t="e">
        <f>SUMPRODUCT((日次管理!#REF!&lt;=$X$46)*(日次管理!#REF!=$A$48)*(日次管理!#REF!="精査完了")*(日次管理!#REF!="予定")*(日次管理!#REF!=$A$45),日次管理!#REF!)</f>
        <v>#REF!</v>
      </c>
      <c r="Y48" s="56" t="e">
        <f>SUMPRODUCT((日次管理!#REF!&lt;=$Y$46)*(日次管理!#REF!=$A$48)*(日次管理!#REF!="精査完了")*(日次管理!#REF!="実績")*(日次管理!#REF!=$A$45),日次管理!#REF!)</f>
        <v>#REF!</v>
      </c>
      <c r="Z48" s="55" t="e">
        <f>SUMPRODUCT((日次管理!#REF!&lt;=$Z$46)*(日次管理!#REF!=$A$48)*(日次管理!#REF!="精査完了")*(日次管理!#REF!="予定")*(日次管理!#REF!=$A$45),日次管理!#REF!)</f>
        <v>#REF!</v>
      </c>
      <c r="AA48" s="56" t="e">
        <f>SUMPRODUCT((日次管理!#REF!&lt;=$AA$46)*(日次管理!#REF!=$A$48)*(日次管理!#REF!="精査完了")*(日次管理!#REF!="実績")*(日次管理!#REF!=$A$45),日次管理!#REF!)</f>
        <v>#REF!</v>
      </c>
      <c r="AB48" s="55" t="e">
        <f>SUMPRODUCT((日次管理!#REF!&lt;=$AB$46)*(日次管理!#REF!=$A$48)*(日次管理!#REF!="精査完了")*(日次管理!#REF!="予定")*(日次管理!#REF!=$A$45),日次管理!#REF!)</f>
        <v>#REF!</v>
      </c>
      <c r="AC48" s="56" t="e">
        <f>SUMPRODUCT((日次管理!#REF!&lt;=$AC$46)*(日次管理!#REF!=$A$48)*(日次管理!#REF!="精査完了")*(日次管理!#REF!="実績")*(日次管理!#REF!=$A$45),日次管理!#REF!)</f>
        <v>#REF!</v>
      </c>
      <c r="AD48" s="55" t="e">
        <f>SUMPRODUCT((日次管理!#REF!&lt;=$AD$46)*(日次管理!#REF!=$A$48)*(日次管理!#REF!="精査完了")*(日次管理!#REF!="予定")*(日次管理!#REF!=$A$45),日次管理!#REF!)</f>
        <v>#REF!</v>
      </c>
      <c r="AE48" s="56" t="e">
        <f>SUMPRODUCT((日次管理!#REF!&lt;=$AE$46)*(日次管理!#REF!=$A$48)*(日次管理!#REF!="精査完了")*(日次管理!#REF!="実績")*(日次管理!#REF!=$A$45),日次管理!#REF!)</f>
        <v>#REF!</v>
      </c>
      <c r="AF48" s="55" t="e">
        <f>SUMPRODUCT((日次管理!#REF!&lt;=$AF$46)*(日次管理!#REF!=$A$48)*(日次管理!#REF!="精査完了")*(日次管理!#REF!="予定")*(日次管理!#REF!=$A$45),日次管理!#REF!)</f>
        <v>#REF!</v>
      </c>
      <c r="AG48" s="56" t="e">
        <f>SUMPRODUCT((日次管理!#REF!&lt;=$AG$46)*(日次管理!#REF!=$A$48)*(日次管理!#REF!="精査完了")*(日次管理!#REF!="実績")*(日次管理!#REF!=$A$45),日次管理!#REF!)</f>
        <v>#REF!</v>
      </c>
      <c r="AH48" s="55" t="e">
        <f>SUMPRODUCT((日次管理!#REF!&lt;=$AH$46)*(日次管理!#REF!=$A$48)*(日次管理!#REF!="精査完了")*(日次管理!#REF!="予定")*(日次管理!#REF!=$A$45),日次管理!#REF!)</f>
        <v>#REF!</v>
      </c>
      <c r="AI48" s="56" t="e">
        <f>SUMPRODUCT((日次管理!#REF!&lt;=$AI$46)*(日次管理!#REF!=$A$48)*(日次管理!#REF!="精査完了")*(日次管理!#REF!="実績")*(日次管理!#REF!=$A$45),日次管理!#REF!)</f>
        <v>#REF!</v>
      </c>
      <c r="AJ48" s="55" t="e">
        <f>SUMPRODUCT((日次管理!#REF!&lt;=$AJ$46)*(日次管理!#REF!=$A$48)*(日次管理!#REF!="精査完了")*(日次管理!#REF!="予定")*(日次管理!#REF!=$A$45),日次管理!#REF!)</f>
        <v>#REF!</v>
      </c>
      <c r="AK48" s="56" t="e">
        <f>SUMPRODUCT((日次管理!#REF!&lt;=$AK$46)*(日次管理!#REF!=$A$48)*(日次管理!#REF!="精査完了")*(日次管理!#REF!="実績")*(日次管理!#REF!=$A$45),日次管理!#REF!)</f>
        <v>#REF!</v>
      </c>
      <c r="AL48" s="55" t="e">
        <f>SUMPRODUCT((日次管理!#REF!&lt;=$AL$46)*(日次管理!#REF!=$A$48)*(日次管理!#REF!="精査完了")*(日次管理!#REF!="予定")*(日次管理!#REF!=$A$45),日次管理!#REF!)</f>
        <v>#REF!</v>
      </c>
      <c r="AM48" s="56" t="e">
        <f>SUMPRODUCT((日次管理!#REF!&lt;=$AM$46)*(日次管理!#REF!=$A$48)*(日次管理!#REF!="精査完了")*(日次管理!#REF!="実績")*(日次管理!#REF!=$A$45),日次管理!#REF!)</f>
        <v>#REF!</v>
      </c>
      <c r="AN48" s="55" t="e">
        <f>SUMPRODUCT((日次管理!#REF!&lt;=$AN$46)*(日次管理!#REF!=$A$48)*(日次管理!#REF!="精査完了")*(日次管理!#REF!="予定")*(日次管理!#REF!=$A$45),日次管理!#REF!)</f>
        <v>#REF!</v>
      </c>
      <c r="AO48" s="56" t="e">
        <f>SUMPRODUCT((日次管理!#REF!&lt;=$AO$46)*(日次管理!#REF!=$A$48)*(日次管理!#REF!="精査完了")*(日次管理!#REF!="実績")*(日次管理!#REF!=$A$45),日次管理!#REF!)</f>
        <v>#REF!</v>
      </c>
      <c r="AP48" s="55" t="e">
        <f>SUMPRODUCT((日次管理!#REF!&lt;=$AP$46)*(日次管理!#REF!=$A$48)*(日次管理!#REF!="精査完了")*(日次管理!#REF!="予定")*(日次管理!#REF!=$A$45),日次管理!#REF!)</f>
        <v>#REF!</v>
      </c>
      <c r="AQ48" s="56" t="e">
        <f>SUMPRODUCT((日次管理!#REF!&lt;=$AQ$46)*(日次管理!#REF!=$A$48)*(日次管理!#REF!="精査完了")*(日次管理!#REF!="実績")*(日次管理!#REF!=$A$45),日次管理!#REF!)</f>
        <v>#REF!</v>
      </c>
      <c r="AR48" s="55" t="e">
        <f>SUMPRODUCT((日次管理!#REF!&lt;=$AR$46)*(日次管理!#REF!=$A$48)*(日次管理!#REF!="精査完了")*(日次管理!#REF!="予定")*(日次管理!#REF!=$A$45),日次管理!#REF!)</f>
        <v>#REF!</v>
      </c>
      <c r="AS48" s="56" t="e">
        <f>SUMPRODUCT((日次管理!#REF!&lt;=$AS$46)*(日次管理!#REF!=$A$48)*(日次管理!#REF!="精査完了")*(日次管理!#REF!="実績")*(日次管理!#REF!=$A$45),日次管理!#REF!)</f>
        <v>#REF!</v>
      </c>
      <c r="AT48" s="55" t="e">
        <f>SUMPRODUCT((日次管理!#REF!&lt;=$AT$46)*(日次管理!#REF!=$A$48)*(日次管理!#REF!="精査完了")*(日次管理!#REF!="予定")*(日次管理!#REF!=$A$45),日次管理!#REF!)</f>
        <v>#REF!</v>
      </c>
      <c r="AU48" s="56" t="e">
        <f>SUMPRODUCT((日次管理!#REF!&lt;=$AU$46)*(日次管理!#REF!=$A$48)*(日次管理!#REF!="精査完了")*(日次管理!#REF!="実績")*(日次管理!#REF!=$A$45),日次管理!#REF!)</f>
        <v>#REF!</v>
      </c>
      <c r="AV48" s="55" t="e">
        <f>SUMPRODUCT((日次管理!#REF!&lt;=$AV$46)*(日次管理!#REF!=$A$48)*(日次管理!#REF!="精査完了")*(日次管理!#REF!="予定")*(日次管理!#REF!=$A$45),日次管理!#REF!)</f>
        <v>#REF!</v>
      </c>
      <c r="AW48" s="56" t="e">
        <f>SUMPRODUCT((日次管理!#REF!&lt;=$AW$46)*(日次管理!#REF!=$A$48)*(日次管理!#REF!="精査完了")*(日次管理!#REF!="実績")*(日次管理!#REF!=$A$45),日次管理!#REF!)</f>
        <v>#REF!</v>
      </c>
      <c r="AX48" s="55" t="e">
        <f>SUMPRODUCT((日次管理!#REF!&lt;=$AX$46)*(日次管理!#REF!=$A$48)*(日次管理!#REF!="精査完了")*(日次管理!#REF!="予定")*(日次管理!#REF!=$A$45),日次管理!#REF!)</f>
        <v>#REF!</v>
      </c>
      <c r="AY48" s="56" t="e">
        <f>SUMPRODUCT((日次管理!#REF!&lt;=$AY$46)*(日次管理!#REF!=$A$48)*(日次管理!#REF!="精査完了")*(日次管理!#REF!="実績")*(日次管理!#REF!=$A$45),日次管理!#REF!)</f>
        <v>#REF!</v>
      </c>
      <c r="AZ48" s="55" t="e">
        <f>SUMPRODUCT((日次管理!#REF!&lt;=$AZ$46)*(日次管理!#REF!=$A$48)*(日次管理!#REF!="精査完了")*(日次管理!#REF!="予定")*(日次管理!#REF!=$A$45),日次管理!#REF!)</f>
        <v>#REF!</v>
      </c>
      <c r="BA48" s="56" t="e">
        <f>SUMPRODUCT((日次管理!#REF!&lt;=$BA$46)*(日次管理!#REF!=$A$48)*(日次管理!#REF!="精査完了")*(日次管理!#REF!="実績")*(日次管理!#REF!=$A$45),日次管理!#REF!)</f>
        <v>#REF!</v>
      </c>
      <c r="BB48" s="55" t="e">
        <f>SUMPRODUCT((日次管理!#REF!&lt;=$BB$46)*(日次管理!#REF!=$A$48)*(日次管理!#REF!="精査完了")*(日次管理!#REF!="予定")*(日次管理!#REF!=$A$45),日次管理!#REF!)</f>
        <v>#REF!</v>
      </c>
      <c r="BC48" s="56" t="e">
        <f>SUMPRODUCT((日次管理!#REF!&lt;=$BC$46)*(日次管理!#REF!=$A$48)*(日次管理!#REF!="精査完了")*(日次管理!#REF!="実績")*(日次管理!#REF!=$A$45),日次管理!#REF!)</f>
        <v>#REF!</v>
      </c>
      <c r="BD48" s="55" t="e">
        <f>SUMPRODUCT((日次管理!#REF!&lt;=$BD$46)*(日次管理!#REF!=$A$48)*(日次管理!#REF!="精査完了")*(日次管理!#REF!="予定")*(日次管理!#REF!=$A$45),日次管理!#REF!)</f>
        <v>#REF!</v>
      </c>
      <c r="BE48" s="56" t="e">
        <f>SUMPRODUCT((日次管理!#REF!&lt;=$BE$46)*(日次管理!#REF!=$A$48)*(日次管理!#REF!="精査完了")*(日次管理!#REF!="実績")*(日次管理!#REF!=$A$45),日次管理!#REF!)</f>
        <v>#REF!</v>
      </c>
      <c r="BF48" s="55" t="e">
        <f>SUMPRODUCT((日次管理!#REF!&lt;=$BF$46)*(日次管理!#REF!=$A$48)*(日次管理!#REF!="精査完了")*(日次管理!#REF!="予定")*(日次管理!#REF!=$A$45),日次管理!#REF!)</f>
        <v>#REF!</v>
      </c>
      <c r="BG48" s="56" t="e">
        <f>SUMPRODUCT((日次管理!#REF!&lt;=$BG$46)*(日次管理!#REF!=$A$48)*(日次管理!#REF!="精査完了")*(日次管理!#REF!="実績")*(日次管理!#REF!=$A$45),日次管理!#REF!)</f>
        <v>#REF!</v>
      </c>
      <c r="BH48" s="55" t="e">
        <f>SUMPRODUCT((日次管理!#REF!&lt;=$BH$46)*(日次管理!#REF!=$A$48)*(日次管理!#REF!="精査完了")*(日次管理!#REF!="予定")*(日次管理!#REF!=$A$45),日次管理!#REF!)</f>
        <v>#REF!</v>
      </c>
      <c r="BI48" s="56" t="e">
        <f>SUMPRODUCT((日次管理!#REF!&lt;=$BI$46)*(日次管理!#REF!=$A$48)*(日次管理!#REF!="精査完了")*(日次管理!#REF!="実績")*(日次管理!#REF!=$A$45),日次管理!#REF!)</f>
        <v>#REF!</v>
      </c>
      <c r="BJ48" s="55" t="e">
        <f>SUMPRODUCT((日次管理!#REF!&lt;=$BJ$46)*(日次管理!#REF!=$A$48)*(日次管理!#REF!="精査完了")*(日次管理!#REF!="予定")*(日次管理!#REF!=$A$45),日次管理!#REF!)</f>
        <v>#REF!</v>
      </c>
      <c r="BK48" s="56" t="e">
        <f>SUMPRODUCT((日次管理!#REF!&lt;=$BK$46)*(日次管理!#REF!=$A$48)*(日次管理!#REF!="精査完了")*(日次管理!#REF!="実績")*(日次管理!#REF!=$A$45),日次管理!#REF!)</f>
        <v>#REF!</v>
      </c>
      <c r="BL48" s="55" t="e">
        <f>SUMPRODUCT((日次管理!#REF!&lt;=$BL$46)*(日次管理!#REF!=$A$48)*(日次管理!#REF!="精査完了")*(日次管理!#REF!="予定")*(日次管理!#REF!=$A$45),日次管理!#REF!)</f>
        <v>#REF!</v>
      </c>
      <c r="BM48" s="56" t="e">
        <f>SUMPRODUCT((日次管理!#REF!&lt;=$BM$46)*(日次管理!#REF!=$A$48)*(日次管理!#REF!="精査完了")*(日次管理!#REF!="実績")*(日次管理!#REF!=$A$45),日次管理!#REF!)</f>
        <v>#REF!</v>
      </c>
      <c r="BN48" s="55" t="e">
        <f>SUMPRODUCT((日次管理!#REF!&lt;=$BN$46)*(日次管理!#REF!=$A$48)*(日次管理!#REF!="精査完了")*(日次管理!#REF!="予定")*(日次管理!#REF!=$A$45),日次管理!#REF!)</f>
        <v>#REF!</v>
      </c>
      <c r="BO48" s="56" t="e">
        <f>SUMPRODUCT((日次管理!#REF!&lt;=$BO$46)*(日次管理!#REF!=$A$48)*(日次管理!#REF!="精査完了")*(日次管理!#REF!="実績")*(日次管理!#REF!=$A$45),日次管理!#REF!)</f>
        <v>#REF!</v>
      </c>
      <c r="BP48" s="55" t="e">
        <f>SUMPRODUCT((日次管理!#REF!&lt;=$BP$46)*(日次管理!#REF!=$A$48)*(日次管理!#REF!="精査完了")*(日次管理!#REF!="予定")*(日次管理!#REF!=$A$45),日次管理!#REF!)</f>
        <v>#REF!</v>
      </c>
      <c r="BQ48" s="56" t="e">
        <f>SUMPRODUCT((日次管理!#REF!&lt;=$BQ$46)*(日次管理!#REF!=$A$48)*(日次管理!#REF!="精査完了")*(日次管理!#REF!="実績")*(日次管理!#REF!=$A$45),日次管理!#REF!)</f>
        <v>#REF!</v>
      </c>
      <c r="BR48" s="55" t="e">
        <f>SUMPRODUCT((日次管理!#REF!&lt;=$BR$46)*(日次管理!#REF!=$A$48)*(日次管理!#REF!="精査完了")*(日次管理!#REF!="予定")*(日次管理!#REF!=$A$45),日次管理!#REF!)</f>
        <v>#REF!</v>
      </c>
      <c r="BS48" s="56" t="e">
        <f>SUMPRODUCT((日次管理!#REF!&lt;=$BS$46)*(日次管理!#REF!=$A$48)*(日次管理!#REF!="精査完了")*(日次管理!#REF!="実績")*(日次管理!#REF!=$A$45),日次管理!#REF!)</f>
        <v>#REF!</v>
      </c>
      <c r="BT48" s="55" t="e">
        <f>SUMPRODUCT((日次管理!#REF!&lt;=$BT$46)*(日次管理!#REF!=$A$48)*(日次管理!#REF!="精査完了")*(日次管理!#REF!="予定")*(日次管理!#REF!=$A$45),日次管理!#REF!)</f>
        <v>#REF!</v>
      </c>
      <c r="BU48" s="56" t="e">
        <f>SUMPRODUCT((日次管理!#REF!&lt;=$BU$46)*(日次管理!#REF!=$A$48)*(日次管理!#REF!="精査完了")*(日次管理!#REF!="実績")*(日次管理!#REF!=$A$45),日次管理!#REF!)</f>
        <v>#REF!</v>
      </c>
      <c r="BV48" s="55" t="e">
        <f>SUMPRODUCT((日次管理!#REF!&lt;=$BV$46)*(日次管理!#REF!=$A$48)*(日次管理!#REF!="精査完了")*(日次管理!#REF!="予定")*(日次管理!#REF!=$A$45),日次管理!#REF!)</f>
        <v>#REF!</v>
      </c>
      <c r="BW48" s="56" t="e">
        <f>SUMPRODUCT((日次管理!#REF!&lt;=$BW$46)*(日次管理!#REF!=$A$48)*(日次管理!#REF!="精査完了")*(日次管理!#REF!="実績")*(日次管理!#REF!=$A$45),日次管理!#REF!)</f>
        <v>#REF!</v>
      </c>
      <c r="BX48" s="55" t="e">
        <f>SUMPRODUCT((日次管理!#REF!&lt;=$BX$46)*(日次管理!#REF!=$A$48)*(日次管理!#REF!="精査完了")*(日次管理!#REF!="予定")*(日次管理!#REF!=$A$45),日次管理!#REF!)</f>
        <v>#REF!</v>
      </c>
      <c r="BY48" s="56" t="e">
        <f>SUMPRODUCT((日次管理!#REF!&lt;=$BY$46)*(日次管理!#REF!=$A$48)*(日次管理!#REF!="精査完了")*(日次管理!#REF!="実績")*(日次管理!#REF!=$A$45),日次管理!#REF!)</f>
        <v>#REF!</v>
      </c>
      <c r="BZ48" s="55" t="e">
        <f>SUMPRODUCT((日次管理!#REF!&lt;=$BZ$46)*(日次管理!#REF!=$A$48)*(日次管理!#REF!="精査完了")*(日次管理!#REF!="予定")*(日次管理!#REF!=$A$45),日次管理!#REF!)</f>
        <v>#REF!</v>
      </c>
      <c r="CA48" s="56" t="e">
        <f>SUMPRODUCT((日次管理!#REF!&lt;=$CA$46)*(日次管理!#REF!=$A$48)*(日次管理!#REF!="精査完了")*(日次管理!#REF!="実績")*(日次管理!#REF!=$A$45),日次管理!#REF!)</f>
        <v>#REF!</v>
      </c>
      <c r="CB48" s="55" t="e">
        <f>SUMPRODUCT((日次管理!#REF!&lt;=$CB$46)*(日次管理!#REF!=$A$48)*(日次管理!#REF!="精査完了")*(日次管理!#REF!="予定")*(日次管理!#REF!=$A$45),日次管理!#REF!)</f>
        <v>#REF!</v>
      </c>
      <c r="CC48" s="56" t="e">
        <f>SUMPRODUCT((日次管理!#REF!&lt;=$CC$46)*(日次管理!#REF!=$A$48)*(日次管理!#REF!="精査完了")*(日次管理!#REF!="実績")*(日次管理!#REF!=$A$45),日次管理!#REF!)</f>
        <v>#REF!</v>
      </c>
      <c r="CD48" s="55" t="e">
        <f>SUMPRODUCT((日次管理!#REF!&lt;=$CD$46)*(日次管理!#REF!=$A$48)*(日次管理!#REF!="精査完了")*(日次管理!#REF!="予定")*(日次管理!#REF!=$A$45),日次管理!#REF!)</f>
        <v>#REF!</v>
      </c>
      <c r="CE48" s="56" t="e">
        <f>SUMPRODUCT((日次管理!#REF!&lt;=$CE$46)*(日次管理!#REF!=$A$48)*(日次管理!#REF!="精査完了")*(日次管理!#REF!="実績")*(日次管理!#REF!=$A$45),日次管理!#REF!)</f>
        <v>#REF!</v>
      </c>
      <c r="CF48" s="55" t="e">
        <f>SUMPRODUCT((日次管理!#REF!&lt;=$CF$46)*(日次管理!#REF!=$A$48)*(日次管理!#REF!="精査完了")*(日次管理!#REF!="予定")*(日次管理!#REF!=$A$45),日次管理!#REF!)</f>
        <v>#REF!</v>
      </c>
      <c r="CG48" s="56" t="e">
        <f>SUMPRODUCT((日次管理!#REF!&lt;=$CG$46)*(日次管理!#REF!=$A$48)*(日次管理!#REF!="精査完了")*(日次管理!#REF!="実績")*(日次管理!#REF!=$A$45),日次管理!#REF!)</f>
        <v>#REF!</v>
      </c>
      <c r="CH48" s="55" t="e">
        <f>SUMPRODUCT((日次管理!#REF!&lt;=$CH$46)*(日次管理!#REF!=$A$48)*(日次管理!#REF!="精査完了")*(日次管理!#REF!="予定")*(日次管理!#REF!=$A$45),日次管理!#REF!)</f>
        <v>#REF!</v>
      </c>
      <c r="CI48" s="56" t="e">
        <f>SUMPRODUCT((日次管理!#REF!&lt;=$CI$46)*(日次管理!#REF!=$A$48)*(日次管理!#REF!="精査完了")*(日次管理!#REF!="実績")*(日次管理!#REF!=$A$45),日次管理!#REF!)</f>
        <v>#REF!</v>
      </c>
      <c r="CJ48" s="55" t="e">
        <f>SUMPRODUCT((日次管理!#REF!&lt;=$CJ$46)*(日次管理!#REF!=$A$48)*(日次管理!#REF!="精査完了")*(日次管理!#REF!="予定")*(日次管理!#REF!=$A$45),日次管理!#REF!)</f>
        <v>#REF!</v>
      </c>
      <c r="CK48" s="56" t="e">
        <f>SUMPRODUCT((日次管理!#REF!&lt;=$CK$46)*(日次管理!#REF!=$A$48)*(日次管理!#REF!="精査完了")*(日次管理!#REF!="実績")*(日次管理!#REF!=$A$45),日次管理!#REF!)</f>
        <v>#REF!</v>
      </c>
      <c r="CL48" s="55" t="e">
        <f>SUMPRODUCT((日次管理!#REF!&lt;=$CL$46)*(日次管理!#REF!=$A$48)*(日次管理!#REF!="精査完了")*(日次管理!#REF!="予定")*(日次管理!#REF!=$A$45),日次管理!#REF!)</f>
        <v>#REF!</v>
      </c>
      <c r="CM48" s="56" t="e">
        <f>SUMPRODUCT((日次管理!#REF!&lt;=$CM$46)*(日次管理!#REF!=$A$48)*(日次管理!#REF!="精査完了")*(日次管理!#REF!="実績")*(日次管理!#REF!=$A$45),日次管理!#REF!)</f>
        <v>#REF!</v>
      </c>
      <c r="CN48" s="55" t="e">
        <f>SUMPRODUCT((日次管理!#REF!&lt;=$CN$46)*(日次管理!#REF!=$A$48)*(日次管理!#REF!="精査完了")*(日次管理!#REF!="予定")*(日次管理!#REF!=$A$45),日次管理!#REF!)</f>
        <v>#REF!</v>
      </c>
      <c r="CO48" s="56" t="e">
        <f>SUMPRODUCT((日次管理!#REF!&lt;=$CO$46)*(日次管理!#REF!=$A$48)*(日次管理!#REF!="精査完了")*(日次管理!#REF!="実績")*(日次管理!#REF!=$A$45),日次管理!#REF!)</f>
        <v>#REF!</v>
      </c>
      <c r="CP48" s="55" t="e">
        <f>SUMPRODUCT((日次管理!#REF!&lt;=$CP$46)*(日次管理!#REF!=$A$48)*(日次管理!#REF!="精査完了")*(日次管理!#REF!="予定")*(日次管理!#REF!=$A$45),日次管理!#REF!)</f>
        <v>#REF!</v>
      </c>
      <c r="CQ48" s="56" t="e">
        <f>SUMPRODUCT((日次管理!#REF!&lt;=$CQ$46)*(日次管理!#REF!=$A$48)*(日次管理!#REF!="精査完了")*(日次管理!#REF!="実績")*(日次管理!#REF!=$A$45),日次管理!#REF!)</f>
        <v>#REF!</v>
      </c>
      <c r="CR48" s="55" t="e">
        <f>SUMPRODUCT((日次管理!#REF!&lt;=$CR$46)*(日次管理!#REF!=$A$48)*(日次管理!#REF!="精査完了")*(日次管理!#REF!="予定")*(日次管理!#REF!=$A$45),日次管理!#REF!)</f>
        <v>#REF!</v>
      </c>
      <c r="CS48" s="56" t="e">
        <f>SUMPRODUCT((日次管理!#REF!&lt;=$CS$46)*(日次管理!#REF!=$A$48)*(日次管理!#REF!="精査完了")*(日次管理!#REF!="実績")*(日次管理!#REF!=$A$45),日次管理!#REF!)</f>
        <v>#REF!</v>
      </c>
      <c r="CT48" s="55" t="e">
        <f>SUMPRODUCT((日次管理!#REF!&lt;=$CT$46)*(日次管理!#REF!=$A$48)*(日次管理!#REF!="精査完了")*(日次管理!#REF!="予定")*(日次管理!#REF!=$A$45),日次管理!#REF!)</f>
        <v>#REF!</v>
      </c>
      <c r="CU48" s="56" t="e">
        <f>SUMPRODUCT((日次管理!#REF!&lt;=$CU$46)*(日次管理!#REF!=$A$48)*(日次管理!#REF!="精査完了")*(日次管理!#REF!="実績")*(日次管理!#REF!=$A$45),日次管理!#REF!)</f>
        <v>#REF!</v>
      </c>
      <c r="CV48" s="57" t="e">
        <f ca="1">SUMPRODUCT(($A$46- WEEKDAY($A$46) + 6 =$B$46:$CU$46)*("実績"=$B$47:$CU$47),$B$48:$CU$48)/SUMPRODUCT(($A$46- WEEKDAY($A$46) + 6 =$B$46:$CU$46)*("予定"=$B$47:$CU$47),$B$48:$CU$48)</f>
        <v>#REF!</v>
      </c>
      <c r="CW48" s="58" t="e">
        <f>$CU$48/$CT$48</f>
        <v>#REF!</v>
      </c>
    </row>
    <row r="49" spans="1:101" ht="20.149999999999999" customHeight="1">
      <c r="A49" s="104" t="s">
        <v>113</v>
      </c>
      <c r="B49" s="91" t="e">
        <f>SUMPRODUCT((日次管理!#REF!&lt;=$B$46)*(日次管理!#REF!=$A$49)*(日次管理!#REF!="精査完了")*(日次管理!#REF!="予定")*(日次管理!#REF!=$A$45),日次管理!#REF!)</f>
        <v>#REF!</v>
      </c>
      <c r="C49" s="59" t="e">
        <f>SUMPRODUCT((日次管理!#REF!&lt;=$C$46)*(日次管理!#REF!=$A$49)*(日次管理!#REF!="精査完了")*(日次管理!#REF!="実績")*(日次管理!#REF!=$A$45),日次管理!#REF!)</f>
        <v>#REF!</v>
      </c>
      <c r="D49" s="91" t="e">
        <f>SUMPRODUCT((日次管理!#REF!&lt;=$D$46)*(日次管理!#REF!=$A$49)*(日次管理!#REF!="精査完了")*(日次管理!#REF!="予定")*(日次管理!#REF!=$A$45),日次管理!#REF!)</f>
        <v>#REF!</v>
      </c>
      <c r="E49" s="59" t="e">
        <f>SUMPRODUCT((日次管理!#REF!&lt;=$E$46)*(日次管理!#REF!=$A$49)*(日次管理!#REF!="精査完了")*(日次管理!#REF!="実績")*(日次管理!#REF!=$A$45),日次管理!#REF!)</f>
        <v>#REF!</v>
      </c>
      <c r="F49" s="91" t="e">
        <f>SUMPRODUCT((日次管理!#REF!&lt;=$F$46)*(日次管理!#REF!=$A$49)*(日次管理!#REF!="精査完了")*(日次管理!#REF!="予定")*(日次管理!#REF!=$A$45),日次管理!#REF!)</f>
        <v>#REF!</v>
      </c>
      <c r="G49" s="59" t="e">
        <f>SUMPRODUCT((日次管理!#REF!&lt;=$G$46)*(日次管理!#REF!=$A$49)*(日次管理!#REF!="精査完了")*(日次管理!#REF!="実績")*(日次管理!#REF!=$A$45),日次管理!#REF!)</f>
        <v>#REF!</v>
      </c>
      <c r="H49" s="91" t="e">
        <f>SUMPRODUCT((日次管理!#REF!&lt;=$H$46)*(日次管理!#REF!=$A$49)*(日次管理!#REF!="精査完了")*(日次管理!#REF!="予定")*(日次管理!#REF!=$A$45),日次管理!#REF!)</f>
        <v>#REF!</v>
      </c>
      <c r="I49" s="59" t="e">
        <f>SUMPRODUCT((日次管理!#REF!&lt;=$I$46)*(日次管理!#REF!=$A$49)*(日次管理!#REF!="精査完了")*(日次管理!#REF!="実績")*(日次管理!#REF!=$A$45),日次管理!#REF!)</f>
        <v>#REF!</v>
      </c>
      <c r="J49" s="91" t="e">
        <f>SUMPRODUCT((日次管理!#REF!&lt;=$J$46)*(日次管理!#REF!=$A$49)*(日次管理!#REF!="精査完了")*(日次管理!#REF!="予定")*(日次管理!#REF!=$A$45),日次管理!#REF!)</f>
        <v>#REF!</v>
      </c>
      <c r="K49" s="59" t="e">
        <f>SUMPRODUCT((日次管理!#REF!&lt;=$K$46)*(日次管理!#REF!=$A$49)*(日次管理!#REF!="精査完了")*(日次管理!#REF!="実績")*(日次管理!#REF!=$A$45),日次管理!#REF!)</f>
        <v>#REF!</v>
      </c>
      <c r="L49" s="91" t="e">
        <f>SUMPRODUCT((日次管理!#REF!&lt;=$L$46)*(日次管理!#REF!=$A$49)*(日次管理!#REF!="精査完了")*(日次管理!#REF!="予定")*(日次管理!#REF!=$A$45),日次管理!#REF!)</f>
        <v>#REF!</v>
      </c>
      <c r="M49" s="59" t="e">
        <f>SUMPRODUCT((日次管理!#REF!&lt;=$M$46)*(日次管理!#REF!=$A$49)*(日次管理!#REF!="精査完了")*(日次管理!#REF!="実績")*(日次管理!#REF!=$A$45),日次管理!#REF!)</f>
        <v>#REF!</v>
      </c>
      <c r="N49" s="91" t="e">
        <f>SUMPRODUCT((日次管理!#REF!&lt;=$N$46)*(日次管理!#REF!=$A$49)*(日次管理!#REF!="精査完了")*(日次管理!#REF!="予定")*(日次管理!#REF!=$A$45),日次管理!#REF!)</f>
        <v>#REF!</v>
      </c>
      <c r="O49" s="59" t="e">
        <f>SUMPRODUCT((日次管理!#REF!&lt;=$O$46)*(日次管理!#REF!=$A$49)*(日次管理!#REF!="精査完了")*(日次管理!#REF!="実績")*(日次管理!#REF!=$A$45),日次管理!#REF!)</f>
        <v>#REF!</v>
      </c>
      <c r="P49" s="91" t="e">
        <f>SUMPRODUCT((日次管理!#REF!&lt;=$P$46)*(日次管理!#REF!=$A$49)*(日次管理!#REF!="精査完了")*(日次管理!#REF!="予定")*(日次管理!#REF!=$A$45),日次管理!#REF!)</f>
        <v>#REF!</v>
      </c>
      <c r="Q49" s="59" t="e">
        <f>SUMPRODUCT((日次管理!#REF!&lt;=$Q$46)*(日次管理!#REF!=$A$49)*(日次管理!#REF!="精査完了")*(日次管理!#REF!="実績")*(日次管理!#REF!=$A$45),日次管理!#REF!)</f>
        <v>#REF!</v>
      </c>
      <c r="R49" s="91" t="e">
        <f>SUMPRODUCT((日次管理!#REF!&lt;=$R$46)*(日次管理!#REF!=$A$49)*(日次管理!#REF!="精査完了")*(日次管理!#REF!="予定")*(日次管理!#REF!=$A$45),日次管理!#REF!)</f>
        <v>#REF!</v>
      </c>
      <c r="S49" s="59" t="e">
        <f>SUMPRODUCT((日次管理!#REF!&lt;=$S$46)*(日次管理!#REF!=$A$49)*(日次管理!#REF!="精査完了")*(日次管理!#REF!="実績")*(日次管理!#REF!=$A$45),日次管理!#REF!)</f>
        <v>#REF!</v>
      </c>
      <c r="T49" s="91" t="e">
        <f>SUMPRODUCT((日次管理!#REF!&lt;=$T$46)*(日次管理!#REF!=$A$49)*(日次管理!#REF!="精査完了")*(日次管理!#REF!="予定")*(日次管理!#REF!=$A$45),日次管理!#REF!)</f>
        <v>#REF!</v>
      </c>
      <c r="U49" s="59" t="e">
        <f>SUMPRODUCT((日次管理!#REF!&lt;=$U$46)*(日次管理!#REF!=$A$49)*(日次管理!#REF!="精査完了")*(日次管理!#REF!="実績")*(日次管理!#REF!=$A$45),日次管理!#REF!)</f>
        <v>#REF!</v>
      </c>
      <c r="V49" s="91" t="e">
        <f>SUMPRODUCT((日次管理!#REF!&lt;=$V$46)*(日次管理!#REF!=$A$49)*(日次管理!#REF!="精査完了")*(日次管理!#REF!="予定")*(日次管理!#REF!=$A$45),日次管理!#REF!)</f>
        <v>#REF!</v>
      </c>
      <c r="W49" s="59" t="e">
        <f>SUMPRODUCT((日次管理!#REF!&lt;=$W$46)*(日次管理!#REF!=$A$49)*(日次管理!#REF!="精査完了")*(日次管理!#REF!="実績")*(日次管理!#REF!=$A$45),日次管理!#REF!)</f>
        <v>#REF!</v>
      </c>
      <c r="X49" s="91" t="e">
        <f>SUMPRODUCT((日次管理!#REF!&lt;=$X$46)*(日次管理!#REF!=$A$49)*(日次管理!#REF!="精査完了")*(日次管理!#REF!="予定")*(日次管理!#REF!=$A$45),日次管理!#REF!)</f>
        <v>#REF!</v>
      </c>
      <c r="Y49" s="59" t="e">
        <f>SUMPRODUCT((日次管理!#REF!&lt;=$Y$46)*(日次管理!#REF!=$A$49)*(日次管理!#REF!="精査完了")*(日次管理!#REF!="実績")*(日次管理!#REF!=$A$45),日次管理!#REF!)</f>
        <v>#REF!</v>
      </c>
      <c r="Z49" s="91" t="e">
        <f>SUMPRODUCT((日次管理!#REF!&lt;=$Z$46)*(日次管理!#REF!=$A$49)*(日次管理!#REF!="精査完了")*(日次管理!#REF!="予定")*(日次管理!#REF!=$A$45),日次管理!#REF!)</f>
        <v>#REF!</v>
      </c>
      <c r="AA49" s="59" t="e">
        <f>SUMPRODUCT((日次管理!#REF!&lt;=$AA$46)*(日次管理!#REF!=$A$49)*(日次管理!#REF!="精査完了")*(日次管理!#REF!="実績")*(日次管理!#REF!=$A$45),日次管理!#REF!)</f>
        <v>#REF!</v>
      </c>
      <c r="AB49" s="91" t="e">
        <f>SUMPRODUCT((日次管理!#REF!&lt;=$AB$46)*(日次管理!#REF!=$A$49)*(日次管理!#REF!="精査完了")*(日次管理!#REF!="予定")*(日次管理!#REF!=$A$45),日次管理!#REF!)</f>
        <v>#REF!</v>
      </c>
      <c r="AC49" s="59" t="e">
        <f>SUMPRODUCT((日次管理!#REF!&lt;=$AC$46)*(日次管理!#REF!=$A$49)*(日次管理!#REF!="精査完了")*(日次管理!#REF!="実績")*(日次管理!#REF!=$A$45),日次管理!#REF!)</f>
        <v>#REF!</v>
      </c>
      <c r="AD49" s="91" t="e">
        <f>SUMPRODUCT((日次管理!#REF!&lt;=$AD$46)*(日次管理!#REF!=$A$49)*(日次管理!#REF!="精査完了")*(日次管理!#REF!="予定")*(日次管理!#REF!=$A$45),日次管理!#REF!)</f>
        <v>#REF!</v>
      </c>
      <c r="AE49" s="59" t="e">
        <f>SUMPRODUCT((日次管理!#REF!&lt;=$AE$46)*(日次管理!#REF!=$A$49)*(日次管理!#REF!="精査完了")*(日次管理!#REF!="実績")*(日次管理!#REF!=$A$45),日次管理!#REF!)</f>
        <v>#REF!</v>
      </c>
      <c r="AF49" s="91" t="e">
        <f>SUMPRODUCT((日次管理!#REF!&lt;=$AF$46)*(日次管理!#REF!=$A$49)*(日次管理!#REF!="精査完了")*(日次管理!#REF!="予定")*(日次管理!#REF!=$A$45),日次管理!#REF!)</f>
        <v>#REF!</v>
      </c>
      <c r="AG49" s="59" t="e">
        <f>SUMPRODUCT((日次管理!#REF!&lt;=$AG$46)*(日次管理!#REF!=$A$49)*(日次管理!#REF!="精査完了")*(日次管理!#REF!="実績")*(日次管理!#REF!=$A$45),日次管理!#REF!)</f>
        <v>#REF!</v>
      </c>
      <c r="AH49" s="91" t="e">
        <f>SUMPRODUCT((日次管理!#REF!&lt;=$AH$46)*(日次管理!#REF!=$A$49)*(日次管理!#REF!="精査完了")*(日次管理!#REF!="予定")*(日次管理!#REF!=$A$45),日次管理!#REF!)</f>
        <v>#REF!</v>
      </c>
      <c r="AI49" s="59" t="e">
        <f>SUMPRODUCT((日次管理!#REF!&lt;=$AI$46)*(日次管理!#REF!=$A$49)*(日次管理!#REF!="精査完了")*(日次管理!#REF!="実績")*(日次管理!#REF!=$A$45),日次管理!#REF!)</f>
        <v>#REF!</v>
      </c>
      <c r="AJ49" s="91" t="e">
        <f>SUMPRODUCT((日次管理!#REF!&lt;=$AJ$46)*(日次管理!#REF!=$A$49)*(日次管理!#REF!="精査完了")*(日次管理!#REF!="予定")*(日次管理!#REF!=$A$45),日次管理!#REF!)</f>
        <v>#REF!</v>
      </c>
      <c r="AK49" s="59" t="e">
        <f>SUMPRODUCT((日次管理!#REF!&lt;=$AK$46)*(日次管理!#REF!=$A$49)*(日次管理!#REF!="精査完了")*(日次管理!#REF!="実績")*(日次管理!#REF!=$A$45),日次管理!#REF!)</f>
        <v>#REF!</v>
      </c>
      <c r="AL49" s="91" t="e">
        <f>SUMPRODUCT((日次管理!#REF!&lt;=$AL$46)*(日次管理!#REF!=$A$49)*(日次管理!#REF!="精査完了")*(日次管理!#REF!="予定")*(日次管理!#REF!=$A$45),日次管理!#REF!)</f>
        <v>#REF!</v>
      </c>
      <c r="AM49" s="59" t="e">
        <f>SUMPRODUCT((日次管理!#REF!&lt;=$AM$46)*(日次管理!#REF!=$A$49)*(日次管理!#REF!="精査完了")*(日次管理!#REF!="実績")*(日次管理!#REF!=$A$45),日次管理!#REF!)</f>
        <v>#REF!</v>
      </c>
      <c r="AN49" s="91" t="e">
        <f>SUMPRODUCT((日次管理!#REF!&lt;=$AN$46)*(日次管理!#REF!=$A$49)*(日次管理!#REF!="精査完了")*(日次管理!#REF!="予定")*(日次管理!#REF!=$A$45),日次管理!#REF!)</f>
        <v>#REF!</v>
      </c>
      <c r="AO49" s="59" t="e">
        <f>SUMPRODUCT((日次管理!#REF!&lt;=$AO$46)*(日次管理!#REF!=$A$49)*(日次管理!#REF!="精査完了")*(日次管理!#REF!="実績")*(日次管理!#REF!=$A$45),日次管理!#REF!)</f>
        <v>#REF!</v>
      </c>
      <c r="AP49" s="91" t="e">
        <f>SUMPRODUCT((日次管理!#REF!&lt;=$AP$46)*(日次管理!#REF!=$A$49)*(日次管理!#REF!="精査完了")*(日次管理!#REF!="予定")*(日次管理!#REF!=$A$45),日次管理!#REF!)</f>
        <v>#REF!</v>
      </c>
      <c r="AQ49" s="59" t="e">
        <f>SUMPRODUCT((日次管理!#REF!&lt;=$AQ$46)*(日次管理!#REF!=$A$49)*(日次管理!#REF!="精査完了")*(日次管理!#REF!="実績")*(日次管理!#REF!=$A$45),日次管理!#REF!)</f>
        <v>#REF!</v>
      </c>
      <c r="AR49" s="91" t="e">
        <f>SUMPRODUCT((日次管理!#REF!&lt;=$AR$46)*(日次管理!#REF!=$A$49)*(日次管理!#REF!="精査完了")*(日次管理!#REF!="予定")*(日次管理!#REF!=$A$45),日次管理!#REF!)</f>
        <v>#REF!</v>
      </c>
      <c r="AS49" s="59" t="e">
        <f>SUMPRODUCT((日次管理!#REF!&lt;=$AS$46)*(日次管理!#REF!=$A$49)*(日次管理!#REF!="精査完了")*(日次管理!#REF!="実績")*(日次管理!#REF!=$A$45),日次管理!#REF!)</f>
        <v>#REF!</v>
      </c>
      <c r="AT49" s="91" t="e">
        <f>SUMPRODUCT((日次管理!#REF!&lt;=$AT$46)*(日次管理!#REF!=$A$49)*(日次管理!#REF!="精査完了")*(日次管理!#REF!="予定")*(日次管理!#REF!=$A$45),日次管理!#REF!)</f>
        <v>#REF!</v>
      </c>
      <c r="AU49" s="59" t="e">
        <f>SUMPRODUCT((日次管理!#REF!&lt;=$AU$46)*(日次管理!#REF!=$A$49)*(日次管理!#REF!="精査完了")*(日次管理!#REF!="実績")*(日次管理!#REF!=$A$45),日次管理!#REF!)</f>
        <v>#REF!</v>
      </c>
      <c r="AV49" s="91" t="e">
        <f>SUMPRODUCT((日次管理!#REF!&lt;=$AV$46)*(日次管理!#REF!=$A$49)*(日次管理!#REF!="精査完了")*(日次管理!#REF!="予定")*(日次管理!#REF!=$A$45),日次管理!#REF!)</f>
        <v>#REF!</v>
      </c>
      <c r="AW49" s="59" t="e">
        <f>SUMPRODUCT((日次管理!#REF!&lt;=$AW$46)*(日次管理!#REF!=$A$49)*(日次管理!#REF!="精査完了")*(日次管理!#REF!="実績")*(日次管理!#REF!=$A$45),日次管理!#REF!)</f>
        <v>#REF!</v>
      </c>
      <c r="AX49" s="91" t="e">
        <f>SUMPRODUCT((日次管理!#REF!&lt;=$AX$46)*(日次管理!#REF!=$A$49)*(日次管理!#REF!="精査完了")*(日次管理!#REF!="予定")*(日次管理!#REF!=$A$45),日次管理!#REF!)</f>
        <v>#REF!</v>
      </c>
      <c r="AY49" s="59" t="e">
        <f>SUMPRODUCT((日次管理!#REF!&lt;=$AY$46)*(日次管理!#REF!=$A$49)*(日次管理!#REF!="精査完了")*(日次管理!#REF!="実績")*(日次管理!#REF!=$A$45),日次管理!#REF!)</f>
        <v>#REF!</v>
      </c>
      <c r="AZ49" s="91" t="e">
        <f>SUMPRODUCT((日次管理!#REF!&lt;=$AZ$46)*(日次管理!#REF!=$A$49)*(日次管理!#REF!="精査完了")*(日次管理!#REF!="予定")*(日次管理!#REF!=$A$45),日次管理!#REF!)</f>
        <v>#REF!</v>
      </c>
      <c r="BA49" s="59" t="e">
        <f>SUMPRODUCT((日次管理!#REF!&lt;=$BA$46)*(日次管理!#REF!=$A$49)*(日次管理!#REF!="精査完了")*(日次管理!#REF!="実績")*(日次管理!#REF!=$A$45),日次管理!#REF!)</f>
        <v>#REF!</v>
      </c>
      <c r="BB49" s="91" t="e">
        <f>SUMPRODUCT((日次管理!#REF!&lt;=$BB$46)*(日次管理!#REF!=$A$49)*(日次管理!#REF!="精査完了")*(日次管理!#REF!="予定")*(日次管理!#REF!=$A$45),日次管理!#REF!)</f>
        <v>#REF!</v>
      </c>
      <c r="BC49" s="59" t="e">
        <f>SUMPRODUCT((日次管理!#REF!&lt;=$BC$46)*(日次管理!#REF!=$A$49)*(日次管理!#REF!="精査完了")*(日次管理!#REF!="実績")*(日次管理!#REF!=$A$45),日次管理!#REF!)</f>
        <v>#REF!</v>
      </c>
      <c r="BD49" s="91" t="e">
        <f>SUMPRODUCT((日次管理!#REF!&lt;=$BD$46)*(日次管理!#REF!=$A$49)*(日次管理!#REF!="精査完了")*(日次管理!#REF!="予定")*(日次管理!#REF!=$A$45),日次管理!#REF!)</f>
        <v>#REF!</v>
      </c>
      <c r="BE49" s="59" t="e">
        <f>SUMPRODUCT((日次管理!#REF!&lt;=$BE$46)*(日次管理!#REF!=$A$49)*(日次管理!#REF!="精査完了")*(日次管理!#REF!="実績")*(日次管理!#REF!=$A$45),日次管理!#REF!)</f>
        <v>#REF!</v>
      </c>
      <c r="BF49" s="91" t="e">
        <f>SUMPRODUCT((日次管理!#REF!&lt;=$BF$46)*(日次管理!#REF!=$A$49)*(日次管理!#REF!="精査完了")*(日次管理!#REF!="予定")*(日次管理!#REF!=$A$45),日次管理!#REF!)</f>
        <v>#REF!</v>
      </c>
      <c r="BG49" s="59" t="e">
        <f>SUMPRODUCT((日次管理!#REF!&lt;=$BG$46)*(日次管理!#REF!=$A$49)*(日次管理!#REF!="精査完了")*(日次管理!#REF!="実績")*(日次管理!#REF!=$A$45),日次管理!#REF!)</f>
        <v>#REF!</v>
      </c>
      <c r="BH49" s="91" t="e">
        <f>SUMPRODUCT((日次管理!#REF!&lt;=$BH$46)*(日次管理!#REF!=$A$49)*(日次管理!#REF!="精査完了")*(日次管理!#REF!="予定")*(日次管理!#REF!=$A$45),日次管理!#REF!)</f>
        <v>#REF!</v>
      </c>
      <c r="BI49" s="59" t="e">
        <f>SUMPRODUCT((日次管理!#REF!&lt;=$BI$46)*(日次管理!#REF!=$A$49)*(日次管理!#REF!="精査完了")*(日次管理!#REF!="実績")*(日次管理!#REF!=$A$45),日次管理!#REF!)</f>
        <v>#REF!</v>
      </c>
      <c r="BJ49" s="91" t="e">
        <f>SUMPRODUCT((日次管理!#REF!&lt;=$BJ$46)*(日次管理!#REF!=$A$49)*(日次管理!#REF!="精査完了")*(日次管理!#REF!="予定")*(日次管理!#REF!=$A$45),日次管理!#REF!)</f>
        <v>#REF!</v>
      </c>
      <c r="BK49" s="59" t="e">
        <f>SUMPRODUCT((日次管理!#REF!&lt;=$BK$46)*(日次管理!#REF!=$A$49)*(日次管理!#REF!="精査完了")*(日次管理!#REF!="実績")*(日次管理!#REF!=$A$45),日次管理!#REF!)</f>
        <v>#REF!</v>
      </c>
      <c r="BL49" s="91" t="e">
        <f>SUMPRODUCT((日次管理!#REF!&lt;=$BL$46)*(日次管理!#REF!=$A$49)*(日次管理!#REF!="精査完了")*(日次管理!#REF!="予定")*(日次管理!#REF!=$A$45),日次管理!#REF!)</f>
        <v>#REF!</v>
      </c>
      <c r="BM49" s="59" t="e">
        <f>SUMPRODUCT((日次管理!#REF!&lt;=$BM$46)*(日次管理!#REF!=$A$49)*(日次管理!#REF!="精査完了")*(日次管理!#REF!="実績")*(日次管理!#REF!=$A$45),日次管理!#REF!)</f>
        <v>#REF!</v>
      </c>
      <c r="BN49" s="91" t="e">
        <f>SUMPRODUCT((日次管理!#REF!&lt;=$BN$46)*(日次管理!#REF!=$A$49)*(日次管理!#REF!="精査完了")*(日次管理!#REF!="予定")*(日次管理!#REF!=$A$45),日次管理!#REF!)</f>
        <v>#REF!</v>
      </c>
      <c r="BO49" s="59" t="e">
        <f>SUMPRODUCT((日次管理!#REF!&lt;=$BO$46)*(日次管理!#REF!=$A$49)*(日次管理!#REF!="精査完了")*(日次管理!#REF!="実績")*(日次管理!#REF!=$A$45),日次管理!#REF!)</f>
        <v>#REF!</v>
      </c>
      <c r="BP49" s="91" t="e">
        <f>SUMPRODUCT((日次管理!#REF!&lt;=$BP$46)*(日次管理!#REF!=$A$49)*(日次管理!#REF!="精査完了")*(日次管理!#REF!="予定")*(日次管理!#REF!=$A$45),日次管理!#REF!)</f>
        <v>#REF!</v>
      </c>
      <c r="BQ49" s="59" t="e">
        <f>SUMPRODUCT((日次管理!#REF!&lt;=$BQ$46)*(日次管理!#REF!=$A$49)*(日次管理!#REF!="精査完了")*(日次管理!#REF!="実績")*(日次管理!#REF!=$A$45),日次管理!#REF!)</f>
        <v>#REF!</v>
      </c>
      <c r="BR49" s="91" t="e">
        <f>SUMPRODUCT((日次管理!#REF!&lt;=$BR$46)*(日次管理!#REF!=$A$49)*(日次管理!#REF!="精査完了")*(日次管理!#REF!="予定")*(日次管理!#REF!=$A$45),日次管理!#REF!)</f>
        <v>#REF!</v>
      </c>
      <c r="BS49" s="59" t="e">
        <f>SUMPRODUCT((日次管理!#REF!&lt;=$BS$46)*(日次管理!#REF!=$A$49)*(日次管理!#REF!="精査完了")*(日次管理!#REF!="実績")*(日次管理!#REF!=$A$45),日次管理!#REF!)</f>
        <v>#REF!</v>
      </c>
      <c r="BT49" s="91" t="e">
        <f>SUMPRODUCT((日次管理!#REF!&lt;=$BT$46)*(日次管理!#REF!=$A$49)*(日次管理!#REF!="精査完了")*(日次管理!#REF!="予定")*(日次管理!#REF!=$A$45),日次管理!#REF!)</f>
        <v>#REF!</v>
      </c>
      <c r="BU49" s="59" t="e">
        <f>SUMPRODUCT((日次管理!#REF!&lt;=$BU$46)*(日次管理!#REF!=$A$49)*(日次管理!#REF!="精査完了")*(日次管理!#REF!="実績")*(日次管理!#REF!=$A$45),日次管理!#REF!)</f>
        <v>#REF!</v>
      </c>
      <c r="BV49" s="91" t="e">
        <f>SUMPRODUCT((日次管理!#REF!&lt;=$BV$46)*(日次管理!#REF!=$A$49)*(日次管理!#REF!="精査完了")*(日次管理!#REF!="予定")*(日次管理!#REF!=$A$45),日次管理!#REF!)</f>
        <v>#REF!</v>
      </c>
      <c r="BW49" s="59" t="e">
        <f>SUMPRODUCT((日次管理!#REF!&lt;=$BW$46)*(日次管理!#REF!=$A$49)*(日次管理!#REF!="精査完了")*(日次管理!#REF!="実績")*(日次管理!#REF!=$A$45),日次管理!#REF!)</f>
        <v>#REF!</v>
      </c>
      <c r="BX49" s="91" t="e">
        <f>SUMPRODUCT((日次管理!#REF!&lt;=$BX$46)*(日次管理!#REF!=$A$49)*(日次管理!#REF!="精査完了")*(日次管理!#REF!="予定")*(日次管理!#REF!=$A$45),日次管理!#REF!)</f>
        <v>#REF!</v>
      </c>
      <c r="BY49" s="59" t="e">
        <f>SUMPRODUCT((日次管理!#REF!&lt;=$BY$46)*(日次管理!#REF!=$A$49)*(日次管理!#REF!="精査完了")*(日次管理!#REF!="実績")*(日次管理!#REF!=$A$45),日次管理!#REF!)</f>
        <v>#REF!</v>
      </c>
      <c r="BZ49" s="91" t="e">
        <f>SUMPRODUCT((日次管理!#REF!&lt;=$BZ$46)*(日次管理!#REF!=$A$49)*(日次管理!#REF!="精査完了")*(日次管理!#REF!="予定")*(日次管理!#REF!=$A$45),日次管理!#REF!)</f>
        <v>#REF!</v>
      </c>
      <c r="CA49" s="59" t="e">
        <f>SUMPRODUCT((日次管理!#REF!&lt;=$CA$46)*(日次管理!#REF!=$A$49)*(日次管理!#REF!="精査完了")*(日次管理!#REF!="実績")*(日次管理!#REF!=$A$45),日次管理!#REF!)</f>
        <v>#REF!</v>
      </c>
      <c r="CB49" s="91" t="e">
        <f>SUMPRODUCT((日次管理!#REF!&lt;=$CB$46)*(日次管理!#REF!=$A$49)*(日次管理!#REF!="精査完了")*(日次管理!#REF!="予定")*(日次管理!#REF!=$A$45),日次管理!#REF!)</f>
        <v>#REF!</v>
      </c>
      <c r="CC49" s="59" t="e">
        <f>SUMPRODUCT((日次管理!#REF!&lt;=$CC$46)*(日次管理!#REF!=$A$49)*(日次管理!#REF!="精査完了")*(日次管理!#REF!="実績")*(日次管理!#REF!=$A$45),日次管理!#REF!)</f>
        <v>#REF!</v>
      </c>
      <c r="CD49" s="91" t="e">
        <f>SUMPRODUCT((日次管理!#REF!&lt;=$CD$46)*(日次管理!#REF!=$A$49)*(日次管理!#REF!="精査完了")*(日次管理!#REF!="予定")*(日次管理!#REF!=$A$45),日次管理!#REF!)</f>
        <v>#REF!</v>
      </c>
      <c r="CE49" s="59" t="e">
        <f>SUMPRODUCT((日次管理!#REF!&lt;=$CE$46)*(日次管理!#REF!=$A$49)*(日次管理!#REF!="精査完了")*(日次管理!#REF!="実績")*(日次管理!#REF!=$A$45),日次管理!#REF!)</f>
        <v>#REF!</v>
      </c>
      <c r="CF49" s="91" t="e">
        <f>SUMPRODUCT((日次管理!#REF!&lt;=$CF$46)*(日次管理!#REF!=$A$49)*(日次管理!#REF!="精査完了")*(日次管理!#REF!="予定")*(日次管理!#REF!=$A$45),日次管理!#REF!)</f>
        <v>#REF!</v>
      </c>
      <c r="CG49" s="59" t="e">
        <f>SUMPRODUCT((日次管理!#REF!&lt;=$CG$46)*(日次管理!#REF!=$A$49)*(日次管理!#REF!="精査完了")*(日次管理!#REF!="実績")*(日次管理!#REF!=$A$45),日次管理!#REF!)</f>
        <v>#REF!</v>
      </c>
      <c r="CH49" s="91" t="e">
        <f>SUMPRODUCT((日次管理!#REF!&lt;=$CH$46)*(日次管理!#REF!=$A$49)*(日次管理!#REF!="精査完了")*(日次管理!#REF!="予定")*(日次管理!#REF!=$A$45),日次管理!#REF!)</f>
        <v>#REF!</v>
      </c>
      <c r="CI49" s="59" t="e">
        <f>SUMPRODUCT((日次管理!#REF!&lt;=$CI$46)*(日次管理!#REF!=$A$49)*(日次管理!#REF!="精査完了")*(日次管理!#REF!="実績")*(日次管理!#REF!=$A$45),日次管理!#REF!)</f>
        <v>#REF!</v>
      </c>
      <c r="CJ49" s="91" t="e">
        <f>SUMPRODUCT((日次管理!#REF!&lt;=$CJ$46)*(日次管理!#REF!=$A$49)*(日次管理!#REF!="精査完了")*(日次管理!#REF!="予定")*(日次管理!#REF!=$A$45),日次管理!#REF!)</f>
        <v>#REF!</v>
      </c>
      <c r="CK49" s="59" t="e">
        <f>SUMPRODUCT((日次管理!#REF!&lt;=$CK$46)*(日次管理!#REF!=$A$49)*(日次管理!#REF!="精査完了")*(日次管理!#REF!="実績")*(日次管理!#REF!=$A$45),日次管理!#REF!)</f>
        <v>#REF!</v>
      </c>
      <c r="CL49" s="91" t="e">
        <f>SUMPRODUCT((日次管理!#REF!&lt;=$CL$46)*(日次管理!#REF!=$A$49)*(日次管理!#REF!="精査完了")*(日次管理!#REF!="予定")*(日次管理!#REF!=$A$45),日次管理!#REF!)</f>
        <v>#REF!</v>
      </c>
      <c r="CM49" s="59" t="e">
        <f>SUMPRODUCT((日次管理!#REF!&lt;=$CM$46)*(日次管理!#REF!=$A$49)*(日次管理!#REF!="精査完了")*(日次管理!#REF!="実績")*(日次管理!#REF!=$A$45),日次管理!#REF!)</f>
        <v>#REF!</v>
      </c>
      <c r="CN49" s="91" t="e">
        <f>SUMPRODUCT((日次管理!#REF!&lt;=$CN$46)*(日次管理!#REF!=$A$49)*(日次管理!#REF!="精査完了")*(日次管理!#REF!="予定")*(日次管理!#REF!=$A$45),日次管理!#REF!)</f>
        <v>#REF!</v>
      </c>
      <c r="CO49" s="59" t="e">
        <f>SUMPRODUCT((日次管理!#REF!&lt;=$CO$46)*(日次管理!#REF!=$A$49)*(日次管理!#REF!="精査完了")*(日次管理!#REF!="実績")*(日次管理!#REF!=$A$45),日次管理!#REF!)</f>
        <v>#REF!</v>
      </c>
      <c r="CP49" s="91" t="e">
        <f>SUMPRODUCT((日次管理!#REF!&lt;=$CP$46)*(日次管理!#REF!=$A$49)*(日次管理!#REF!="精査完了")*(日次管理!#REF!="予定")*(日次管理!#REF!=$A$45),日次管理!#REF!)</f>
        <v>#REF!</v>
      </c>
      <c r="CQ49" s="59" t="e">
        <f>SUMPRODUCT((日次管理!#REF!&lt;=$CQ$46)*(日次管理!#REF!=$A$49)*(日次管理!#REF!="精査完了")*(日次管理!#REF!="実績")*(日次管理!#REF!=$A$45),日次管理!#REF!)</f>
        <v>#REF!</v>
      </c>
      <c r="CR49" s="91" t="e">
        <f>SUMPRODUCT((日次管理!#REF!&lt;=$CR$46)*(日次管理!#REF!=$A$49)*(日次管理!#REF!="精査完了")*(日次管理!#REF!="予定")*(日次管理!#REF!=$A$45),日次管理!#REF!)</f>
        <v>#REF!</v>
      </c>
      <c r="CS49" s="59" t="e">
        <f>SUMPRODUCT((日次管理!#REF!&lt;=$CS$46)*(日次管理!#REF!=$A$49)*(日次管理!#REF!="精査完了")*(日次管理!#REF!="実績")*(日次管理!#REF!=$A$45),日次管理!#REF!)</f>
        <v>#REF!</v>
      </c>
      <c r="CT49" s="91" t="e">
        <f>SUMPRODUCT((日次管理!#REF!&lt;=$CT$46)*(日次管理!#REF!=$A$49)*(日次管理!#REF!="精査完了")*(日次管理!#REF!="予定")*(日次管理!#REF!=$A$45),日次管理!#REF!)</f>
        <v>#REF!</v>
      </c>
      <c r="CU49" s="59" t="e">
        <f>SUMPRODUCT((日次管理!#REF!&lt;=$CU$46)*(日次管理!#REF!=$A$49)*(日次管理!#REF!="精査完了")*(日次管理!#REF!="実績")*(日次管理!#REF!=$A$45),日次管理!#REF!)</f>
        <v>#REF!</v>
      </c>
      <c r="CV49" s="92" t="e">
        <f ca="1">SUMPRODUCT(($A$46- WEEKDAY($A$46) + 6 =$B$46:$CU$46)*("実績"=$B$47:$CU$47),$B$49:$CU$49)/SUMPRODUCT(($A$46- WEEKDAY($A$46) + 6 =$B$46:$CU$46)*("予定"=$B$47:$CU$47),$B$49:$CU$49)</f>
        <v>#REF!</v>
      </c>
      <c r="CW49" s="93" t="e">
        <f>$CU$49/$CT$49</f>
        <v>#REF!</v>
      </c>
    </row>
    <row r="50" spans="1:101" ht="20.149999999999999" customHeight="1">
      <c r="A50" s="105" t="s">
        <v>73</v>
      </c>
      <c r="B50" s="95" t="e">
        <f>SUMPRODUCT((日次管理!#REF!&lt;=$B$46)*(日次管理!#REF!=$A$50)*(日次管理!#REF!="精査完了")*(日次管理!#REF!="予定")*(日次管理!#REF!=$A$45),日次管理!#REF!)</f>
        <v>#REF!</v>
      </c>
      <c r="C50" s="60" t="e">
        <f>SUMPRODUCT((日次管理!#REF!&lt;=$C$46)*(日次管理!#REF!=$A$50)*(日次管理!#REF!="精査完了")*(日次管理!#REF!="実績")*(日次管理!#REF!=$A$45),日次管理!#REF!)</f>
        <v>#REF!</v>
      </c>
      <c r="D50" s="95" t="e">
        <f>SUMPRODUCT((日次管理!#REF!&lt;=$D$46)*(日次管理!#REF!=$A$50)*(日次管理!#REF!="精査完了")*(日次管理!#REF!="予定")*(日次管理!#REF!=$A$45),日次管理!#REF!)</f>
        <v>#REF!</v>
      </c>
      <c r="E50" s="60" t="e">
        <f>SUMPRODUCT((日次管理!#REF!&lt;=$E$46)*(日次管理!#REF!=$A$50)*(日次管理!#REF!="精査完了")*(日次管理!#REF!="実績")*(日次管理!#REF!=$A$45),日次管理!#REF!)</f>
        <v>#REF!</v>
      </c>
      <c r="F50" s="95" t="e">
        <f>SUMPRODUCT((日次管理!#REF!&lt;=$F$46)*(日次管理!#REF!=$A$50)*(日次管理!#REF!="精査完了")*(日次管理!#REF!="予定")*(日次管理!#REF!=$A$45),日次管理!#REF!)</f>
        <v>#REF!</v>
      </c>
      <c r="G50" s="60" t="e">
        <f>SUMPRODUCT((日次管理!#REF!&lt;=$G$46)*(日次管理!#REF!=$A$50)*(日次管理!#REF!="精査完了")*(日次管理!#REF!="実績")*(日次管理!#REF!=$A$45),日次管理!#REF!)</f>
        <v>#REF!</v>
      </c>
      <c r="H50" s="95" t="e">
        <f>SUMPRODUCT((日次管理!#REF!&lt;=$H$46)*(日次管理!#REF!=$A$50)*(日次管理!#REF!="精査完了")*(日次管理!#REF!="予定")*(日次管理!#REF!=$A$45),日次管理!#REF!)</f>
        <v>#REF!</v>
      </c>
      <c r="I50" s="60" t="e">
        <f>SUMPRODUCT((日次管理!#REF!&lt;=$I$46)*(日次管理!#REF!=$A$50)*(日次管理!#REF!="精査完了")*(日次管理!#REF!="実績")*(日次管理!#REF!=$A$45),日次管理!#REF!)</f>
        <v>#REF!</v>
      </c>
      <c r="J50" s="95" t="e">
        <f>SUMPRODUCT((日次管理!#REF!&lt;=$J$46)*(日次管理!#REF!=$A$50)*(日次管理!#REF!="精査完了")*(日次管理!#REF!="予定")*(日次管理!#REF!=$A$45),日次管理!#REF!)</f>
        <v>#REF!</v>
      </c>
      <c r="K50" s="60" t="e">
        <f>SUMPRODUCT((日次管理!#REF!&lt;=$K$46)*(日次管理!#REF!=$A$50)*(日次管理!#REF!="精査完了")*(日次管理!#REF!="実績")*(日次管理!#REF!=$A$45),日次管理!#REF!)</f>
        <v>#REF!</v>
      </c>
      <c r="L50" s="95" t="e">
        <f>SUMPRODUCT((日次管理!#REF!&lt;=$L$46)*(日次管理!#REF!=$A$50)*(日次管理!#REF!="精査完了")*(日次管理!#REF!="予定")*(日次管理!#REF!=$A$45),日次管理!#REF!)</f>
        <v>#REF!</v>
      </c>
      <c r="M50" s="60" t="e">
        <f>SUMPRODUCT((日次管理!#REF!&lt;=$M$46)*(日次管理!#REF!=$A$50)*(日次管理!#REF!="精査完了")*(日次管理!#REF!="実績")*(日次管理!#REF!=$A$45),日次管理!#REF!)</f>
        <v>#REF!</v>
      </c>
      <c r="N50" s="95" t="e">
        <f>SUMPRODUCT((日次管理!#REF!&lt;=$N$46)*(日次管理!#REF!=$A$50)*(日次管理!#REF!="精査完了")*(日次管理!#REF!="予定")*(日次管理!#REF!=$A$45),日次管理!#REF!)</f>
        <v>#REF!</v>
      </c>
      <c r="O50" s="60" t="e">
        <f>SUMPRODUCT((日次管理!#REF!&lt;=$O$46)*(日次管理!#REF!=$A$50)*(日次管理!#REF!="精査完了")*(日次管理!#REF!="実績")*(日次管理!#REF!=$A$45),日次管理!#REF!)</f>
        <v>#REF!</v>
      </c>
      <c r="P50" s="95" t="e">
        <f>SUMPRODUCT((日次管理!#REF!&lt;=$P$46)*(日次管理!#REF!=$A$50)*(日次管理!#REF!="精査完了")*(日次管理!#REF!="予定")*(日次管理!#REF!=$A$45),日次管理!#REF!)</f>
        <v>#REF!</v>
      </c>
      <c r="Q50" s="60" t="e">
        <f>SUMPRODUCT((日次管理!#REF!&lt;=$Q$46)*(日次管理!#REF!=$A$50)*(日次管理!#REF!="精査完了")*(日次管理!#REF!="実績")*(日次管理!#REF!=$A$45),日次管理!#REF!)</f>
        <v>#REF!</v>
      </c>
      <c r="R50" s="95" t="e">
        <f>SUMPRODUCT((日次管理!#REF!&lt;=$R$46)*(日次管理!#REF!=$A$50)*(日次管理!#REF!="精査完了")*(日次管理!#REF!="予定")*(日次管理!#REF!=$A$45),日次管理!#REF!)</f>
        <v>#REF!</v>
      </c>
      <c r="S50" s="60" t="e">
        <f>SUMPRODUCT((日次管理!#REF!&lt;=$S$46)*(日次管理!#REF!=$A$50)*(日次管理!#REF!="精査完了")*(日次管理!#REF!="実績")*(日次管理!#REF!=$A$45),日次管理!#REF!)</f>
        <v>#REF!</v>
      </c>
      <c r="T50" s="95" t="e">
        <f>SUMPRODUCT((日次管理!#REF!&lt;=$T$46)*(日次管理!#REF!=$A$50)*(日次管理!#REF!="精査完了")*(日次管理!#REF!="予定")*(日次管理!#REF!=$A$45),日次管理!#REF!)</f>
        <v>#REF!</v>
      </c>
      <c r="U50" s="60" t="e">
        <f>SUMPRODUCT((日次管理!#REF!&lt;=$U$46)*(日次管理!#REF!=$A$50)*(日次管理!#REF!="精査完了")*(日次管理!#REF!="実績")*(日次管理!#REF!=$A$45),日次管理!#REF!)</f>
        <v>#REF!</v>
      </c>
      <c r="V50" s="95" t="e">
        <f>SUMPRODUCT((日次管理!#REF!&lt;=$V$46)*(日次管理!#REF!=$A$50)*(日次管理!#REF!="精査完了")*(日次管理!#REF!="予定")*(日次管理!#REF!=$A$45),日次管理!#REF!)</f>
        <v>#REF!</v>
      </c>
      <c r="W50" s="60" t="e">
        <f>SUMPRODUCT((日次管理!#REF!&lt;=$W$46)*(日次管理!#REF!=$A$50)*(日次管理!#REF!="精査完了")*(日次管理!#REF!="実績")*(日次管理!#REF!=$A$45),日次管理!#REF!)</f>
        <v>#REF!</v>
      </c>
      <c r="X50" s="95" t="e">
        <f>SUMPRODUCT((日次管理!#REF!&lt;=$X$46)*(日次管理!#REF!=$A$50)*(日次管理!#REF!="精査完了")*(日次管理!#REF!="予定")*(日次管理!#REF!=$A$45),日次管理!#REF!)</f>
        <v>#REF!</v>
      </c>
      <c r="Y50" s="60" t="e">
        <f>SUMPRODUCT((日次管理!#REF!&lt;=$Y$46)*(日次管理!#REF!=$A$50)*(日次管理!#REF!="精査完了")*(日次管理!#REF!="実績")*(日次管理!#REF!=$A$45),日次管理!#REF!)</f>
        <v>#REF!</v>
      </c>
      <c r="Z50" s="95" t="e">
        <f>SUMPRODUCT((日次管理!#REF!&lt;=$Z$46)*(日次管理!#REF!=$A$50)*(日次管理!#REF!="精査完了")*(日次管理!#REF!="予定")*(日次管理!#REF!=$A$45),日次管理!#REF!)</f>
        <v>#REF!</v>
      </c>
      <c r="AA50" s="60" t="e">
        <f>SUMPRODUCT((日次管理!#REF!&lt;=$AA$46)*(日次管理!#REF!=$A$50)*(日次管理!#REF!="精査完了")*(日次管理!#REF!="実績")*(日次管理!#REF!=$A$45),日次管理!#REF!)</f>
        <v>#REF!</v>
      </c>
      <c r="AB50" s="95" t="e">
        <f>SUMPRODUCT((日次管理!#REF!&lt;=$AB$46)*(日次管理!#REF!=$A$50)*(日次管理!#REF!="精査完了")*(日次管理!#REF!="予定")*(日次管理!#REF!=$A$45),日次管理!#REF!)</f>
        <v>#REF!</v>
      </c>
      <c r="AC50" s="60" t="e">
        <f>SUMPRODUCT((日次管理!#REF!&lt;=$AC$46)*(日次管理!#REF!=$A$50)*(日次管理!#REF!="精査完了")*(日次管理!#REF!="実績")*(日次管理!#REF!=$A$45),日次管理!#REF!)</f>
        <v>#REF!</v>
      </c>
      <c r="AD50" s="95" t="e">
        <f>SUMPRODUCT((日次管理!#REF!&lt;=$AD$46)*(日次管理!#REF!=$A$50)*(日次管理!#REF!="精査完了")*(日次管理!#REF!="予定")*(日次管理!#REF!=$A$45),日次管理!#REF!)</f>
        <v>#REF!</v>
      </c>
      <c r="AE50" s="60" t="e">
        <f>SUMPRODUCT((日次管理!#REF!&lt;=$AE$46)*(日次管理!#REF!=$A$50)*(日次管理!#REF!="精査完了")*(日次管理!#REF!="実績")*(日次管理!#REF!=$A$45),日次管理!#REF!)</f>
        <v>#REF!</v>
      </c>
      <c r="AF50" s="95" t="e">
        <f>SUMPRODUCT((日次管理!#REF!&lt;=$AF$46)*(日次管理!#REF!=$A$50)*(日次管理!#REF!="精査完了")*(日次管理!#REF!="予定")*(日次管理!#REF!=$A$45),日次管理!#REF!)</f>
        <v>#REF!</v>
      </c>
      <c r="AG50" s="60" t="e">
        <f>SUMPRODUCT((日次管理!#REF!&lt;=$AG$46)*(日次管理!#REF!=$A$50)*(日次管理!#REF!="精査完了")*(日次管理!#REF!="実績")*(日次管理!#REF!=$A$45),日次管理!#REF!)</f>
        <v>#REF!</v>
      </c>
      <c r="AH50" s="95" t="e">
        <f>SUMPRODUCT((日次管理!#REF!&lt;=$AH$46)*(日次管理!#REF!=$A$50)*(日次管理!#REF!="精査完了")*(日次管理!#REF!="予定")*(日次管理!#REF!=$A$45),日次管理!#REF!)</f>
        <v>#REF!</v>
      </c>
      <c r="AI50" s="60" t="e">
        <f>SUMPRODUCT((日次管理!#REF!&lt;=$AI$46)*(日次管理!#REF!=$A$50)*(日次管理!#REF!="精査完了")*(日次管理!#REF!="実績")*(日次管理!#REF!=$A$45),日次管理!#REF!)</f>
        <v>#REF!</v>
      </c>
      <c r="AJ50" s="95" t="e">
        <f>SUMPRODUCT((日次管理!#REF!&lt;=$AJ$46)*(日次管理!#REF!=$A$50)*(日次管理!#REF!="精査完了")*(日次管理!#REF!="予定")*(日次管理!#REF!=$A$45),日次管理!#REF!)</f>
        <v>#REF!</v>
      </c>
      <c r="AK50" s="60" t="e">
        <f>SUMPRODUCT((日次管理!#REF!&lt;=$AK$46)*(日次管理!#REF!=$A$50)*(日次管理!#REF!="精査完了")*(日次管理!#REF!="実績")*(日次管理!#REF!=$A$45),日次管理!#REF!)</f>
        <v>#REF!</v>
      </c>
      <c r="AL50" s="95" t="e">
        <f>SUMPRODUCT((日次管理!#REF!&lt;=$AL$46)*(日次管理!#REF!=$A$50)*(日次管理!#REF!="精査完了")*(日次管理!#REF!="予定")*(日次管理!#REF!=$A$45),日次管理!#REF!)</f>
        <v>#REF!</v>
      </c>
      <c r="AM50" s="60" t="e">
        <f>SUMPRODUCT((日次管理!#REF!&lt;=$AM$46)*(日次管理!#REF!=$A$50)*(日次管理!#REF!="精査完了")*(日次管理!#REF!="実績")*(日次管理!#REF!=$A$45),日次管理!#REF!)</f>
        <v>#REF!</v>
      </c>
      <c r="AN50" s="95" t="e">
        <f>SUMPRODUCT((日次管理!#REF!&lt;=$AN$46)*(日次管理!#REF!=$A$50)*(日次管理!#REF!="精査完了")*(日次管理!#REF!="予定")*(日次管理!#REF!=$A$45),日次管理!#REF!)</f>
        <v>#REF!</v>
      </c>
      <c r="AO50" s="60" t="e">
        <f>SUMPRODUCT((日次管理!#REF!&lt;=$AO$46)*(日次管理!#REF!=$A$50)*(日次管理!#REF!="精査完了")*(日次管理!#REF!="実績")*(日次管理!#REF!=$A$45),日次管理!#REF!)</f>
        <v>#REF!</v>
      </c>
      <c r="AP50" s="95" t="e">
        <f>SUMPRODUCT((日次管理!#REF!&lt;=$AP$46)*(日次管理!#REF!=$A$50)*(日次管理!#REF!="精査完了")*(日次管理!#REF!="予定")*(日次管理!#REF!=$A$45),日次管理!#REF!)</f>
        <v>#REF!</v>
      </c>
      <c r="AQ50" s="60" t="e">
        <f>SUMPRODUCT((日次管理!#REF!&lt;=$AQ$46)*(日次管理!#REF!=$A$50)*(日次管理!#REF!="精査完了")*(日次管理!#REF!="実績")*(日次管理!#REF!=$A$45),日次管理!#REF!)</f>
        <v>#REF!</v>
      </c>
      <c r="AR50" s="95" t="e">
        <f>SUMPRODUCT((日次管理!#REF!&lt;=$AR$46)*(日次管理!#REF!=$A$50)*(日次管理!#REF!="精査完了")*(日次管理!#REF!="予定")*(日次管理!#REF!=$A$45),日次管理!#REF!)</f>
        <v>#REF!</v>
      </c>
      <c r="AS50" s="60" t="e">
        <f>SUMPRODUCT((日次管理!#REF!&lt;=$AS$46)*(日次管理!#REF!=$A$50)*(日次管理!#REF!="精査完了")*(日次管理!#REF!="実績")*(日次管理!#REF!=$A$45),日次管理!#REF!)</f>
        <v>#REF!</v>
      </c>
      <c r="AT50" s="95" t="e">
        <f>SUMPRODUCT((日次管理!#REF!&lt;=$AT$46)*(日次管理!#REF!=$A$50)*(日次管理!#REF!="精査完了")*(日次管理!#REF!="予定")*(日次管理!#REF!=$A$45),日次管理!#REF!)</f>
        <v>#REF!</v>
      </c>
      <c r="AU50" s="60" t="e">
        <f>SUMPRODUCT((日次管理!#REF!&lt;=$AU$46)*(日次管理!#REF!=$A$50)*(日次管理!#REF!="精査完了")*(日次管理!#REF!="実績")*(日次管理!#REF!=$A$45),日次管理!#REF!)</f>
        <v>#REF!</v>
      </c>
      <c r="AV50" s="95" t="e">
        <f>SUMPRODUCT((日次管理!#REF!&lt;=$AV$46)*(日次管理!#REF!=$A$50)*(日次管理!#REF!="精査完了")*(日次管理!#REF!="予定")*(日次管理!#REF!=$A$45),日次管理!#REF!)</f>
        <v>#REF!</v>
      </c>
      <c r="AW50" s="60" t="e">
        <f>SUMPRODUCT((日次管理!#REF!&lt;=$AW$46)*(日次管理!#REF!=$A$50)*(日次管理!#REF!="精査完了")*(日次管理!#REF!="実績")*(日次管理!#REF!=$A$45),日次管理!#REF!)</f>
        <v>#REF!</v>
      </c>
      <c r="AX50" s="95" t="e">
        <f>SUMPRODUCT((日次管理!#REF!&lt;=$AX$46)*(日次管理!#REF!=$A$50)*(日次管理!#REF!="精査完了")*(日次管理!#REF!="予定")*(日次管理!#REF!=$A$45),日次管理!#REF!)</f>
        <v>#REF!</v>
      </c>
      <c r="AY50" s="60" t="e">
        <f>SUMPRODUCT((日次管理!#REF!&lt;=$AY$46)*(日次管理!#REF!=$A$50)*(日次管理!#REF!="精査完了")*(日次管理!#REF!="実績")*(日次管理!#REF!=$A$45),日次管理!#REF!)</f>
        <v>#REF!</v>
      </c>
      <c r="AZ50" s="95" t="e">
        <f>SUMPRODUCT((日次管理!#REF!&lt;=$AZ$46)*(日次管理!#REF!=$A$50)*(日次管理!#REF!="精査完了")*(日次管理!#REF!="予定")*(日次管理!#REF!=$A$45),日次管理!#REF!)</f>
        <v>#REF!</v>
      </c>
      <c r="BA50" s="60" t="e">
        <f>SUMPRODUCT((日次管理!#REF!&lt;=$BA$46)*(日次管理!#REF!=$A$50)*(日次管理!#REF!="精査完了")*(日次管理!#REF!="実績")*(日次管理!#REF!=$A$45),日次管理!#REF!)</f>
        <v>#REF!</v>
      </c>
      <c r="BB50" s="95" t="e">
        <f>SUMPRODUCT((日次管理!#REF!&lt;=$BB$46)*(日次管理!#REF!=$A$50)*(日次管理!#REF!="精査完了")*(日次管理!#REF!="予定")*(日次管理!#REF!=$A$45),日次管理!#REF!)</f>
        <v>#REF!</v>
      </c>
      <c r="BC50" s="60" t="e">
        <f>SUMPRODUCT((日次管理!#REF!&lt;=$BC$46)*(日次管理!#REF!=$A$50)*(日次管理!#REF!="精査完了")*(日次管理!#REF!="実績")*(日次管理!#REF!=$A$45),日次管理!#REF!)</f>
        <v>#REF!</v>
      </c>
      <c r="BD50" s="95" t="e">
        <f>SUMPRODUCT((日次管理!#REF!&lt;=$BD$46)*(日次管理!#REF!=$A$50)*(日次管理!#REF!="精査完了")*(日次管理!#REF!="予定")*(日次管理!#REF!=$A$45),日次管理!#REF!)</f>
        <v>#REF!</v>
      </c>
      <c r="BE50" s="60" t="e">
        <f>SUMPRODUCT((日次管理!#REF!&lt;=$BE$46)*(日次管理!#REF!=$A$50)*(日次管理!#REF!="精査完了")*(日次管理!#REF!="実績")*(日次管理!#REF!=$A$45),日次管理!#REF!)</f>
        <v>#REF!</v>
      </c>
      <c r="BF50" s="95" t="e">
        <f>SUMPRODUCT((日次管理!#REF!&lt;=$BF$46)*(日次管理!#REF!=$A$50)*(日次管理!#REF!="精査完了")*(日次管理!#REF!="予定")*(日次管理!#REF!=$A$45),日次管理!#REF!)</f>
        <v>#REF!</v>
      </c>
      <c r="BG50" s="60" t="e">
        <f>SUMPRODUCT((日次管理!#REF!&lt;=$BG$46)*(日次管理!#REF!=$A$50)*(日次管理!#REF!="精査完了")*(日次管理!#REF!="実績")*(日次管理!#REF!=$A$45),日次管理!#REF!)</f>
        <v>#REF!</v>
      </c>
      <c r="BH50" s="95" t="e">
        <f>SUMPRODUCT((日次管理!#REF!&lt;=$BH$46)*(日次管理!#REF!=$A$50)*(日次管理!#REF!="精査完了")*(日次管理!#REF!="予定")*(日次管理!#REF!=$A$45),日次管理!#REF!)</f>
        <v>#REF!</v>
      </c>
      <c r="BI50" s="60" t="e">
        <f>SUMPRODUCT((日次管理!#REF!&lt;=$BI$46)*(日次管理!#REF!=$A$50)*(日次管理!#REF!="精査完了")*(日次管理!#REF!="実績")*(日次管理!#REF!=$A$45),日次管理!#REF!)</f>
        <v>#REF!</v>
      </c>
      <c r="BJ50" s="95" t="e">
        <f>SUMPRODUCT((日次管理!#REF!&lt;=$BJ$46)*(日次管理!#REF!=$A$50)*(日次管理!#REF!="精査完了")*(日次管理!#REF!="予定")*(日次管理!#REF!=$A$45),日次管理!#REF!)</f>
        <v>#REF!</v>
      </c>
      <c r="BK50" s="60" t="e">
        <f>SUMPRODUCT((日次管理!#REF!&lt;=$BK$46)*(日次管理!#REF!=$A$50)*(日次管理!#REF!="精査完了")*(日次管理!#REF!="実績")*(日次管理!#REF!=$A$45),日次管理!#REF!)</f>
        <v>#REF!</v>
      </c>
      <c r="BL50" s="95" t="e">
        <f>SUMPRODUCT((日次管理!#REF!&lt;=$BL$46)*(日次管理!#REF!=$A$50)*(日次管理!#REF!="精査完了")*(日次管理!#REF!="予定")*(日次管理!#REF!=$A$45),日次管理!#REF!)</f>
        <v>#REF!</v>
      </c>
      <c r="BM50" s="60" t="e">
        <f>SUMPRODUCT((日次管理!#REF!&lt;=$BM$46)*(日次管理!#REF!=$A$50)*(日次管理!#REF!="精査完了")*(日次管理!#REF!="実績")*(日次管理!#REF!=$A$45),日次管理!#REF!)</f>
        <v>#REF!</v>
      </c>
      <c r="BN50" s="95" t="e">
        <f>SUMPRODUCT((日次管理!#REF!&lt;=$BN$46)*(日次管理!#REF!=$A$50)*(日次管理!#REF!="精査完了")*(日次管理!#REF!="予定")*(日次管理!#REF!=$A$45),日次管理!#REF!)</f>
        <v>#REF!</v>
      </c>
      <c r="BO50" s="60" t="e">
        <f>SUMPRODUCT((日次管理!#REF!&lt;=$BO$46)*(日次管理!#REF!=$A$50)*(日次管理!#REF!="精査完了")*(日次管理!#REF!="実績")*(日次管理!#REF!=$A$45),日次管理!#REF!)</f>
        <v>#REF!</v>
      </c>
      <c r="BP50" s="95" t="e">
        <f>SUMPRODUCT((日次管理!#REF!&lt;=$BP$46)*(日次管理!#REF!=$A$50)*(日次管理!#REF!="精査完了")*(日次管理!#REF!="予定")*(日次管理!#REF!=$A$45),日次管理!#REF!)</f>
        <v>#REF!</v>
      </c>
      <c r="BQ50" s="60" t="e">
        <f>SUMPRODUCT((日次管理!#REF!&lt;=$BQ$46)*(日次管理!#REF!=$A$50)*(日次管理!#REF!="精査完了")*(日次管理!#REF!="実績")*(日次管理!#REF!=$A$45),日次管理!#REF!)</f>
        <v>#REF!</v>
      </c>
      <c r="BR50" s="95" t="e">
        <f>SUMPRODUCT((日次管理!#REF!&lt;=$BR$46)*(日次管理!#REF!=$A$50)*(日次管理!#REF!="精査完了")*(日次管理!#REF!="予定")*(日次管理!#REF!=$A$45),日次管理!#REF!)</f>
        <v>#REF!</v>
      </c>
      <c r="BS50" s="60" t="e">
        <f>SUMPRODUCT((日次管理!#REF!&lt;=$BS$46)*(日次管理!#REF!=$A$50)*(日次管理!#REF!="精査完了")*(日次管理!#REF!="実績")*(日次管理!#REF!=$A$45),日次管理!#REF!)</f>
        <v>#REF!</v>
      </c>
      <c r="BT50" s="95" t="e">
        <f>SUMPRODUCT((日次管理!#REF!&lt;=$BT$46)*(日次管理!#REF!=$A$50)*(日次管理!#REF!="精査完了")*(日次管理!#REF!="予定")*(日次管理!#REF!=$A$45),日次管理!#REF!)</f>
        <v>#REF!</v>
      </c>
      <c r="BU50" s="60" t="e">
        <f>SUMPRODUCT((日次管理!#REF!&lt;=$BU$46)*(日次管理!#REF!=$A$50)*(日次管理!#REF!="精査完了")*(日次管理!#REF!="実績")*(日次管理!#REF!=$A$45),日次管理!#REF!)</f>
        <v>#REF!</v>
      </c>
      <c r="BV50" s="95" t="e">
        <f>SUMPRODUCT((日次管理!#REF!&lt;=$BV$46)*(日次管理!#REF!=$A$50)*(日次管理!#REF!="精査完了")*(日次管理!#REF!="予定")*(日次管理!#REF!=$A$45),日次管理!#REF!)</f>
        <v>#REF!</v>
      </c>
      <c r="BW50" s="60" t="e">
        <f>SUMPRODUCT((日次管理!#REF!&lt;=$BW$46)*(日次管理!#REF!=$A$50)*(日次管理!#REF!="精査完了")*(日次管理!#REF!="実績")*(日次管理!#REF!=$A$45),日次管理!#REF!)</f>
        <v>#REF!</v>
      </c>
      <c r="BX50" s="95" t="e">
        <f>SUMPRODUCT((日次管理!#REF!&lt;=$BX$46)*(日次管理!#REF!=$A$50)*(日次管理!#REF!="精査完了")*(日次管理!#REF!="予定")*(日次管理!#REF!=$A$45),日次管理!#REF!)</f>
        <v>#REF!</v>
      </c>
      <c r="BY50" s="60" t="e">
        <f>SUMPRODUCT((日次管理!#REF!&lt;=$BY$46)*(日次管理!#REF!=$A$50)*(日次管理!#REF!="精査完了")*(日次管理!#REF!="実績")*(日次管理!#REF!=$A$45),日次管理!#REF!)</f>
        <v>#REF!</v>
      </c>
      <c r="BZ50" s="95" t="e">
        <f>SUMPRODUCT((日次管理!#REF!&lt;=$BZ$46)*(日次管理!#REF!=$A$50)*(日次管理!#REF!="精査完了")*(日次管理!#REF!="予定")*(日次管理!#REF!=$A$45),日次管理!#REF!)</f>
        <v>#REF!</v>
      </c>
      <c r="CA50" s="60" t="e">
        <f>SUMPRODUCT((日次管理!#REF!&lt;=$CA$46)*(日次管理!#REF!=$A$50)*(日次管理!#REF!="精査完了")*(日次管理!#REF!="実績")*(日次管理!#REF!=$A$45),日次管理!#REF!)</f>
        <v>#REF!</v>
      </c>
      <c r="CB50" s="95" t="e">
        <f>SUMPRODUCT((日次管理!#REF!&lt;=$CB$46)*(日次管理!#REF!=$A$50)*(日次管理!#REF!="精査完了")*(日次管理!#REF!="予定")*(日次管理!#REF!=$A$45),日次管理!#REF!)</f>
        <v>#REF!</v>
      </c>
      <c r="CC50" s="60" t="e">
        <f>SUMPRODUCT((日次管理!#REF!&lt;=$CC$46)*(日次管理!#REF!=$A$50)*(日次管理!#REF!="精査完了")*(日次管理!#REF!="実績")*(日次管理!#REF!=$A$45),日次管理!#REF!)</f>
        <v>#REF!</v>
      </c>
      <c r="CD50" s="95" t="e">
        <f>SUMPRODUCT((日次管理!#REF!&lt;=$CD$46)*(日次管理!#REF!=$A$50)*(日次管理!#REF!="精査完了")*(日次管理!#REF!="予定")*(日次管理!#REF!=$A$45),日次管理!#REF!)</f>
        <v>#REF!</v>
      </c>
      <c r="CE50" s="60" t="e">
        <f>SUMPRODUCT((日次管理!#REF!&lt;=$CE$46)*(日次管理!#REF!=$A$50)*(日次管理!#REF!="精査完了")*(日次管理!#REF!="実績")*(日次管理!#REF!=$A$45),日次管理!#REF!)</f>
        <v>#REF!</v>
      </c>
      <c r="CF50" s="95" t="e">
        <f>SUMPRODUCT((日次管理!#REF!&lt;=$CF$46)*(日次管理!#REF!=$A$50)*(日次管理!#REF!="精査完了")*(日次管理!#REF!="予定")*(日次管理!#REF!=$A$45),日次管理!#REF!)</f>
        <v>#REF!</v>
      </c>
      <c r="CG50" s="60" t="e">
        <f>SUMPRODUCT((日次管理!#REF!&lt;=$CG$46)*(日次管理!#REF!=$A$50)*(日次管理!#REF!="精査完了")*(日次管理!#REF!="実績")*(日次管理!#REF!=$A$45),日次管理!#REF!)</f>
        <v>#REF!</v>
      </c>
      <c r="CH50" s="95" t="e">
        <f>SUMPRODUCT((日次管理!#REF!&lt;=$CH$46)*(日次管理!#REF!=$A$50)*(日次管理!#REF!="精査完了")*(日次管理!#REF!="予定")*(日次管理!#REF!=$A$45),日次管理!#REF!)</f>
        <v>#REF!</v>
      </c>
      <c r="CI50" s="60" t="e">
        <f>SUMPRODUCT((日次管理!#REF!&lt;=$CI$46)*(日次管理!#REF!=$A$50)*(日次管理!#REF!="精査完了")*(日次管理!#REF!="実績")*(日次管理!#REF!=$A$45),日次管理!#REF!)</f>
        <v>#REF!</v>
      </c>
      <c r="CJ50" s="95" t="e">
        <f>SUMPRODUCT((日次管理!#REF!&lt;=$CJ$46)*(日次管理!#REF!=$A$50)*(日次管理!#REF!="精査完了")*(日次管理!#REF!="予定")*(日次管理!#REF!=$A$45),日次管理!#REF!)</f>
        <v>#REF!</v>
      </c>
      <c r="CK50" s="60" t="e">
        <f>SUMPRODUCT((日次管理!#REF!&lt;=$CK$46)*(日次管理!#REF!=$A$50)*(日次管理!#REF!="精査完了")*(日次管理!#REF!="実績")*(日次管理!#REF!=$A$45),日次管理!#REF!)</f>
        <v>#REF!</v>
      </c>
      <c r="CL50" s="95" t="e">
        <f>SUMPRODUCT((日次管理!#REF!&lt;=$CL$46)*(日次管理!#REF!=$A$50)*(日次管理!#REF!="精査完了")*(日次管理!#REF!="予定")*(日次管理!#REF!=$A$45),日次管理!#REF!)</f>
        <v>#REF!</v>
      </c>
      <c r="CM50" s="60" t="e">
        <f>SUMPRODUCT((日次管理!#REF!&lt;=$CM$46)*(日次管理!#REF!=$A$50)*(日次管理!#REF!="精査完了")*(日次管理!#REF!="実績")*(日次管理!#REF!=$A$45),日次管理!#REF!)</f>
        <v>#REF!</v>
      </c>
      <c r="CN50" s="95" t="e">
        <f>SUMPRODUCT((日次管理!#REF!&lt;=$CN$46)*(日次管理!#REF!=$A$50)*(日次管理!#REF!="精査完了")*(日次管理!#REF!="予定")*(日次管理!#REF!=$A$45),日次管理!#REF!)</f>
        <v>#REF!</v>
      </c>
      <c r="CO50" s="60" t="e">
        <f>SUMPRODUCT((日次管理!#REF!&lt;=$CO$46)*(日次管理!#REF!=$A$50)*(日次管理!#REF!="精査完了")*(日次管理!#REF!="実績")*(日次管理!#REF!=$A$45),日次管理!#REF!)</f>
        <v>#REF!</v>
      </c>
      <c r="CP50" s="95" t="e">
        <f>SUMPRODUCT((日次管理!#REF!&lt;=$CP$46)*(日次管理!#REF!=$A$50)*(日次管理!#REF!="精査完了")*(日次管理!#REF!="予定")*(日次管理!#REF!=$A$45),日次管理!#REF!)</f>
        <v>#REF!</v>
      </c>
      <c r="CQ50" s="60" t="e">
        <f>SUMPRODUCT((日次管理!#REF!&lt;=$CQ$46)*(日次管理!#REF!=$A$50)*(日次管理!#REF!="精査完了")*(日次管理!#REF!="実績")*(日次管理!#REF!=$A$45),日次管理!#REF!)</f>
        <v>#REF!</v>
      </c>
      <c r="CR50" s="95" t="e">
        <f>SUMPRODUCT((日次管理!#REF!&lt;=$CR$46)*(日次管理!#REF!=$A$50)*(日次管理!#REF!="精査完了")*(日次管理!#REF!="予定")*(日次管理!#REF!=$A$45),日次管理!#REF!)</f>
        <v>#REF!</v>
      </c>
      <c r="CS50" s="60" t="e">
        <f>SUMPRODUCT((日次管理!#REF!&lt;=$CS$46)*(日次管理!#REF!=$A$50)*(日次管理!#REF!="精査完了")*(日次管理!#REF!="実績")*(日次管理!#REF!=$A$45),日次管理!#REF!)</f>
        <v>#REF!</v>
      </c>
      <c r="CT50" s="95" t="e">
        <f>SUMPRODUCT((日次管理!#REF!&lt;=$CT$46)*(日次管理!#REF!=$A$50)*(日次管理!#REF!="精査完了")*(日次管理!#REF!="予定")*(日次管理!#REF!=$A$45),日次管理!#REF!)</f>
        <v>#REF!</v>
      </c>
      <c r="CU50" s="60" t="e">
        <f>SUMPRODUCT((日次管理!#REF!&lt;=$CU$46)*(日次管理!#REF!=$A$50)*(日次管理!#REF!="精査完了")*(日次管理!#REF!="実績")*(日次管理!#REF!=$A$45),日次管理!#REF!)</f>
        <v>#REF!</v>
      </c>
      <c r="CV50" s="96" t="e">
        <f ca="1">SUMPRODUCT(($A$46- WEEKDAY($A$46) + 6 =$B$46:$CU$46)*("実績"=$B$47:$CU$47),$B$50:$CU$50)/SUMPRODUCT(($A$46- WEEKDAY($A$46) + 6 =$B$46:$CU$46)*("予定"=$B$47:$CU$47),$B$50:$CU$50)</f>
        <v>#REF!</v>
      </c>
      <c r="CW50" s="97" t="e">
        <f>$CU$50/$CT$50</f>
        <v>#REF!</v>
      </c>
    </row>
    <row r="51" spans="1:101" ht="20.149999999999999" customHeight="1">
      <c r="A51" s="104" t="s">
        <v>76</v>
      </c>
      <c r="B51" s="91" t="e">
        <f>SUMPRODUCT((日次管理!#REF!&lt;=$B$46)*(日次管理!#REF!=$A$51)*(日次管理!#REF!="精査完了")*(日次管理!#REF!="予定")*(日次管理!#REF!=$A$45),日次管理!#REF!)</f>
        <v>#REF!</v>
      </c>
      <c r="C51" s="59" t="e">
        <f>SUMPRODUCT((日次管理!#REF!&lt;=$C$46)*(日次管理!#REF!=$A$51)*(日次管理!#REF!="精査完了")*(日次管理!#REF!="実績")*(日次管理!#REF!=$A$45),日次管理!#REF!)</f>
        <v>#REF!</v>
      </c>
      <c r="D51" s="91" t="e">
        <f>SUMPRODUCT((日次管理!#REF!&lt;=$D$46)*(日次管理!#REF!=$A$51)*(日次管理!#REF!="精査完了")*(日次管理!#REF!="予定")*(日次管理!#REF!=$A$45),日次管理!#REF!)</f>
        <v>#REF!</v>
      </c>
      <c r="E51" s="59" t="e">
        <f>SUMPRODUCT((日次管理!#REF!&lt;=$E$46)*(日次管理!#REF!=$A$51)*(日次管理!#REF!="精査完了")*(日次管理!#REF!="実績")*(日次管理!#REF!=$A$45),日次管理!#REF!)</f>
        <v>#REF!</v>
      </c>
      <c r="F51" s="91" t="e">
        <f>SUMPRODUCT((日次管理!#REF!&lt;=$F$46)*(日次管理!#REF!=$A$51)*(日次管理!#REF!="精査完了")*(日次管理!#REF!="予定")*(日次管理!#REF!=$A$45),日次管理!#REF!)</f>
        <v>#REF!</v>
      </c>
      <c r="G51" s="59" t="e">
        <f>SUMPRODUCT((日次管理!#REF!&lt;=$G$46)*(日次管理!#REF!=$A$51)*(日次管理!#REF!="精査完了")*(日次管理!#REF!="実績")*(日次管理!#REF!=$A$45),日次管理!#REF!)</f>
        <v>#REF!</v>
      </c>
      <c r="H51" s="91" t="e">
        <f>SUMPRODUCT((日次管理!#REF!&lt;=$H$46)*(日次管理!#REF!=$A$51)*(日次管理!#REF!="精査完了")*(日次管理!#REF!="予定")*(日次管理!#REF!=$A$45),日次管理!#REF!)</f>
        <v>#REF!</v>
      </c>
      <c r="I51" s="59" t="e">
        <f>SUMPRODUCT((日次管理!#REF!&lt;=$I$46)*(日次管理!#REF!=$A$51)*(日次管理!#REF!="精査完了")*(日次管理!#REF!="実績")*(日次管理!#REF!=$A$45),日次管理!#REF!)</f>
        <v>#REF!</v>
      </c>
      <c r="J51" s="91" t="e">
        <f>SUMPRODUCT((日次管理!#REF!&lt;=$J$46)*(日次管理!#REF!=$A$51)*(日次管理!#REF!="精査完了")*(日次管理!#REF!="予定")*(日次管理!#REF!=$A$45),日次管理!#REF!)</f>
        <v>#REF!</v>
      </c>
      <c r="K51" s="59" t="e">
        <f>SUMPRODUCT((日次管理!#REF!&lt;=$K$46)*(日次管理!#REF!=$A$51)*(日次管理!#REF!="精査完了")*(日次管理!#REF!="実績")*(日次管理!#REF!=$A$45),日次管理!#REF!)</f>
        <v>#REF!</v>
      </c>
      <c r="L51" s="91" t="e">
        <f>SUMPRODUCT((日次管理!#REF!&lt;=$L$46)*(日次管理!#REF!=$A$51)*(日次管理!#REF!="精査完了")*(日次管理!#REF!="予定")*(日次管理!#REF!=$A$45),日次管理!#REF!)</f>
        <v>#REF!</v>
      </c>
      <c r="M51" s="59" t="e">
        <f>SUMPRODUCT((日次管理!#REF!&lt;=$M$46)*(日次管理!#REF!=$A$51)*(日次管理!#REF!="精査完了")*(日次管理!#REF!="実績")*(日次管理!#REF!=$A$45),日次管理!#REF!)</f>
        <v>#REF!</v>
      </c>
      <c r="N51" s="91" t="e">
        <f>SUMPRODUCT((日次管理!#REF!&lt;=$N$46)*(日次管理!#REF!=$A$51)*(日次管理!#REF!="精査完了")*(日次管理!#REF!="予定")*(日次管理!#REF!=$A$45),日次管理!#REF!)</f>
        <v>#REF!</v>
      </c>
      <c r="O51" s="59" t="e">
        <f>SUMPRODUCT((日次管理!#REF!&lt;=$O$46)*(日次管理!#REF!=$A$51)*(日次管理!#REF!="精査完了")*(日次管理!#REF!="実績")*(日次管理!#REF!=$A$45),日次管理!#REF!)</f>
        <v>#REF!</v>
      </c>
      <c r="P51" s="91" t="e">
        <f>SUMPRODUCT((日次管理!#REF!&lt;=$P$46)*(日次管理!#REF!=$A$51)*(日次管理!#REF!="精査完了")*(日次管理!#REF!="予定")*(日次管理!#REF!=$A$45),日次管理!#REF!)</f>
        <v>#REF!</v>
      </c>
      <c r="Q51" s="59" t="e">
        <f>SUMPRODUCT((日次管理!#REF!&lt;=$Q$46)*(日次管理!#REF!=$A$51)*(日次管理!#REF!="精査完了")*(日次管理!#REF!="実績")*(日次管理!#REF!=$A$45),日次管理!#REF!)</f>
        <v>#REF!</v>
      </c>
      <c r="R51" s="91" t="e">
        <f>SUMPRODUCT((日次管理!#REF!&lt;=$R$46)*(日次管理!#REF!=$A$51)*(日次管理!#REF!="精査完了")*(日次管理!#REF!="予定")*(日次管理!#REF!=$A$45),日次管理!#REF!)</f>
        <v>#REF!</v>
      </c>
      <c r="S51" s="59" t="e">
        <f>SUMPRODUCT((日次管理!#REF!&lt;=$S$46)*(日次管理!#REF!=$A$51)*(日次管理!#REF!="精査完了")*(日次管理!#REF!="実績")*(日次管理!#REF!=$A$45),日次管理!#REF!)</f>
        <v>#REF!</v>
      </c>
      <c r="T51" s="91" t="e">
        <f>SUMPRODUCT((日次管理!#REF!&lt;=$T$46)*(日次管理!#REF!=$A$51)*(日次管理!#REF!="精査完了")*(日次管理!#REF!="予定")*(日次管理!#REF!=$A$45),日次管理!#REF!)</f>
        <v>#REF!</v>
      </c>
      <c r="U51" s="59" t="e">
        <f>SUMPRODUCT((日次管理!#REF!&lt;=$U$46)*(日次管理!#REF!=$A$51)*(日次管理!#REF!="精査完了")*(日次管理!#REF!="実績")*(日次管理!#REF!=$A$45),日次管理!#REF!)</f>
        <v>#REF!</v>
      </c>
      <c r="V51" s="91" t="e">
        <f>SUMPRODUCT((日次管理!#REF!&lt;=$V$46)*(日次管理!#REF!=$A$51)*(日次管理!#REF!="精査完了")*(日次管理!#REF!="予定")*(日次管理!#REF!=$A$45),日次管理!#REF!)</f>
        <v>#REF!</v>
      </c>
      <c r="W51" s="59" t="e">
        <f>SUMPRODUCT((日次管理!#REF!&lt;=$W$46)*(日次管理!#REF!=$A$51)*(日次管理!#REF!="精査完了")*(日次管理!#REF!="実績")*(日次管理!#REF!=$A$45),日次管理!#REF!)</f>
        <v>#REF!</v>
      </c>
      <c r="X51" s="91" t="e">
        <f>SUMPRODUCT((日次管理!#REF!&lt;=$X$46)*(日次管理!#REF!=$A$51)*(日次管理!#REF!="精査完了")*(日次管理!#REF!="予定")*(日次管理!#REF!=$A$45),日次管理!#REF!)</f>
        <v>#REF!</v>
      </c>
      <c r="Y51" s="59" t="e">
        <f>SUMPRODUCT((日次管理!#REF!&lt;=$Y$46)*(日次管理!#REF!=$A$51)*(日次管理!#REF!="精査完了")*(日次管理!#REF!="実績")*(日次管理!#REF!=$A$45),日次管理!#REF!)</f>
        <v>#REF!</v>
      </c>
      <c r="Z51" s="91" t="e">
        <f>SUMPRODUCT((日次管理!#REF!&lt;=$Z$46)*(日次管理!#REF!=$A$51)*(日次管理!#REF!="精査完了")*(日次管理!#REF!="予定")*(日次管理!#REF!=$A$45),日次管理!#REF!)</f>
        <v>#REF!</v>
      </c>
      <c r="AA51" s="59" t="e">
        <f>SUMPRODUCT((日次管理!#REF!&lt;=$AA$46)*(日次管理!#REF!=$A$51)*(日次管理!#REF!="精査完了")*(日次管理!#REF!="実績")*(日次管理!#REF!=$A$45),日次管理!#REF!)</f>
        <v>#REF!</v>
      </c>
      <c r="AB51" s="91" t="e">
        <f>SUMPRODUCT((日次管理!#REF!&lt;=$AB$46)*(日次管理!#REF!=$A$51)*(日次管理!#REF!="精査完了")*(日次管理!#REF!="予定")*(日次管理!#REF!=$A$45),日次管理!#REF!)</f>
        <v>#REF!</v>
      </c>
      <c r="AC51" s="59" t="e">
        <f>SUMPRODUCT((日次管理!#REF!&lt;=$AC$46)*(日次管理!#REF!=$A$51)*(日次管理!#REF!="精査完了")*(日次管理!#REF!="実績")*(日次管理!#REF!=$A$45),日次管理!#REF!)</f>
        <v>#REF!</v>
      </c>
      <c r="AD51" s="91" t="e">
        <f>SUMPRODUCT((日次管理!#REF!&lt;=$AD$46)*(日次管理!#REF!=$A$51)*(日次管理!#REF!="精査完了")*(日次管理!#REF!="予定")*(日次管理!#REF!=$A$45),日次管理!#REF!)</f>
        <v>#REF!</v>
      </c>
      <c r="AE51" s="59" t="e">
        <f>SUMPRODUCT((日次管理!#REF!&lt;=$AE$46)*(日次管理!#REF!=$A$51)*(日次管理!#REF!="精査完了")*(日次管理!#REF!="実績")*(日次管理!#REF!=$A$45),日次管理!#REF!)</f>
        <v>#REF!</v>
      </c>
      <c r="AF51" s="91" t="e">
        <f>SUMPRODUCT((日次管理!#REF!&lt;=$AF$46)*(日次管理!#REF!=$A$51)*(日次管理!#REF!="精査完了")*(日次管理!#REF!="予定")*(日次管理!#REF!=$A$45),日次管理!#REF!)</f>
        <v>#REF!</v>
      </c>
      <c r="AG51" s="59" t="e">
        <f>SUMPRODUCT((日次管理!#REF!&lt;=$AG$46)*(日次管理!#REF!=$A$51)*(日次管理!#REF!="精査完了")*(日次管理!#REF!="実績")*(日次管理!#REF!=$A$45),日次管理!#REF!)</f>
        <v>#REF!</v>
      </c>
      <c r="AH51" s="91" t="e">
        <f>SUMPRODUCT((日次管理!#REF!&lt;=$AH$46)*(日次管理!#REF!=$A$51)*(日次管理!#REF!="精査完了")*(日次管理!#REF!="予定")*(日次管理!#REF!=$A$45),日次管理!#REF!)</f>
        <v>#REF!</v>
      </c>
      <c r="AI51" s="59" t="e">
        <f>SUMPRODUCT((日次管理!#REF!&lt;=$AI$46)*(日次管理!#REF!=$A$51)*(日次管理!#REF!="精査完了")*(日次管理!#REF!="実績")*(日次管理!#REF!=$A$45),日次管理!#REF!)</f>
        <v>#REF!</v>
      </c>
      <c r="AJ51" s="91" t="e">
        <f>SUMPRODUCT((日次管理!#REF!&lt;=$AJ$46)*(日次管理!#REF!=$A$51)*(日次管理!#REF!="精査完了")*(日次管理!#REF!="予定")*(日次管理!#REF!=$A$45),日次管理!#REF!)</f>
        <v>#REF!</v>
      </c>
      <c r="AK51" s="59" t="e">
        <f>SUMPRODUCT((日次管理!#REF!&lt;=$AK$46)*(日次管理!#REF!=$A$51)*(日次管理!#REF!="精査完了")*(日次管理!#REF!="実績")*(日次管理!#REF!=$A$45),日次管理!#REF!)</f>
        <v>#REF!</v>
      </c>
      <c r="AL51" s="91" t="e">
        <f>SUMPRODUCT((日次管理!#REF!&lt;=$AL$46)*(日次管理!#REF!=$A$51)*(日次管理!#REF!="精査完了")*(日次管理!#REF!="予定")*(日次管理!#REF!=$A$45),日次管理!#REF!)</f>
        <v>#REF!</v>
      </c>
      <c r="AM51" s="59" t="e">
        <f>SUMPRODUCT((日次管理!#REF!&lt;=$AM$46)*(日次管理!#REF!=$A$51)*(日次管理!#REF!="精査完了")*(日次管理!#REF!="実績")*(日次管理!#REF!=$A$45),日次管理!#REF!)</f>
        <v>#REF!</v>
      </c>
      <c r="AN51" s="91" t="e">
        <f>SUMPRODUCT((日次管理!#REF!&lt;=$AN$46)*(日次管理!#REF!=$A$51)*(日次管理!#REF!="精査完了")*(日次管理!#REF!="予定")*(日次管理!#REF!=$A$45),日次管理!#REF!)</f>
        <v>#REF!</v>
      </c>
      <c r="AO51" s="59" t="e">
        <f>SUMPRODUCT((日次管理!#REF!&lt;=$AO$46)*(日次管理!#REF!=$A$51)*(日次管理!#REF!="精査完了")*(日次管理!#REF!="実績")*(日次管理!#REF!=$A$45),日次管理!#REF!)</f>
        <v>#REF!</v>
      </c>
      <c r="AP51" s="91" t="e">
        <f>SUMPRODUCT((日次管理!#REF!&lt;=$AP$46)*(日次管理!#REF!=$A$51)*(日次管理!#REF!="精査完了")*(日次管理!#REF!="予定")*(日次管理!#REF!=$A$45),日次管理!#REF!)</f>
        <v>#REF!</v>
      </c>
      <c r="AQ51" s="59" t="e">
        <f>SUMPRODUCT((日次管理!#REF!&lt;=$AQ$46)*(日次管理!#REF!=$A$51)*(日次管理!#REF!="精査完了")*(日次管理!#REF!="実績")*(日次管理!#REF!=$A$45),日次管理!#REF!)</f>
        <v>#REF!</v>
      </c>
      <c r="AR51" s="91" t="e">
        <f>SUMPRODUCT((日次管理!#REF!&lt;=$AR$46)*(日次管理!#REF!=$A$51)*(日次管理!#REF!="精査完了")*(日次管理!#REF!="予定")*(日次管理!#REF!=$A$45),日次管理!#REF!)</f>
        <v>#REF!</v>
      </c>
      <c r="AS51" s="59" t="e">
        <f>SUMPRODUCT((日次管理!#REF!&lt;=$AS$46)*(日次管理!#REF!=$A$51)*(日次管理!#REF!="精査完了")*(日次管理!#REF!="実績")*(日次管理!#REF!=$A$45),日次管理!#REF!)</f>
        <v>#REF!</v>
      </c>
      <c r="AT51" s="91" t="e">
        <f>SUMPRODUCT((日次管理!#REF!&lt;=$AT$46)*(日次管理!#REF!=$A$51)*(日次管理!#REF!="精査完了")*(日次管理!#REF!="予定")*(日次管理!#REF!=$A$45),日次管理!#REF!)</f>
        <v>#REF!</v>
      </c>
      <c r="AU51" s="59" t="e">
        <f>SUMPRODUCT((日次管理!#REF!&lt;=$AU$46)*(日次管理!#REF!=$A$51)*(日次管理!#REF!="精査完了")*(日次管理!#REF!="実績")*(日次管理!#REF!=$A$45),日次管理!#REF!)</f>
        <v>#REF!</v>
      </c>
      <c r="AV51" s="91" t="e">
        <f>SUMPRODUCT((日次管理!#REF!&lt;=$AV$46)*(日次管理!#REF!=$A$51)*(日次管理!#REF!="精査完了")*(日次管理!#REF!="予定")*(日次管理!#REF!=$A$45),日次管理!#REF!)</f>
        <v>#REF!</v>
      </c>
      <c r="AW51" s="59" t="e">
        <f>SUMPRODUCT((日次管理!#REF!&lt;=$AW$46)*(日次管理!#REF!=$A$51)*(日次管理!#REF!="精査完了")*(日次管理!#REF!="実績")*(日次管理!#REF!=$A$45),日次管理!#REF!)</f>
        <v>#REF!</v>
      </c>
      <c r="AX51" s="91" t="e">
        <f>SUMPRODUCT((日次管理!#REF!&lt;=$AX$46)*(日次管理!#REF!=$A$51)*(日次管理!#REF!="精査完了")*(日次管理!#REF!="予定")*(日次管理!#REF!=$A$45),日次管理!#REF!)</f>
        <v>#REF!</v>
      </c>
      <c r="AY51" s="59" t="e">
        <f>SUMPRODUCT((日次管理!#REF!&lt;=$AY$46)*(日次管理!#REF!=$A$51)*(日次管理!#REF!="精査完了")*(日次管理!#REF!="実績")*(日次管理!#REF!=$A$45),日次管理!#REF!)</f>
        <v>#REF!</v>
      </c>
      <c r="AZ51" s="91" t="e">
        <f>SUMPRODUCT((日次管理!#REF!&lt;=$AZ$46)*(日次管理!#REF!=$A$51)*(日次管理!#REF!="精査完了")*(日次管理!#REF!="予定")*(日次管理!#REF!=$A$45),日次管理!#REF!)</f>
        <v>#REF!</v>
      </c>
      <c r="BA51" s="59" t="e">
        <f>SUMPRODUCT((日次管理!#REF!&lt;=$BA$46)*(日次管理!#REF!=$A$51)*(日次管理!#REF!="精査完了")*(日次管理!#REF!="実績")*(日次管理!#REF!=$A$45),日次管理!#REF!)</f>
        <v>#REF!</v>
      </c>
      <c r="BB51" s="91" t="e">
        <f>SUMPRODUCT((日次管理!#REF!&lt;=$BB$46)*(日次管理!#REF!=$A$51)*(日次管理!#REF!="精査完了")*(日次管理!#REF!="予定")*(日次管理!#REF!=$A$45),日次管理!#REF!)</f>
        <v>#REF!</v>
      </c>
      <c r="BC51" s="59" t="e">
        <f>SUMPRODUCT((日次管理!#REF!&lt;=$BC$46)*(日次管理!#REF!=$A$51)*(日次管理!#REF!="精査完了")*(日次管理!#REF!="実績")*(日次管理!#REF!=$A$45),日次管理!#REF!)</f>
        <v>#REF!</v>
      </c>
      <c r="BD51" s="91" t="e">
        <f>SUMPRODUCT((日次管理!#REF!&lt;=$BD$46)*(日次管理!#REF!=$A$51)*(日次管理!#REF!="精査完了")*(日次管理!#REF!="予定")*(日次管理!#REF!=$A$45),日次管理!#REF!)</f>
        <v>#REF!</v>
      </c>
      <c r="BE51" s="59" t="e">
        <f>SUMPRODUCT((日次管理!#REF!&lt;=$BE$46)*(日次管理!#REF!=$A$51)*(日次管理!#REF!="精査完了")*(日次管理!#REF!="実績")*(日次管理!#REF!=$A$45),日次管理!#REF!)</f>
        <v>#REF!</v>
      </c>
      <c r="BF51" s="91" t="e">
        <f>SUMPRODUCT((日次管理!#REF!&lt;=$BF$46)*(日次管理!#REF!=$A$51)*(日次管理!#REF!="精査完了")*(日次管理!#REF!="予定")*(日次管理!#REF!=$A$45),日次管理!#REF!)</f>
        <v>#REF!</v>
      </c>
      <c r="BG51" s="59" t="e">
        <f>SUMPRODUCT((日次管理!#REF!&lt;=$BG$46)*(日次管理!#REF!=$A$51)*(日次管理!#REF!="精査完了")*(日次管理!#REF!="実績")*(日次管理!#REF!=$A$45),日次管理!#REF!)</f>
        <v>#REF!</v>
      </c>
      <c r="BH51" s="91" t="e">
        <f>SUMPRODUCT((日次管理!#REF!&lt;=$BH$46)*(日次管理!#REF!=$A$51)*(日次管理!#REF!="精査完了")*(日次管理!#REF!="予定")*(日次管理!#REF!=$A$45),日次管理!#REF!)</f>
        <v>#REF!</v>
      </c>
      <c r="BI51" s="59" t="e">
        <f>SUMPRODUCT((日次管理!#REF!&lt;=$BI$46)*(日次管理!#REF!=$A$51)*(日次管理!#REF!="精査完了")*(日次管理!#REF!="実績")*(日次管理!#REF!=$A$45),日次管理!#REF!)</f>
        <v>#REF!</v>
      </c>
      <c r="BJ51" s="91" t="e">
        <f>SUMPRODUCT((日次管理!#REF!&lt;=$BJ$46)*(日次管理!#REF!=$A$51)*(日次管理!#REF!="精査完了")*(日次管理!#REF!="予定")*(日次管理!#REF!=$A$45),日次管理!#REF!)</f>
        <v>#REF!</v>
      </c>
      <c r="BK51" s="59" t="e">
        <f>SUMPRODUCT((日次管理!#REF!&lt;=$BK$46)*(日次管理!#REF!=$A$51)*(日次管理!#REF!="精査完了")*(日次管理!#REF!="実績")*(日次管理!#REF!=$A$45),日次管理!#REF!)</f>
        <v>#REF!</v>
      </c>
      <c r="BL51" s="91" t="e">
        <f>SUMPRODUCT((日次管理!#REF!&lt;=$BL$46)*(日次管理!#REF!=$A$51)*(日次管理!#REF!="精査完了")*(日次管理!#REF!="予定")*(日次管理!#REF!=$A$45),日次管理!#REF!)</f>
        <v>#REF!</v>
      </c>
      <c r="BM51" s="59" t="e">
        <f>SUMPRODUCT((日次管理!#REF!&lt;=$BM$46)*(日次管理!#REF!=$A$51)*(日次管理!#REF!="精査完了")*(日次管理!#REF!="実績")*(日次管理!#REF!=$A$45),日次管理!#REF!)</f>
        <v>#REF!</v>
      </c>
      <c r="BN51" s="91" t="e">
        <f>SUMPRODUCT((日次管理!#REF!&lt;=$BN$46)*(日次管理!#REF!=$A$51)*(日次管理!#REF!="精査完了")*(日次管理!#REF!="予定")*(日次管理!#REF!=$A$45),日次管理!#REF!)</f>
        <v>#REF!</v>
      </c>
      <c r="BO51" s="59" t="e">
        <f>SUMPRODUCT((日次管理!#REF!&lt;=$BO$46)*(日次管理!#REF!=$A$51)*(日次管理!#REF!="精査完了")*(日次管理!#REF!="実績")*(日次管理!#REF!=$A$45),日次管理!#REF!)</f>
        <v>#REF!</v>
      </c>
      <c r="BP51" s="91" t="e">
        <f>SUMPRODUCT((日次管理!#REF!&lt;=$BP$46)*(日次管理!#REF!=$A$51)*(日次管理!#REF!="精査完了")*(日次管理!#REF!="予定")*(日次管理!#REF!=$A$45),日次管理!#REF!)</f>
        <v>#REF!</v>
      </c>
      <c r="BQ51" s="59" t="e">
        <f>SUMPRODUCT((日次管理!#REF!&lt;=$BQ$46)*(日次管理!#REF!=$A$51)*(日次管理!#REF!="精査完了")*(日次管理!#REF!="実績")*(日次管理!#REF!=$A$45),日次管理!#REF!)</f>
        <v>#REF!</v>
      </c>
      <c r="BR51" s="91" t="e">
        <f>SUMPRODUCT((日次管理!#REF!&lt;=$BR$46)*(日次管理!#REF!=$A$51)*(日次管理!#REF!="精査完了")*(日次管理!#REF!="予定")*(日次管理!#REF!=$A$45),日次管理!#REF!)</f>
        <v>#REF!</v>
      </c>
      <c r="BS51" s="59" t="e">
        <f>SUMPRODUCT((日次管理!#REF!&lt;=$BS$46)*(日次管理!#REF!=$A$51)*(日次管理!#REF!="精査完了")*(日次管理!#REF!="実績")*(日次管理!#REF!=$A$45),日次管理!#REF!)</f>
        <v>#REF!</v>
      </c>
      <c r="BT51" s="91" t="e">
        <f>SUMPRODUCT((日次管理!#REF!&lt;=$BT$46)*(日次管理!#REF!=$A$51)*(日次管理!#REF!="精査完了")*(日次管理!#REF!="予定")*(日次管理!#REF!=$A$45),日次管理!#REF!)</f>
        <v>#REF!</v>
      </c>
      <c r="BU51" s="59" t="e">
        <f>SUMPRODUCT((日次管理!#REF!&lt;=$BU$46)*(日次管理!#REF!=$A$51)*(日次管理!#REF!="精査完了")*(日次管理!#REF!="実績")*(日次管理!#REF!=$A$45),日次管理!#REF!)</f>
        <v>#REF!</v>
      </c>
      <c r="BV51" s="91" t="e">
        <f>SUMPRODUCT((日次管理!#REF!&lt;=$BV$46)*(日次管理!#REF!=$A$51)*(日次管理!#REF!="精査完了")*(日次管理!#REF!="予定")*(日次管理!#REF!=$A$45),日次管理!#REF!)</f>
        <v>#REF!</v>
      </c>
      <c r="BW51" s="59" t="e">
        <f>SUMPRODUCT((日次管理!#REF!&lt;=$BW$46)*(日次管理!#REF!=$A$51)*(日次管理!#REF!="精査完了")*(日次管理!#REF!="実績")*(日次管理!#REF!=$A$45),日次管理!#REF!)</f>
        <v>#REF!</v>
      </c>
      <c r="BX51" s="91" t="e">
        <f>SUMPRODUCT((日次管理!#REF!&lt;=$BX$46)*(日次管理!#REF!=$A$51)*(日次管理!#REF!="精査完了")*(日次管理!#REF!="予定")*(日次管理!#REF!=$A$45),日次管理!#REF!)</f>
        <v>#REF!</v>
      </c>
      <c r="BY51" s="59" t="e">
        <f>SUMPRODUCT((日次管理!#REF!&lt;=$BY$46)*(日次管理!#REF!=$A$51)*(日次管理!#REF!="精査完了")*(日次管理!#REF!="実績")*(日次管理!#REF!=$A$45),日次管理!#REF!)</f>
        <v>#REF!</v>
      </c>
      <c r="BZ51" s="91" t="e">
        <f>SUMPRODUCT((日次管理!#REF!&lt;=$BZ$46)*(日次管理!#REF!=$A$51)*(日次管理!#REF!="精査完了")*(日次管理!#REF!="予定")*(日次管理!#REF!=$A$45),日次管理!#REF!)</f>
        <v>#REF!</v>
      </c>
      <c r="CA51" s="59" t="e">
        <f>SUMPRODUCT((日次管理!#REF!&lt;=$CA$46)*(日次管理!#REF!=$A$51)*(日次管理!#REF!="精査完了")*(日次管理!#REF!="実績")*(日次管理!#REF!=$A$45),日次管理!#REF!)</f>
        <v>#REF!</v>
      </c>
      <c r="CB51" s="91" t="e">
        <f>SUMPRODUCT((日次管理!#REF!&lt;=$CB$46)*(日次管理!#REF!=$A$51)*(日次管理!#REF!="精査完了")*(日次管理!#REF!="予定")*(日次管理!#REF!=$A$45),日次管理!#REF!)</f>
        <v>#REF!</v>
      </c>
      <c r="CC51" s="59" t="e">
        <f>SUMPRODUCT((日次管理!#REF!&lt;=$CC$46)*(日次管理!#REF!=$A$51)*(日次管理!#REF!="精査完了")*(日次管理!#REF!="実績")*(日次管理!#REF!=$A$45),日次管理!#REF!)</f>
        <v>#REF!</v>
      </c>
      <c r="CD51" s="91" t="e">
        <f>SUMPRODUCT((日次管理!#REF!&lt;=$CD$46)*(日次管理!#REF!=$A$51)*(日次管理!#REF!="精査完了")*(日次管理!#REF!="予定")*(日次管理!#REF!=$A$45),日次管理!#REF!)</f>
        <v>#REF!</v>
      </c>
      <c r="CE51" s="59" t="e">
        <f>SUMPRODUCT((日次管理!#REF!&lt;=$CE$46)*(日次管理!#REF!=$A$51)*(日次管理!#REF!="精査完了")*(日次管理!#REF!="実績")*(日次管理!#REF!=$A$45),日次管理!#REF!)</f>
        <v>#REF!</v>
      </c>
      <c r="CF51" s="91" t="e">
        <f>SUMPRODUCT((日次管理!#REF!&lt;=$CF$46)*(日次管理!#REF!=$A$51)*(日次管理!#REF!="精査完了")*(日次管理!#REF!="予定")*(日次管理!#REF!=$A$45),日次管理!#REF!)</f>
        <v>#REF!</v>
      </c>
      <c r="CG51" s="59" t="e">
        <f>SUMPRODUCT((日次管理!#REF!&lt;=$CG$46)*(日次管理!#REF!=$A$51)*(日次管理!#REF!="精査完了")*(日次管理!#REF!="実績")*(日次管理!#REF!=$A$45),日次管理!#REF!)</f>
        <v>#REF!</v>
      </c>
      <c r="CH51" s="91" t="e">
        <f>SUMPRODUCT((日次管理!#REF!&lt;=$CH$46)*(日次管理!#REF!=$A$51)*(日次管理!#REF!="精査完了")*(日次管理!#REF!="予定")*(日次管理!#REF!=$A$45),日次管理!#REF!)</f>
        <v>#REF!</v>
      </c>
      <c r="CI51" s="59" t="e">
        <f>SUMPRODUCT((日次管理!#REF!&lt;=$CI$46)*(日次管理!#REF!=$A$51)*(日次管理!#REF!="精査完了")*(日次管理!#REF!="実績")*(日次管理!#REF!=$A$45),日次管理!#REF!)</f>
        <v>#REF!</v>
      </c>
      <c r="CJ51" s="91" t="e">
        <f>SUMPRODUCT((日次管理!#REF!&lt;=$CJ$46)*(日次管理!#REF!=$A$51)*(日次管理!#REF!="精査完了")*(日次管理!#REF!="予定")*(日次管理!#REF!=$A$45),日次管理!#REF!)</f>
        <v>#REF!</v>
      </c>
      <c r="CK51" s="59" t="e">
        <f>SUMPRODUCT((日次管理!#REF!&lt;=$CK$46)*(日次管理!#REF!=$A$51)*(日次管理!#REF!="精査完了")*(日次管理!#REF!="実績")*(日次管理!#REF!=$A$45),日次管理!#REF!)</f>
        <v>#REF!</v>
      </c>
      <c r="CL51" s="91" t="e">
        <f>SUMPRODUCT((日次管理!#REF!&lt;=$CL$46)*(日次管理!#REF!=$A$51)*(日次管理!#REF!="精査完了")*(日次管理!#REF!="予定")*(日次管理!#REF!=$A$45),日次管理!#REF!)</f>
        <v>#REF!</v>
      </c>
      <c r="CM51" s="59" t="e">
        <f>SUMPRODUCT((日次管理!#REF!&lt;=$CM$46)*(日次管理!#REF!=$A$51)*(日次管理!#REF!="精査完了")*(日次管理!#REF!="実績")*(日次管理!#REF!=$A$45),日次管理!#REF!)</f>
        <v>#REF!</v>
      </c>
      <c r="CN51" s="91" t="e">
        <f>SUMPRODUCT((日次管理!#REF!&lt;=$CN$46)*(日次管理!#REF!=$A$51)*(日次管理!#REF!="精査完了")*(日次管理!#REF!="予定")*(日次管理!#REF!=$A$45),日次管理!#REF!)</f>
        <v>#REF!</v>
      </c>
      <c r="CO51" s="59" t="e">
        <f>SUMPRODUCT((日次管理!#REF!&lt;=$CO$46)*(日次管理!#REF!=$A$51)*(日次管理!#REF!="精査完了")*(日次管理!#REF!="実績")*(日次管理!#REF!=$A$45),日次管理!#REF!)</f>
        <v>#REF!</v>
      </c>
      <c r="CP51" s="91" t="e">
        <f>SUMPRODUCT((日次管理!#REF!&lt;=$CP$46)*(日次管理!#REF!=$A$51)*(日次管理!#REF!="精査完了")*(日次管理!#REF!="予定")*(日次管理!#REF!=$A$45),日次管理!#REF!)</f>
        <v>#REF!</v>
      </c>
      <c r="CQ51" s="59" t="e">
        <f>SUMPRODUCT((日次管理!#REF!&lt;=$CQ$46)*(日次管理!#REF!=$A$51)*(日次管理!#REF!="精査完了")*(日次管理!#REF!="実績")*(日次管理!#REF!=$A$45),日次管理!#REF!)</f>
        <v>#REF!</v>
      </c>
      <c r="CR51" s="91" t="e">
        <f>SUMPRODUCT((日次管理!#REF!&lt;=$CR$46)*(日次管理!#REF!=$A$51)*(日次管理!#REF!="精査完了")*(日次管理!#REF!="予定")*(日次管理!#REF!=$A$45),日次管理!#REF!)</f>
        <v>#REF!</v>
      </c>
      <c r="CS51" s="59" t="e">
        <f>SUMPRODUCT((日次管理!#REF!&lt;=$CS$46)*(日次管理!#REF!=$A$51)*(日次管理!#REF!="精査完了")*(日次管理!#REF!="実績")*(日次管理!#REF!=$A$45),日次管理!#REF!)</f>
        <v>#REF!</v>
      </c>
      <c r="CT51" s="91" t="e">
        <f>SUMPRODUCT((日次管理!#REF!&lt;=$CT$46)*(日次管理!#REF!=$A$51)*(日次管理!#REF!="精査完了")*(日次管理!#REF!="予定")*(日次管理!#REF!=$A$45),日次管理!#REF!)</f>
        <v>#REF!</v>
      </c>
      <c r="CU51" s="59" t="e">
        <f>SUMPRODUCT((日次管理!#REF!&lt;=$CU$46)*(日次管理!#REF!=$A$51)*(日次管理!#REF!="精査完了")*(日次管理!#REF!="実績")*(日次管理!#REF!=$A$45),日次管理!#REF!)</f>
        <v>#REF!</v>
      </c>
      <c r="CV51" s="92" t="e">
        <f ca="1">SUMPRODUCT(($A$46- WEEKDAY($A$46) + 6 =$B$46:$CU$46)*("実績"=$B$47:$CU$47),$B$51:$CU$51)/SUMPRODUCT(($A$46- WEEKDAY($A$46) + 6 =$B$46:$CU$46)*("予定"=$B$47:$CU$47),$B$51:$CU$51)</f>
        <v>#REF!</v>
      </c>
      <c r="CW51" s="93" t="e">
        <f>$CU$51/$CT$51</f>
        <v>#REF!</v>
      </c>
    </row>
    <row r="52" spans="1:101" ht="20.149999999999999" customHeight="1">
      <c r="A52" s="105" t="s">
        <v>77</v>
      </c>
      <c r="B52" s="95" t="e">
        <f>SUMPRODUCT((日次管理!#REF!&lt;=$B$46)*(日次管理!#REF!=$A$52)*(日次管理!#REF!="精査完了")*(日次管理!#REF!="予定")*(日次管理!#REF!=$A$45),日次管理!#REF!)</f>
        <v>#REF!</v>
      </c>
      <c r="C52" s="60" t="e">
        <f>SUMPRODUCT((日次管理!#REF!&lt;=$C$46)*(日次管理!#REF!=$A$52)*(日次管理!#REF!="精査完了")*(日次管理!#REF!="実績")*(日次管理!#REF!=$A$45),日次管理!#REF!)</f>
        <v>#REF!</v>
      </c>
      <c r="D52" s="95" t="e">
        <f>SUMPRODUCT((日次管理!#REF!&lt;=$D$46)*(日次管理!#REF!=$A$52)*(日次管理!#REF!="精査完了")*(日次管理!#REF!="予定")*(日次管理!#REF!=$A$45),日次管理!#REF!)</f>
        <v>#REF!</v>
      </c>
      <c r="E52" s="60" t="e">
        <f>SUMPRODUCT((日次管理!#REF!&lt;=$E$46)*(日次管理!#REF!=$A$52)*(日次管理!#REF!="精査完了")*(日次管理!#REF!="実績")*(日次管理!#REF!=$A$45),日次管理!#REF!)</f>
        <v>#REF!</v>
      </c>
      <c r="F52" s="95" t="e">
        <f>SUMPRODUCT((日次管理!#REF!&lt;=$F$46)*(日次管理!#REF!=$A$52)*(日次管理!#REF!="精査完了")*(日次管理!#REF!="予定")*(日次管理!#REF!=$A$45),日次管理!#REF!)</f>
        <v>#REF!</v>
      </c>
      <c r="G52" s="60" t="e">
        <f>SUMPRODUCT((日次管理!#REF!&lt;=$G$46)*(日次管理!#REF!=$A$52)*(日次管理!#REF!="精査完了")*(日次管理!#REF!="実績")*(日次管理!#REF!=$A$45),日次管理!#REF!)</f>
        <v>#REF!</v>
      </c>
      <c r="H52" s="95" t="e">
        <f>SUMPRODUCT((日次管理!#REF!&lt;=$H$46)*(日次管理!#REF!=$A$52)*(日次管理!#REF!="精査完了")*(日次管理!#REF!="予定")*(日次管理!#REF!=$A$45),日次管理!#REF!)</f>
        <v>#REF!</v>
      </c>
      <c r="I52" s="60" t="e">
        <f>SUMPRODUCT((日次管理!#REF!&lt;=$I$46)*(日次管理!#REF!=$A$52)*(日次管理!#REF!="精査完了")*(日次管理!#REF!="実績")*(日次管理!#REF!=$A$45),日次管理!#REF!)</f>
        <v>#REF!</v>
      </c>
      <c r="J52" s="95" t="e">
        <f>SUMPRODUCT((日次管理!#REF!&lt;=$J$46)*(日次管理!#REF!=$A$52)*(日次管理!#REF!="精査完了")*(日次管理!#REF!="予定")*(日次管理!#REF!=$A$45),日次管理!#REF!)</f>
        <v>#REF!</v>
      </c>
      <c r="K52" s="60" t="e">
        <f>SUMPRODUCT((日次管理!#REF!&lt;=$K$46)*(日次管理!#REF!=$A$52)*(日次管理!#REF!="精査完了")*(日次管理!#REF!="実績")*(日次管理!#REF!=$A$45),日次管理!#REF!)</f>
        <v>#REF!</v>
      </c>
      <c r="L52" s="95" t="e">
        <f>SUMPRODUCT((日次管理!#REF!&lt;=$L$46)*(日次管理!#REF!=$A$52)*(日次管理!#REF!="精査完了")*(日次管理!#REF!="予定")*(日次管理!#REF!=$A$45),日次管理!#REF!)</f>
        <v>#REF!</v>
      </c>
      <c r="M52" s="60" t="e">
        <f>SUMPRODUCT((日次管理!#REF!&lt;=$M$46)*(日次管理!#REF!=$A$52)*(日次管理!#REF!="精査完了")*(日次管理!#REF!="実績")*(日次管理!#REF!=$A$45),日次管理!#REF!)</f>
        <v>#REF!</v>
      </c>
      <c r="N52" s="95" t="e">
        <f>SUMPRODUCT((日次管理!#REF!&lt;=$N$46)*(日次管理!#REF!=$A$52)*(日次管理!#REF!="精査完了")*(日次管理!#REF!="予定")*(日次管理!#REF!=$A$45),日次管理!#REF!)</f>
        <v>#REF!</v>
      </c>
      <c r="O52" s="60" t="e">
        <f>SUMPRODUCT((日次管理!#REF!&lt;=$O$46)*(日次管理!#REF!=$A$52)*(日次管理!#REF!="精査完了")*(日次管理!#REF!="実績")*(日次管理!#REF!=$A$45),日次管理!#REF!)</f>
        <v>#REF!</v>
      </c>
      <c r="P52" s="95" t="e">
        <f>SUMPRODUCT((日次管理!#REF!&lt;=$P$46)*(日次管理!#REF!=$A$52)*(日次管理!#REF!="精査完了")*(日次管理!#REF!="予定")*(日次管理!#REF!=$A$45),日次管理!#REF!)</f>
        <v>#REF!</v>
      </c>
      <c r="Q52" s="60" t="e">
        <f>SUMPRODUCT((日次管理!#REF!&lt;=$Q$46)*(日次管理!#REF!=$A$52)*(日次管理!#REF!="精査完了")*(日次管理!#REF!="実績")*(日次管理!#REF!=$A$45),日次管理!#REF!)</f>
        <v>#REF!</v>
      </c>
      <c r="R52" s="95" t="e">
        <f>SUMPRODUCT((日次管理!#REF!&lt;=$R$46)*(日次管理!#REF!=$A$52)*(日次管理!#REF!="精査完了")*(日次管理!#REF!="予定")*(日次管理!#REF!=$A$45),日次管理!#REF!)</f>
        <v>#REF!</v>
      </c>
      <c r="S52" s="60" t="e">
        <f>SUMPRODUCT((日次管理!#REF!&lt;=$S$46)*(日次管理!#REF!=$A$52)*(日次管理!#REF!="精査完了")*(日次管理!#REF!="実績")*(日次管理!#REF!=$A$45),日次管理!#REF!)</f>
        <v>#REF!</v>
      </c>
      <c r="T52" s="95" t="e">
        <f>SUMPRODUCT((日次管理!#REF!&lt;=$T$46)*(日次管理!#REF!=$A$52)*(日次管理!#REF!="精査完了")*(日次管理!#REF!="予定")*(日次管理!#REF!=$A$45),日次管理!#REF!)</f>
        <v>#REF!</v>
      </c>
      <c r="U52" s="60" t="e">
        <f>SUMPRODUCT((日次管理!#REF!&lt;=$U$46)*(日次管理!#REF!=$A$52)*(日次管理!#REF!="精査完了")*(日次管理!#REF!="実績")*(日次管理!#REF!=$A$45),日次管理!#REF!)</f>
        <v>#REF!</v>
      </c>
      <c r="V52" s="95" t="e">
        <f>SUMPRODUCT((日次管理!#REF!&lt;=$V$46)*(日次管理!#REF!=$A$52)*(日次管理!#REF!="精査完了")*(日次管理!#REF!="予定")*(日次管理!#REF!=$A$45),日次管理!#REF!)</f>
        <v>#REF!</v>
      </c>
      <c r="W52" s="60" t="e">
        <f>SUMPRODUCT((日次管理!#REF!&lt;=$W$46)*(日次管理!#REF!=$A$52)*(日次管理!#REF!="精査完了")*(日次管理!#REF!="実績")*(日次管理!#REF!=$A$45),日次管理!#REF!)</f>
        <v>#REF!</v>
      </c>
      <c r="X52" s="95" t="e">
        <f>SUMPRODUCT((日次管理!#REF!&lt;=$X$46)*(日次管理!#REF!=$A$52)*(日次管理!#REF!="精査完了")*(日次管理!#REF!="予定")*(日次管理!#REF!=$A$45),日次管理!#REF!)</f>
        <v>#REF!</v>
      </c>
      <c r="Y52" s="60" t="e">
        <f>SUMPRODUCT((日次管理!#REF!&lt;=$Y$46)*(日次管理!#REF!=$A$52)*(日次管理!#REF!="精査完了")*(日次管理!#REF!="実績")*(日次管理!#REF!=$A$45),日次管理!#REF!)</f>
        <v>#REF!</v>
      </c>
      <c r="Z52" s="95" t="e">
        <f>SUMPRODUCT((日次管理!#REF!&lt;=$Z$46)*(日次管理!#REF!=$A$52)*(日次管理!#REF!="精査完了")*(日次管理!#REF!="予定")*(日次管理!#REF!=$A$45),日次管理!#REF!)</f>
        <v>#REF!</v>
      </c>
      <c r="AA52" s="60" t="e">
        <f>SUMPRODUCT((日次管理!#REF!&lt;=$AA$46)*(日次管理!#REF!=$A$52)*(日次管理!#REF!="精査完了")*(日次管理!#REF!="実績")*(日次管理!#REF!=$A$45),日次管理!#REF!)</f>
        <v>#REF!</v>
      </c>
      <c r="AB52" s="95" t="e">
        <f>SUMPRODUCT((日次管理!#REF!&lt;=$AB$46)*(日次管理!#REF!=$A$52)*(日次管理!#REF!="精査完了")*(日次管理!#REF!="予定")*(日次管理!#REF!=$A$45),日次管理!#REF!)</f>
        <v>#REF!</v>
      </c>
      <c r="AC52" s="60" t="e">
        <f>SUMPRODUCT((日次管理!#REF!&lt;=$AC$46)*(日次管理!#REF!=$A$52)*(日次管理!#REF!="精査完了")*(日次管理!#REF!="実績")*(日次管理!#REF!=$A$45),日次管理!#REF!)</f>
        <v>#REF!</v>
      </c>
      <c r="AD52" s="95" t="e">
        <f>SUMPRODUCT((日次管理!#REF!&lt;=$AD$46)*(日次管理!#REF!=$A$52)*(日次管理!#REF!="精査完了")*(日次管理!#REF!="予定")*(日次管理!#REF!=$A$45),日次管理!#REF!)</f>
        <v>#REF!</v>
      </c>
      <c r="AE52" s="60" t="e">
        <f>SUMPRODUCT((日次管理!#REF!&lt;=$AE$46)*(日次管理!#REF!=$A$52)*(日次管理!#REF!="精査完了")*(日次管理!#REF!="実績")*(日次管理!#REF!=$A$45),日次管理!#REF!)</f>
        <v>#REF!</v>
      </c>
      <c r="AF52" s="95" t="e">
        <f>SUMPRODUCT((日次管理!#REF!&lt;=$AF$46)*(日次管理!#REF!=$A$52)*(日次管理!#REF!="精査完了")*(日次管理!#REF!="予定")*(日次管理!#REF!=$A$45),日次管理!#REF!)</f>
        <v>#REF!</v>
      </c>
      <c r="AG52" s="60" t="e">
        <f>SUMPRODUCT((日次管理!#REF!&lt;=$AG$46)*(日次管理!#REF!=$A$52)*(日次管理!#REF!="精査完了")*(日次管理!#REF!="実績")*(日次管理!#REF!=$A$45),日次管理!#REF!)</f>
        <v>#REF!</v>
      </c>
      <c r="AH52" s="95" t="e">
        <f>SUMPRODUCT((日次管理!#REF!&lt;=$AH$46)*(日次管理!#REF!=$A$52)*(日次管理!#REF!="精査完了")*(日次管理!#REF!="予定")*(日次管理!#REF!=$A$45),日次管理!#REF!)</f>
        <v>#REF!</v>
      </c>
      <c r="AI52" s="60" t="e">
        <f>SUMPRODUCT((日次管理!#REF!&lt;=$AI$46)*(日次管理!#REF!=$A$52)*(日次管理!#REF!="精査完了")*(日次管理!#REF!="実績")*(日次管理!#REF!=$A$45),日次管理!#REF!)</f>
        <v>#REF!</v>
      </c>
      <c r="AJ52" s="95" t="e">
        <f>SUMPRODUCT((日次管理!#REF!&lt;=$AJ$46)*(日次管理!#REF!=$A$52)*(日次管理!#REF!="精査完了")*(日次管理!#REF!="予定")*(日次管理!#REF!=$A$45),日次管理!#REF!)</f>
        <v>#REF!</v>
      </c>
      <c r="AK52" s="60" t="e">
        <f>SUMPRODUCT((日次管理!#REF!&lt;=$AK$46)*(日次管理!#REF!=$A$52)*(日次管理!#REF!="精査完了")*(日次管理!#REF!="実績")*(日次管理!#REF!=$A$45),日次管理!#REF!)</f>
        <v>#REF!</v>
      </c>
      <c r="AL52" s="95" t="e">
        <f>SUMPRODUCT((日次管理!#REF!&lt;=$AL$46)*(日次管理!#REF!=$A$52)*(日次管理!#REF!="精査完了")*(日次管理!#REF!="予定")*(日次管理!#REF!=$A$45),日次管理!#REF!)</f>
        <v>#REF!</v>
      </c>
      <c r="AM52" s="60" t="e">
        <f>SUMPRODUCT((日次管理!#REF!&lt;=$AM$46)*(日次管理!#REF!=$A$52)*(日次管理!#REF!="精査完了")*(日次管理!#REF!="実績")*(日次管理!#REF!=$A$45),日次管理!#REF!)</f>
        <v>#REF!</v>
      </c>
      <c r="AN52" s="95" t="e">
        <f>SUMPRODUCT((日次管理!#REF!&lt;=$AN$46)*(日次管理!#REF!=$A$52)*(日次管理!#REF!="精査完了")*(日次管理!#REF!="予定")*(日次管理!#REF!=$A$45),日次管理!#REF!)</f>
        <v>#REF!</v>
      </c>
      <c r="AO52" s="60" t="e">
        <f>SUMPRODUCT((日次管理!#REF!&lt;=$AO$46)*(日次管理!#REF!=$A$52)*(日次管理!#REF!="精査完了")*(日次管理!#REF!="実績")*(日次管理!#REF!=$A$45),日次管理!#REF!)</f>
        <v>#REF!</v>
      </c>
      <c r="AP52" s="95" t="e">
        <f>SUMPRODUCT((日次管理!#REF!&lt;=$AP$46)*(日次管理!#REF!=$A$52)*(日次管理!#REF!="精査完了")*(日次管理!#REF!="予定")*(日次管理!#REF!=$A$45),日次管理!#REF!)</f>
        <v>#REF!</v>
      </c>
      <c r="AQ52" s="60" t="e">
        <f>SUMPRODUCT((日次管理!#REF!&lt;=$AQ$46)*(日次管理!#REF!=$A$52)*(日次管理!#REF!="精査完了")*(日次管理!#REF!="実績")*(日次管理!#REF!=$A$45),日次管理!#REF!)</f>
        <v>#REF!</v>
      </c>
      <c r="AR52" s="95" t="e">
        <f>SUMPRODUCT((日次管理!#REF!&lt;=$AR$46)*(日次管理!#REF!=$A$52)*(日次管理!#REF!="精査完了")*(日次管理!#REF!="予定")*(日次管理!#REF!=$A$45),日次管理!#REF!)</f>
        <v>#REF!</v>
      </c>
      <c r="AS52" s="60" t="e">
        <f>SUMPRODUCT((日次管理!#REF!&lt;=$AS$46)*(日次管理!#REF!=$A$52)*(日次管理!#REF!="精査完了")*(日次管理!#REF!="実績")*(日次管理!#REF!=$A$45),日次管理!#REF!)</f>
        <v>#REF!</v>
      </c>
      <c r="AT52" s="95" t="e">
        <f>SUMPRODUCT((日次管理!#REF!&lt;=$AT$46)*(日次管理!#REF!=$A$52)*(日次管理!#REF!="精査完了")*(日次管理!#REF!="予定")*(日次管理!#REF!=$A$45),日次管理!#REF!)</f>
        <v>#REF!</v>
      </c>
      <c r="AU52" s="60" t="e">
        <f>SUMPRODUCT((日次管理!#REF!&lt;=$AU$46)*(日次管理!#REF!=$A$52)*(日次管理!#REF!="精査完了")*(日次管理!#REF!="実績")*(日次管理!#REF!=$A$45),日次管理!#REF!)</f>
        <v>#REF!</v>
      </c>
      <c r="AV52" s="95" t="e">
        <f>SUMPRODUCT((日次管理!#REF!&lt;=$AV$46)*(日次管理!#REF!=$A$52)*(日次管理!#REF!="精査完了")*(日次管理!#REF!="予定")*(日次管理!#REF!=$A$45),日次管理!#REF!)</f>
        <v>#REF!</v>
      </c>
      <c r="AW52" s="60" t="e">
        <f>SUMPRODUCT((日次管理!#REF!&lt;=$AW$46)*(日次管理!#REF!=$A$52)*(日次管理!#REF!="精査完了")*(日次管理!#REF!="実績")*(日次管理!#REF!=$A$45),日次管理!#REF!)</f>
        <v>#REF!</v>
      </c>
      <c r="AX52" s="95" t="e">
        <f>SUMPRODUCT((日次管理!#REF!&lt;=$AX$46)*(日次管理!#REF!=$A$52)*(日次管理!#REF!="精査完了")*(日次管理!#REF!="予定")*(日次管理!#REF!=$A$45),日次管理!#REF!)</f>
        <v>#REF!</v>
      </c>
      <c r="AY52" s="60" t="e">
        <f>SUMPRODUCT((日次管理!#REF!&lt;=$AY$46)*(日次管理!#REF!=$A$52)*(日次管理!#REF!="精査完了")*(日次管理!#REF!="実績")*(日次管理!#REF!=$A$45),日次管理!#REF!)</f>
        <v>#REF!</v>
      </c>
      <c r="AZ52" s="95" t="e">
        <f>SUMPRODUCT((日次管理!#REF!&lt;=$AZ$46)*(日次管理!#REF!=$A$52)*(日次管理!#REF!="精査完了")*(日次管理!#REF!="予定")*(日次管理!#REF!=$A$45),日次管理!#REF!)</f>
        <v>#REF!</v>
      </c>
      <c r="BA52" s="60" t="e">
        <f>SUMPRODUCT((日次管理!#REF!&lt;=$BA$46)*(日次管理!#REF!=$A$52)*(日次管理!#REF!="精査完了")*(日次管理!#REF!="実績")*(日次管理!#REF!=$A$45),日次管理!#REF!)</f>
        <v>#REF!</v>
      </c>
      <c r="BB52" s="95" t="e">
        <f>SUMPRODUCT((日次管理!#REF!&lt;=$BB$46)*(日次管理!#REF!=$A$52)*(日次管理!#REF!="精査完了")*(日次管理!#REF!="予定")*(日次管理!#REF!=$A$45),日次管理!#REF!)</f>
        <v>#REF!</v>
      </c>
      <c r="BC52" s="60" t="e">
        <f>SUMPRODUCT((日次管理!#REF!&lt;=$BC$46)*(日次管理!#REF!=$A$52)*(日次管理!#REF!="精査完了")*(日次管理!#REF!="実績")*(日次管理!#REF!=$A$45),日次管理!#REF!)</f>
        <v>#REF!</v>
      </c>
      <c r="BD52" s="95" t="e">
        <f>SUMPRODUCT((日次管理!#REF!&lt;=$BD$46)*(日次管理!#REF!=$A$52)*(日次管理!#REF!="精査完了")*(日次管理!#REF!="予定")*(日次管理!#REF!=$A$45),日次管理!#REF!)</f>
        <v>#REF!</v>
      </c>
      <c r="BE52" s="60" t="e">
        <f>SUMPRODUCT((日次管理!#REF!&lt;=$BE$46)*(日次管理!#REF!=$A$52)*(日次管理!#REF!="精査完了")*(日次管理!#REF!="実績")*(日次管理!#REF!=$A$45),日次管理!#REF!)</f>
        <v>#REF!</v>
      </c>
      <c r="BF52" s="95" t="e">
        <f>SUMPRODUCT((日次管理!#REF!&lt;=$BF$46)*(日次管理!#REF!=$A$52)*(日次管理!#REF!="精査完了")*(日次管理!#REF!="予定")*(日次管理!#REF!=$A$45),日次管理!#REF!)</f>
        <v>#REF!</v>
      </c>
      <c r="BG52" s="60" t="e">
        <f>SUMPRODUCT((日次管理!#REF!&lt;=$BG$46)*(日次管理!#REF!=$A$52)*(日次管理!#REF!="精査完了")*(日次管理!#REF!="実績")*(日次管理!#REF!=$A$45),日次管理!#REF!)</f>
        <v>#REF!</v>
      </c>
      <c r="BH52" s="95" t="e">
        <f>SUMPRODUCT((日次管理!#REF!&lt;=$BH$46)*(日次管理!#REF!=$A$52)*(日次管理!#REF!="精査完了")*(日次管理!#REF!="予定")*(日次管理!#REF!=$A$45),日次管理!#REF!)</f>
        <v>#REF!</v>
      </c>
      <c r="BI52" s="60" t="e">
        <f>SUMPRODUCT((日次管理!#REF!&lt;=$BI$46)*(日次管理!#REF!=$A$52)*(日次管理!#REF!="精査完了")*(日次管理!#REF!="実績")*(日次管理!#REF!=$A$45),日次管理!#REF!)</f>
        <v>#REF!</v>
      </c>
      <c r="BJ52" s="95" t="e">
        <f>SUMPRODUCT((日次管理!#REF!&lt;=$BJ$46)*(日次管理!#REF!=$A$52)*(日次管理!#REF!="精査完了")*(日次管理!#REF!="予定")*(日次管理!#REF!=$A$45),日次管理!#REF!)</f>
        <v>#REF!</v>
      </c>
      <c r="BK52" s="60" t="e">
        <f>SUMPRODUCT((日次管理!#REF!&lt;=$BK$46)*(日次管理!#REF!=$A$52)*(日次管理!#REF!="精査完了")*(日次管理!#REF!="実績")*(日次管理!#REF!=$A$45),日次管理!#REF!)</f>
        <v>#REF!</v>
      </c>
      <c r="BL52" s="95" t="e">
        <f>SUMPRODUCT((日次管理!#REF!&lt;=$BL$46)*(日次管理!#REF!=$A$52)*(日次管理!#REF!="精査完了")*(日次管理!#REF!="予定")*(日次管理!#REF!=$A$45),日次管理!#REF!)</f>
        <v>#REF!</v>
      </c>
      <c r="BM52" s="60" t="e">
        <f>SUMPRODUCT((日次管理!#REF!&lt;=$BM$46)*(日次管理!#REF!=$A$52)*(日次管理!#REF!="精査完了")*(日次管理!#REF!="実績")*(日次管理!#REF!=$A$45),日次管理!#REF!)</f>
        <v>#REF!</v>
      </c>
      <c r="BN52" s="95" t="e">
        <f>SUMPRODUCT((日次管理!#REF!&lt;=$BN$46)*(日次管理!#REF!=$A$52)*(日次管理!#REF!="精査完了")*(日次管理!#REF!="予定")*(日次管理!#REF!=$A$45),日次管理!#REF!)</f>
        <v>#REF!</v>
      </c>
      <c r="BO52" s="60" t="e">
        <f>SUMPRODUCT((日次管理!#REF!&lt;=$BO$46)*(日次管理!#REF!=$A$52)*(日次管理!#REF!="精査完了")*(日次管理!#REF!="実績")*(日次管理!#REF!=$A$45),日次管理!#REF!)</f>
        <v>#REF!</v>
      </c>
      <c r="BP52" s="95" t="e">
        <f>SUMPRODUCT((日次管理!#REF!&lt;=$BP$46)*(日次管理!#REF!=$A$52)*(日次管理!#REF!="精査完了")*(日次管理!#REF!="予定")*(日次管理!#REF!=$A$45),日次管理!#REF!)</f>
        <v>#REF!</v>
      </c>
      <c r="BQ52" s="60" t="e">
        <f>SUMPRODUCT((日次管理!#REF!&lt;=$BQ$46)*(日次管理!#REF!=$A$52)*(日次管理!#REF!="精査完了")*(日次管理!#REF!="実績")*(日次管理!#REF!=$A$45),日次管理!#REF!)</f>
        <v>#REF!</v>
      </c>
      <c r="BR52" s="95" t="e">
        <f>SUMPRODUCT((日次管理!#REF!&lt;=$BR$46)*(日次管理!#REF!=$A$52)*(日次管理!#REF!="精査完了")*(日次管理!#REF!="予定")*(日次管理!#REF!=$A$45),日次管理!#REF!)</f>
        <v>#REF!</v>
      </c>
      <c r="BS52" s="60" t="e">
        <f>SUMPRODUCT((日次管理!#REF!&lt;=$BS$46)*(日次管理!#REF!=$A$52)*(日次管理!#REF!="精査完了")*(日次管理!#REF!="実績")*(日次管理!#REF!=$A$45),日次管理!#REF!)</f>
        <v>#REF!</v>
      </c>
      <c r="BT52" s="95" t="e">
        <f>SUMPRODUCT((日次管理!#REF!&lt;=$BT$46)*(日次管理!#REF!=$A$52)*(日次管理!#REF!="精査完了")*(日次管理!#REF!="予定")*(日次管理!#REF!=$A$45),日次管理!#REF!)</f>
        <v>#REF!</v>
      </c>
      <c r="BU52" s="60" t="e">
        <f>SUMPRODUCT((日次管理!#REF!&lt;=$BU$46)*(日次管理!#REF!=$A$52)*(日次管理!#REF!="精査完了")*(日次管理!#REF!="実績")*(日次管理!#REF!=$A$45),日次管理!#REF!)</f>
        <v>#REF!</v>
      </c>
      <c r="BV52" s="95" t="e">
        <f>SUMPRODUCT((日次管理!#REF!&lt;=$BV$46)*(日次管理!#REF!=$A$52)*(日次管理!#REF!="精査完了")*(日次管理!#REF!="予定")*(日次管理!#REF!=$A$45),日次管理!#REF!)</f>
        <v>#REF!</v>
      </c>
      <c r="BW52" s="60" t="e">
        <f>SUMPRODUCT((日次管理!#REF!&lt;=$BW$46)*(日次管理!#REF!=$A$52)*(日次管理!#REF!="精査完了")*(日次管理!#REF!="実績")*(日次管理!#REF!=$A$45),日次管理!#REF!)</f>
        <v>#REF!</v>
      </c>
      <c r="BX52" s="95" t="e">
        <f>SUMPRODUCT((日次管理!#REF!&lt;=$BX$46)*(日次管理!#REF!=$A$52)*(日次管理!#REF!="精査完了")*(日次管理!#REF!="予定")*(日次管理!#REF!=$A$45),日次管理!#REF!)</f>
        <v>#REF!</v>
      </c>
      <c r="BY52" s="60" t="e">
        <f>SUMPRODUCT((日次管理!#REF!&lt;=$BY$46)*(日次管理!#REF!=$A$52)*(日次管理!#REF!="精査完了")*(日次管理!#REF!="実績")*(日次管理!#REF!=$A$45),日次管理!#REF!)</f>
        <v>#REF!</v>
      </c>
      <c r="BZ52" s="95" t="e">
        <f>SUMPRODUCT((日次管理!#REF!&lt;=$BZ$46)*(日次管理!#REF!=$A$52)*(日次管理!#REF!="精査完了")*(日次管理!#REF!="予定")*(日次管理!#REF!=$A$45),日次管理!#REF!)</f>
        <v>#REF!</v>
      </c>
      <c r="CA52" s="60" t="e">
        <f>SUMPRODUCT((日次管理!#REF!&lt;=$CA$46)*(日次管理!#REF!=$A$52)*(日次管理!#REF!="精査完了")*(日次管理!#REF!="実績")*(日次管理!#REF!=$A$45),日次管理!#REF!)</f>
        <v>#REF!</v>
      </c>
      <c r="CB52" s="95" t="e">
        <f>SUMPRODUCT((日次管理!#REF!&lt;=$CB$46)*(日次管理!#REF!=$A$52)*(日次管理!#REF!="精査完了")*(日次管理!#REF!="予定")*(日次管理!#REF!=$A$45),日次管理!#REF!)</f>
        <v>#REF!</v>
      </c>
      <c r="CC52" s="60" t="e">
        <f>SUMPRODUCT((日次管理!#REF!&lt;=$CC$46)*(日次管理!#REF!=$A$52)*(日次管理!#REF!="精査完了")*(日次管理!#REF!="実績")*(日次管理!#REF!=$A$45),日次管理!#REF!)</f>
        <v>#REF!</v>
      </c>
      <c r="CD52" s="95" t="e">
        <f>SUMPRODUCT((日次管理!#REF!&lt;=$CD$46)*(日次管理!#REF!=$A$52)*(日次管理!#REF!="精査完了")*(日次管理!#REF!="予定")*(日次管理!#REF!=$A$45),日次管理!#REF!)</f>
        <v>#REF!</v>
      </c>
      <c r="CE52" s="60" t="e">
        <f>SUMPRODUCT((日次管理!#REF!&lt;=$CE$46)*(日次管理!#REF!=$A$52)*(日次管理!#REF!="精査完了")*(日次管理!#REF!="実績")*(日次管理!#REF!=$A$45),日次管理!#REF!)</f>
        <v>#REF!</v>
      </c>
      <c r="CF52" s="95" t="e">
        <f>SUMPRODUCT((日次管理!#REF!&lt;=$CF$46)*(日次管理!#REF!=$A$52)*(日次管理!#REF!="精査完了")*(日次管理!#REF!="予定")*(日次管理!#REF!=$A$45),日次管理!#REF!)</f>
        <v>#REF!</v>
      </c>
      <c r="CG52" s="60" t="e">
        <f>SUMPRODUCT((日次管理!#REF!&lt;=$CG$46)*(日次管理!#REF!=$A$52)*(日次管理!#REF!="精査完了")*(日次管理!#REF!="実績")*(日次管理!#REF!=$A$45),日次管理!#REF!)</f>
        <v>#REF!</v>
      </c>
      <c r="CH52" s="95" t="e">
        <f>SUMPRODUCT((日次管理!#REF!&lt;=$CH$46)*(日次管理!#REF!=$A$52)*(日次管理!#REF!="精査完了")*(日次管理!#REF!="予定")*(日次管理!#REF!=$A$45),日次管理!#REF!)</f>
        <v>#REF!</v>
      </c>
      <c r="CI52" s="60" t="e">
        <f>SUMPRODUCT((日次管理!#REF!&lt;=$CI$46)*(日次管理!#REF!=$A$52)*(日次管理!#REF!="精査完了")*(日次管理!#REF!="実績")*(日次管理!#REF!=$A$45),日次管理!#REF!)</f>
        <v>#REF!</v>
      </c>
      <c r="CJ52" s="95" t="e">
        <f>SUMPRODUCT((日次管理!#REF!&lt;=$CJ$46)*(日次管理!#REF!=$A$52)*(日次管理!#REF!="精査完了")*(日次管理!#REF!="予定")*(日次管理!#REF!=$A$45),日次管理!#REF!)</f>
        <v>#REF!</v>
      </c>
      <c r="CK52" s="60" t="e">
        <f>SUMPRODUCT((日次管理!#REF!&lt;=$CK$46)*(日次管理!#REF!=$A$52)*(日次管理!#REF!="精査完了")*(日次管理!#REF!="実績")*(日次管理!#REF!=$A$45),日次管理!#REF!)</f>
        <v>#REF!</v>
      </c>
      <c r="CL52" s="95" t="e">
        <f>SUMPRODUCT((日次管理!#REF!&lt;=$CL$46)*(日次管理!#REF!=$A$52)*(日次管理!#REF!="精査完了")*(日次管理!#REF!="予定")*(日次管理!#REF!=$A$45),日次管理!#REF!)</f>
        <v>#REF!</v>
      </c>
      <c r="CM52" s="60" t="e">
        <f>SUMPRODUCT((日次管理!#REF!&lt;=$CM$46)*(日次管理!#REF!=$A$52)*(日次管理!#REF!="精査完了")*(日次管理!#REF!="実績")*(日次管理!#REF!=$A$45),日次管理!#REF!)</f>
        <v>#REF!</v>
      </c>
      <c r="CN52" s="95" t="e">
        <f>SUMPRODUCT((日次管理!#REF!&lt;=$CN$46)*(日次管理!#REF!=$A$52)*(日次管理!#REF!="精査完了")*(日次管理!#REF!="予定")*(日次管理!#REF!=$A$45),日次管理!#REF!)</f>
        <v>#REF!</v>
      </c>
      <c r="CO52" s="60" t="e">
        <f>SUMPRODUCT((日次管理!#REF!&lt;=$CO$46)*(日次管理!#REF!=$A$52)*(日次管理!#REF!="精査完了")*(日次管理!#REF!="実績")*(日次管理!#REF!=$A$45),日次管理!#REF!)</f>
        <v>#REF!</v>
      </c>
      <c r="CP52" s="95" t="e">
        <f>SUMPRODUCT((日次管理!#REF!&lt;=$CP$46)*(日次管理!#REF!=$A$52)*(日次管理!#REF!="精査完了")*(日次管理!#REF!="予定")*(日次管理!#REF!=$A$45),日次管理!#REF!)</f>
        <v>#REF!</v>
      </c>
      <c r="CQ52" s="60" t="e">
        <f>SUMPRODUCT((日次管理!#REF!&lt;=$CQ$46)*(日次管理!#REF!=$A$52)*(日次管理!#REF!="精査完了")*(日次管理!#REF!="実績")*(日次管理!#REF!=$A$45),日次管理!#REF!)</f>
        <v>#REF!</v>
      </c>
      <c r="CR52" s="95" t="e">
        <f>SUMPRODUCT((日次管理!#REF!&lt;=$CR$46)*(日次管理!#REF!=$A$52)*(日次管理!#REF!="精査完了")*(日次管理!#REF!="予定")*(日次管理!#REF!=$A$45),日次管理!#REF!)</f>
        <v>#REF!</v>
      </c>
      <c r="CS52" s="60" t="e">
        <f>SUMPRODUCT((日次管理!#REF!&lt;=$CS$46)*(日次管理!#REF!=$A$52)*(日次管理!#REF!="精査完了")*(日次管理!#REF!="実績")*(日次管理!#REF!=$A$45),日次管理!#REF!)</f>
        <v>#REF!</v>
      </c>
      <c r="CT52" s="95" t="e">
        <f>SUMPRODUCT((日次管理!#REF!&lt;=$CT$46)*(日次管理!#REF!=$A$52)*(日次管理!#REF!="精査完了")*(日次管理!#REF!="予定")*(日次管理!#REF!=$A$45),日次管理!#REF!)</f>
        <v>#REF!</v>
      </c>
      <c r="CU52" s="60" t="e">
        <f>SUMPRODUCT((日次管理!#REF!&lt;=$CU$46)*(日次管理!#REF!=$A$52)*(日次管理!#REF!="精査完了")*(日次管理!#REF!="実績")*(日次管理!#REF!=$A$45),日次管理!#REF!)</f>
        <v>#REF!</v>
      </c>
      <c r="CV52" s="96" t="e">
        <f ca="1">SUMPRODUCT(($A$46- WEEKDAY($A$46) + 6 =$B$46:$CU$46)*("実績"=$B$47:$CU$47),$B$52:$CU$52)/SUMPRODUCT(($A$46- WEEKDAY($A$46) + 6 =$B$46:$CU$46)*("予定"=$B$47:$CU$47),$B$52:$CU$52)</f>
        <v>#REF!</v>
      </c>
      <c r="CW52" s="97" t="e">
        <f>$CU$52/$CT$52</f>
        <v>#REF!</v>
      </c>
    </row>
    <row r="53" spans="1:101" ht="20.149999999999999" customHeight="1" thickBot="1">
      <c r="A53" s="111" t="s">
        <v>65</v>
      </c>
      <c r="B53" s="99" t="e">
        <f>SUM($B$48:$B$52)</f>
        <v>#REF!</v>
      </c>
      <c r="C53" s="100" t="e">
        <f>SUM($C$48:$C$52)</f>
        <v>#REF!</v>
      </c>
      <c r="D53" s="99" t="e">
        <f>SUM($D$48:$D$52)</f>
        <v>#REF!</v>
      </c>
      <c r="E53" s="100" t="e">
        <f>SUM($E$48:$E$52)</f>
        <v>#REF!</v>
      </c>
      <c r="F53" s="99" t="e">
        <f>SUM($F$48:$F$52)</f>
        <v>#REF!</v>
      </c>
      <c r="G53" s="100" t="e">
        <f>SUM($G$48:$G$52)</f>
        <v>#REF!</v>
      </c>
      <c r="H53" s="99" t="e">
        <f>SUM($H$48:$H$52)</f>
        <v>#REF!</v>
      </c>
      <c r="I53" s="100" t="e">
        <f>SUM($I$48:$I$52)</f>
        <v>#REF!</v>
      </c>
      <c r="J53" s="99" t="e">
        <f>SUM($J$48:$J$52)</f>
        <v>#REF!</v>
      </c>
      <c r="K53" s="100" t="e">
        <f>SUM($K$48:$K$52)</f>
        <v>#REF!</v>
      </c>
      <c r="L53" s="99" t="e">
        <f>SUM($L$48:$L$52)</f>
        <v>#REF!</v>
      </c>
      <c r="M53" s="100" t="e">
        <f>SUM($M$48:$M$52)</f>
        <v>#REF!</v>
      </c>
      <c r="N53" s="99" t="e">
        <f>SUM($N$48:$N$52)</f>
        <v>#REF!</v>
      </c>
      <c r="O53" s="100" t="e">
        <f>SUM($O$48:$O$52)</f>
        <v>#REF!</v>
      </c>
      <c r="P53" s="99" t="e">
        <f>SUM($P$48:$P$52)</f>
        <v>#REF!</v>
      </c>
      <c r="Q53" s="100" t="e">
        <f>SUM($Q$48:$Q$52)</f>
        <v>#REF!</v>
      </c>
      <c r="R53" s="99" t="e">
        <f>SUM($R$48:$R$52)</f>
        <v>#REF!</v>
      </c>
      <c r="S53" s="100" t="e">
        <f>SUM($S$48:$S$52)</f>
        <v>#REF!</v>
      </c>
      <c r="T53" s="99" t="e">
        <f>SUM($T$48:$T$52)</f>
        <v>#REF!</v>
      </c>
      <c r="U53" s="100" t="e">
        <f>SUM($U$48:$U$52)</f>
        <v>#REF!</v>
      </c>
      <c r="V53" s="99" t="e">
        <f>SUM($V$48:$V$52)</f>
        <v>#REF!</v>
      </c>
      <c r="W53" s="100" t="e">
        <f>SUM($W$48:$W$52)</f>
        <v>#REF!</v>
      </c>
      <c r="X53" s="99" t="e">
        <f>SUM($X$48:$X$52)</f>
        <v>#REF!</v>
      </c>
      <c r="Y53" s="100" t="e">
        <f>SUM($Y$48:$Y$52)</f>
        <v>#REF!</v>
      </c>
      <c r="Z53" s="99" t="e">
        <f>SUM($Z$48:$Z$52)</f>
        <v>#REF!</v>
      </c>
      <c r="AA53" s="100" t="e">
        <f>SUM($AA$48:$AA$52)</f>
        <v>#REF!</v>
      </c>
      <c r="AB53" s="99" t="e">
        <f>SUM($AB$48:$AB$52)</f>
        <v>#REF!</v>
      </c>
      <c r="AC53" s="100" t="e">
        <f>SUM($AC$48:$AC$52)</f>
        <v>#REF!</v>
      </c>
      <c r="AD53" s="99" t="e">
        <f>SUM($AD$48:$AD$52)</f>
        <v>#REF!</v>
      </c>
      <c r="AE53" s="100" t="e">
        <f>SUM($AE$48:$AE$52)</f>
        <v>#REF!</v>
      </c>
      <c r="AF53" s="99" t="e">
        <f>SUM($AF$48:$AF$52)</f>
        <v>#REF!</v>
      </c>
      <c r="AG53" s="100" t="e">
        <f>SUM($AG$48:$AG$52)</f>
        <v>#REF!</v>
      </c>
      <c r="AH53" s="99" t="e">
        <f>SUM($AH$48:$AH$52)</f>
        <v>#REF!</v>
      </c>
      <c r="AI53" s="100" t="e">
        <f>SUM($AI$48:$AI$52)</f>
        <v>#REF!</v>
      </c>
      <c r="AJ53" s="99" t="e">
        <f>SUM($AJ$48:$AJ$52)</f>
        <v>#REF!</v>
      </c>
      <c r="AK53" s="100" t="e">
        <f>SUM($AK$48:$AK$52)</f>
        <v>#REF!</v>
      </c>
      <c r="AL53" s="99" t="e">
        <f>SUM($AL$48:$AL$52)</f>
        <v>#REF!</v>
      </c>
      <c r="AM53" s="100" t="e">
        <f>SUM($AM$48:$AM$52)</f>
        <v>#REF!</v>
      </c>
      <c r="AN53" s="99" t="e">
        <f>SUM($AN$48:$AN$52)</f>
        <v>#REF!</v>
      </c>
      <c r="AO53" s="100" t="e">
        <f>SUM($AO$48:$AO$52)</f>
        <v>#REF!</v>
      </c>
      <c r="AP53" s="99" t="e">
        <f>SUM($AP$48:$AP$52)</f>
        <v>#REF!</v>
      </c>
      <c r="AQ53" s="100" t="e">
        <f>SUM($AQ$48:$AQ$52)</f>
        <v>#REF!</v>
      </c>
      <c r="AR53" s="99" t="e">
        <f>SUM($AR$48:$AR$52)</f>
        <v>#REF!</v>
      </c>
      <c r="AS53" s="100" t="e">
        <f>SUM($AS$48:$AS$52)</f>
        <v>#REF!</v>
      </c>
      <c r="AT53" s="99" t="e">
        <f>SUM($AT$48:$AT$52)</f>
        <v>#REF!</v>
      </c>
      <c r="AU53" s="100" t="e">
        <f>SUM($AU$48:$AU$52)</f>
        <v>#REF!</v>
      </c>
      <c r="AV53" s="99" t="e">
        <f>SUM($AV$48:$AV$52)</f>
        <v>#REF!</v>
      </c>
      <c r="AW53" s="100" t="e">
        <f>SUM($AW$48:$AW$52)</f>
        <v>#REF!</v>
      </c>
      <c r="AX53" s="99" t="e">
        <f>SUM($AX$48:$AX$52)</f>
        <v>#REF!</v>
      </c>
      <c r="AY53" s="100" t="e">
        <f>SUM($AY$48:$AY$52)</f>
        <v>#REF!</v>
      </c>
      <c r="AZ53" s="99" t="e">
        <f>SUM($AZ$48:$AZ$52)</f>
        <v>#REF!</v>
      </c>
      <c r="BA53" s="100" t="e">
        <f>SUM($BA$48:$BA$52)</f>
        <v>#REF!</v>
      </c>
      <c r="BB53" s="99" t="e">
        <f>SUM($BB$48:$BB$52)</f>
        <v>#REF!</v>
      </c>
      <c r="BC53" s="100" t="e">
        <f>SUM($BC$48:$BC$52)</f>
        <v>#REF!</v>
      </c>
      <c r="BD53" s="99" t="e">
        <f>SUM($BD$48:$BD$52)</f>
        <v>#REF!</v>
      </c>
      <c r="BE53" s="100" t="e">
        <f>SUM($BE$48:$BE$52)</f>
        <v>#REF!</v>
      </c>
      <c r="BF53" s="99" t="e">
        <f>SUM($BF$48:$BF$52)</f>
        <v>#REF!</v>
      </c>
      <c r="BG53" s="100" t="e">
        <f>SUM($BG$48:$BG$52)</f>
        <v>#REF!</v>
      </c>
      <c r="BH53" s="99" t="e">
        <f>SUM($BH$48:$BH$52)</f>
        <v>#REF!</v>
      </c>
      <c r="BI53" s="100" t="e">
        <f>SUM($BI$48:$BI$52)</f>
        <v>#REF!</v>
      </c>
      <c r="BJ53" s="99" t="e">
        <f>SUM($BJ$48:$BJ$52)</f>
        <v>#REF!</v>
      </c>
      <c r="BK53" s="100" t="e">
        <f>SUM($BK$48:$BK$52)</f>
        <v>#REF!</v>
      </c>
      <c r="BL53" s="99" t="e">
        <f>SUM($BL$48:$BL$52)</f>
        <v>#REF!</v>
      </c>
      <c r="BM53" s="100" t="e">
        <f>SUM($BM$48:$BM$52)</f>
        <v>#REF!</v>
      </c>
      <c r="BN53" s="99" t="e">
        <f>SUM($BN$48:$BN$52)</f>
        <v>#REF!</v>
      </c>
      <c r="BO53" s="100" t="e">
        <f>SUM($BO$48:$BO$52)</f>
        <v>#REF!</v>
      </c>
      <c r="BP53" s="99" t="e">
        <f>SUM($BP$48:$BP$52)</f>
        <v>#REF!</v>
      </c>
      <c r="BQ53" s="100" t="e">
        <f>SUM($BQ$48:$BQ$52)</f>
        <v>#REF!</v>
      </c>
      <c r="BR53" s="99" t="e">
        <f>SUM($BR$48:$BR$52)</f>
        <v>#REF!</v>
      </c>
      <c r="BS53" s="100" t="e">
        <f>SUM($BS$48:$BS$52)</f>
        <v>#REF!</v>
      </c>
      <c r="BT53" s="99" t="e">
        <f>SUM($BT$48:$BT$52)</f>
        <v>#REF!</v>
      </c>
      <c r="BU53" s="100" t="e">
        <f>SUM($BU$48:$BU$52)</f>
        <v>#REF!</v>
      </c>
      <c r="BV53" s="99" t="e">
        <f>SUM($BV$48:$BV$52)</f>
        <v>#REF!</v>
      </c>
      <c r="BW53" s="100" t="e">
        <f>SUM($BW$48:$BW$52)</f>
        <v>#REF!</v>
      </c>
      <c r="BX53" s="99" t="e">
        <f>SUM($BX$48:$BX$52)</f>
        <v>#REF!</v>
      </c>
      <c r="BY53" s="100" t="e">
        <f>SUM($BY$48:$BY$52)</f>
        <v>#REF!</v>
      </c>
      <c r="BZ53" s="99" t="e">
        <f>SUM($BZ$48:$BZ$52)</f>
        <v>#REF!</v>
      </c>
      <c r="CA53" s="100" t="e">
        <f>SUM($CA$48:$CA$52)</f>
        <v>#REF!</v>
      </c>
      <c r="CB53" s="99" t="e">
        <f>SUM($CB$48:$CB$52)</f>
        <v>#REF!</v>
      </c>
      <c r="CC53" s="100" t="e">
        <f>SUM($CC$48:$CC$52)</f>
        <v>#REF!</v>
      </c>
      <c r="CD53" s="99" t="e">
        <f>SUM($CD$48:$CD$52)</f>
        <v>#REF!</v>
      </c>
      <c r="CE53" s="100" t="e">
        <f>SUM($CE$48:$CE$52)</f>
        <v>#REF!</v>
      </c>
      <c r="CF53" s="99" t="e">
        <f>SUM($CF$48:$CF$52)</f>
        <v>#REF!</v>
      </c>
      <c r="CG53" s="100" t="e">
        <f>SUM($CG$48:$CG$52)</f>
        <v>#REF!</v>
      </c>
      <c r="CH53" s="99" t="e">
        <f>SUM($CH$48:$CH$52)</f>
        <v>#REF!</v>
      </c>
      <c r="CI53" s="100" t="e">
        <f>SUM($CI$48:$CI$52)</f>
        <v>#REF!</v>
      </c>
      <c r="CJ53" s="99" t="e">
        <f>SUM($CJ$48:$CJ$52)</f>
        <v>#REF!</v>
      </c>
      <c r="CK53" s="100" t="e">
        <f>SUM($CK$48:$CK$52)</f>
        <v>#REF!</v>
      </c>
      <c r="CL53" s="99" t="e">
        <f>SUM($CL$48:$CL$52)</f>
        <v>#REF!</v>
      </c>
      <c r="CM53" s="100" t="e">
        <f>SUM($CM$48:$CM$52)</f>
        <v>#REF!</v>
      </c>
      <c r="CN53" s="99" t="e">
        <f>SUM($CN$48:$CN$52)</f>
        <v>#REF!</v>
      </c>
      <c r="CO53" s="100" t="e">
        <f>SUM($CO$48:$CO$52)</f>
        <v>#REF!</v>
      </c>
      <c r="CP53" s="99" t="e">
        <f>SUM($CP$48:$CP$52)</f>
        <v>#REF!</v>
      </c>
      <c r="CQ53" s="100" t="e">
        <f>SUM($CQ$48:$CQ$52)</f>
        <v>#REF!</v>
      </c>
      <c r="CR53" s="99" t="e">
        <f>SUM($CR$48:$CR$52)</f>
        <v>#REF!</v>
      </c>
      <c r="CS53" s="100" t="e">
        <f>SUM($CS$48:$CS$52)</f>
        <v>#REF!</v>
      </c>
      <c r="CT53" s="99" t="e">
        <f>SUM($CT$48:$CT$52)</f>
        <v>#REF!</v>
      </c>
      <c r="CU53" s="100" t="e">
        <f>SUM($CU$48:$CU$52)</f>
        <v>#REF!</v>
      </c>
      <c r="CV53" s="101" t="e">
        <f ca="1">SUMPRODUCT(($A$46- WEEKDAY($A$46) + 6 =$B$46:$CU$46)*("実績"=$B$47:$CU$47),$B$53:$CU$53)/SUMPRODUCT(($A$46- WEEKDAY($A$46) + 6 =$B$46:$CU$46)*("予定"=$B$47:$CU$47),$B$53:$CU$53)</f>
        <v>#REF!</v>
      </c>
      <c r="CW53" s="102" t="e">
        <f>$CU$53/$CT$53</f>
        <v>#REF!</v>
      </c>
    </row>
    <row r="57" spans="1:101" ht="20.149999999999999" customHeight="1" thickBot="1">
      <c r="A57" s="79" t="s">
        <v>111</v>
      </c>
      <c r="B57" s="43" t="s">
        <v>62</v>
      </c>
    </row>
    <row r="58" spans="1:101" ht="40" customHeight="1">
      <c r="A58" s="80">
        <f ca="1">TODAY()</f>
        <v>43566</v>
      </c>
      <c r="B58" s="82">
        <v>43528</v>
      </c>
      <c r="C58" s="53">
        <v>43528</v>
      </c>
      <c r="D58" s="83">
        <v>43529</v>
      </c>
      <c r="E58" s="63">
        <v>43529</v>
      </c>
      <c r="F58" s="82">
        <v>43530</v>
      </c>
      <c r="G58" s="53">
        <v>43530</v>
      </c>
      <c r="H58" s="83">
        <v>43531</v>
      </c>
      <c r="I58" s="63">
        <v>43531</v>
      </c>
      <c r="J58" s="82">
        <v>43532</v>
      </c>
      <c r="K58" s="53">
        <v>43532</v>
      </c>
      <c r="L58" s="83">
        <v>43533</v>
      </c>
      <c r="M58" s="63">
        <v>43533</v>
      </c>
      <c r="N58" s="82">
        <v>43534</v>
      </c>
      <c r="O58" s="53">
        <v>43534</v>
      </c>
      <c r="P58" s="83">
        <v>43535</v>
      </c>
      <c r="Q58" s="63">
        <v>43535</v>
      </c>
      <c r="R58" s="82">
        <v>43536</v>
      </c>
      <c r="S58" s="53">
        <v>43536</v>
      </c>
      <c r="T58" s="83">
        <v>43537</v>
      </c>
      <c r="U58" s="63">
        <v>43537</v>
      </c>
      <c r="V58" s="82">
        <v>43538</v>
      </c>
      <c r="W58" s="53">
        <v>43538</v>
      </c>
      <c r="X58" s="83">
        <v>43539</v>
      </c>
      <c r="Y58" s="63">
        <v>43539</v>
      </c>
      <c r="Z58" s="82">
        <v>43540</v>
      </c>
      <c r="AA58" s="53">
        <v>43540</v>
      </c>
      <c r="AB58" s="83">
        <v>43541</v>
      </c>
      <c r="AC58" s="63">
        <v>43541</v>
      </c>
      <c r="AD58" s="82">
        <v>43542</v>
      </c>
      <c r="AE58" s="53">
        <v>43542</v>
      </c>
      <c r="AF58" s="83">
        <v>43543</v>
      </c>
      <c r="AG58" s="63">
        <v>43543</v>
      </c>
      <c r="AH58" s="82">
        <v>43544</v>
      </c>
      <c r="AI58" s="53">
        <v>43544</v>
      </c>
      <c r="AJ58" s="83">
        <v>43545</v>
      </c>
      <c r="AK58" s="63">
        <v>43545</v>
      </c>
      <c r="AL58" s="82">
        <v>43546</v>
      </c>
      <c r="AM58" s="53">
        <v>43546</v>
      </c>
      <c r="AN58" s="83">
        <v>43547</v>
      </c>
      <c r="AO58" s="63">
        <v>43547</v>
      </c>
      <c r="AP58" s="82">
        <v>43548</v>
      </c>
      <c r="AQ58" s="53">
        <v>43548</v>
      </c>
      <c r="AR58" s="83">
        <v>43549</v>
      </c>
      <c r="AS58" s="63">
        <v>43549</v>
      </c>
      <c r="AT58" s="82">
        <v>43550</v>
      </c>
      <c r="AU58" s="53">
        <v>43550</v>
      </c>
      <c r="AV58" s="83">
        <v>43551</v>
      </c>
      <c r="AW58" s="63">
        <v>43551</v>
      </c>
      <c r="AX58" s="82">
        <v>43552</v>
      </c>
      <c r="AY58" s="53">
        <v>43552</v>
      </c>
      <c r="AZ58" s="83">
        <v>43553</v>
      </c>
      <c r="BA58" s="63">
        <v>43553</v>
      </c>
      <c r="BB58" s="82">
        <v>43554</v>
      </c>
      <c r="BC58" s="53">
        <v>43554</v>
      </c>
      <c r="BD58" s="83">
        <v>43555</v>
      </c>
      <c r="BE58" s="63">
        <v>43555</v>
      </c>
      <c r="BF58" s="82">
        <v>43556</v>
      </c>
      <c r="BG58" s="53">
        <v>43556</v>
      </c>
      <c r="BH58" s="83">
        <v>43557</v>
      </c>
      <c r="BI58" s="63">
        <v>43557</v>
      </c>
      <c r="BJ58" s="82">
        <v>43558</v>
      </c>
      <c r="BK58" s="53">
        <v>43558</v>
      </c>
      <c r="BL58" s="83">
        <v>43559</v>
      </c>
      <c r="BM58" s="63">
        <v>43559</v>
      </c>
      <c r="BN58" s="82">
        <v>43560</v>
      </c>
      <c r="BO58" s="53">
        <v>43560</v>
      </c>
      <c r="BP58" s="83">
        <v>43561</v>
      </c>
      <c r="BQ58" s="63">
        <v>43561</v>
      </c>
      <c r="BR58" s="82">
        <v>43562</v>
      </c>
      <c r="BS58" s="53">
        <v>43562</v>
      </c>
      <c r="BT58" s="83">
        <v>43563</v>
      </c>
      <c r="BU58" s="63">
        <v>43563</v>
      </c>
      <c r="BV58" s="82">
        <v>43564</v>
      </c>
      <c r="BW58" s="53">
        <v>43564</v>
      </c>
      <c r="BX58" s="83">
        <v>43565</v>
      </c>
      <c r="BY58" s="63">
        <v>43565</v>
      </c>
      <c r="BZ58" s="82">
        <v>43566</v>
      </c>
      <c r="CA58" s="53">
        <v>43566</v>
      </c>
      <c r="CB58" s="83">
        <v>43567</v>
      </c>
      <c r="CC58" s="63">
        <v>43567</v>
      </c>
      <c r="CD58" s="82">
        <v>43568</v>
      </c>
      <c r="CE58" s="53">
        <v>43568</v>
      </c>
      <c r="CF58" s="83">
        <v>43569</v>
      </c>
      <c r="CG58" s="63">
        <v>43569</v>
      </c>
      <c r="CH58" s="82">
        <v>43570</v>
      </c>
      <c r="CI58" s="53">
        <v>43570</v>
      </c>
      <c r="CJ58" s="83">
        <v>43571</v>
      </c>
      <c r="CK58" s="63">
        <v>43571</v>
      </c>
      <c r="CL58" s="82">
        <v>43572</v>
      </c>
      <c r="CM58" s="53">
        <v>43572</v>
      </c>
      <c r="CN58" s="83">
        <v>43573</v>
      </c>
      <c r="CO58" s="63">
        <v>43573</v>
      </c>
      <c r="CP58" s="82">
        <v>43574</v>
      </c>
      <c r="CQ58" s="53">
        <v>43574</v>
      </c>
      <c r="CR58" s="83">
        <v>43575</v>
      </c>
      <c r="CS58" s="63">
        <v>43575</v>
      </c>
      <c r="CT58" s="82">
        <v>43576</v>
      </c>
      <c r="CU58" s="53">
        <v>43576</v>
      </c>
      <c r="CV58" s="141" t="s">
        <v>66</v>
      </c>
      <c r="CW58" s="142"/>
    </row>
    <row r="59" spans="1:101" ht="20.149999999999999" customHeight="1" thickBot="1">
      <c r="A59" s="103" t="s">
        <v>64</v>
      </c>
      <c r="B59" s="85" t="s">
        <v>60</v>
      </c>
      <c r="C59" s="86" t="s">
        <v>61</v>
      </c>
      <c r="D59" s="87" t="s">
        <v>60</v>
      </c>
      <c r="E59" s="88" t="s">
        <v>61</v>
      </c>
      <c r="F59" s="85" t="s">
        <v>60</v>
      </c>
      <c r="G59" s="86" t="s">
        <v>61</v>
      </c>
      <c r="H59" s="87" t="s">
        <v>60</v>
      </c>
      <c r="I59" s="88" t="s">
        <v>61</v>
      </c>
      <c r="J59" s="85" t="s">
        <v>60</v>
      </c>
      <c r="K59" s="86" t="s">
        <v>61</v>
      </c>
      <c r="L59" s="87" t="s">
        <v>60</v>
      </c>
      <c r="M59" s="88" t="s">
        <v>61</v>
      </c>
      <c r="N59" s="85" t="s">
        <v>60</v>
      </c>
      <c r="O59" s="86" t="s">
        <v>61</v>
      </c>
      <c r="P59" s="87" t="s">
        <v>60</v>
      </c>
      <c r="Q59" s="88" t="s">
        <v>61</v>
      </c>
      <c r="R59" s="85" t="s">
        <v>60</v>
      </c>
      <c r="S59" s="86" t="s">
        <v>61</v>
      </c>
      <c r="T59" s="87" t="s">
        <v>60</v>
      </c>
      <c r="U59" s="88" t="s">
        <v>61</v>
      </c>
      <c r="V59" s="85" t="s">
        <v>60</v>
      </c>
      <c r="W59" s="86" t="s">
        <v>61</v>
      </c>
      <c r="X59" s="87" t="s">
        <v>60</v>
      </c>
      <c r="Y59" s="88" t="s">
        <v>61</v>
      </c>
      <c r="Z59" s="85" t="s">
        <v>60</v>
      </c>
      <c r="AA59" s="86" t="s">
        <v>61</v>
      </c>
      <c r="AB59" s="87" t="s">
        <v>60</v>
      </c>
      <c r="AC59" s="88" t="s">
        <v>61</v>
      </c>
      <c r="AD59" s="85" t="s">
        <v>60</v>
      </c>
      <c r="AE59" s="86" t="s">
        <v>61</v>
      </c>
      <c r="AF59" s="87" t="s">
        <v>60</v>
      </c>
      <c r="AG59" s="88" t="s">
        <v>61</v>
      </c>
      <c r="AH59" s="85" t="s">
        <v>60</v>
      </c>
      <c r="AI59" s="86" t="s">
        <v>61</v>
      </c>
      <c r="AJ59" s="87" t="s">
        <v>60</v>
      </c>
      <c r="AK59" s="88" t="s">
        <v>61</v>
      </c>
      <c r="AL59" s="85" t="s">
        <v>60</v>
      </c>
      <c r="AM59" s="86" t="s">
        <v>61</v>
      </c>
      <c r="AN59" s="87" t="s">
        <v>60</v>
      </c>
      <c r="AO59" s="88" t="s">
        <v>61</v>
      </c>
      <c r="AP59" s="85" t="s">
        <v>60</v>
      </c>
      <c r="AQ59" s="86" t="s">
        <v>61</v>
      </c>
      <c r="AR59" s="87" t="s">
        <v>60</v>
      </c>
      <c r="AS59" s="88" t="s">
        <v>61</v>
      </c>
      <c r="AT59" s="85" t="s">
        <v>60</v>
      </c>
      <c r="AU59" s="86" t="s">
        <v>61</v>
      </c>
      <c r="AV59" s="87" t="s">
        <v>60</v>
      </c>
      <c r="AW59" s="88" t="s">
        <v>61</v>
      </c>
      <c r="AX59" s="85" t="s">
        <v>60</v>
      </c>
      <c r="AY59" s="86" t="s">
        <v>61</v>
      </c>
      <c r="AZ59" s="87" t="s">
        <v>60</v>
      </c>
      <c r="BA59" s="88" t="s">
        <v>61</v>
      </c>
      <c r="BB59" s="85" t="s">
        <v>60</v>
      </c>
      <c r="BC59" s="86" t="s">
        <v>61</v>
      </c>
      <c r="BD59" s="87" t="s">
        <v>60</v>
      </c>
      <c r="BE59" s="88" t="s">
        <v>61</v>
      </c>
      <c r="BF59" s="85" t="s">
        <v>60</v>
      </c>
      <c r="BG59" s="86" t="s">
        <v>61</v>
      </c>
      <c r="BH59" s="87" t="s">
        <v>60</v>
      </c>
      <c r="BI59" s="88" t="s">
        <v>61</v>
      </c>
      <c r="BJ59" s="85" t="s">
        <v>60</v>
      </c>
      <c r="BK59" s="86" t="s">
        <v>61</v>
      </c>
      <c r="BL59" s="87" t="s">
        <v>60</v>
      </c>
      <c r="BM59" s="88" t="s">
        <v>61</v>
      </c>
      <c r="BN59" s="85" t="s">
        <v>60</v>
      </c>
      <c r="BO59" s="86" t="s">
        <v>61</v>
      </c>
      <c r="BP59" s="87" t="s">
        <v>60</v>
      </c>
      <c r="BQ59" s="88" t="s">
        <v>61</v>
      </c>
      <c r="BR59" s="85" t="s">
        <v>60</v>
      </c>
      <c r="BS59" s="86" t="s">
        <v>61</v>
      </c>
      <c r="BT59" s="87" t="s">
        <v>60</v>
      </c>
      <c r="BU59" s="88" t="s">
        <v>61</v>
      </c>
      <c r="BV59" s="85" t="s">
        <v>60</v>
      </c>
      <c r="BW59" s="86" t="s">
        <v>61</v>
      </c>
      <c r="BX59" s="87" t="s">
        <v>60</v>
      </c>
      <c r="BY59" s="88" t="s">
        <v>61</v>
      </c>
      <c r="BZ59" s="85" t="s">
        <v>60</v>
      </c>
      <c r="CA59" s="86" t="s">
        <v>61</v>
      </c>
      <c r="CB59" s="87" t="s">
        <v>60</v>
      </c>
      <c r="CC59" s="88" t="s">
        <v>61</v>
      </c>
      <c r="CD59" s="85" t="s">
        <v>60</v>
      </c>
      <c r="CE59" s="86" t="s">
        <v>61</v>
      </c>
      <c r="CF59" s="87" t="s">
        <v>60</v>
      </c>
      <c r="CG59" s="88" t="s">
        <v>61</v>
      </c>
      <c r="CH59" s="85" t="s">
        <v>60</v>
      </c>
      <c r="CI59" s="86" t="s">
        <v>61</v>
      </c>
      <c r="CJ59" s="87" t="s">
        <v>60</v>
      </c>
      <c r="CK59" s="88" t="s">
        <v>61</v>
      </c>
      <c r="CL59" s="85" t="s">
        <v>60</v>
      </c>
      <c r="CM59" s="86" t="s">
        <v>61</v>
      </c>
      <c r="CN59" s="87" t="s">
        <v>60</v>
      </c>
      <c r="CO59" s="88" t="s">
        <v>61</v>
      </c>
      <c r="CP59" s="85" t="s">
        <v>60</v>
      </c>
      <c r="CQ59" s="86" t="s">
        <v>61</v>
      </c>
      <c r="CR59" s="87" t="s">
        <v>60</v>
      </c>
      <c r="CS59" s="88" t="s">
        <v>61</v>
      </c>
      <c r="CT59" s="85" t="s">
        <v>60</v>
      </c>
      <c r="CU59" s="86" t="s">
        <v>61</v>
      </c>
      <c r="CV59" s="87" t="s">
        <v>67</v>
      </c>
      <c r="CW59" s="89" t="s">
        <v>68</v>
      </c>
    </row>
    <row r="60" spans="1:101" ht="20.149999999999999" customHeight="1">
      <c r="A60" s="81" t="s">
        <v>85</v>
      </c>
      <c r="B60" s="55" t="e">
        <f>SUMPRODUCT((日次管理!#REF!&lt;=$B$58)*(日次管理!#REF!=$A$60)*(日次管理!#REF!="実施完了")*(日次管理!#REF!="予定")*(日次管理!#REF!=$A$57),日次管理!#REF!)</f>
        <v>#REF!</v>
      </c>
      <c r="C60" s="56" t="e">
        <f>SUMPRODUCT((日次管理!#REF!&lt;=$C$58)*(日次管理!#REF!=$A$60)*(日次管理!#REF!="実施完了")*(日次管理!#REF!="実績")*(日次管理!#REF!=$A$57),日次管理!#REF!)</f>
        <v>#REF!</v>
      </c>
      <c r="D60" s="55" t="e">
        <f>SUMPRODUCT((日次管理!#REF!&lt;=$D$58)*(日次管理!#REF!=$A$60)*(日次管理!#REF!="実施完了")*(日次管理!#REF!="予定")*(日次管理!#REF!=$A$57),日次管理!#REF!)</f>
        <v>#REF!</v>
      </c>
      <c r="E60" s="56" t="e">
        <f>SUMPRODUCT((日次管理!#REF!&lt;=$E$58)*(日次管理!#REF!=$A$60)*(日次管理!#REF!="実施完了")*(日次管理!#REF!="実績")*(日次管理!#REF!=$A$57),日次管理!#REF!)</f>
        <v>#REF!</v>
      </c>
      <c r="F60" s="55" t="e">
        <f>SUMPRODUCT((日次管理!#REF!&lt;=$F$58)*(日次管理!#REF!=$A$60)*(日次管理!#REF!="実施完了")*(日次管理!#REF!="予定")*(日次管理!#REF!=$A$57),日次管理!#REF!)</f>
        <v>#REF!</v>
      </c>
      <c r="G60" s="56" t="e">
        <f>SUMPRODUCT((日次管理!#REF!&lt;=$G$58)*(日次管理!#REF!=$A$60)*(日次管理!#REF!="実施完了")*(日次管理!#REF!="実績")*(日次管理!#REF!=$A$57),日次管理!#REF!)</f>
        <v>#REF!</v>
      </c>
      <c r="H60" s="55" t="e">
        <f>SUMPRODUCT((日次管理!#REF!&lt;=$H$58)*(日次管理!#REF!=$A$60)*(日次管理!#REF!="実施完了")*(日次管理!#REF!="予定")*(日次管理!#REF!=$A$57),日次管理!#REF!)</f>
        <v>#REF!</v>
      </c>
      <c r="I60" s="56" t="e">
        <f>SUMPRODUCT((日次管理!#REF!&lt;=$I$58)*(日次管理!#REF!=$A$60)*(日次管理!#REF!="実施完了")*(日次管理!#REF!="実績")*(日次管理!#REF!=$A$57),日次管理!#REF!)</f>
        <v>#REF!</v>
      </c>
      <c r="J60" s="55" t="e">
        <f>SUMPRODUCT((日次管理!#REF!&lt;=$J$58)*(日次管理!#REF!=$A$60)*(日次管理!#REF!="実施完了")*(日次管理!#REF!="予定")*(日次管理!#REF!=$A$57),日次管理!#REF!)</f>
        <v>#REF!</v>
      </c>
      <c r="K60" s="56" t="e">
        <f>SUMPRODUCT((日次管理!#REF!&lt;=$K$58)*(日次管理!#REF!=$A$60)*(日次管理!#REF!="実施完了")*(日次管理!#REF!="実績")*(日次管理!#REF!=$A$57),日次管理!#REF!)</f>
        <v>#REF!</v>
      </c>
      <c r="L60" s="55" t="e">
        <f>SUMPRODUCT((日次管理!#REF!&lt;=$L$58)*(日次管理!#REF!=$A$60)*(日次管理!#REF!="実施完了")*(日次管理!#REF!="予定")*(日次管理!#REF!=$A$57),日次管理!#REF!)</f>
        <v>#REF!</v>
      </c>
      <c r="M60" s="56" t="e">
        <f>SUMPRODUCT((日次管理!#REF!&lt;=$M$58)*(日次管理!#REF!=$A$60)*(日次管理!#REF!="実施完了")*(日次管理!#REF!="実績")*(日次管理!#REF!=$A$57),日次管理!#REF!)</f>
        <v>#REF!</v>
      </c>
      <c r="N60" s="55" t="e">
        <f>SUMPRODUCT((日次管理!#REF!&lt;=$N$58)*(日次管理!#REF!=$A$60)*(日次管理!#REF!="実施完了")*(日次管理!#REF!="予定")*(日次管理!#REF!=$A$57),日次管理!#REF!)</f>
        <v>#REF!</v>
      </c>
      <c r="O60" s="56" t="e">
        <f>SUMPRODUCT((日次管理!#REF!&lt;=$O$58)*(日次管理!#REF!=$A$60)*(日次管理!#REF!="実施完了")*(日次管理!#REF!="実績")*(日次管理!#REF!=$A$57),日次管理!#REF!)</f>
        <v>#REF!</v>
      </c>
      <c r="P60" s="55" t="e">
        <f>SUMPRODUCT((日次管理!#REF!&lt;=$P$58)*(日次管理!#REF!=$A$60)*(日次管理!#REF!="実施完了")*(日次管理!#REF!="予定")*(日次管理!#REF!=$A$57),日次管理!#REF!)</f>
        <v>#REF!</v>
      </c>
      <c r="Q60" s="56" t="e">
        <f>SUMPRODUCT((日次管理!#REF!&lt;=$Q$58)*(日次管理!#REF!=$A$60)*(日次管理!#REF!="実施完了")*(日次管理!#REF!="実績")*(日次管理!#REF!=$A$57),日次管理!#REF!)</f>
        <v>#REF!</v>
      </c>
      <c r="R60" s="55" t="e">
        <f>SUMPRODUCT((日次管理!#REF!&lt;=$R$58)*(日次管理!#REF!=$A$60)*(日次管理!#REF!="実施完了")*(日次管理!#REF!="予定")*(日次管理!#REF!=$A$57),日次管理!#REF!)</f>
        <v>#REF!</v>
      </c>
      <c r="S60" s="56" t="e">
        <f>SUMPRODUCT((日次管理!#REF!&lt;=$S$58)*(日次管理!#REF!=$A$60)*(日次管理!#REF!="実施完了")*(日次管理!#REF!="実績")*(日次管理!#REF!=$A$57),日次管理!#REF!)</f>
        <v>#REF!</v>
      </c>
      <c r="T60" s="55" t="e">
        <f>SUMPRODUCT((日次管理!#REF!&lt;=$T$58)*(日次管理!#REF!=$A$60)*(日次管理!#REF!="実施完了")*(日次管理!#REF!="予定")*(日次管理!#REF!=$A$57),日次管理!#REF!)</f>
        <v>#REF!</v>
      </c>
      <c r="U60" s="56" t="e">
        <f>SUMPRODUCT((日次管理!#REF!&lt;=$U$58)*(日次管理!#REF!=$A$60)*(日次管理!#REF!="実施完了")*(日次管理!#REF!="実績")*(日次管理!#REF!=$A$57),日次管理!#REF!)</f>
        <v>#REF!</v>
      </c>
      <c r="V60" s="55" t="e">
        <f>SUMPRODUCT((日次管理!#REF!&lt;=$V$58)*(日次管理!#REF!=$A$60)*(日次管理!#REF!="実施完了")*(日次管理!#REF!="予定")*(日次管理!#REF!=$A$57),日次管理!#REF!)</f>
        <v>#REF!</v>
      </c>
      <c r="W60" s="56" t="e">
        <f>SUMPRODUCT((日次管理!#REF!&lt;=$W$58)*(日次管理!#REF!=$A$60)*(日次管理!#REF!="実施完了")*(日次管理!#REF!="実績")*(日次管理!#REF!=$A$57),日次管理!#REF!)</f>
        <v>#REF!</v>
      </c>
      <c r="X60" s="55" t="e">
        <f>SUMPRODUCT((日次管理!#REF!&lt;=$X$58)*(日次管理!#REF!=$A$60)*(日次管理!#REF!="実施完了")*(日次管理!#REF!="予定")*(日次管理!#REF!=$A$57),日次管理!#REF!)</f>
        <v>#REF!</v>
      </c>
      <c r="Y60" s="56" t="e">
        <f>SUMPRODUCT((日次管理!#REF!&lt;=$Y$58)*(日次管理!#REF!=$A$60)*(日次管理!#REF!="実施完了")*(日次管理!#REF!="実績")*(日次管理!#REF!=$A$57),日次管理!#REF!)</f>
        <v>#REF!</v>
      </c>
      <c r="Z60" s="55" t="e">
        <f>SUMPRODUCT((日次管理!#REF!&lt;=$Z$58)*(日次管理!#REF!=$A$60)*(日次管理!#REF!="実施完了")*(日次管理!#REF!="予定")*(日次管理!#REF!=$A$57),日次管理!#REF!)</f>
        <v>#REF!</v>
      </c>
      <c r="AA60" s="56" t="e">
        <f>SUMPRODUCT((日次管理!#REF!&lt;=$AA$58)*(日次管理!#REF!=$A$60)*(日次管理!#REF!="実施完了")*(日次管理!#REF!="実績")*(日次管理!#REF!=$A$57),日次管理!#REF!)</f>
        <v>#REF!</v>
      </c>
      <c r="AB60" s="55" t="e">
        <f>SUMPRODUCT((日次管理!#REF!&lt;=$AB$58)*(日次管理!#REF!=$A$60)*(日次管理!#REF!="実施完了")*(日次管理!#REF!="予定")*(日次管理!#REF!=$A$57),日次管理!#REF!)</f>
        <v>#REF!</v>
      </c>
      <c r="AC60" s="56" t="e">
        <f>SUMPRODUCT((日次管理!#REF!&lt;=$AC$58)*(日次管理!#REF!=$A$60)*(日次管理!#REF!="実施完了")*(日次管理!#REF!="実績")*(日次管理!#REF!=$A$57),日次管理!#REF!)</f>
        <v>#REF!</v>
      </c>
      <c r="AD60" s="55" t="e">
        <f>SUMPRODUCT((日次管理!#REF!&lt;=$AD$58)*(日次管理!#REF!=$A$60)*(日次管理!#REF!="実施完了")*(日次管理!#REF!="予定")*(日次管理!#REF!=$A$57),日次管理!#REF!)</f>
        <v>#REF!</v>
      </c>
      <c r="AE60" s="56" t="e">
        <f>SUMPRODUCT((日次管理!#REF!&lt;=$AE$58)*(日次管理!#REF!=$A$60)*(日次管理!#REF!="実施完了")*(日次管理!#REF!="実績")*(日次管理!#REF!=$A$57),日次管理!#REF!)</f>
        <v>#REF!</v>
      </c>
      <c r="AF60" s="55" t="e">
        <f>SUMPRODUCT((日次管理!#REF!&lt;=$AF$58)*(日次管理!#REF!=$A$60)*(日次管理!#REF!="実施完了")*(日次管理!#REF!="予定")*(日次管理!#REF!=$A$57),日次管理!#REF!)</f>
        <v>#REF!</v>
      </c>
      <c r="AG60" s="56" t="e">
        <f>SUMPRODUCT((日次管理!#REF!&lt;=$AG$58)*(日次管理!#REF!=$A$60)*(日次管理!#REF!="実施完了")*(日次管理!#REF!="実績")*(日次管理!#REF!=$A$57),日次管理!#REF!)</f>
        <v>#REF!</v>
      </c>
      <c r="AH60" s="55" t="e">
        <f>SUMPRODUCT((日次管理!#REF!&lt;=$AH$58)*(日次管理!#REF!=$A$60)*(日次管理!#REF!="実施完了")*(日次管理!#REF!="予定")*(日次管理!#REF!=$A$57),日次管理!#REF!)</f>
        <v>#REF!</v>
      </c>
      <c r="AI60" s="56" t="e">
        <f>SUMPRODUCT((日次管理!#REF!&lt;=$AI$58)*(日次管理!#REF!=$A$60)*(日次管理!#REF!="実施完了")*(日次管理!#REF!="実績")*(日次管理!#REF!=$A$57),日次管理!#REF!)</f>
        <v>#REF!</v>
      </c>
      <c r="AJ60" s="55" t="e">
        <f>SUMPRODUCT((日次管理!#REF!&lt;=$AJ$58)*(日次管理!#REF!=$A$60)*(日次管理!#REF!="実施完了")*(日次管理!#REF!="予定")*(日次管理!#REF!=$A$57),日次管理!#REF!)</f>
        <v>#REF!</v>
      </c>
      <c r="AK60" s="56" t="e">
        <f>SUMPRODUCT((日次管理!#REF!&lt;=$AK$58)*(日次管理!#REF!=$A$60)*(日次管理!#REF!="実施完了")*(日次管理!#REF!="実績")*(日次管理!#REF!=$A$57),日次管理!#REF!)</f>
        <v>#REF!</v>
      </c>
      <c r="AL60" s="55" t="e">
        <f>SUMPRODUCT((日次管理!#REF!&lt;=$AL$58)*(日次管理!#REF!=$A$60)*(日次管理!#REF!="実施完了")*(日次管理!#REF!="予定")*(日次管理!#REF!=$A$57),日次管理!#REF!)</f>
        <v>#REF!</v>
      </c>
      <c r="AM60" s="56" t="e">
        <f>SUMPRODUCT((日次管理!#REF!&lt;=$AM$58)*(日次管理!#REF!=$A$60)*(日次管理!#REF!="実施完了")*(日次管理!#REF!="実績")*(日次管理!#REF!=$A$57),日次管理!#REF!)</f>
        <v>#REF!</v>
      </c>
      <c r="AN60" s="55" t="e">
        <f>SUMPRODUCT((日次管理!#REF!&lt;=$AN$58)*(日次管理!#REF!=$A$60)*(日次管理!#REF!="実施完了")*(日次管理!#REF!="予定")*(日次管理!#REF!=$A$57),日次管理!#REF!)</f>
        <v>#REF!</v>
      </c>
      <c r="AO60" s="56" t="e">
        <f>SUMPRODUCT((日次管理!#REF!&lt;=$AO$58)*(日次管理!#REF!=$A$60)*(日次管理!#REF!="実施完了")*(日次管理!#REF!="実績")*(日次管理!#REF!=$A$57),日次管理!#REF!)</f>
        <v>#REF!</v>
      </c>
      <c r="AP60" s="55" t="e">
        <f>SUMPRODUCT((日次管理!#REF!&lt;=$AP$58)*(日次管理!#REF!=$A$60)*(日次管理!#REF!="実施完了")*(日次管理!#REF!="予定")*(日次管理!#REF!=$A$57),日次管理!#REF!)</f>
        <v>#REF!</v>
      </c>
      <c r="AQ60" s="56" t="e">
        <f>SUMPRODUCT((日次管理!#REF!&lt;=$AQ$58)*(日次管理!#REF!=$A$60)*(日次管理!#REF!="実施完了")*(日次管理!#REF!="実績")*(日次管理!#REF!=$A$57),日次管理!#REF!)</f>
        <v>#REF!</v>
      </c>
      <c r="AR60" s="55" t="e">
        <f>SUMPRODUCT((日次管理!#REF!&lt;=$AR$58)*(日次管理!#REF!=$A$60)*(日次管理!#REF!="実施完了")*(日次管理!#REF!="予定")*(日次管理!#REF!=$A$57),日次管理!#REF!)</f>
        <v>#REF!</v>
      </c>
      <c r="AS60" s="56" t="e">
        <f>SUMPRODUCT((日次管理!#REF!&lt;=$AS$58)*(日次管理!#REF!=$A$60)*(日次管理!#REF!="実施完了")*(日次管理!#REF!="実績")*(日次管理!#REF!=$A$57),日次管理!#REF!)</f>
        <v>#REF!</v>
      </c>
      <c r="AT60" s="55" t="e">
        <f>SUMPRODUCT((日次管理!#REF!&lt;=$AT$58)*(日次管理!#REF!=$A$60)*(日次管理!#REF!="実施完了")*(日次管理!#REF!="予定")*(日次管理!#REF!=$A$57),日次管理!#REF!)</f>
        <v>#REF!</v>
      </c>
      <c r="AU60" s="56" t="e">
        <f>SUMPRODUCT((日次管理!#REF!&lt;=$AU$58)*(日次管理!#REF!=$A$60)*(日次管理!#REF!="実施完了")*(日次管理!#REF!="実績")*(日次管理!#REF!=$A$57),日次管理!#REF!)</f>
        <v>#REF!</v>
      </c>
      <c r="AV60" s="55" t="e">
        <f>SUMPRODUCT((日次管理!#REF!&lt;=$AV$58)*(日次管理!#REF!=$A$60)*(日次管理!#REF!="実施完了")*(日次管理!#REF!="予定")*(日次管理!#REF!=$A$57),日次管理!#REF!)</f>
        <v>#REF!</v>
      </c>
      <c r="AW60" s="56" t="e">
        <f>SUMPRODUCT((日次管理!#REF!&lt;=$AW$58)*(日次管理!#REF!=$A$60)*(日次管理!#REF!="実施完了")*(日次管理!#REF!="実績")*(日次管理!#REF!=$A$57),日次管理!#REF!)</f>
        <v>#REF!</v>
      </c>
      <c r="AX60" s="55" t="e">
        <f>SUMPRODUCT((日次管理!#REF!&lt;=$AX$58)*(日次管理!#REF!=$A$60)*(日次管理!#REF!="実施完了")*(日次管理!#REF!="予定")*(日次管理!#REF!=$A$57),日次管理!#REF!)</f>
        <v>#REF!</v>
      </c>
      <c r="AY60" s="56" t="e">
        <f>SUMPRODUCT((日次管理!#REF!&lt;=$AY$58)*(日次管理!#REF!=$A$60)*(日次管理!#REF!="実施完了")*(日次管理!#REF!="実績")*(日次管理!#REF!=$A$57),日次管理!#REF!)</f>
        <v>#REF!</v>
      </c>
      <c r="AZ60" s="55" t="e">
        <f>SUMPRODUCT((日次管理!#REF!&lt;=$AZ$58)*(日次管理!#REF!=$A$60)*(日次管理!#REF!="実施完了")*(日次管理!#REF!="予定")*(日次管理!#REF!=$A$57),日次管理!#REF!)</f>
        <v>#REF!</v>
      </c>
      <c r="BA60" s="56" t="e">
        <f>SUMPRODUCT((日次管理!#REF!&lt;=$BA$58)*(日次管理!#REF!=$A$60)*(日次管理!#REF!="実施完了")*(日次管理!#REF!="実績")*(日次管理!#REF!=$A$57),日次管理!#REF!)</f>
        <v>#REF!</v>
      </c>
      <c r="BB60" s="55" t="e">
        <f>SUMPRODUCT((日次管理!#REF!&lt;=$BB$58)*(日次管理!#REF!=$A$60)*(日次管理!#REF!="実施完了")*(日次管理!#REF!="予定")*(日次管理!#REF!=$A$57),日次管理!#REF!)</f>
        <v>#REF!</v>
      </c>
      <c r="BC60" s="56" t="e">
        <f>SUMPRODUCT((日次管理!#REF!&lt;=$BC$58)*(日次管理!#REF!=$A$60)*(日次管理!#REF!="実施完了")*(日次管理!#REF!="実績")*(日次管理!#REF!=$A$57),日次管理!#REF!)</f>
        <v>#REF!</v>
      </c>
      <c r="BD60" s="55" t="e">
        <f>SUMPRODUCT((日次管理!#REF!&lt;=$BD$58)*(日次管理!#REF!=$A$60)*(日次管理!#REF!="実施完了")*(日次管理!#REF!="予定")*(日次管理!#REF!=$A$57),日次管理!#REF!)</f>
        <v>#REF!</v>
      </c>
      <c r="BE60" s="56" t="e">
        <f>SUMPRODUCT((日次管理!#REF!&lt;=$BE$58)*(日次管理!#REF!=$A$60)*(日次管理!#REF!="実施完了")*(日次管理!#REF!="実績")*(日次管理!#REF!=$A$57),日次管理!#REF!)</f>
        <v>#REF!</v>
      </c>
      <c r="BF60" s="55" t="e">
        <f>SUMPRODUCT((日次管理!#REF!&lt;=$BF$58)*(日次管理!#REF!=$A$60)*(日次管理!#REF!="実施完了")*(日次管理!#REF!="予定")*(日次管理!#REF!=$A$57),日次管理!#REF!)</f>
        <v>#REF!</v>
      </c>
      <c r="BG60" s="56" t="e">
        <f>SUMPRODUCT((日次管理!#REF!&lt;=$BG$58)*(日次管理!#REF!=$A$60)*(日次管理!#REF!="実施完了")*(日次管理!#REF!="実績")*(日次管理!#REF!=$A$57),日次管理!#REF!)</f>
        <v>#REF!</v>
      </c>
      <c r="BH60" s="55" t="e">
        <f>SUMPRODUCT((日次管理!#REF!&lt;=$BH$58)*(日次管理!#REF!=$A$60)*(日次管理!#REF!="実施完了")*(日次管理!#REF!="予定")*(日次管理!#REF!=$A$57),日次管理!#REF!)</f>
        <v>#REF!</v>
      </c>
      <c r="BI60" s="56" t="e">
        <f>SUMPRODUCT((日次管理!#REF!&lt;=$BI$58)*(日次管理!#REF!=$A$60)*(日次管理!#REF!="実施完了")*(日次管理!#REF!="実績")*(日次管理!#REF!=$A$57),日次管理!#REF!)</f>
        <v>#REF!</v>
      </c>
      <c r="BJ60" s="55" t="e">
        <f>SUMPRODUCT((日次管理!#REF!&lt;=$BJ$58)*(日次管理!#REF!=$A$60)*(日次管理!#REF!="実施完了")*(日次管理!#REF!="予定")*(日次管理!#REF!=$A$57),日次管理!#REF!)</f>
        <v>#REF!</v>
      </c>
      <c r="BK60" s="56" t="e">
        <f>SUMPRODUCT((日次管理!#REF!&lt;=$BK$58)*(日次管理!#REF!=$A$60)*(日次管理!#REF!="実施完了")*(日次管理!#REF!="実績")*(日次管理!#REF!=$A$57),日次管理!#REF!)</f>
        <v>#REF!</v>
      </c>
      <c r="BL60" s="55" t="e">
        <f>SUMPRODUCT((日次管理!#REF!&lt;=$BL$58)*(日次管理!#REF!=$A$60)*(日次管理!#REF!="実施完了")*(日次管理!#REF!="予定")*(日次管理!#REF!=$A$57),日次管理!#REF!)</f>
        <v>#REF!</v>
      </c>
      <c r="BM60" s="56" t="e">
        <f>SUMPRODUCT((日次管理!#REF!&lt;=$BM$58)*(日次管理!#REF!=$A$60)*(日次管理!#REF!="実施完了")*(日次管理!#REF!="実績")*(日次管理!#REF!=$A$57),日次管理!#REF!)</f>
        <v>#REF!</v>
      </c>
      <c r="BN60" s="55" t="e">
        <f>SUMPRODUCT((日次管理!#REF!&lt;=$BN$58)*(日次管理!#REF!=$A$60)*(日次管理!#REF!="実施完了")*(日次管理!#REF!="予定")*(日次管理!#REF!=$A$57),日次管理!#REF!)</f>
        <v>#REF!</v>
      </c>
      <c r="BO60" s="56" t="e">
        <f>SUMPRODUCT((日次管理!#REF!&lt;=$BO$58)*(日次管理!#REF!=$A$60)*(日次管理!#REF!="実施完了")*(日次管理!#REF!="実績")*(日次管理!#REF!=$A$57),日次管理!#REF!)</f>
        <v>#REF!</v>
      </c>
      <c r="BP60" s="55" t="e">
        <f>SUMPRODUCT((日次管理!#REF!&lt;=$BP$58)*(日次管理!#REF!=$A$60)*(日次管理!#REF!="実施完了")*(日次管理!#REF!="予定")*(日次管理!#REF!=$A$57),日次管理!#REF!)</f>
        <v>#REF!</v>
      </c>
      <c r="BQ60" s="56" t="e">
        <f>SUMPRODUCT((日次管理!#REF!&lt;=$BQ$58)*(日次管理!#REF!=$A$60)*(日次管理!#REF!="実施完了")*(日次管理!#REF!="実績")*(日次管理!#REF!=$A$57),日次管理!#REF!)</f>
        <v>#REF!</v>
      </c>
      <c r="BR60" s="55" t="e">
        <f>SUMPRODUCT((日次管理!#REF!&lt;=$BR$58)*(日次管理!#REF!=$A$60)*(日次管理!#REF!="実施完了")*(日次管理!#REF!="予定")*(日次管理!#REF!=$A$57),日次管理!#REF!)</f>
        <v>#REF!</v>
      </c>
      <c r="BS60" s="56" t="e">
        <f>SUMPRODUCT((日次管理!#REF!&lt;=$BS$58)*(日次管理!#REF!=$A$60)*(日次管理!#REF!="実施完了")*(日次管理!#REF!="実績")*(日次管理!#REF!=$A$57),日次管理!#REF!)</f>
        <v>#REF!</v>
      </c>
      <c r="BT60" s="55" t="e">
        <f>SUMPRODUCT((日次管理!#REF!&lt;=$BT$58)*(日次管理!#REF!=$A$60)*(日次管理!#REF!="実施完了")*(日次管理!#REF!="予定")*(日次管理!#REF!=$A$57),日次管理!#REF!)</f>
        <v>#REF!</v>
      </c>
      <c r="BU60" s="56" t="e">
        <f>SUMPRODUCT((日次管理!#REF!&lt;=$BU$58)*(日次管理!#REF!=$A$60)*(日次管理!#REF!="実施完了")*(日次管理!#REF!="実績")*(日次管理!#REF!=$A$57),日次管理!#REF!)</f>
        <v>#REF!</v>
      </c>
      <c r="BV60" s="55" t="e">
        <f>SUMPRODUCT((日次管理!#REF!&lt;=$BV$58)*(日次管理!#REF!=$A$60)*(日次管理!#REF!="実施完了")*(日次管理!#REF!="予定")*(日次管理!#REF!=$A$57),日次管理!#REF!)</f>
        <v>#REF!</v>
      </c>
      <c r="BW60" s="56" t="e">
        <f>SUMPRODUCT((日次管理!#REF!&lt;=$BW$58)*(日次管理!#REF!=$A$60)*(日次管理!#REF!="実施完了")*(日次管理!#REF!="実績")*(日次管理!#REF!=$A$57),日次管理!#REF!)</f>
        <v>#REF!</v>
      </c>
      <c r="BX60" s="55" t="e">
        <f>SUMPRODUCT((日次管理!#REF!&lt;=$BX$58)*(日次管理!#REF!=$A$60)*(日次管理!#REF!="実施完了")*(日次管理!#REF!="予定")*(日次管理!#REF!=$A$57),日次管理!#REF!)</f>
        <v>#REF!</v>
      </c>
      <c r="BY60" s="56" t="e">
        <f>SUMPRODUCT((日次管理!#REF!&lt;=$BY$58)*(日次管理!#REF!=$A$60)*(日次管理!#REF!="実施完了")*(日次管理!#REF!="実績")*(日次管理!#REF!=$A$57),日次管理!#REF!)</f>
        <v>#REF!</v>
      </c>
      <c r="BZ60" s="55" t="e">
        <f>SUMPRODUCT((日次管理!#REF!&lt;=$BZ$58)*(日次管理!#REF!=$A$60)*(日次管理!#REF!="実施完了")*(日次管理!#REF!="予定")*(日次管理!#REF!=$A$57),日次管理!#REF!)</f>
        <v>#REF!</v>
      </c>
      <c r="CA60" s="56" t="e">
        <f>SUMPRODUCT((日次管理!#REF!&lt;=$CA$58)*(日次管理!#REF!=$A$60)*(日次管理!#REF!="実施完了")*(日次管理!#REF!="実績")*(日次管理!#REF!=$A$57),日次管理!#REF!)</f>
        <v>#REF!</v>
      </c>
      <c r="CB60" s="55" t="e">
        <f>SUMPRODUCT((日次管理!#REF!&lt;=$CB$58)*(日次管理!#REF!=$A$60)*(日次管理!#REF!="実施完了")*(日次管理!#REF!="予定")*(日次管理!#REF!=$A$57),日次管理!#REF!)</f>
        <v>#REF!</v>
      </c>
      <c r="CC60" s="56" t="e">
        <f>SUMPRODUCT((日次管理!#REF!&lt;=$CC$58)*(日次管理!#REF!=$A$60)*(日次管理!#REF!="実施完了")*(日次管理!#REF!="実績")*(日次管理!#REF!=$A$57),日次管理!#REF!)</f>
        <v>#REF!</v>
      </c>
      <c r="CD60" s="55" t="e">
        <f>SUMPRODUCT((日次管理!#REF!&lt;=$CD$58)*(日次管理!#REF!=$A$60)*(日次管理!#REF!="実施完了")*(日次管理!#REF!="予定")*(日次管理!#REF!=$A$57),日次管理!#REF!)</f>
        <v>#REF!</v>
      </c>
      <c r="CE60" s="56" t="e">
        <f>SUMPRODUCT((日次管理!#REF!&lt;=$CE$58)*(日次管理!#REF!=$A$60)*(日次管理!#REF!="実施完了")*(日次管理!#REF!="実績")*(日次管理!#REF!=$A$57),日次管理!#REF!)</f>
        <v>#REF!</v>
      </c>
      <c r="CF60" s="55" t="e">
        <f>SUMPRODUCT((日次管理!#REF!&lt;=$CF$58)*(日次管理!#REF!=$A$60)*(日次管理!#REF!="実施完了")*(日次管理!#REF!="予定")*(日次管理!#REF!=$A$57),日次管理!#REF!)</f>
        <v>#REF!</v>
      </c>
      <c r="CG60" s="56" t="e">
        <f>SUMPRODUCT((日次管理!#REF!&lt;=$CG$58)*(日次管理!#REF!=$A$60)*(日次管理!#REF!="実施完了")*(日次管理!#REF!="実績")*(日次管理!#REF!=$A$57),日次管理!#REF!)</f>
        <v>#REF!</v>
      </c>
      <c r="CH60" s="55" t="e">
        <f>SUMPRODUCT((日次管理!#REF!&lt;=$CH$58)*(日次管理!#REF!=$A$60)*(日次管理!#REF!="実施完了")*(日次管理!#REF!="予定")*(日次管理!#REF!=$A$57),日次管理!#REF!)</f>
        <v>#REF!</v>
      </c>
      <c r="CI60" s="56" t="e">
        <f>SUMPRODUCT((日次管理!#REF!&lt;=$CI$58)*(日次管理!#REF!=$A$60)*(日次管理!#REF!="実施完了")*(日次管理!#REF!="実績")*(日次管理!#REF!=$A$57),日次管理!#REF!)</f>
        <v>#REF!</v>
      </c>
      <c r="CJ60" s="55" t="e">
        <f>SUMPRODUCT((日次管理!#REF!&lt;=$CJ$58)*(日次管理!#REF!=$A$60)*(日次管理!#REF!="実施完了")*(日次管理!#REF!="予定")*(日次管理!#REF!=$A$57),日次管理!#REF!)</f>
        <v>#REF!</v>
      </c>
      <c r="CK60" s="56" t="e">
        <f>SUMPRODUCT((日次管理!#REF!&lt;=$CK$58)*(日次管理!#REF!=$A$60)*(日次管理!#REF!="実施完了")*(日次管理!#REF!="実績")*(日次管理!#REF!=$A$57),日次管理!#REF!)</f>
        <v>#REF!</v>
      </c>
      <c r="CL60" s="55" t="e">
        <f>SUMPRODUCT((日次管理!#REF!&lt;=$CL$58)*(日次管理!#REF!=$A$60)*(日次管理!#REF!="実施完了")*(日次管理!#REF!="予定")*(日次管理!#REF!=$A$57),日次管理!#REF!)</f>
        <v>#REF!</v>
      </c>
      <c r="CM60" s="56" t="e">
        <f>SUMPRODUCT((日次管理!#REF!&lt;=$CM$58)*(日次管理!#REF!=$A$60)*(日次管理!#REF!="実施完了")*(日次管理!#REF!="実績")*(日次管理!#REF!=$A$57),日次管理!#REF!)</f>
        <v>#REF!</v>
      </c>
      <c r="CN60" s="55" t="e">
        <f>SUMPRODUCT((日次管理!#REF!&lt;=$CN$58)*(日次管理!#REF!=$A$60)*(日次管理!#REF!="実施完了")*(日次管理!#REF!="予定")*(日次管理!#REF!=$A$57),日次管理!#REF!)</f>
        <v>#REF!</v>
      </c>
      <c r="CO60" s="56" t="e">
        <f>SUMPRODUCT((日次管理!#REF!&lt;=$CO$58)*(日次管理!#REF!=$A$60)*(日次管理!#REF!="実施完了")*(日次管理!#REF!="実績")*(日次管理!#REF!=$A$57),日次管理!#REF!)</f>
        <v>#REF!</v>
      </c>
      <c r="CP60" s="55" t="e">
        <f>SUMPRODUCT((日次管理!#REF!&lt;=$CP$58)*(日次管理!#REF!=$A$60)*(日次管理!#REF!="実施完了")*(日次管理!#REF!="予定")*(日次管理!#REF!=$A$57),日次管理!#REF!)</f>
        <v>#REF!</v>
      </c>
      <c r="CQ60" s="56" t="e">
        <f>SUMPRODUCT((日次管理!#REF!&lt;=$CQ$58)*(日次管理!#REF!=$A$60)*(日次管理!#REF!="実施完了")*(日次管理!#REF!="実績")*(日次管理!#REF!=$A$57),日次管理!#REF!)</f>
        <v>#REF!</v>
      </c>
      <c r="CR60" s="55" t="e">
        <f>SUMPRODUCT((日次管理!#REF!&lt;=$CR$58)*(日次管理!#REF!=$A$60)*(日次管理!#REF!="実施完了")*(日次管理!#REF!="予定")*(日次管理!#REF!=$A$57),日次管理!#REF!)</f>
        <v>#REF!</v>
      </c>
      <c r="CS60" s="56" t="e">
        <f>SUMPRODUCT((日次管理!#REF!&lt;=$CS$58)*(日次管理!#REF!=$A$60)*(日次管理!#REF!="実施完了")*(日次管理!#REF!="実績")*(日次管理!#REF!=$A$57),日次管理!#REF!)</f>
        <v>#REF!</v>
      </c>
      <c r="CT60" s="55" t="e">
        <f>SUMPRODUCT((日次管理!#REF!&lt;=$CT$58)*(日次管理!#REF!=$A$60)*(日次管理!#REF!="実施完了")*(日次管理!#REF!="予定")*(日次管理!#REF!=$A$57),日次管理!#REF!)</f>
        <v>#REF!</v>
      </c>
      <c r="CU60" s="56" t="e">
        <f>SUMPRODUCT((日次管理!#REF!&lt;=$CU$58)*(日次管理!#REF!=$A$60)*(日次管理!#REF!="実施完了")*(日次管理!#REF!="実績")*(日次管理!#REF!=$A$57),日次管理!#REF!)</f>
        <v>#REF!</v>
      </c>
      <c r="CV60" s="57" t="e">
        <f ca="1">SUMPRODUCT(($A$58- WEEKDAY($A$58) + 6 =$B$58:$CU$58)*("実績"=$B$59:$CU$59),$B$60:$CU$60)/SUMPRODUCT(($A$58- WEEKDAY($A$58) + 6 =$B$58:$CU$58)*("予定"=$B$59:$CU$59),$B$60:$CU$60)</f>
        <v>#REF!</v>
      </c>
      <c r="CW60" s="58" t="e">
        <f>$CU$60/$CT$60</f>
        <v>#REF!</v>
      </c>
    </row>
    <row r="61" spans="1:101" ht="20.149999999999999" customHeight="1" thickBot="1">
      <c r="A61" s="111" t="s">
        <v>65</v>
      </c>
      <c r="B61" s="99" t="e">
        <f>SUM($B$60:$B$60)</f>
        <v>#REF!</v>
      </c>
      <c r="C61" s="100" t="e">
        <f>SUM($C$60:$C$60)</f>
        <v>#REF!</v>
      </c>
      <c r="D61" s="99" t="e">
        <f>SUM($D$60:$D$60)</f>
        <v>#REF!</v>
      </c>
      <c r="E61" s="100" t="e">
        <f>SUM($E$60:$E$60)</f>
        <v>#REF!</v>
      </c>
      <c r="F61" s="99" t="e">
        <f>SUM($F$60:$F$60)</f>
        <v>#REF!</v>
      </c>
      <c r="G61" s="100" t="e">
        <f>SUM($G$60:$G$60)</f>
        <v>#REF!</v>
      </c>
      <c r="H61" s="99" t="e">
        <f>SUM($H$60:$H$60)</f>
        <v>#REF!</v>
      </c>
      <c r="I61" s="100" t="e">
        <f>SUM($I$60:$I$60)</f>
        <v>#REF!</v>
      </c>
      <c r="J61" s="99" t="e">
        <f>SUM($J$60:$J$60)</f>
        <v>#REF!</v>
      </c>
      <c r="K61" s="100" t="e">
        <f>SUM($K$60:$K$60)</f>
        <v>#REF!</v>
      </c>
      <c r="L61" s="99" t="e">
        <f>SUM($L$60:$L$60)</f>
        <v>#REF!</v>
      </c>
      <c r="M61" s="100" t="e">
        <f>SUM($M$60:$M$60)</f>
        <v>#REF!</v>
      </c>
      <c r="N61" s="99" t="e">
        <f>SUM($N$60:$N$60)</f>
        <v>#REF!</v>
      </c>
      <c r="O61" s="100" t="e">
        <f>SUM($O$60:$O$60)</f>
        <v>#REF!</v>
      </c>
      <c r="P61" s="99" t="e">
        <f>SUM($P$60:$P$60)</f>
        <v>#REF!</v>
      </c>
      <c r="Q61" s="100" t="e">
        <f>SUM($Q$60:$Q$60)</f>
        <v>#REF!</v>
      </c>
      <c r="R61" s="99" t="e">
        <f>SUM($R$60:$R$60)</f>
        <v>#REF!</v>
      </c>
      <c r="S61" s="100" t="e">
        <f>SUM($S$60:$S$60)</f>
        <v>#REF!</v>
      </c>
      <c r="T61" s="99" t="e">
        <f>SUM($T$60:$T$60)</f>
        <v>#REF!</v>
      </c>
      <c r="U61" s="100" t="e">
        <f>SUM($U$60:$U$60)</f>
        <v>#REF!</v>
      </c>
      <c r="V61" s="99" t="e">
        <f>SUM($V$60:$V$60)</f>
        <v>#REF!</v>
      </c>
      <c r="W61" s="100" t="e">
        <f>SUM($W$60:$W$60)</f>
        <v>#REF!</v>
      </c>
      <c r="X61" s="99" t="e">
        <f>SUM($X$60:$X$60)</f>
        <v>#REF!</v>
      </c>
      <c r="Y61" s="100" t="e">
        <f>SUM($Y$60:$Y$60)</f>
        <v>#REF!</v>
      </c>
      <c r="Z61" s="99" t="e">
        <f>SUM($Z$60:$Z$60)</f>
        <v>#REF!</v>
      </c>
      <c r="AA61" s="100" t="e">
        <f>SUM($AA$60:$AA$60)</f>
        <v>#REF!</v>
      </c>
      <c r="AB61" s="99" t="e">
        <f>SUM($AB$60:$AB$60)</f>
        <v>#REF!</v>
      </c>
      <c r="AC61" s="100" t="e">
        <f>SUM($AC$60:$AC$60)</f>
        <v>#REF!</v>
      </c>
      <c r="AD61" s="99" t="e">
        <f>SUM($AD$60:$AD$60)</f>
        <v>#REF!</v>
      </c>
      <c r="AE61" s="100" t="e">
        <f>SUM($AE$60:$AE$60)</f>
        <v>#REF!</v>
      </c>
      <c r="AF61" s="99" t="e">
        <f>SUM($AF$60:$AF$60)</f>
        <v>#REF!</v>
      </c>
      <c r="AG61" s="100" t="e">
        <f>SUM($AG$60:$AG$60)</f>
        <v>#REF!</v>
      </c>
      <c r="AH61" s="99" t="e">
        <f>SUM($AH$60:$AH$60)</f>
        <v>#REF!</v>
      </c>
      <c r="AI61" s="100" t="e">
        <f>SUM($AI$60:$AI$60)</f>
        <v>#REF!</v>
      </c>
      <c r="AJ61" s="99" t="e">
        <f>SUM($AJ$60:$AJ$60)</f>
        <v>#REF!</v>
      </c>
      <c r="AK61" s="100" t="e">
        <f>SUM($AK$60:$AK$60)</f>
        <v>#REF!</v>
      </c>
      <c r="AL61" s="99" t="e">
        <f>SUM($AL$60:$AL$60)</f>
        <v>#REF!</v>
      </c>
      <c r="AM61" s="100" t="e">
        <f>SUM($AM$60:$AM$60)</f>
        <v>#REF!</v>
      </c>
      <c r="AN61" s="99" t="e">
        <f>SUM($AN$60:$AN$60)</f>
        <v>#REF!</v>
      </c>
      <c r="AO61" s="100" t="e">
        <f>SUM($AO$60:$AO$60)</f>
        <v>#REF!</v>
      </c>
      <c r="AP61" s="99" t="e">
        <f>SUM($AP$60:$AP$60)</f>
        <v>#REF!</v>
      </c>
      <c r="AQ61" s="100" t="e">
        <f>SUM($AQ$60:$AQ$60)</f>
        <v>#REF!</v>
      </c>
      <c r="AR61" s="99" t="e">
        <f>SUM($AR$60:$AR$60)</f>
        <v>#REF!</v>
      </c>
      <c r="AS61" s="100" t="e">
        <f>SUM($AS$60:$AS$60)</f>
        <v>#REF!</v>
      </c>
      <c r="AT61" s="99" t="e">
        <f>SUM($AT$60:$AT$60)</f>
        <v>#REF!</v>
      </c>
      <c r="AU61" s="100" t="e">
        <f>SUM($AU$60:$AU$60)</f>
        <v>#REF!</v>
      </c>
      <c r="AV61" s="99" t="e">
        <f>SUM($AV$60:$AV$60)</f>
        <v>#REF!</v>
      </c>
      <c r="AW61" s="100" t="e">
        <f>SUM($AW$60:$AW$60)</f>
        <v>#REF!</v>
      </c>
      <c r="AX61" s="99" t="e">
        <f>SUM($AX$60:$AX$60)</f>
        <v>#REF!</v>
      </c>
      <c r="AY61" s="100" t="e">
        <f>SUM($AY$60:$AY$60)</f>
        <v>#REF!</v>
      </c>
      <c r="AZ61" s="99" t="e">
        <f>SUM($AZ$60:$AZ$60)</f>
        <v>#REF!</v>
      </c>
      <c r="BA61" s="100" t="e">
        <f>SUM($BA$60:$BA$60)</f>
        <v>#REF!</v>
      </c>
      <c r="BB61" s="99" t="e">
        <f>SUM($BB$60:$BB$60)</f>
        <v>#REF!</v>
      </c>
      <c r="BC61" s="100" t="e">
        <f>SUM($BC$60:$BC$60)</f>
        <v>#REF!</v>
      </c>
      <c r="BD61" s="99" t="e">
        <f>SUM($BD$60:$BD$60)</f>
        <v>#REF!</v>
      </c>
      <c r="BE61" s="100" t="e">
        <f>SUM($BE$60:$BE$60)</f>
        <v>#REF!</v>
      </c>
      <c r="BF61" s="99" t="e">
        <f>SUM($BF$60:$BF$60)</f>
        <v>#REF!</v>
      </c>
      <c r="BG61" s="100" t="e">
        <f>SUM($BG$60:$BG$60)</f>
        <v>#REF!</v>
      </c>
      <c r="BH61" s="99" t="e">
        <f>SUM($BH$60:$BH$60)</f>
        <v>#REF!</v>
      </c>
      <c r="BI61" s="100" t="e">
        <f>SUM($BI$60:$BI$60)</f>
        <v>#REF!</v>
      </c>
      <c r="BJ61" s="99" t="e">
        <f>SUM($BJ$60:$BJ$60)</f>
        <v>#REF!</v>
      </c>
      <c r="BK61" s="100" t="e">
        <f>SUM($BK$60:$BK$60)</f>
        <v>#REF!</v>
      </c>
      <c r="BL61" s="99" t="e">
        <f>SUM($BL$60:$BL$60)</f>
        <v>#REF!</v>
      </c>
      <c r="BM61" s="100" t="e">
        <f>SUM($BM$60:$BM$60)</f>
        <v>#REF!</v>
      </c>
      <c r="BN61" s="99" t="e">
        <f>SUM($BN$60:$BN$60)</f>
        <v>#REF!</v>
      </c>
      <c r="BO61" s="100" t="e">
        <f>SUM($BO$60:$BO$60)</f>
        <v>#REF!</v>
      </c>
      <c r="BP61" s="99" t="e">
        <f>SUM($BP$60:$BP$60)</f>
        <v>#REF!</v>
      </c>
      <c r="BQ61" s="100" t="e">
        <f>SUM($BQ$60:$BQ$60)</f>
        <v>#REF!</v>
      </c>
      <c r="BR61" s="99" t="e">
        <f>SUM($BR$60:$BR$60)</f>
        <v>#REF!</v>
      </c>
      <c r="BS61" s="100" t="e">
        <f>SUM($BS$60:$BS$60)</f>
        <v>#REF!</v>
      </c>
      <c r="BT61" s="99" t="e">
        <f>SUM($BT$60:$BT$60)</f>
        <v>#REF!</v>
      </c>
      <c r="BU61" s="100" t="e">
        <f>SUM($BU$60:$BU$60)</f>
        <v>#REF!</v>
      </c>
      <c r="BV61" s="99" t="e">
        <f>SUM($BV$60:$BV$60)</f>
        <v>#REF!</v>
      </c>
      <c r="BW61" s="100" t="e">
        <f>SUM($BW$60:$BW$60)</f>
        <v>#REF!</v>
      </c>
      <c r="BX61" s="99" t="e">
        <f>SUM($BX$60:$BX$60)</f>
        <v>#REF!</v>
      </c>
      <c r="BY61" s="100" t="e">
        <f>SUM($BY$60:$BY$60)</f>
        <v>#REF!</v>
      </c>
      <c r="BZ61" s="99" t="e">
        <f>SUM($BZ$60:$BZ$60)</f>
        <v>#REF!</v>
      </c>
      <c r="CA61" s="100" t="e">
        <f>SUM($CA$60:$CA$60)</f>
        <v>#REF!</v>
      </c>
      <c r="CB61" s="99" t="e">
        <f>SUM($CB$60:$CB$60)</f>
        <v>#REF!</v>
      </c>
      <c r="CC61" s="100" t="e">
        <f>SUM($CC$60:$CC$60)</f>
        <v>#REF!</v>
      </c>
      <c r="CD61" s="99" t="e">
        <f>SUM($CD$60:$CD$60)</f>
        <v>#REF!</v>
      </c>
      <c r="CE61" s="100" t="e">
        <f>SUM($CE$60:$CE$60)</f>
        <v>#REF!</v>
      </c>
      <c r="CF61" s="99" t="e">
        <f>SUM($CF$60:$CF$60)</f>
        <v>#REF!</v>
      </c>
      <c r="CG61" s="100" t="e">
        <f>SUM($CG$60:$CG$60)</f>
        <v>#REF!</v>
      </c>
      <c r="CH61" s="99" t="e">
        <f>SUM($CH$60:$CH$60)</f>
        <v>#REF!</v>
      </c>
      <c r="CI61" s="100" t="e">
        <f>SUM($CI$60:$CI$60)</f>
        <v>#REF!</v>
      </c>
      <c r="CJ61" s="99" t="e">
        <f>SUM($CJ$60:$CJ$60)</f>
        <v>#REF!</v>
      </c>
      <c r="CK61" s="100" t="e">
        <f>SUM($CK$60:$CK$60)</f>
        <v>#REF!</v>
      </c>
      <c r="CL61" s="99" t="e">
        <f>SUM($CL$60:$CL$60)</f>
        <v>#REF!</v>
      </c>
      <c r="CM61" s="100" t="e">
        <f>SUM($CM$60:$CM$60)</f>
        <v>#REF!</v>
      </c>
      <c r="CN61" s="99" t="e">
        <f>SUM($CN$60:$CN$60)</f>
        <v>#REF!</v>
      </c>
      <c r="CO61" s="100" t="e">
        <f>SUM($CO$60:$CO$60)</f>
        <v>#REF!</v>
      </c>
      <c r="CP61" s="99" t="e">
        <f>SUM($CP$60:$CP$60)</f>
        <v>#REF!</v>
      </c>
      <c r="CQ61" s="100" t="e">
        <f>SUM($CQ$60:$CQ$60)</f>
        <v>#REF!</v>
      </c>
      <c r="CR61" s="99" t="e">
        <f>SUM($CR$60:$CR$60)</f>
        <v>#REF!</v>
      </c>
      <c r="CS61" s="100" t="e">
        <f>SUM($CS$60:$CS$60)</f>
        <v>#REF!</v>
      </c>
      <c r="CT61" s="99" t="e">
        <f>SUM($CT$60:$CT$60)</f>
        <v>#REF!</v>
      </c>
      <c r="CU61" s="100" t="e">
        <f>SUM($CU$60:$CU$60)</f>
        <v>#REF!</v>
      </c>
      <c r="CV61" s="101" t="e">
        <f ca="1">SUMPRODUCT(($A$58- WEEKDAY($A$58) + 6 =$B$58:$CU$58)*("実績"=$B$59:$CU$59),$B$61:$CU$61)/SUMPRODUCT(($A$58- WEEKDAY($A$58) + 6 =$B$58:$CU$58)*("予定"=$B$59:$CU$59),$B$61:$CU$61)</f>
        <v>#REF!</v>
      </c>
      <c r="CW61" s="102" t="e">
        <f>$CU$61/$CT$61</f>
        <v>#REF!</v>
      </c>
    </row>
    <row r="63" spans="1:101" ht="20.149999999999999" customHeight="1" thickBot="1">
      <c r="A63" s="79" t="s">
        <v>111</v>
      </c>
      <c r="B63" s="43" t="s">
        <v>69</v>
      </c>
    </row>
    <row r="64" spans="1:101" ht="40" customHeight="1">
      <c r="A64" s="80">
        <f ca="1">TODAY()</f>
        <v>43566</v>
      </c>
      <c r="B64" s="82">
        <v>43528</v>
      </c>
      <c r="C64" s="53">
        <v>43528</v>
      </c>
      <c r="D64" s="83">
        <v>43529</v>
      </c>
      <c r="E64" s="63">
        <v>43529</v>
      </c>
      <c r="F64" s="82">
        <v>43530</v>
      </c>
      <c r="G64" s="53">
        <v>43530</v>
      </c>
      <c r="H64" s="83">
        <v>43531</v>
      </c>
      <c r="I64" s="63">
        <v>43531</v>
      </c>
      <c r="J64" s="82">
        <v>43532</v>
      </c>
      <c r="K64" s="53">
        <v>43532</v>
      </c>
      <c r="L64" s="83">
        <v>43533</v>
      </c>
      <c r="M64" s="63">
        <v>43533</v>
      </c>
      <c r="N64" s="82">
        <v>43534</v>
      </c>
      <c r="O64" s="53">
        <v>43534</v>
      </c>
      <c r="P64" s="83">
        <v>43535</v>
      </c>
      <c r="Q64" s="63">
        <v>43535</v>
      </c>
      <c r="R64" s="82">
        <v>43536</v>
      </c>
      <c r="S64" s="53">
        <v>43536</v>
      </c>
      <c r="T64" s="83">
        <v>43537</v>
      </c>
      <c r="U64" s="63">
        <v>43537</v>
      </c>
      <c r="V64" s="82">
        <v>43538</v>
      </c>
      <c r="W64" s="53">
        <v>43538</v>
      </c>
      <c r="X64" s="83">
        <v>43539</v>
      </c>
      <c r="Y64" s="63">
        <v>43539</v>
      </c>
      <c r="Z64" s="82">
        <v>43540</v>
      </c>
      <c r="AA64" s="53">
        <v>43540</v>
      </c>
      <c r="AB64" s="83">
        <v>43541</v>
      </c>
      <c r="AC64" s="63">
        <v>43541</v>
      </c>
      <c r="AD64" s="82">
        <v>43542</v>
      </c>
      <c r="AE64" s="53">
        <v>43542</v>
      </c>
      <c r="AF64" s="83">
        <v>43543</v>
      </c>
      <c r="AG64" s="63">
        <v>43543</v>
      </c>
      <c r="AH64" s="82">
        <v>43544</v>
      </c>
      <c r="AI64" s="53">
        <v>43544</v>
      </c>
      <c r="AJ64" s="83">
        <v>43545</v>
      </c>
      <c r="AK64" s="63">
        <v>43545</v>
      </c>
      <c r="AL64" s="82">
        <v>43546</v>
      </c>
      <c r="AM64" s="53">
        <v>43546</v>
      </c>
      <c r="AN64" s="83">
        <v>43547</v>
      </c>
      <c r="AO64" s="63">
        <v>43547</v>
      </c>
      <c r="AP64" s="82">
        <v>43548</v>
      </c>
      <c r="AQ64" s="53">
        <v>43548</v>
      </c>
      <c r="AR64" s="83">
        <v>43549</v>
      </c>
      <c r="AS64" s="63">
        <v>43549</v>
      </c>
      <c r="AT64" s="82">
        <v>43550</v>
      </c>
      <c r="AU64" s="53">
        <v>43550</v>
      </c>
      <c r="AV64" s="83">
        <v>43551</v>
      </c>
      <c r="AW64" s="63">
        <v>43551</v>
      </c>
      <c r="AX64" s="82">
        <v>43552</v>
      </c>
      <c r="AY64" s="53">
        <v>43552</v>
      </c>
      <c r="AZ64" s="83">
        <v>43553</v>
      </c>
      <c r="BA64" s="63">
        <v>43553</v>
      </c>
      <c r="BB64" s="82">
        <v>43554</v>
      </c>
      <c r="BC64" s="53">
        <v>43554</v>
      </c>
      <c r="BD64" s="83">
        <v>43555</v>
      </c>
      <c r="BE64" s="63">
        <v>43555</v>
      </c>
      <c r="BF64" s="82">
        <v>43556</v>
      </c>
      <c r="BG64" s="53">
        <v>43556</v>
      </c>
      <c r="BH64" s="83">
        <v>43557</v>
      </c>
      <c r="BI64" s="63">
        <v>43557</v>
      </c>
      <c r="BJ64" s="82">
        <v>43558</v>
      </c>
      <c r="BK64" s="53">
        <v>43558</v>
      </c>
      <c r="BL64" s="83">
        <v>43559</v>
      </c>
      <c r="BM64" s="63">
        <v>43559</v>
      </c>
      <c r="BN64" s="82">
        <v>43560</v>
      </c>
      <c r="BO64" s="53">
        <v>43560</v>
      </c>
      <c r="BP64" s="83">
        <v>43561</v>
      </c>
      <c r="BQ64" s="63">
        <v>43561</v>
      </c>
      <c r="BR64" s="82">
        <v>43562</v>
      </c>
      <c r="BS64" s="53">
        <v>43562</v>
      </c>
      <c r="BT64" s="83">
        <v>43563</v>
      </c>
      <c r="BU64" s="63">
        <v>43563</v>
      </c>
      <c r="BV64" s="82">
        <v>43564</v>
      </c>
      <c r="BW64" s="53">
        <v>43564</v>
      </c>
      <c r="BX64" s="83">
        <v>43565</v>
      </c>
      <c r="BY64" s="63">
        <v>43565</v>
      </c>
      <c r="BZ64" s="82">
        <v>43566</v>
      </c>
      <c r="CA64" s="53">
        <v>43566</v>
      </c>
      <c r="CB64" s="83">
        <v>43567</v>
      </c>
      <c r="CC64" s="63">
        <v>43567</v>
      </c>
      <c r="CD64" s="82">
        <v>43568</v>
      </c>
      <c r="CE64" s="53">
        <v>43568</v>
      </c>
      <c r="CF64" s="83">
        <v>43569</v>
      </c>
      <c r="CG64" s="63">
        <v>43569</v>
      </c>
      <c r="CH64" s="82">
        <v>43570</v>
      </c>
      <c r="CI64" s="53">
        <v>43570</v>
      </c>
      <c r="CJ64" s="83">
        <v>43571</v>
      </c>
      <c r="CK64" s="63">
        <v>43571</v>
      </c>
      <c r="CL64" s="82">
        <v>43572</v>
      </c>
      <c r="CM64" s="53">
        <v>43572</v>
      </c>
      <c r="CN64" s="83">
        <v>43573</v>
      </c>
      <c r="CO64" s="63">
        <v>43573</v>
      </c>
      <c r="CP64" s="82">
        <v>43574</v>
      </c>
      <c r="CQ64" s="53">
        <v>43574</v>
      </c>
      <c r="CR64" s="83">
        <v>43575</v>
      </c>
      <c r="CS64" s="63">
        <v>43575</v>
      </c>
      <c r="CT64" s="82">
        <v>43576</v>
      </c>
      <c r="CU64" s="53">
        <v>43576</v>
      </c>
      <c r="CV64" s="141" t="s">
        <v>66</v>
      </c>
      <c r="CW64" s="142"/>
    </row>
    <row r="65" spans="1:101" ht="20.149999999999999" customHeight="1" thickBot="1">
      <c r="A65" s="103" t="s">
        <v>64</v>
      </c>
      <c r="B65" s="85" t="s">
        <v>60</v>
      </c>
      <c r="C65" s="86" t="s">
        <v>61</v>
      </c>
      <c r="D65" s="87" t="s">
        <v>60</v>
      </c>
      <c r="E65" s="88" t="s">
        <v>61</v>
      </c>
      <c r="F65" s="85" t="s">
        <v>60</v>
      </c>
      <c r="G65" s="86" t="s">
        <v>61</v>
      </c>
      <c r="H65" s="87" t="s">
        <v>60</v>
      </c>
      <c r="I65" s="88" t="s">
        <v>61</v>
      </c>
      <c r="J65" s="85" t="s">
        <v>60</v>
      </c>
      <c r="K65" s="86" t="s">
        <v>61</v>
      </c>
      <c r="L65" s="87" t="s">
        <v>60</v>
      </c>
      <c r="M65" s="88" t="s">
        <v>61</v>
      </c>
      <c r="N65" s="85" t="s">
        <v>60</v>
      </c>
      <c r="O65" s="86" t="s">
        <v>61</v>
      </c>
      <c r="P65" s="87" t="s">
        <v>60</v>
      </c>
      <c r="Q65" s="88" t="s">
        <v>61</v>
      </c>
      <c r="R65" s="85" t="s">
        <v>60</v>
      </c>
      <c r="S65" s="86" t="s">
        <v>61</v>
      </c>
      <c r="T65" s="87" t="s">
        <v>60</v>
      </c>
      <c r="U65" s="88" t="s">
        <v>61</v>
      </c>
      <c r="V65" s="85" t="s">
        <v>60</v>
      </c>
      <c r="W65" s="86" t="s">
        <v>61</v>
      </c>
      <c r="X65" s="87" t="s">
        <v>60</v>
      </c>
      <c r="Y65" s="88" t="s">
        <v>61</v>
      </c>
      <c r="Z65" s="85" t="s">
        <v>60</v>
      </c>
      <c r="AA65" s="86" t="s">
        <v>61</v>
      </c>
      <c r="AB65" s="87" t="s">
        <v>60</v>
      </c>
      <c r="AC65" s="88" t="s">
        <v>61</v>
      </c>
      <c r="AD65" s="85" t="s">
        <v>60</v>
      </c>
      <c r="AE65" s="86" t="s">
        <v>61</v>
      </c>
      <c r="AF65" s="87" t="s">
        <v>60</v>
      </c>
      <c r="AG65" s="88" t="s">
        <v>61</v>
      </c>
      <c r="AH65" s="85" t="s">
        <v>60</v>
      </c>
      <c r="AI65" s="86" t="s">
        <v>61</v>
      </c>
      <c r="AJ65" s="87" t="s">
        <v>60</v>
      </c>
      <c r="AK65" s="88" t="s">
        <v>61</v>
      </c>
      <c r="AL65" s="85" t="s">
        <v>60</v>
      </c>
      <c r="AM65" s="86" t="s">
        <v>61</v>
      </c>
      <c r="AN65" s="87" t="s">
        <v>60</v>
      </c>
      <c r="AO65" s="88" t="s">
        <v>61</v>
      </c>
      <c r="AP65" s="85" t="s">
        <v>60</v>
      </c>
      <c r="AQ65" s="86" t="s">
        <v>61</v>
      </c>
      <c r="AR65" s="87" t="s">
        <v>60</v>
      </c>
      <c r="AS65" s="88" t="s">
        <v>61</v>
      </c>
      <c r="AT65" s="85" t="s">
        <v>60</v>
      </c>
      <c r="AU65" s="86" t="s">
        <v>61</v>
      </c>
      <c r="AV65" s="87" t="s">
        <v>60</v>
      </c>
      <c r="AW65" s="88" t="s">
        <v>61</v>
      </c>
      <c r="AX65" s="85" t="s">
        <v>60</v>
      </c>
      <c r="AY65" s="86" t="s">
        <v>61</v>
      </c>
      <c r="AZ65" s="87" t="s">
        <v>60</v>
      </c>
      <c r="BA65" s="88" t="s">
        <v>61</v>
      </c>
      <c r="BB65" s="85" t="s">
        <v>60</v>
      </c>
      <c r="BC65" s="86" t="s">
        <v>61</v>
      </c>
      <c r="BD65" s="87" t="s">
        <v>60</v>
      </c>
      <c r="BE65" s="88" t="s">
        <v>61</v>
      </c>
      <c r="BF65" s="85" t="s">
        <v>60</v>
      </c>
      <c r="BG65" s="86" t="s">
        <v>61</v>
      </c>
      <c r="BH65" s="87" t="s">
        <v>60</v>
      </c>
      <c r="BI65" s="88" t="s">
        <v>61</v>
      </c>
      <c r="BJ65" s="85" t="s">
        <v>60</v>
      </c>
      <c r="BK65" s="86" t="s">
        <v>61</v>
      </c>
      <c r="BL65" s="87" t="s">
        <v>60</v>
      </c>
      <c r="BM65" s="88" t="s">
        <v>61</v>
      </c>
      <c r="BN65" s="85" t="s">
        <v>60</v>
      </c>
      <c r="BO65" s="86" t="s">
        <v>61</v>
      </c>
      <c r="BP65" s="87" t="s">
        <v>60</v>
      </c>
      <c r="BQ65" s="88" t="s">
        <v>61</v>
      </c>
      <c r="BR65" s="85" t="s">
        <v>60</v>
      </c>
      <c r="BS65" s="86" t="s">
        <v>61</v>
      </c>
      <c r="BT65" s="87" t="s">
        <v>60</v>
      </c>
      <c r="BU65" s="88" t="s">
        <v>61</v>
      </c>
      <c r="BV65" s="85" t="s">
        <v>60</v>
      </c>
      <c r="BW65" s="86" t="s">
        <v>61</v>
      </c>
      <c r="BX65" s="87" t="s">
        <v>60</v>
      </c>
      <c r="BY65" s="88" t="s">
        <v>61</v>
      </c>
      <c r="BZ65" s="85" t="s">
        <v>60</v>
      </c>
      <c r="CA65" s="86" t="s">
        <v>61</v>
      </c>
      <c r="CB65" s="87" t="s">
        <v>60</v>
      </c>
      <c r="CC65" s="88" t="s">
        <v>61</v>
      </c>
      <c r="CD65" s="85" t="s">
        <v>60</v>
      </c>
      <c r="CE65" s="86" t="s">
        <v>61</v>
      </c>
      <c r="CF65" s="87" t="s">
        <v>60</v>
      </c>
      <c r="CG65" s="88" t="s">
        <v>61</v>
      </c>
      <c r="CH65" s="85" t="s">
        <v>60</v>
      </c>
      <c r="CI65" s="86" t="s">
        <v>61</v>
      </c>
      <c r="CJ65" s="87" t="s">
        <v>60</v>
      </c>
      <c r="CK65" s="88" t="s">
        <v>61</v>
      </c>
      <c r="CL65" s="85" t="s">
        <v>60</v>
      </c>
      <c r="CM65" s="86" t="s">
        <v>61</v>
      </c>
      <c r="CN65" s="87" t="s">
        <v>60</v>
      </c>
      <c r="CO65" s="88" t="s">
        <v>61</v>
      </c>
      <c r="CP65" s="85" t="s">
        <v>60</v>
      </c>
      <c r="CQ65" s="86" t="s">
        <v>61</v>
      </c>
      <c r="CR65" s="87" t="s">
        <v>60</v>
      </c>
      <c r="CS65" s="88" t="s">
        <v>61</v>
      </c>
      <c r="CT65" s="85" t="s">
        <v>60</v>
      </c>
      <c r="CU65" s="86" t="s">
        <v>61</v>
      </c>
      <c r="CV65" s="87" t="s">
        <v>67</v>
      </c>
      <c r="CW65" s="89" t="s">
        <v>68</v>
      </c>
    </row>
    <row r="66" spans="1:101" ht="20.149999999999999" customHeight="1">
      <c r="A66" s="81" t="s">
        <v>74</v>
      </c>
      <c r="B66" s="55" t="e">
        <f>SUMPRODUCT((日次管理!#REF!&lt;=$B$64)*(日次管理!#REF!=$A$66)*(日次管理!#REF!="精査完了")*(日次管理!#REF!="予定")*(日次管理!#REF!=$A$63),日次管理!#REF!)</f>
        <v>#REF!</v>
      </c>
      <c r="C66" s="56" t="e">
        <f>SUMPRODUCT((日次管理!#REF!&lt;=$C$64)*(日次管理!#REF!=$A$66)*(日次管理!#REF!="精査完了")*(日次管理!#REF!="実績")*(日次管理!#REF!=$A$63),日次管理!#REF!)</f>
        <v>#REF!</v>
      </c>
      <c r="D66" s="55" t="e">
        <f>SUMPRODUCT((日次管理!#REF!&lt;=$D$64)*(日次管理!#REF!=$A$66)*(日次管理!#REF!="精査完了")*(日次管理!#REF!="予定")*(日次管理!#REF!=$A$63),日次管理!#REF!)</f>
        <v>#REF!</v>
      </c>
      <c r="E66" s="56" t="e">
        <f>SUMPRODUCT((日次管理!#REF!&lt;=$E$64)*(日次管理!#REF!=$A$66)*(日次管理!#REF!="精査完了")*(日次管理!#REF!="実績")*(日次管理!#REF!=$A$63),日次管理!#REF!)</f>
        <v>#REF!</v>
      </c>
      <c r="F66" s="55" t="e">
        <f>SUMPRODUCT((日次管理!#REF!&lt;=$F$64)*(日次管理!#REF!=$A$66)*(日次管理!#REF!="精査完了")*(日次管理!#REF!="予定")*(日次管理!#REF!=$A$63),日次管理!#REF!)</f>
        <v>#REF!</v>
      </c>
      <c r="G66" s="56" t="e">
        <f>SUMPRODUCT((日次管理!#REF!&lt;=$G$64)*(日次管理!#REF!=$A$66)*(日次管理!#REF!="精査完了")*(日次管理!#REF!="実績")*(日次管理!#REF!=$A$63),日次管理!#REF!)</f>
        <v>#REF!</v>
      </c>
      <c r="H66" s="55" t="e">
        <f>SUMPRODUCT((日次管理!#REF!&lt;=$H$64)*(日次管理!#REF!=$A$66)*(日次管理!#REF!="精査完了")*(日次管理!#REF!="予定")*(日次管理!#REF!=$A$63),日次管理!#REF!)</f>
        <v>#REF!</v>
      </c>
      <c r="I66" s="56" t="e">
        <f>SUMPRODUCT((日次管理!#REF!&lt;=$I$64)*(日次管理!#REF!=$A$66)*(日次管理!#REF!="精査完了")*(日次管理!#REF!="実績")*(日次管理!#REF!=$A$63),日次管理!#REF!)</f>
        <v>#REF!</v>
      </c>
      <c r="J66" s="55" t="e">
        <f>SUMPRODUCT((日次管理!#REF!&lt;=$J$64)*(日次管理!#REF!=$A$66)*(日次管理!#REF!="精査完了")*(日次管理!#REF!="予定")*(日次管理!#REF!=$A$63),日次管理!#REF!)</f>
        <v>#REF!</v>
      </c>
      <c r="K66" s="56" t="e">
        <f>SUMPRODUCT((日次管理!#REF!&lt;=$K$64)*(日次管理!#REF!=$A$66)*(日次管理!#REF!="精査完了")*(日次管理!#REF!="実績")*(日次管理!#REF!=$A$63),日次管理!#REF!)</f>
        <v>#REF!</v>
      </c>
      <c r="L66" s="55" t="e">
        <f>SUMPRODUCT((日次管理!#REF!&lt;=$L$64)*(日次管理!#REF!=$A$66)*(日次管理!#REF!="精査完了")*(日次管理!#REF!="予定")*(日次管理!#REF!=$A$63),日次管理!#REF!)</f>
        <v>#REF!</v>
      </c>
      <c r="M66" s="56" t="e">
        <f>SUMPRODUCT((日次管理!#REF!&lt;=$M$64)*(日次管理!#REF!=$A$66)*(日次管理!#REF!="精査完了")*(日次管理!#REF!="実績")*(日次管理!#REF!=$A$63),日次管理!#REF!)</f>
        <v>#REF!</v>
      </c>
      <c r="N66" s="55" t="e">
        <f>SUMPRODUCT((日次管理!#REF!&lt;=$N$64)*(日次管理!#REF!=$A$66)*(日次管理!#REF!="精査完了")*(日次管理!#REF!="予定")*(日次管理!#REF!=$A$63),日次管理!#REF!)</f>
        <v>#REF!</v>
      </c>
      <c r="O66" s="56" t="e">
        <f>SUMPRODUCT((日次管理!#REF!&lt;=$O$64)*(日次管理!#REF!=$A$66)*(日次管理!#REF!="精査完了")*(日次管理!#REF!="実績")*(日次管理!#REF!=$A$63),日次管理!#REF!)</f>
        <v>#REF!</v>
      </c>
      <c r="P66" s="55" t="e">
        <f>SUMPRODUCT((日次管理!#REF!&lt;=$P$64)*(日次管理!#REF!=$A$66)*(日次管理!#REF!="精査完了")*(日次管理!#REF!="予定")*(日次管理!#REF!=$A$63),日次管理!#REF!)</f>
        <v>#REF!</v>
      </c>
      <c r="Q66" s="56" t="e">
        <f>SUMPRODUCT((日次管理!#REF!&lt;=$Q$64)*(日次管理!#REF!=$A$66)*(日次管理!#REF!="精査完了")*(日次管理!#REF!="実績")*(日次管理!#REF!=$A$63),日次管理!#REF!)</f>
        <v>#REF!</v>
      </c>
      <c r="R66" s="55" t="e">
        <f>SUMPRODUCT((日次管理!#REF!&lt;=$R$64)*(日次管理!#REF!=$A$66)*(日次管理!#REF!="精査完了")*(日次管理!#REF!="予定")*(日次管理!#REF!=$A$63),日次管理!#REF!)</f>
        <v>#REF!</v>
      </c>
      <c r="S66" s="56" t="e">
        <f>SUMPRODUCT((日次管理!#REF!&lt;=$S$64)*(日次管理!#REF!=$A$66)*(日次管理!#REF!="精査完了")*(日次管理!#REF!="実績")*(日次管理!#REF!=$A$63),日次管理!#REF!)</f>
        <v>#REF!</v>
      </c>
      <c r="T66" s="55" t="e">
        <f>SUMPRODUCT((日次管理!#REF!&lt;=$T$64)*(日次管理!#REF!=$A$66)*(日次管理!#REF!="精査完了")*(日次管理!#REF!="予定")*(日次管理!#REF!=$A$63),日次管理!#REF!)</f>
        <v>#REF!</v>
      </c>
      <c r="U66" s="56" t="e">
        <f>SUMPRODUCT((日次管理!#REF!&lt;=$U$64)*(日次管理!#REF!=$A$66)*(日次管理!#REF!="精査完了")*(日次管理!#REF!="実績")*(日次管理!#REF!=$A$63),日次管理!#REF!)</f>
        <v>#REF!</v>
      </c>
      <c r="V66" s="55" t="e">
        <f>SUMPRODUCT((日次管理!#REF!&lt;=$V$64)*(日次管理!#REF!=$A$66)*(日次管理!#REF!="精査完了")*(日次管理!#REF!="予定")*(日次管理!#REF!=$A$63),日次管理!#REF!)</f>
        <v>#REF!</v>
      </c>
      <c r="W66" s="56" t="e">
        <f>SUMPRODUCT((日次管理!#REF!&lt;=$W$64)*(日次管理!#REF!=$A$66)*(日次管理!#REF!="精査完了")*(日次管理!#REF!="実績")*(日次管理!#REF!=$A$63),日次管理!#REF!)</f>
        <v>#REF!</v>
      </c>
      <c r="X66" s="55" t="e">
        <f>SUMPRODUCT((日次管理!#REF!&lt;=$X$64)*(日次管理!#REF!=$A$66)*(日次管理!#REF!="精査完了")*(日次管理!#REF!="予定")*(日次管理!#REF!=$A$63),日次管理!#REF!)</f>
        <v>#REF!</v>
      </c>
      <c r="Y66" s="56" t="e">
        <f>SUMPRODUCT((日次管理!#REF!&lt;=$Y$64)*(日次管理!#REF!=$A$66)*(日次管理!#REF!="精査完了")*(日次管理!#REF!="実績")*(日次管理!#REF!=$A$63),日次管理!#REF!)</f>
        <v>#REF!</v>
      </c>
      <c r="Z66" s="55" t="e">
        <f>SUMPRODUCT((日次管理!#REF!&lt;=$Z$64)*(日次管理!#REF!=$A$66)*(日次管理!#REF!="精査完了")*(日次管理!#REF!="予定")*(日次管理!#REF!=$A$63),日次管理!#REF!)</f>
        <v>#REF!</v>
      </c>
      <c r="AA66" s="56" t="e">
        <f>SUMPRODUCT((日次管理!#REF!&lt;=$AA$64)*(日次管理!#REF!=$A$66)*(日次管理!#REF!="精査完了")*(日次管理!#REF!="実績")*(日次管理!#REF!=$A$63),日次管理!#REF!)</f>
        <v>#REF!</v>
      </c>
      <c r="AB66" s="55" t="e">
        <f>SUMPRODUCT((日次管理!#REF!&lt;=$AB$64)*(日次管理!#REF!=$A$66)*(日次管理!#REF!="精査完了")*(日次管理!#REF!="予定")*(日次管理!#REF!=$A$63),日次管理!#REF!)</f>
        <v>#REF!</v>
      </c>
      <c r="AC66" s="56" t="e">
        <f>SUMPRODUCT((日次管理!#REF!&lt;=$AC$64)*(日次管理!#REF!=$A$66)*(日次管理!#REF!="精査完了")*(日次管理!#REF!="実績")*(日次管理!#REF!=$A$63),日次管理!#REF!)</f>
        <v>#REF!</v>
      </c>
      <c r="AD66" s="55" t="e">
        <f>SUMPRODUCT((日次管理!#REF!&lt;=$AD$64)*(日次管理!#REF!=$A$66)*(日次管理!#REF!="精査完了")*(日次管理!#REF!="予定")*(日次管理!#REF!=$A$63),日次管理!#REF!)</f>
        <v>#REF!</v>
      </c>
      <c r="AE66" s="56" t="e">
        <f>SUMPRODUCT((日次管理!#REF!&lt;=$AE$64)*(日次管理!#REF!=$A$66)*(日次管理!#REF!="精査完了")*(日次管理!#REF!="実績")*(日次管理!#REF!=$A$63),日次管理!#REF!)</f>
        <v>#REF!</v>
      </c>
      <c r="AF66" s="55" t="e">
        <f>SUMPRODUCT((日次管理!#REF!&lt;=$AF$64)*(日次管理!#REF!=$A$66)*(日次管理!#REF!="精査完了")*(日次管理!#REF!="予定")*(日次管理!#REF!=$A$63),日次管理!#REF!)</f>
        <v>#REF!</v>
      </c>
      <c r="AG66" s="56" t="e">
        <f>SUMPRODUCT((日次管理!#REF!&lt;=$AG$64)*(日次管理!#REF!=$A$66)*(日次管理!#REF!="精査完了")*(日次管理!#REF!="実績")*(日次管理!#REF!=$A$63),日次管理!#REF!)</f>
        <v>#REF!</v>
      </c>
      <c r="AH66" s="55" t="e">
        <f>SUMPRODUCT((日次管理!#REF!&lt;=$AH$64)*(日次管理!#REF!=$A$66)*(日次管理!#REF!="精査完了")*(日次管理!#REF!="予定")*(日次管理!#REF!=$A$63),日次管理!#REF!)</f>
        <v>#REF!</v>
      </c>
      <c r="AI66" s="56" t="e">
        <f>SUMPRODUCT((日次管理!#REF!&lt;=$AI$64)*(日次管理!#REF!=$A$66)*(日次管理!#REF!="精査完了")*(日次管理!#REF!="実績")*(日次管理!#REF!=$A$63),日次管理!#REF!)</f>
        <v>#REF!</v>
      </c>
      <c r="AJ66" s="55" t="e">
        <f>SUMPRODUCT((日次管理!#REF!&lt;=$AJ$64)*(日次管理!#REF!=$A$66)*(日次管理!#REF!="精査完了")*(日次管理!#REF!="予定")*(日次管理!#REF!=$A$63),日次管理!#REF!)</f>
        <v>#REF!</v>
      </c>
      <c r="AK66" s="56" t="e">
        <f>SUMPRODUCT((日次管理!#REF!&lt;=$AK$64)*(日次管理!#REF!=$A$66)*(日次管理!#REF!="精査完了")*(日次管理!#REF!="実績")*(日次管理!#REF!=$A$63),日次管理!#REF!)</f>
        <v>#REF!</v>
      </c>
      <c r="AL66" s="55" t="e">
        <f>SUMPRODUCT((日次管理!#REF!&lt;=$AL$64)*(日次管理!#REF!=$A$66)*(日次管理!#REF!="精査完了")*(日次管理!#REF!="予定")*(日次管理!#REF!=$A$63),日次管理!#REF!)</f>
        <v>#REF!</v>
      </c>
      <c r="AM66" s="56" t="e">
        <f>SUMPRODUCT((日次管理!#REF!&lt;=$AM$64)*(日次管理!#REF!=$A$66)*(日次管理!#REF!="精査完了")*(日次管理!#REF!="実績")*(日次管理!#REF!=$A$63),日次管理!#REF!)</f>
        <v>#REF!</v>
      </c>
      <c r="AN66" s="55" t="e">
        <f>SUMPRODUCT((日次管理!#REF!&lt;=$AN$64)*(日次管理!#REF!=$A$66)*(日次管理!#REF!="精査完了")*(日次管理!#REF!="予定")*(日次管理!#REF!=$A$63),日次管理!#REF!)</f>
        <v>#REF!</v>
      </c>
      <c r="AO66" s="56" t="e">
        <f>SUMPRODUCT((日次管理!#REF!&lt;=$AO$64)*(日次管理!#REF!=$A$66)*(日次管理!#REF!="精査完了")*(日次管理!#REF!="実績")*(日次管理!#REF!=$A$63),日次管理!#REF!)</f>
        <v>#REF!</v>
      </c>
      <c r="AP66" s="55" t="e">
        <f>SUMPRODUCT((日次管理!#REF!&lt;=$AP$64)*(日次管理!#REF!=$A$66)*(日次管理!#REF!="精査完了")*(日次管理!#REF!="予定")*(日次管理!#REF!=$A$63),日次管理!#REF!)</f>
        <v>#REF!</v>
      </c>
      <c r="AQ66" s="56" t="e">
        <f>SUMPRODUCT((日次管理!#REF!&lt;=$AQ$64)*(日次管理!#REF!=$A$66)*(日次管理!#REF!="精査完了")*(日次管理!#REF!="実績")*(日次管理!#REF!=$A$63),日次管理!#REF!)</f>
        <v>#REF!</v>
      </c>
      <c r="AR66" s="55" t="e">
        <f>SUMPRODUCT((日次管理!#REF!&lt;=$AR$64)*(日次管理!#REF!=$A$66)*(日次管理!#REF!="精査完了")*(日次管理!#REF!="予定")*(日次管理!#REF!=$A$63),日次管理!#REF!)</f>
        <v>#REF!</v>
      </c>
      <c r="AS66" s="56" t="e">
        <f>SUMPRODUCT((日次管理!#REF!&lt;=$AS$64)*(日次管理!#REF!=$A$66)*(日次管理!#REF!="精査完了")*(日次管理!#REF!="実績")*(日次管理!#REF!=$A$63),日次管理!#REF!)</f>
        <v>#REF!</v>
      </c>
      <c r="AT66" s="55" t="e">
        <f>SUMPRODUCT((日次管理!#REF!&lt;=$AT$64)*(日次管理!#REF!=$A$66)*(日次管理!#REF!="精査完了")*(日次管理!#REF!="予定")*(日次管理!#REF!=$A$63),日次管理!#REF!)</f>
        <v>#REF!</v>
      </c>
      <c r="AU66" s="56" t="e">
        <f>SUMPRODUCT((日次管理!#REF!&lt;=$AU$64)*(日次管理!#REF!=$A$66)*(日次管理!#REF!="精査完了")*(日次管理!#REF!="実績")*(日次管理!#REF!=$A$63),日次管理!#REF!)</f>
        <v>#REF!</v>
      </c>
      <c r="AV66" s="55" t="e">
        <f>SUMPRODUCT((日次管理!#REF!&lt;=$AV$64)*(日次管理!#REF!=$A$66)*(日次管理!#REF!="精査完了")*(日次管理!#REF!="予定")*(日次管理!#REF!=$A$63),日次管理!#REF!)</f>
        <v>#REF!</v>
      </c>
      <c r="AW66" s="56" t="e">
        <f>SUMPRODUCT((日次管理!#REF!&lt;=$AW$64)*(日次管理!#REF!=$A$66)*(日次管理!#REF!="精査完了")*(日次管理!#REF!="実績")*(日次管理!#REF!=$A$63),日次管理!#REF!)</f>
        <v>#REF!</v>
      </c>
      <c r="AX66" s="55" t="e">
        <f>SUMPRODUCT((日次管理!#REF!&lt;=$AX$64)*(日次管理!#REF!=$A$66)*(日次管理!#REF!="精査完了")*(日次管理!#REF!="予定")*(日次管理!#REF!=$A$63),日次管理!#REF!)</f>
        <v>#REF!</v>
      </c>
      <c r="AY66" s="56" t="e">
        <f>SUMPRODUCT((日次管理!#REF!&lt;=$AY$64)*(日次管理!#REF!=$A$66)*(日次管理!#REF!="精査完了")*(日次管理!#REF!="実績")*(日次管理!#REF!=$A$63),日次管理!#REF!)</f>
        <v>#REF!</v>
      </c>
      <c r="AZ66" s="55" t="e">
        <f>SUMPRODUCT((日次管理!#REF!&lt;=$AZ$64)*(日次管理!#REF!=$A$66)*(日次管理!#REF!="精査完了")*(日次管理!#REF!="予定")*(日次管理!#REF!=$A$63),日次管理!#REF!)</f>
        <v>#REF!</v>
      </c>
      <c r="BA66" s="56" t="e">
        <f>SUMPRODUCT((日次管理!#REF!&lt;=$BA$64)*(日次管理!#REF!=$A$66)*(日次管理!#REF!="精査完了")*(日次管理!#REF!="実績")*(日次管理!#REF!=$A$63),日次管理!#REF!)</f>
        <v>#REF!</v>
      </c>
      <c r="BB66" s="55" t="e">
        <f>SUMPRODUCT((日次管理!#REF!&lt;=$BB$64)*(日次管理!#REF!=$A$66)*(日次管理!#REF!="精査完了")*(日次管理!#REF!="予定")*(日次管理!#REF!=$A$63),日次管理!#REF!)</f>
        <v>#REF!</v>
      </c>
      <c r="BC66" s="56" t="e">
        <f>SUMPRODUCT((日次管理!#REF!&lt;=$BC$64)*(日次管理!#REF!=$A$66)*(日次管理!#REF!="精査完了")*(日次管理!#REF!="実績")*(日次管理!#REF!=$A$63),日次管理!#REF!)</f>
        <v>#REF!</v>
      </c>
      <c r="BD66" s="55" t="e">
        <f>SUMPRODUCT((日次管理!#REF!&lt;=$BD$64)*(日次管理!#REF!=$A$66)*(日次管理!#REF!="精査完了")*(日次管理!#REF!="予定")*(日次管理!#REF!=$A$63),日次管理!#REF!)</f>
        <v>#REF!</v>
      </c>
      <c r="BE66" s="56" t="e">
        <f>SUMPRODUCT((日次管理!#REF!&lt;=$BE$64)*(日次管理!#REF!=$A$66)*(日次管理!#REF!="精査完了")*(日次管理!#REF!="実績")*(日次管理!#REF!=$A$63),日次管理!#REF!)</f>
        <v>#REF!</v>
      </c>
      <c r="BF66" s="55" t="e">
        <f>SUMPRODUCT((日次管理!#REF!&lt;=$BF$64)*(日次管理!#REF!=$A$66)*(日次管理!#REF!="精査完了")*(日次管理!#REF!="予定")*(日次管理!#REF!=$A$63),日次管理!#REF!)</f>
        <v>#REF!</v>
      </c>
      <c r="BG66" s="56" t="e">
        <f>SUMPRODUCT((日次管理!#REF!&lt;=$BG$64)*(日次管理!#REF!=$A$66)*(日次管理!#REF!="精査完了")*(日次管理!#REF!="実績")*(日次管理!#REF!=$A$63),日次管理!#REF!)</f>
        <v>#REF!</v>
      </c>
      <c r="BH66" s="55" t="e">
        <f>SUMPRODUCT((日次管理!#REF!&lt;=$BH$64)*(日次管理!#REF!=$A$66)*(日次管理!#REF!="精査完了")*(日次管理!#REF!="予定")*(日次管理!#REF!=$A$63),日次管理!#REF!)</f>
        <v>#REF!</v>
      </c>
      <c r="BI66" s="56" t="e">
        <f>SUMPRODUCT((日次管理!#REF!&lt;=$BI$64)*(日次管理!#REF!=$A$66)*(日次管理!#REF!="精査完了")*(日次管理!#REF!="実績")*(日次管理!#REF!=$A$63),日次管理!#REF!)</f>
        <v>#REF!</v>
      </c>
      <c r="BJ66" s="55" t="e">
        <f>SUMPRODUCT((日次管理!#REF!&lt;=$BJ$64)*(日次管理!#REF!=$A$66)*(日次管理!#REF!="精査完了")*(日次管理!#REF!="予定")*(日次管理!#REF!=$A$63),日次管理!#REF!)</f>
        <v>#REF!</v>
      </c>
      <c r="BK66" s="56" t="e">
        <f>SUMPRODUCT((日次管理!#REF!&lt;=$BK$64)*(日次管理!#REF!=$A$66)*(日次管理!#REF!="精査完了")*(日次管理!#REF!="実績")*(日次管理!#REF!=$A$63),日次管理!#REF!)</f>
        <v>#REF!</v>
      </c>
      <c r="BL66" s="55" t="e">
        <f>SUMPRODUCT((日次管理!#REF!&lt;=$BL$64)*(日次管理!#REF!=$A$66)*(日次管理!#REF!="精査完了")*(日次管理!#REF!="予定")*(日次管理!#REF!=$A$63),日次管理!#REF!)</f>
        <v>#REF!</v>
      </c>
      <c r="BM66" s="56" t="e">
        <f>SUMPRODUCT((日次管理!#REF!&lt;=$BM$64)*(日次管理!#REF!=$A$66)*(日次管理!#REF!="精査完了")*(日次管理!#REF!="実績")*(日次管理!#REF!=$A$63),日次管理!#REF!)</f>
        <v>#REF!</v>
      </c>
      <c r="BN66" s="55" t="e">
        <f>SUMPRODUCT((日次管理!#REF!&lt;=$BN$64)*(日次管理!#REF!=$A$66)*(日次管理!#REF!="精査完了")*(日次管理!#REF!="予定")*(日次管理!#REF!=$A$63),日次管理!#REF!)</f>
        <v>#REF!</v>
      </c>
      <c r="BO66" s="56" t="e">
        <f>SUMPRODUCT((日次管理!#REF!&lt;=$BO$64)*(日次管理!#REF!=$A$66)*(日次管理!#REF!="精査完了")*(日次管理!#REF!="実績")*(日次管理!#REF!=$A$63),日次管理!#REF!)</f>
        <v>#REF!</v>
      </c>
      <c r="BP66" s="55" t="e">
        <f>SUMPRODUCT((日次管理!#REF!&lt;=$BP$64)*(日次管理!#REF!=$A$66)*(日次管理!#REF!="精査完了")*(日次管理!#REF!="予定")*(日次管理!#REF!=$A$63),日次管理!#REF!)</f>
        <v>#REF!</v>
      </c>
      <c r="BQ66" s="56" t="e">
        <f>SUMPRODUCT((日次管理!#REF!&lt;=$BQ$64)*(日次管理!#REF!=$A$66)*(日次管理!#REF!="精査完了")*(日次管理!#REF!="実績")*(日次管理!#REF!=$A$63),日次管理!#REF!)</f>
        <v>#REF!</v>
      </c>
      <c r="BR66" s="55" t="e">
        <f>SUMPRODUCT((日次管理!#REF!&lt;=$BR$64)*(日次管理!#REF!=$A$66)*(日次管理!#REF!="精査完了")*(日次管理!#REF!="予定")*(日次管理!#REF!=$A$63),日次管理!#REF!)</f>
        <v>#REF!</v>
      </c>
      <c r="BS66" s="56" t="e">
        <f>SUMPRODUCT((日次管理!#REF!&lt;=$BS$64)*(日次管理!#REF!=$A$66)*(日次管理!#REF!="精査完了")*(日次管理!#REF!="実績")*(日次管理!#REF!=$A$63),日次管理!#REF!)</f>
        <v>#REF!</v>
      </c>
      <c r="BT66" s="55" t="e">
        <f>SUMPRODUCT((日次管理!#REF!&lt;=$BT$64)*(日次管理!#REF!=$A$66)*(日次管理!#REF!="精査完了")*(日次管理!#REF!="予定")*(日次管理!#REF!=$A$63),日次管理!#REF!)</f>
        <v>#REF!</v>
      </c>
      <c r="BU66" s="56" t="e">
        <f>SUMPRODUCT((日次管理!#REF!&lt;=$BU$64)*(日次管理!#REF!=$A$66)*(日次管理!#REF!="精査完了")*(日次管理!#REF!="実績")*(日次管理!#REF!=$A$63),日次管理!#REF!)</f>
        <v>#REF!</v>
      </c>
      <c r="BV66" s="55" t="e">
        <f>SUMPRODUCT((日次管理!#REF!&lt;=$BV$64)*(日次管理!#REF!=$A$66)*(日次管理!#REF!="精査完了")*(日次管理!#REF!="予定")*(日次管理!#REF!=$A$63),日次管理!#REF!)</f>
        <v>#REF!</v>
      </c>
      <c r="BW66" s="56" t="e">
        <f>SUMPRODUCT((日次管理!#REF!&lt;=$BW$64)*(日次管理!#REF!=$A$66)*(日次管理!#REF!="精査完了")*(日次管理!#REF!="実績")*(日次管理!#REF!=$A$63),日次管理!#REF!)</f>
        <v>#REF!</v>
      </c>
      <c r="BX66" s="55" t="e">
        <f>SUMPRODUCT((日次管理!#REF!&lt;=$BX$64)*(日次管理!#REF!=$A$66)*(日次管理!#REF!="精査完了")*(日次管理!#REF!="予定")*(日次管理!#REF!=$A$63),日次管理!#REF!)</f>
        <v>#REF!</v>
      </c>
      <c r="BY66" s="56" t="e">
        <f>SUMPRODUCT((日次管理!#REF!&lt;=$BY$64)*(日次管理!#REF!=$A$66)*(日次管理!#REF!="精査完了")*(日次管理!#REF!="実績")*(日次管理!#REF!=$A$63),日次管理!#REF!)</f>
        <v>#REF!</v>
      </c>
      <c r="BZ66" s="55" t="e">
        <f>SUMPRODUCT((日次管理!#REF!&lt;=$BZ$64)*(日次管理!#REF!=$A$66)*(日次管理!#REF!="精査完了")*(日次管理!#REF!="予定")*(日次管理!#REF!=$A$63),日次管理!#REF!)</f>
        <v>#REF!</v>
      </c>
      <c r="CA66" s="56" t="e">
        <f>SUMPRODUCT((日次管理!#REF!&lt;=$CA$64)*(日次管理!#REF!=$A$66)*(日次管理!#REF!="精査完了")*(日次管理!#REF!="実績")*(日次管理!#REF!=$A$63),日次管理!#REF!)</f>
        <v>#REF!</v>
      </c>
      <c r="CB66" s="55" t="e">
        <f>SUMPRODUCT((日次管理!#REF!&lt;=$CB$64)*(日次管理!#REF!=$A$66)*(日次管理!#REF!="精査完了")*(日次管理!#REF!="予定")*(日次管理!#REF!=$A$63),日次管理!#REF!)</f>
        <v>#REF!</v>
      </c>
      <c r="CC66" s="56" t="e">
        <f>SUMPRODUCT((日次管理!#REF!&lt;=$CC$64)*(日次管理!#REF!=$A$66)*(日次管理!#REF!="精査完了")*(日次管理!#REF!="実績")*(日次管理!#REF!=$A$63),日次管理!#REF!)</f>
        <v>#REF!</v>
      </c>
      <c r="CD66" s="55" t="e">
        <f>SUMPRODUCT((日次管理!#REF!&lt;=$CD$64)*(日次管理!#REF!=$A$66)*(日次管理!#REF!="精査完了")*(日次管理!#REF!="予定")*(日次管理!#REF!=$A$63),日次管理!#REF!)</f>
        <v>#REF!</v>
      </c>
      <c r="CE66" s="56" t="e">
        <f>SUMPRODUCT((日次管理!#REF!&lt;=$CE$64)*(日次管理!#REF!=$A$66)*(日次管理!#REF!="精査完了")*(日次管理!#REF!="実績")*(日次管理!#REF!=$A$63),日次管理!#REF!)</f>
        <v>#REF!</v>
      </c>
      <c r="CF66" s="55" t="e">
        <f>SUMPRODUCT((日次管理!#REF!&lt;=$CF$64)*(日次管理!#REF!=$A$66)*(日次管理!#REF!="精査完了")*(日次管理!#REF!="予定")*(日次管理!#REF!=$A$63),日次管理!#REF!)</f>
        <v>#REF!</v>
      </c>
      <c r="CG66" s="56" t="e">
        <f>SUMPRODUCT((日次管理!#REF!&lt;=$CG$64)*(日次管理!#REF!=$A$66)*(日次管理!#REF!="精査完了")*(日次管理!#REF!="実績")*(日次管理!#REF!=$A$63),日次管理!#REF!)</f>
        <v>#REF!</v>
      </c>
      <c r="CH66" s="55" t="e">
        <f>SUMPRODUCT((日次管理!#REF!&lt;=$CH$64)*(日次管理!#REF!=$A$66)*(日次管理!#REF!="精査完了")*(日次管理!#REF!="予定")*(日次管理!#REF!=$A$63),日次管理!#REF!)</f>
        <v>#REF!</v>
      </c>
      <c r="CI66" s="56" t="e">
        <f>SUMPRODUCT((日次管理!#REF!&lt;=$CI$64)*(日次管理!#REF!=$A$66)*(日次管理!#REF!="精査完了")*(日次管理!#REF!="実績")*(日次管理!#REF!=$A$63),日次管理!#REF!)</f>
        <v>#REF!</v>
      </c>
      <c r="CJ66" s="55" t="e">
        <f>SUMPRODUCT((日次管理!#REF!&lt;=$CJ$64)*(日次管理!#REF!=$A$66)*(日次管理!#REF!="精査完了")*(日次管理!#REF!="予定")*(日次管理!#REF!=$A$63),日次管理!#REF!)</f>
        <v>#REF!</v>
      </c>
      <c r="CK66" s="56" t="e">
        <f>SUMPRODUCT((日次管理!#REF!&lt;=$CK$64)*(日次管理!#REF!=$A$66)*(日次管理!#REF!="精査完了")*(日次管理!#REF!="実績")*(日次管理!#REF!=$A$63),日次管理!#REF!)</f>
        <v>#REF!</v>
      </c>
      <c r="CL66" s="55" t="e">
        <f>SUMPRODUCT((日次管理!#REF!&lt;=$CL$64)*(日次管理!#REF!=$A$66)*(日次管理!#REF!="精査完了")*(日次管理!#REF!="予定")*(日次管理!#REF!=$A$63),日次管理!#REF!)</f>
        <v>#REF!</v>
      </c>
      <c r="CM66" s="56" t="e">
        <f>SUMPRODUCT((日次管理!#REF!&lt;=$CM$64)*(日次管理!#REF!=$A$66)*(日次管理!#REF!="精査完了")*(日次管理!#REF!="実績")*(日次管理!#REF!=$A$63),日次管理!#REF!)</f>
        <v>#REF!</v>
      </c>
      <c r="CN66" s="55" t="e">
        <f>SUMPRODUCT((日次管理!#REF!&lt;=$CN$64)*(日次管理!#REF!=$A$66)*(日次管理!#REF!="精査完了")*(日次管理!#REF!="予定")*(日次管理!#REF!=$A$63),日次管理!#REF!)</f>
        <v>#REF!</v>
      </c>
      <c r="CO66" s="56" t="e">
        <f>SUMPRODUCT((日次管理!#REF!&lt;=$CO$64)*(日次管理!#REF!=$A$66)*(日次管理!#REF!="精査完了")*(日次管理!#REF!="実績")*(日次管理!#REF!=$A$63),日次管理!#REF!)</f>
        <v>#REF!</v>
      </c>
      <c r="CP66" s="55" t="e">
        <f>SUMPRODUCT((日次管理!#REF!&lt;=$CP$64)*(日次管理!#REF!=$A$66)*(日次管理!#REF!="精査完了")*(日次管理!#REF!="予定")*(日次管理!#REF!=$A$63),日次管理!#REF!)</f>
        <v>#REF!</v>
      </c>
      <c r="CQ66" s="56" t="e">
        <f>SUMPRODUCT((日次管理!#REF!&lt;=$CQ$64)*(日次管理!#REF!=$A$66)*(日次管理!#REF!="精査完了")*(日次管理!#REF!="実績")*(日次管理!#REF!=$A$63),日次管理!#REF!)</f>
        <v>#REF!</v>
      </c>
      <c r="CR66" s="55" t="e">
        <f>SUMPRODUCT((日次管理!#REF!&lt;=$CR$64)*(日次管理!#REF!=$A$66)*(日次管理!#REF!="精査完了")*(日次管理!#REF!="予定")*(日次管理!#REF!=$A$63),日次管理!#REF!)</f>
        <v>#REF!</v>
      </c>
      <c r="CS66" s="56" t="e">
        <f>SUMPRODUCT((日次管理!#REF!&lt;=$CS$64)*(日次管理!#REF!=$A$66)*(日次管理!#REF!="精査完了")*(日次管理!#REF!="実績")*(日次管理!#REF!=$A$63),日次管理!#REF!)</f>
        <v>#REF!</v>
      </c>
      <c r="CT66" s="55" t="e">
        <f>SUMPRODUCT((日次管理!#REF!&lt;=$CT$64)*(日次管理!#REF!=$A$66)*(日次管理!#REF!="精査完了")*(日次管理!#REF!="予定")*(日次管理!#REF!=$A$63),日次管理!#REF!)</f>
        <v>#REF!</v>
      </c>
      <c r="CU66" s="56" t="e">
        <f>SUMPRODUCT((日次管理!#REF!&lt;=$CU$64)*(日次管理!#REF!=$A$66)*(日次管理!#REF!="精査完了")*(日次管理!#REF!="実績")*(日次管理!#REF!=$A$63),日次管理!#REF!)</f>
        <v>#REF!</v>
      </c>
      <c r="CV66" s="57" t="e">
        <f ca="1">SUMPRODUCT(($A$64- WEEKDAY($A$64) + 6 =$B$64:$CU$64)*("実績"=$B$65:$CU$65),$B$66:$CU$66)/SUMPRODUCT(($A$64- WEEKDAY($A$64) + 6 =$B$64:$CU$64)*("予定"=$B$65:$CU$65),$B$66:$CU$66)</f>
        <v>#REF!</v>
      </c>
      <c r="CW66" s="58" t="e">
        <f>$CU$66/$CT$66</f>
        <v>#REF!</v>
      </c>
    </row>
    <row r="67" spans="1:101" ht="20.149999999999999" customHeight="1" thickBot="1">
      <c r="A67" s="111" t="s">
        <v>65</v>
      </c>
      <c r="B67" s="99" t="e">
        <f>SUM($B$66:$B$66)</f>
        <v>#REF!</v>
      </c>
      <c r="C67" s="100" t="e">
        <f>SUM($C$66:$C$66)</f>
        <v>#REF!</v>
      </c>
      <c r="D67" s="99" t="e">
        <f>SUM($D$66:$D$66)</f>
        <v>#REF!</v>
      </c>
      <c r="E67" s="100" t="e">
        <f>SUM($E$66:$E$66)</f>
        <v>#REF!</v>
      </c>
      <c r="F67" s="99" t="e">
        <f>SUM($F$66:$F$66)</f>
        <v>#REF!</v>
      </c>
      <c r="G67" s="100" t="e">
        <f>SUM($G$66:$G$66)</f>
        <v>#REF!</v>
      </c>
      <c r="H67" s="99" t="e">
        <f>SUM($H$66:$H$66)</f>
        <v>#REF!</v>
      </c>
      <c r="I67" s="100" t="e">
        <f>SUM($I$66:$I$66)</f>
        <v>#REF!</v>
      </c>
      <c r="J67" s="99" t="e">
        <f>SUM($J$66:$J$66)</f>
        <v>#REF!</v>
      </c>
      <c r="K67" s="100" t="e">
        <f>SUM($K$66:$K$66)</f>
        <v>#REF!</v>
      </c>
      <c r="L67" s="99" t="e">
        <f>SUM($L$66:$L$66)</f>
        <v>#REF!</v>
      </c>
      <c r="M67" s="100" t="e">
        <f>SUM($M$66:$M$66)</f>
        <v>#REF!</v>
      </c>
      <c r="N67" s="99" t="e">
        <f>SUM($N$66:$N$66)</f>
        <v>#REF!</v>
      </c>
      <c r="O67" s="100" t="e">
        <f>SUM($O$66:$O$66)</f>
        <v>#REF!</v>
      </c>
      <c r="P67" s="99" t="e">
        <f>SUM($P$66:$P$66)</f>
        <v>#REF!</v>
      </c>
      <c r="Q67" s="100" t="e">
        <f>SUM($Q$66:$Q$66)</f>
        <v>#REF!</v>
      </c>
      <c r="R67" s="99" t="e">
        <f>SUM($R$66:$R$66)</f>
        <v>#REF!</v>
      </c>
      <c r="S67" s="100" t="e">
        <f>SUM($S$66:$S$66)</f>
        <v>#REF!</v>
      </c>
      <c r="T67" s="99" t="e">
        <f>SUM($T$66:$T$66)</f>
        <v>#REF!</v>
      </c>
      <c r="U67" s="100" t="e">
        <f>SUM($U$66:$U$66)</f>
        <v>#REF!</v>
      </c>
      <c r="V67" s="99" t="e">
        <f>SUM($V$66:$V$66)</f>
        <v>#REF!</v>
      </c>
      <c r="W67" s="100" t="e">
        <f>SUM($W$66:$W$66)</f>
        <v>#REF!</v>
      </c>
      <c r="X67" s="99" t="e">
        <f>SUM($X$66:$X$66)</f>
        <v>#REF!</v>
      </c>
      <c r="Y67" s="100" t="e">
        <f>SUM($Y$66:$Y$66)</f>
        <v>#REF!</v>
      </c>
      <c r="Z67" s="99" t="e">
        <f>SUM($Z$66:$Z$66)</f>
        <v>#REF!</v>
      </c>
      <c r="AA67" s="100" t="e">
        <f>SUM($AA$66:$AA$66)</f>
        <v>#REF!</v>
      </c>
      <c r="AB67" s="99" t="e">
        <f>SUM($AB$66:$AB$66)</f>
        <v>#REF!</v>
      </c>
      <c r="AC67" s="100" t="e">
        <f>SUM($AC$66:$AC$66)</f>
        <v>#REF!</v>
      </c>
      <c r="AD67" s="99" t="e">
        <f>SUM($AD$66:$AD$66)</f>
        <v>#REF!</v>
      </c>
      <c r="AE67" s="100" t="e">
        <f>SUM($AE$66:$AE$66)</f>
        <v>#REF!</v>
      </c>
      <c r="AF67" s="99" t="e">
        <f>SUM($AF$66:$AF$66)</f>
        <v>#REF!</v>
      </c>
      <c r="AG67" s="100" t="e">
        <f>SUM($AG$66:$AG$66)</f>
        <v>#REF!</v>
      </c>
      <c r="AH67" s="99" t="e">
        <f>SUM($AH$66:$AH$66)</f>
        <v>#REF!</v>
      </c>
      <c r="AI67" s="100" t="e">
        <f>SUM($AI$66:$AI$66)</f>
        <v>#REF!</v>
      </c>
      <c r="AJ67" s="99" t="e">
        <f>SUM($AJ$66:$AJ$66)</f>
        <v>#REF!</v>
      </c>
      <c r="AK67" s="100" t="e">
        <f>SUM($AK$66:$AK$66)</f>
        <v>#REF!</v>
      </c>
      <c r="AL67" s="99" t="e">
        <f>SUM($AL$66:$AL$66)</f>
        <v>#REF!</v>
      </c>
      <c r="AM67" s="100" t="e">
        <f>SUM($AM$66:$AM$66)</f>
        <v>#REF!</v>
      </c>
      <c r="AN67" s="99" t="e">
        <f>SUM($AN$66:$AN$66)</f>
        <v>#REF!</v>
      </c>
      <c r="AO67" s="100" t="e">
        <f>SUM($AO$66:$AO$66)</f>
        <v>#REF!</v>
      </c>
      <c r="AP67" s="99" t="e">
        <f>SUM($AP$66:$AP$66)</f>
        <v>#REF!</v>
      </c>
      <c r="AQ67" s="100" t="e">
        <f>SUM($AQ$66:$AQ$66)</f>
        <v>#REF!</v>
      </c>
      <c r="AR67" s="99" t="e">
        <f>SUM($AR$66:$AR$66)</f>
        <v>#REF!</v>
      </c>
      <c r="AS67" s="100" t="e">
        <f>SUM($AS$66:$AS$66)</f>
        <v>#REF!</v>
      </c>
      <c r="AT67" s="99" t="e">
        <f>SUM($AT$66:$AT$66)</f>
        <v>#REF!</v>
      </c>
      <c r="AU67" s="100" t="e">
        <f>SUM($AU$66:$AU$66)</f>
        <v>#REF!</v>
      </c>
      <c r="AV67" s="99" t="e">
        <f>SUM($AV$66:$AV$66)</f>
        <v>#REF!</v>
      </c>
      <c r="AW67" s="100" t="e">
        <f>SUM($AW$66:$AW$66)</f>
        <v>#REF!</v>
      </c>
      <c r="AX67" s="99" t="e">
        <f>SUM($AX$66:$AX$66)</f>
        <v>#REF!</v>
      </c>
      <c r="AY67" s="100" t="e">
        <f>SUM($AY$66:$AY$66)</f>
        <v>#REF!</v>
      </c>
      <c r="AZ67" s="99" t="e">
        <f>SUM($AZ$66:$AZ$66)</f>
        <v>#REF!</v>
      </c>
      <c r="BA67" s="100" t="e">
        <f>SUM($BA$66:$BA$66)</f>
        <v>#REF!</v>
      </c>
      <c r="BB67" s="99" t="e">
        <f>SUM($BB$66:$BB$66)</f>
        <v>#REF!</v>
      </c>
      <c r="BC67" s="100" t="e">
        <f>SUM($BC$66:$BC$66)</f>
        <v>#REF!</v>
      </c>
      <c r="BD67" s="99" t="e">
        <f>SUM($BD$66:$BD$66)</f>
        <v>#REF!</v>
      </c>
      <c r="BE67" s="100" t="e">
        <f>SUM($BE$66:$BE$66)</f>
        <v>#REF!</v>
      </c>
      <c r="BF67" s="99" t="e">
        <f>SUM($BF$66:$BF$66)</f>
        <v>#REF!</v>
      </c>
      <c r="BG67" s="100" t="e">
        <f>SUM($BG$66:$BG$66)</f>
        <v>#REF!</v>
      </c>
      <c r="BH67" s="99" t="e">
        <f>SUM($BH$66:$BH$66)</f>
        <v>#REF!</v>
      </c>
      <c r="BI67" s="100" t="e">
        <f>SUM($BI$66:$BI$66)</f>
        <v>#REF!</v>
      </c>
      <c r="BJ67" s="99" t="e">
        <f>SUM($BJ$66:$BJ$66)</f>
        <v>#REF!</v>
      </c>
      <c r="BK67" s="100" t="e">
        <f>SUM($BK$66:$BK$66)</f>
        <v>#REF!</v>
      </c>
      <c r="BL67" s="99" t="e">
        <f>SUM($BL$66:$BL$66)</f>
        <v>#REF!</v>
      </c>
      <c r="BM67" s="100" t="e">
        <f>SUM($BM$66:$BM$66)</f>
        <v>#REF!</v>
      </c>
      <c r="BN67" s="99" t="e">
        <f>SUM($BN$66:$BN$66)</f>
        <v>#REF!</v>
      </c>
      <c r="BO67" s="100" t="e">
        <f>SUM($BO$66:$BO$66)</f>
        <v>#REF!</v>
      </c>
      <c r="BP67" s="99" t="e">
        <f>SUM($BP$66:$BP$66)</f>
        <v>#REF!</v>
      </c>
      <c r="BQ67" s="100" t="e">
        <f>SUM($BQ$66:$BQ$66)</f>
        <v>#REF!</v>
      </c>
      <c r="BR67" s="99" t="e">
        <f>SUM($BR$66:$BR$66)</f>
        <v>#REF!</v>
      </c>
      <c r="BS67" s="100" t="e">
        <f>SUM($BS$66:$BS$66)</f>
        <v>#REF!</v>
      </c>
      <c r="BT67" s="99" t="e">
        <f>SUM($BT$66:$BT$66)</f>
        <v>#REF!</v>
      </c>
      <c r="BU67" s="100" t="e">
        <f>SUM($BU$66:$BU$66)</f>
        <v>#REF!</v>
      </c>
      <c r="BV67" s="99" t="e">
        <f>SUM($BV$66:$BV$66)</f>
        <v>#REF!</v>
      </c>
      <c r="BW67" s="100" t="e">
        <f>SUM($BW$66:$BW$66)</f>
        <v>#REF!</v>
      </c>
      <c r="BX67" s="99" t="e">
        <f>SUM($BX$66:$BX$66)</f>
        <v>#REF!</v>
      </c>
      <c r="BY67" s="100" t="e">
        <f>SUM($BY$66:$BY$66)</f>
        <v>#REF!</v>
      </c>
      <c r="BZ67" s="99" t="e">
        <f>SUM($BZ$66:$BZ$66)</f>
        <v>#REF!</v>
      </c>
      <c r="CA67" s="100" t="e">
        <f>SUM($CA$66:$CA$66)</f>
        <v>#REF!</v>
      </c>
      <c r="CB67" s="99" t="e">
        <f>SUM($CB$66:$CB$66)</f>
        <v>#REF!</v>
      </c>
      <c r="CC67" s="100" t="e">
        <f>SUM($CC$66:$CC$66)</f>
        <v>#REF!</v>
      </c>
      <c r="CD67" s="99" t="e">
        <f>SUM($CD$66:$CD$66)</f>
        <v>#REF!</v>
      </c>
      <c r="CE67" s="100" t="e">
        <f>SUM($CE$66:$CE$66)</f>
        <v>#REF!</v>
      </c>
      <c r="CF67" s="99" t="e">
        <f>SUM($CF$66:$CF$66)</f>
        <v>#REF!</v>
      </c>
      <c r="CG67" s="100" t="e">
        <f>SUM($CG$66:$CG$66)</f>
        <v>#REF!</v>
      </c>
      <c r="CH67" s="99" t="e">
        <f>SUM($CH$66:$CH$66)</f>
        <v>#REF!</v>
      </c>
      <c r="CI67" s="100" t="e">
        <f>SUM($CI$66:$CI$66)</f>
        <v>#REF!</v>
      </c>
      <c r="CJ67" s="99" t="e">
        <f>SUM($CJ$66:$CJ$66)</f>
        <v>#REF!</v>
      </c>
      <c r="CK67" s="100" t="e">
        <f>SUM($CK$66:$CK$66)</f>
        <v>#REF!</v>
      </c>
      <c r="CL67" s="99" t="e">
        <f>SUM($CL$66:$CL$66)</f>
        <v>#REF!</v>
      </c>
      <c r="CM67" s="100" t="e">
        <f>SUM($CM$66:$CM$66)</f>
        <v>#REF!</v>
      </c>
      <c r="CN67" s="99" t="e">
        <f>SUM($CN$66:$CN$66)</f>
        <v>#REF!</v>
      </c>
      <c r="CO67" s="100" t="e">
        <f>SUM($CO$66:$CO$66)</f>
        <v>#REF!</v>
      </c>
      <c r="CP67" s="99" t="e">
        <f>SUM($CP$66:$CP$66)</f>
        <v>#REF!</v>
      </c>
      <c r="CQ67" s="100" t="e">
        <f>SUM($CQ$66:$CQ$66)</f>
        <v>#REF!</v>
      </c>
      <c r="CR67" s="99" t="e">
        <f>SUM($CR$66:$CR$66)</f>
        <v>#REF!</v>
      </c>
      <c r="CS67" s="100" t="e">
        <f>SUM($CS$66:$CS$66)</f>
        <v>#REF!</v>
      </c>
      <c r="CT67" s="99" t="e">
        <f>SUM($CT$66:$CT$66)</f>
        <v>#REF!</v>
      </c>
      <c r="CU67" s="100" t="e">
        <f>SUM($CU$66:$CU$66)</f>
        <v>#REF!</v>
      </c>
      <c r="CV67" s="101" t="e">
        <f ca="1">SUMPRODUCT(($A$64- WEEKDAY($A$64) + 6 =$B$64:$CU$64)*("実績"=$B$65:$CU$65),$B$67:$CU$67)/SUMPRODUCT(($A$64- WEEKDAY($A$64) + 6 =$B$64:$CU$64)*("予定"=$B$65:$CU$65),$B$67:$CU$67)</f>
        <v>#REF!</v>
      </c>
      <c r="CW67" s="102" t="e">
        <f>$CU$67/$CT$67</f>
        <v>#REF!</v>
      </c>
    </row>
    <row r="71" spans="1:101" ht="20.149999999999999" customHeight="1" thickBot="1">
      <c r="A71" s="79" t="s">
        <v>112</v>
      </c>
      <c r="B71" s="43" t="s">
        <v>62</v>
      </c>
    </row>
    <row r="72" spans="1:101" ht="40" customHeight="1">
      <c r="A72" s="80">
        <f ca="1">TODAY()</f>
        <v>43566</v>
      </c>
      <c r="B72" s="82">
        <v>43528</v>
      </c>
      <c r="C72" s="53">
        <v>43528</v>
      </c>
      <c r="D72" s="83">
        <v>43529</v>
      </c>
      <c r="E72" s="63">
        <v>43529</v>
      </c>
      <c r="F72" s="82">
        <v>43530</v>
      </c>
      <c r="G72" s="53">
        <v>43530</v>
      </c>
      <c r="H72" s="83">
        <v>43531</v>
      </c>
      <c r="I72" s="63">
        <v>43531</v>
      </c>
      <c r="J72" s="82">
        <v>43532</v>
      </c>
      <c r="K72" s="53">
        <v>43532</v>
      </c>
      <c r="L72" s="83">
        <v>43533</v>
      </c>
      <c r="M72" s="63">
        <v>43533</v>
      </c>
      <c r="N72" s="82">
        <v>43534</v>
      </c>
      <c r="O72" s="53">
        <v>43534</v>
      </c>
      <c r="P72" s="83">
        <v>43535</v>
      </c>
      <c r="Q72" s="63">
        <v>43535</v>
      </c>
      <c r="R72" s="82">
        <v>43536</v>
      </c>
      <c r="S72" s="53">
        <v>43536</v>
      </c>
      <c r="T72" s="83">
        <v>43537</v>
      </c>
      <c r="U72" s="63">
        <v>43537</v>
      </c>
      <c r="V72" s="82">
        <v>43538</v>
      </c>
      <c r="W72" s="53">
        <v>43538</v>
      </c>
      <c r="X72" s="83">
        <v>43539</v>
      </c>
      <c r="Y72" s="63">
        <v>43539</v>
      </c>
      <c r="Z72" s="82">
        <v>43540</v>
      </c>
      <c r="AA72" s="53">
        <v>43540</v>
      </c>
      <c r="AB72" s="83">
        <v>43541</v>
      </c>
      <c r="AC72" s="63">
        <v>43541</v>
      </c>
      <c r="AD72" s="82">
        <v>43542</v>
      </c>
      <c r="AE72" s="53">
        <v>43542</v>
      </c>
      <c r="AF72" s="83">
        <v>43543</v>
      </c>
      <c r="AG72" s="63">
        <v>43543</v>
      </c>
      <c r="AH72" s="82">
        <v>43544</v>
      </c>
      <c r="AI72" s="53">
        <v>43544</v>
      </c>
      <c r="AJ72" s="83">
        <v>43545</v>
      </c>
      <c r="AK72" s="63">
        <v>43545</v>
      </c>
      <c r="AL72" s="82">
        <v>43546</v>
      </c>
      <c r="AM72" s="53">
        <v>43546</v>
      </c>
      <c r="AN72" s="83">
        <v>43547</v>
      </c>
      <c r="AO72" s="63">
        <v>43547</v>
      </c>
      <c r="AP72" s="82">
        <v>43548</v>
      </c>
      <c r="AQ72" s="53">
        <v>43548</v>
      </c>
      <c r="AR72" s="83">
        <v>43549</v>
      </c>
      <c r="AS72" s="63">
        <v>43549</v>
      </c>
      <c r="AT72" s="82">
        <v>43550</v>
      </c>
      <c r="AU72" s="53">
        <v>43550</v>
      </c>
      <c r="AV72" s="83">
        <v>43551</v>
      </c>
      <c r="AW72" s="63">
        <v>43551</v>
      </c>
      <c r="AX72" s="82">
        <v>43552</v>
      </c>
      <c r="AY72" s="53">
        <v>43552</v>
      </c>
      <c r="AZ72" s="83">
        <v>43553</v>
      </c>
      <c r="BA72" s="63">
        <v>43553</v>
      </c>
      <c r="BB72" s="82">
        <v>43554</v>
      </c>
      <c r="BC72" s="53">
        <v>43554</v>
      </c>
      <c r="BD72" s="83">
        <v>43555</v>
      </c>
      <c r="BE72" s="63">
        <v>43555</v>
      </c>
      <c r="BF72" s="82">
        <v>43556</v>
      </c>
      <c r="BG72" s="53">
        <v>43556</v>
      </c>
      <c r="BH72" s="83">
        <v>43557</v>
      </c>
      <c r="BI72" s="63">
        <v>43557</v>
      </c>
      <c r="BJ72" s="82">
        <v>43558</v>
      </c>
      <c r="BK72" s="53">
        <v>43558</v>
      </c>
      <c r="BL72" s="83">
        <v>43559</v>
      </c>
      <c r="BM72" s="63">
        <v>43559</v>
      </c>
      <c r="BN72" s="82">
        <v>43560</v>
      </c>
      <c r="BO72" s="53">
        <v>43560</v>
      </c>
      <c r="BP72" s="83">
        <v>43561</v>
      </c>
      <c r="BQ72" s="63">
        <v>43561</v>
      </c>
      <c r="BR72" s="82">
        <v>43562</v>
      </c>
      <c r="BS72" s="53">
        <v>43562</v>
      </c>
      <c r="BT72" s="83">
        <v>43563</v>
      </c>
      <c r="BU72" s="63">
        <v>43563</v>
      </c>
      <c r="BV72" s="82">
        <v>43564</v>
      </c>
      <c r="BW72" s="53">
        <v>43564</v>
      </c>
      <c r="BX72" s="83">
        <v>43565</v>
      </c>
      <c r="BY72" s="63">
        <v>43565</v>
      </c>
      <c r="BZ72" s="82">
        <v>43566</v>
      </c>
      <c r="CA72" s="53">
        <v>43566</v>
      </c>
      <c r="CB72" s="83">
        <v>43567</v>
      </c>
      <c r="CC72" s="63">
        <v>43567</v>
      </c>
      <c r="CD72" s="82">
        <v>43568</v>
      </c>
      <c r="CE72" s="53">
        <v>43568</v>
      </c>
      <c r="CF72" s="83">
        <v>43569</v>
      </c>
      <c r="CG72" s="63">
        <v>43569</v>
      </c>
      <c r="CH72" s="82">
        <v>43570</v>
      </c>
      <c r="CI72" s="53">
        <v>43570</v>
      </c>
      <c r="CJ72" s="83">
        <v>43571</v>
      </c>
      <c r="CK72" s="63">
        <v>43571</v>
      </c>
      <c r="CL72" s="82">
        <v>43572</v>
      </c>
      <c r="CM72" s="53">
        <v>43572</v>
      </c>
      <c r="CN72" s="83">
        <v>43573</v>
      </c>
      <c r="CO72" s="63">
        <v>43573</v>
      </c>
      <c r="CP72" s="82">
        <v>43574</v>
      </c>
      <c r="CQ72" s="53">
        <v>43574</v>
      </c>
      <c r="CR72" s="83">
        <v>43575</v>
      </c>
      <c r="CS72" s="63">
        <v>43575</v>
      </c>
      <c r="CT72" s="82">
        <v>43576</v>
      </c>
      <c r="CU72" s="53">
        <v>43576</v>
      </c>
      <c r="CV72" s="141" t="s">
        <v>66</v>
      </c>
      <c r="CW72" s="142"/>
    </row>
    <row r="73" spans="1:101" ht="20.149999999999999" customHeight="1" thickBot="1">
      <c r="A73" s="103" t="s">
        <v>64</v>
      </c>
      <c r="B73" s="85" t="s">
        <v>60</v>
      </c>
      <c r="C73" s="86" t="s">
        <v>61</v>
      </c>
      <c r="D73" s="87" t="s">
        <v>60</v>
      </c>
      <c r="E73" s="88" t="s">
        <v>61</v>
      </c>
      <c r="F73" s="85" t="s">
        <v>60</v>
      </c>
      <c r="G73" s="86" t="s">
        <v>61</v>
      </c>
      <c r="H73" s="87" t="s">
        <v>60</v>
      </c>
      <c r="I73" s="88" t="s">
        <v>61</v>
      </c>
      <c r="J73" s="85" t="s">
        <v>60</v>
      </c>
      <c r="K73" s="86" t="s">
        <v>61</v>
      </c>
      <c r="L73" s="87" t="s">
        <v>60</v>
      </c>
      <c r="M73" s="88" t="s">
        <v>61</v>
      </c>
      <c r="N73" s="85" t="s">
        <v>60</v>
      </c>
      <c r="O73" s="86" t="s">
        <v>61</v>
      </c>
      <c r="P73" s="87" t="s">
        <v>60</v>
      </c>
      <c r="Q73" s="88" t="s">
        <v>61</v>
      </c>
      <c r="R73" s="85" t="s">
        <v>60</v>
      </c>
      <c r="S73" s="86" t="s">
        <v>61</v>
      </c>
      <c r="T73" s="87" t="s">
        <v>60</v>
      </c>
      <c r="U73" s="88" t="s">
        <v>61</v>
      </c>
      <c r="V73" s="85" t="s">
        <v>60</v>
      </c>
      <c r="W73" s="86" t="s">
        <v>61</v>
      </c>
      <c r="X73" s="87" t="s">
        <v>60</v>
      </c>
      <c r="Y73" s="88" t="s">
        <v>61</v>
      </c>
      <c r="Z73" s="85" t="s">
        <v>60</v>
      </c>
      <c r="AA73" s="86" t="s">
        <v>61</v>
      </c>
      <c r="AB73" s="87" t="s">
        <v>60</v>
      </c>
      <c r="AC73" s="88" t="s">
        <v>61</v>
      </c>
      <c r="AD73" s="85" t="s">
        <v>60</v>
      </c>
      <c r="AE73" s="86" t="s">
        <v>61</v>
      </c>
      <c r="AF73" s="87" t="s">
        <v>60</v>
      </c>
      <c r="AG73" s="88" t="s">
        <v>61</v>
      </c>
      <c r="AH73" s="85" t="s">
        <v>60</v>
      </c>
      <c r="AI73" s="86" t="s">
        <v>61</v>
      </c>
      <c r="AJ73" s="87" t="s">
        <v>60</v>
      </c>
      <c r="AK73" s="88" t="s">
        <v>61</v>
      </c>
      <c r="AL73" s="85" t="s">
        <v>60</v>
      </c>
      <c r="AM73" s="86" t="s">
        <v>61</v>
      </c>
      <c r="AN73" s="87" t="s">
        <v>60</v>
      </c>
      <c r="AO73" s="88" t="s">
        <v>61</v>
      </c>
      <c r="AP73" s="85" t="s">
        <v>60</v>
      </c>
      <c r="AQ73" s="86" t="s">
        <v>61</v>
      </c>
      <c r="AR73" s="87" t="s">
        <v>60</v>
      </c>
      <c r="AS73" s="88" t="s">
        <v>61</v>
      </c>
      <c r="AT73" s="85" t="s">
        <v>60</v>
      </c>
      <c r="AU73" s="86" t="s">
        <v>61</v>
      </c>
      <c r="AV73" s="87" t="s">
        <v>60</v>
      </c>
      <c r="AW73" s="88" t="s">
        <v>61</v>
      </c>
      <c r="AX73" s="85" t="s">
        <v>60</v>
      </c>
      <c r="AY73" s="86" t="s">
        <v>61</v>
      </c>
      <c r="AZ73" s="87" t="s">
        <v>60</v>
      </c>
      <c r="BA73" s="88" t="s">
        <v>61</v>
      </c>
      <c r="BB73" s="85" t="s">
        <v>60</v>
      </c>
      <c r="BC73" s="86" t="s">
        <v>61</v>
      </c>
      <c r="BD73" s="87" t="s">
        <v>60</v>
      </c>
      <c r="BE73" s="88" t="s">
        <v>61</v>
      </c>
      <c r="BF73" s="85" t="s">
        <v>60</v>
      </c>
      <c r="BG73" s="86" t="s">
        <v>61</v>
      </c>
      <c r="BH73" s="87" t="s">
        <v>60</v>
      </c>
      <c r="BI73" s="88" t="s">
        <v>61</v>
      </c>
      <c r="BJ73" s="85" t="s">
        <v>60</v>
      </c>
      <c r="BK73" s="86" t="s">
        <v>61</v>
      </c>
      <c r="BL73" s="87" t="s">
        <v>60</v>
      </c>
      <c r="BM73" s="88" t="s">
        <v>61</v>
      </c>
      <c r="BN73" s="85" t="s">
        <v>60</v>
      </c>
      <c r="BO73" s="86" t="s">
        <v>61</v>
      </c>
      <c r="BP73" s="87" t="s">
        <v>60</v>
      </c>
      <c r="BQ73" s="88" t="s">
        <v>61</v>
      </c>
      <c r="BR73" s="85" t="s">
        <v>60</v>
      </c>
      <c r="BS73" s="86" t="s">
        <v>61</v>
      </c>
      <c r="BT73" s="87" t="s">
        <v>60</v>
      </c>
      <c r="BU73" s="88" t="s">
        <v>61</v>
      </c>
      <c r="BV73" s="85" t="s">
        <v>60</v>
      </c>
      <c r="BW73" s="86" t="s">
        <v>61</v>
      </c>
      <c r="BX73" s="87" t="s">
        <v>60</v>
      </c>
      <c r="BY73" s="88" t="s">
        <v>61</v>
      </c>
      <c r="BZ73" s="85" t="s">
        <v>60</v>
      </c>
      <c r="CA73" s="86" t="s">
        <v>61</v>
      </c>
      <c r="CB73" s="87" t="s">
        <v>60</v>
      </c>
      <c r="CC73" s="88" t="s">
        <v>61</v>
      </c>
      <c r="CD73" s="85" t="s">
        <v>60</v>
      </c>
      <c r="CE73" s="86" t="s">
        <v>61</v>
      </c>
      <c r="CF73" s="87" t="s">
        <v>60</v>
      </c>
      <c r="CG73" s="88" t="s">
        <v>61</v>
      </c>
      <c r="CH73" s="85" t="s">
        <v>60</v>
      </c>
      <c r="CI73" s="86" t="s">
        <v>61</v>
      </c>
      <c r="CJ73" s="87" t="s">
        <v>60</v>
      </c>
      <c r="CK73" s="88" t="s">
        <v>61</v>
      </c>
      <c r="CL73" s="85" t="s">
        <v>60</v>
      </c>
      <c r="CM73" s="86" t="s">
        <v>61</v>
      </c>
      <c r="CN73" s="87" t="s">
        <v>60</v>
      </c>
      <c r="CO73" s="88" t="s">
        <v>61</v>
      </c>
      <c r="CP73" s="85" t="s">
        <v>60</v>
      </c>
      <c r="CQ73" s="86" t="s">
        <v>61</v>
      </c>
      <c r="CR73" s="87" t="s">
        <v>60</v>
      </c>
      <c r="CS73" s="88" t="s">
        <v>61</v>
      </c>
      <c r="CT73" s="85" t="s">
        <v>60</v>
      </c>
      <c r="CU73" s="86" t="s">
        <v>61</v>
      </c>
      <c r="CV73" s="87" t="s">
        <v>67</v>
      </c>
      <c r="CW73" s="89" t="s">
        <v>68</v>
      </c>
    </row>
    <row r="74" spans="1:101" ht="20.149999999999999" customHeight="1">
      <c r="A74" s="81" t="s">
        <v>95</v>
      </c>
      <c r="B74" s="55" t="e">
        <f>SUMPRODUCT((日次管理!#REF!&lt;=$B$72)*(日次管理!#REF!=$A$74)*(日次管理!#REF!="実施完了")*(日次管理!#REF!="予定")*(日次管理!#REF!=$A$71),日次管理!#REF!)</f>
        <v>#REF!</v>
      </c>
      <c r="C74" s="56" t="e">
        <f>SUMPRODUCT((日次管理!#REF!&lt;=$C$72)*(日次管理!#REF!=$A$74)*(日次管理!#REF!="実施完了")*(日次管理!#REF!="実績")*(日次管理!#REF!=$A$71),日次管理!#REF!)</f>
        <v>#REF!</v>
      </c>
      <c r="D74" s="55" t="e">
        <f>SUMPRODUCT((日次管理!#REF!&lt;=$D$72)*(日次管理!#REF!=$A$74)*(日次管理!#REF!="実施完了")*(日次管理!#REF!="予定")*(日次管理!#REF!=$A$71),日次管理!#REF!)</f>
        <v>#REF!</v>
      </c>
      <c r="E74" s="56" t="e">
        <f>SUMPRODUCT((日次管理!#REF!&lt;=$E$72)*(日次管理!#REF!=$A$74)*(日次管理!#REF!="実施完了")*(日次管理!#REF!="実績")*(日次管理!#REF!=$A$71),日次管理!#REF!)</f>
        <v>#REF!</v>
      </c>
      <c r="F74" s="55" t="e">
        <f>SUMPRODUCT((日次管理!#REF!&lt;=$F$72)*(日次管理!#REF!=$A$74)*(日次管理!#REF!="実施完了")*(日次管理!#REF!="予定")*(日次管理!#REF!=$A$71),日次管理!#REF!)</f>
        <v>#REF!</v>
      </c>
      <c r="G74" s="56" t="e">
        <f>SUMPRODUCT((日次管理!#REF!&lt;=$G$72)*(日次管理!#REF!=$A$74)*(日次管理!#REF!="実施完了")*(日次管理!#REF!="実績")*(日次管理!#REF!=$A$71),日次管理!#REF!)</f>
        <v>#REF!</v>
      </c>
      <c r="H74" s="55" t="e">
        <f>SUMPRODUCT((日次管理!#REF!&lt;=$H$72)*(日次管理!#REF!=$A$74)*(日次管理!#REF!="実施完了")*(日次管理!#REF!="予定")*(日次管理!#REF!=$A$71),日次管理!#REF!)</f>
        <v>#REF!</v>
      </c>
      <c r="I74" s="56" t="e">
        <f>SUMPRODUCT((日次管理!#REF!&lt;=$I$72)*(日次管理!#REF!=$A$74)*(日次管理!#REF!="実施完了")*(日次管理!#REF!="実績")*(日次管理!#REF!=$A$71),日次管理!#REF!)</f>
        <v>#REF!</v>
      </c>
      <c r="J74" s="55" t="e">
        <f>SUMPRODUCT((日次管理!#REF!&lt;=$J$72)*(日次管理!#REF!=$A$74)*(日次管理!#REF!="実施完了")*(日次管理!#REF!="予定")*(日次管理!#REF!=$A$71),日次管理!#REF!)</f>
        <v>#REF!</v>
      </c>
      <c r="K74" s="56" t="e">
        <f>SUMPRODUCT((日次管理!#REF!&lt;=$K$72)*(日次管理!#REF!=$A$74)*(日次管理!#REF!="実施完了")*(日次管理!#REF!="実績")*(日次管理!#REF!=$A$71),日次管理!#REF!)</f>
        <v>#REF!</v>
      </c>
      <c r="L74" s="55" t="e">
        <f>SUMPRODUCT((日次管理!#REF!&lt;=$L$72)*(日次管理!#REF!=$A$74)*(日次管理!#REF!="実施完了")*(日次管理!#REF!="予定")*(日次管理!#REF!=$A$71),日次管理!#REF!)</f>
        <v>#REF!</v>
      </c>
      <c r="M74" s="56" t="e">
        <f>SUMPRODUCT((日次管理!#REF!&lt;=$M$72)*(日次管理!#REF!=$A$74)*(日次管理!#REF!="実施完了")*(日次管理!#REF!="実績")*(日次管理!#REF!=$A$71),日次管理!#REF!)</f>
        <v>#REF!</v>
      </c>
      <c r="N74" s="55" t="e">
        <f>SUMPRODUCT((日次管理!#REF!&lt;=$N$72)*(日次管理!#REF!=$A$74)*(日次管理!#REF!="実施完了")*(日次管理!#REF!="予定")*(日次管理!#REF!=$A$71),日次管理!#REF!)</f>
        <v>#REF!</v>
      </c>
      <c r="O74" s="56" t="e">
        <f>SUMPRODUCT((日次管理!#REF!&lt;=$O$72)*(日次管理!#REF!=$A$74)*(日次管理!#REF!="実施完了")*(日次管理!#REF!="実績")*(日次管理!#REF!=$A$71),日次管理!#REF!)</f>
        <v>#REF!</v>
      </c>
      <c r="P74" s="55" t="e">
        <f>SUMPRODUCT((日次管理!#REF!&lt;=$P$72)*(日次管理!#REF!=$A$74)*(日次管理!#REF!="実施完了")*(日次管理!#REF!="予定")*(日次管理!#REF!=$A$71),日次管理!#REF!)</f>
        <v>#REF!</v>
      </c>
      <c r="Q74" s="56" t="e">
        <f>SUMPRODUCT((日次管理!#REF!&lt;=$Q$72)*(日次管理!#REF!=$A$74)*(日次管理!#REF!="実施完了")*(日次管理!#REF!="実績")*(日次管理!#REF!=$A$71),日次管理!#REF!)</f>
        <v>#REF!</v>
      </c>
      <c r="R74" s="55" t="e">
        <f>SUMPRODUCT((日次管理!#REF!&lt;=$R$72)*(日次管理!#REF!=$A$74)*(日次管理!#REF!="実施完了")*(日次管理!#REF!="予定")*(日次管理!#REF!=$A$71),日次管理!#REF!)</f>
        <v>#REF!</v>
      </c>
      <c r="S74" s="56" t="e">
        <f>SUMPRODUCT((日次管理!#REF!&lt;=$S$72)*(日次管理!#REF!=$A$74)*(日次管理!#REF!="実施完了")*(日次管理!#REF!="実績")*(日次管理!#REF!=$A$71),日次管理!#REF!)</f>
        <v>#REF!</v>
      </c>
      <c r="T74" s="55" t="e">
        <f>SUMPRODUCT((日次管理!#REF!&lt;=$T$72)*(日次管理!#REF!=$A$74)*(日次管理!#REF!="実施完了")*(日次管理!#REF!="予定")*(日次管理!#REF!=$A$71),日次管理!#REF!)</f>
        <v>#REF!</v>
      </c>
      <c r="U74" s="56" t="e">
        <f>SUMPRODUCT((日次管理!#REF!&lt;=$U$72)*(日次管理!#REF!=$A$74)*(日次管理!#REF!="実施完了")*(日次管理!#REF!="実績")*(日次管理!#REF!=$A$71),日次管理!#REF!)</f>
        <v>#REF!</v>
      </c>
      <c r="V74" s="55" t="e">
        <f>SUMPRODUCT((日次管理!#REF!&lt;=$V$72)*(日次管理!#REF!=$A$74)*(日次管理!#REF!="実施完了")*(日次管理!#REF!="予定")*(日次管理!#REF!=$A$71),日次管理!#REF!)</f>
        <v>#REF!</v>
      </c>
      <c r="W74" s="56" t="e">
        <f>SUMPRODUCT((日次管理!#REF!&lt;=$W$72)*(日次管理!#REF!=$A$74)*(日次管理!#REF!="実施完了")*(日次管理!#REF!="実績")*(日次管理!#REF!=$A$71),日次管理!#REF!)</f>
        <v>#REF!</v>
      </c>
      <c r="X74" s="55" t="e">
        <f>SUMPRODUCT((日次管理!#REF!&lt;=$X$72)*(日次管理!#REF!=$A$74)*(日次管理!#REF!="実施完了")*(日次管理!#REF!="予定")*(日次管理!#REF!=$A$71),日次管理!#REF!)</f>
        <v>#REF!</v>
      </c>
      <c r="Y74" s="56" t="e">
        <f>SUMPRODUCT((日次管理!#REF!&lt;=$Y$72)*(日次管理!#REF!=$A$74)*(日次管理!#REF!="実施完了")*(日次管理!#REF!="実績")*(日次管理!#REF!=$A$71),日次管理!#REF!)</f>
        <v>#REF!</v>
      </c>
      <c r="Z74" s="55" t="e">
        <f>SUMPRODUCT((日次管理!#REF!&lt;=$Z$72)*(日次管理!#REF!=$A$74)*(日次管理!#REF!="実施完了")*(日次管理!#REF!="予定")*(日次管理!#REF!=$A$71),日次管理!#REF!)</f>
        <v>#REF!</v>
      </c>
      <c r="AA74" s="56" t="e">
        <f>SUMPRODUCT((日次管理!#REF!&lt;=$AA$72)*(日次管理!#REF!=$A$74)*(日次管理!#REF!="実施完了")*(日次管理!#REF!="実績")*(日次管理!#REF!=$A$71),日次管理!#REF!)</f>
        <v>#REF!</v>
      </c>
      <c r="AB74" s="55" t="e">
        <f>SUMPRODUCT((日次管理!#REF!&lt;=$AB$72)*(日次管理!#REF!=$A$74)*(日次管理!#REF!="実施完了")*(日次管理!#REF!="予定")*(日次管理!#REF!=$A$71),日次管理!#REF!)</f>
        <v>#REF!</v>
      </c>
      <c r="AC74" s="56" t="e">
        <f>SUMPRODUCT((日次管理!#REF!&lt;=$AC$72)*(日次管理!#REF!=$A$74)*(日次管理!#REF!="実施完了")*(日次管理!#REF!="実績")*(日次管理!#REF!=$A$71),日次管理!#REF!)</f>
        <v>#REF!</v>
      </c>
      <c r="AD74" s="55" t="e">
        <f>SUMPRODUCT((日次管理!#REF!&lt;=$AD$72)*(日次管理!#REF!=$A$74)*(日次管理!#REF!="実施完了")*(日次管理!#REF!="予定")*(日次管理!#REF!=$A$71),日次管理!#REF!)</f>
        <v>#REF!</v>
      </c>
      <c r="AE74" s="56" t="e">
        <f>SUMPRODUCT((日次管理!#REF!&lt;=$AE$72)*(日次管理!#REF!=$A$74)*(日次管理!#REF!="実施完了")*(日次管理!#REF!="実績")*(日次管理!#REF!=$A$71),日次管理!#REF!)</f>
        <v>#REF!</v>
      </c>
      <c r="AF74" s="55" t="e">
        <f>SUMPRODUCT((日次管理!#REF!&lt;=$AF$72)*(日次管理!#REF!=$A$74)*(日次管理!#REF!="実施完了")*(日次管理!#REF!="予定")*(日次管理!#REF!=$A$71),日次管理!#REF!)</f>
        <v>#REF!</v>
      </c>
      <c r="AG74" s="56" t="e">
        <f>SUMPRODUCT((日次管理!#REF!&lt;=$AG$72)*(日次管理!#REF!=$A$74)*(日次管理!#REF!="実施完了")*(日次管理!#REF!="実績")*(日次管理!#REF!=$A$71),日次管理!#REF!)</f>
        <v>#REF!</v>
      </c>
      <c r="AH74" s="55" t="e">
        <f>SUMPRODUCT((日次管理!#REF!&lt;=$AH$72)*(日次管理!#REF!=$A$74)*(日次管理!#REF!="実施完了")*(日次管理!#REF!="予定")*(日次管理!#REF!=$A$71),日次管理!#REF!)</f>
        <v>#REF!</v>
      </c>
      <c r="AI74" s="56" t="e">
        <f>SUMPRODUCT((日次管理!#REF!&lt;=$AI$72)*(日次管理!#REF!=$A$74)*(日次管理!#REF!="実施完了")*(日次管理!#REF!="実績")*(日次管理!#REF!=$A$71),日次管理!#REF!)</f>
        <v>#REF!</v>
      </c>
      <c r="AJ74" s="55" t="e">
        <f>SUMPRODUCT((日次管理!#REF!&lt;=$AJ$72)*(日次管理!#REF!=$A$74)*(日次管理!#REF!="実施完了")*(日次管理!#REF!="予定")*(日次管理!#REF!=$A$71),日次管理!#REF!)</f>
        <v>#REF!</v>
      </c>
      <c r="AK74" s="56" t="e">
        <f>SUMPRODUCT((日次管理!#REF!&lt;=$AK$72)*(日次管理!#REF!=$A$74)*(日次管理!#REF!="実施完了")*(日次管理!#REF!="実績")*(日次管理!#REF!=$A$71),日次管理!#REF!)</f>
        <v>#REF!</v>
      </c>
      <c r="AL74" s="55" t="e">
        <f>SUMPRODUCT((日次管理!#REF!&lt;=$AL$72)*(日次管理!#REF!=$A$74)*(日次管理!#REF!="実施完了")*(日次管理!#REF!="予定")*(日次管理!#REF!=$A$71),日次管理!#REF!)</f>
        <v>#REF!</v>
      </c>
      <c r="AM74" s="56" t="e">
        <f>SUMPRODUCT((日次管理!#REF!&lt;=$AM$72)*(日次管理!#REF!=$A$74)*(日次管理!#REF!="実施完了")*(日次管理!#REF!="実績")*(日次管理!#REF!=$A$71),日次管理!#REF!)</f>
        <v>#REF!</v>
      </c>
      <c r="AN74" s="55" t="e">
        <f>SUMPRODUCT((日次管理!#REF!&lt;=$AN$72)*(日次管理!#REF!=$A$74)*(日次管理!#REF!="実施完了")*(日次管理!#REF!="予定")*(日次管理!#REF!=$A$71),日次管理!#REF!)</f>
        <v>#REF!</v>
      </c>
      <c r="AO74" s="56" t="e">
        <f>SUMPRODUCT((日次管理!#REF!&lt;=$AO$72)*(日次管理!#REF!=$A$74)*(日次管理!#REF!="実施完了")*(日次管理!#REF!="実績")*(日次管理!#REF!=$A$71),日次管理!#REF!)</f>
        <v>#REF!</v>
      </c>
      <c r="AP74" s="55" t="e">
        <f>SUMPRODUCT((日次管理!#REF!&lt;=$AP$72)*(日次管理!#REF!=$A$74)*(日次管理!#REF!="実施完了")*(日次管理!#REF!="予定")*(日次管理!#REF!=$A$71),日次管理!#REF!)</f>
        <v>#REF!</v>
      </c>
      <c r="AQ74" s="56" t="e">
        <f>SUMPRODUCT((日次管理!#REF!&lt;=$AQ$72)*(日次管理!#REF!=$A$74)*(日次管理!#REF!="実施完了")*(日次管理!#REF!="実績")*(日次管理!#REF!=$A$71),日次管理!#REF!)</f>
        <v>#REF!</v>
      </c>
      <c r="AR74" s="55" t="e">
        <f>SUMPRODUCT((日次管理!#REF!&lt;=$AR$72)*(日次管理!#REF!=$A$74)*(日次管理!#REF!="実施完了")*(日次管理!#REF!="予定")*(日次管理!#REF!=$A$71),日次管理!#REF!)</f>
        <v>#REF!</v>
      </c>
      <c r="AS74" s="56" t="e">
        <f>SUMPRODUCT((日次管理!#REF!&lt;=$AS$72)*(日次管理!#REF!=$A$74)*(日次管理!#REF!="実施完了")*(日次管理!#REF!="実績")*(日次管理!#REF!=$A$71),日次管理!#REF!)</f>
        <v>#REF!</v>
      </c>
      <c r="AT74" s="55" t="e">
        <f>SUMPRODUCT((日次管理!#REF!&lt;=$AT$72)*(日次管理!#REF!=$A$74)*(日次管理!#REF!="実施完了")*(日次管理!#REF!="予定")*(日次管理!#REF!=$A$71),日次管理!#REF!)</f>
        <v>#REF!</v>
      </c>
      <c r="AU74" s="56" t="e">
        <f>SUMPRODUCT((日次管理!#REF!&lt;=$AU$72)*(日次管理!#REF!=$A$74)*(日次管理!#REF!="実施完了")*(日次管理!#REF!="実績")*(日次管理!#REF!=$A$71),日次管理!#REF!)</f>
        <v>#REF!</v>
      </c>
      <c r="AV74" s="55" t="e">
        <f>SUMPRODUCT((日次管理!#REF!&lt;=$AV$72)*(日次管理!#REF!=$A$74)*(日次管理!#REF!="実施完了")*(日次管理!#REF!="予定")*(日次管理!#REF!=$A$71),日次管理!#REF!)</f>
        <v>#REF!</v>
      </c>
      <c r="AW74" s="56" t="e">
        <f>SUMPRODUCT((日次管理!#REF!&lt;=$AW$72)*(日次管理!#REF!=$A$74)*(日次管理!#REF!="実施完了")*(日次管理!#REF!="実績")*(日次管理!#REF!=$A$71),日次管理!#REF!)</f>
        <v>#REF!</v>
      </c>
      <c r="AX74" s="55" t="e">
        <f>SUMPRODUCT((日次管理!#REF!&lt;=$AX$72)*(日次管理!#REF!=$A$74)*(日次管理!#REF!="実施完了")*(日次管理!#REF!="予定")*(日次管理!#REF!=$A$71),日次管理!#REF!)</f>
        <v>#REF!</v>
      </c>
      <c r="AY74" s="56" t="e">
        <f>SUMPRODUCT((日次管理!#REF!&lt;=$AY$72)*(日次管理!#REF!=$A$74)*(日次管理!#REF!="実施完了")*(日次管理!#REF!="実績")*(日次管理!#REF!=$A$71),日次管理!#REF!)</f>
        <v>#REF!</v>
      </c>
      <c r="AZ74" s="55" t="e">
        <f>SUMPRODUCT((日次管理!#REF!&lt;=$AZ$72)*(日次管理!#REF!=$A$74)*(日次管理!#REF!="実施完了")*(日次管理!#REF!="予定")*(日次管理!#REF!=$A$71),日次管理!#REF!)</f>
        <v>#REF!</v>
      </c>
      <c r="BA74" s="56" t="e">
        <f>SUMPRODUCT((日次管理!#REF!&lt;=$BA$72)*(日次管理!#REF!=$A$74)*(日次管理!#REF!="実施完了")*(日次管理!#REF!="実績")*(日次管理!#REF!=$A$71),日次管理!#REF!)</f>
        <v>#REF!</v>
      </c>
      <c r="BB74" s="55" t="e">
        <f>SUMPRODUCT((日次管理!#REF!&lt;=$BB$72)*(日次管理!#REF!=$A$74)*(日次管理!#REF!="実施完了")*(日次管理!#REF!="予定")*(日次管理!#REF!=$A$71),日次管理!#REF!)</f>
        <v>#REF!</v>
      </c>
      <c r="BC74" s="56" t="e">
        <f>SUMPRODUCT((日次管理!#REF!&lt;=$BC$72)*(日次管理!#REF!=$A$74)*(日次管理!#REF!="実施完了")*(日次管理!#REF!="実績")*(日次管理!#REF!=$A$71),日次管理!#REF!)</f>
        <v>#REF!</v>
      </c>
      <c r="BD74" s="55" t="e">
        <f>SUMPRODUCT((日次管理!#REF!&lt;=$BD$72)*(日次管理!#REF!=$A$74)*(日次管理!#REF!="実施完了")*(日次管理!#REF!="予定")*(日次管理!#REF!=$A$71),日次管理!#REF!)</f>
        <v>#REF!</v>
      </c>
      <c r="BE74" s="56" t="e">
        <f>SUMPRODUCT((日次管理!#REF!&lt;=$BE$72)*(日次管理!#REF!=$A$74)*(日次管理!#REF!="実施完了")*(日次管理!#REF!="実績")*(日次管理!#REF!=$A$71),日次管理!#REF!)</f>
        <v>#REF!</v>
      </c>
      <c r="BF74" s="55" t="e">
        <f>SUMPRODUCT((日次管理!#REF!&lt;=$BF$72)*(日次管理!#REF!=$A$74)*(日次管理!#REF!="実施完了")*(日次管理!#REF!="予定")*(日次管理!#REF!=$A$71),日次管理!#REF!)</f>
        <v>#REF!</v>
      </c>
      <c r="BG74" s="56" t="e">
        <f>SUMPRODUCT((日次管理!#REF!&lt;=$BG$72)*(日次管理!#REF!=$A$74)*(日次管理!#REF!="実施完了")*(日次管理!#REF!="実績")*(日次管理!#REF!=$A$71),日次管理!#REF!)</f>
        <v>#REF!</v>
      </c>
      <c r="BH74" s="55" t="e">
        <f>SUMPRODUCT((日次管理!#REF!&lt;=$BH$72)*(日次管理!#REF!=$A$74)*(日次管理!#REF!="実施完了")*(日次管理!#REF!="予定")*(日次管理!#REF!=$A$71),日次管理!#REF!)</f>
        <v>#REF!</v>
      </c>
      <c r="BI74" s="56" t="e">
        <f>SUMPRODUCT((日次管理!#REF!&lt;=$BI$72)*(日次管理!#REF!=$A$74)*(日次管理!#REF!="実施完了")*(日次管理!#REF!="実績")*(日次管理!#REF!=$A$71),日次管理!#REF!)</f>
        <v>#REF!</v>
      </c>
      <c r="BJ74" s="55" t="e">
        <f>SUMPRODUCT((日次管理!#REF!&lt;=$BJ$72)*(日次管理!#REF!=$A$74)*(日次管理!#REF!="実施完了")*(日次管理!#REF!="予定")*(日次管理!#REF!=$A$71),日次管理!#REF!)</f>
        <v>#REF!</v>
      </c>
      <c r="BK74" s="56" t="e">
        <f>SUMPRODUCT((日次管理!#REF!&lt;=$BK$72)*(日次管理!#REF!=$A$74)*(日次管理!#REF!="実施完了")*(日次管理!#REF!="実績")*(日次管理!#REF!=$A$71),日次管理!#REF!)</f>
        <v>#REF!</v>
      </c>
      <c r="BL74" s="55" t="e">
        <f>SUMPRODUCT((日次管理!#REF!&lt;=$BL$72)*(日次管理!#REF!=$A$74)*(日次管理!#REF!="実施完了")*(日次管理!#REF!="予定")*(日次管理!#REF!=$A$71),日次管理!#REF!)</f>
        <v>#REF!</v>
      </c>
      <c r="BM74" s="56" t="e">
        <f>SUMPRODUCT((日次管理!#REF!&lt;=$BM$72)*(日次管理!#REF!=$A$74)*(日次管理!#REF!="実施完了")*(日次管理!#REF!="実績")*(日次管理!#REF!=$A$71),日次管理!#REF!)</f>
        <v>#REF!</v>
      </c>
      <c r="BN74" s="55" t="e">
        <f>SUMPRODUCT((日次管理!#REF!&lt;=$BN$72)*(日次管理!#REF!=$A$74)*(日次管理!#REF!="実施完了")*(日次管理!#REF!="予定")*(日次管理!#REF!=$A$71),日次管理!#REF!)</f>
        <v>#REF!</v>
      </c>
      <c r="BO74" s="56" t="e">
        <f>SUMPRODUCT((日次管理!#REF!&lt;=$BO$72)*(日次管理!#REF!=$A$74)*(日次管理!#REF!="実施完了")*(日次管理!#REF!="実績")*(日次管理!#REF!=$A$71),日次管理!#REF!)</f>
        <v>#REF!</v>
      </c>
      <c r="BP74" s="55" t="e">
        <f>SUMPRODUCT((日次管理!#REF!&lt;=$BP$72)*(日次管理!#REF!=$A$74)*(日次管理!#REF!="実施完了")*(日次管理!#REF!="予定")*(日次管理!#REF!=$A$71),日次管理!#REF!)</f>
        <v>#REF!</v>
      </c>
      <c r="BQ74" s="56" t="e">
        <f>SUMPRODUCT((日次管理!#REF!&lt;=$BQ$72)*(日次管理!#REF!=$A$74)*(日次管理!#REF!="実施完了")*(日次管理!#REF!="実績")*(日次管理!#REF!=$A$71),日次管理!#REF!)</f>
        <v>#REF!</v>
      </c>
      <c r="BR74" s="55" t="e">
        <f>SUMPRODUCT((日次管理!#REF!&lt;=$BR$72)*(日次管理!#REF!=$A$74)*(日次管理!#REF!="実施完了")*(日次管理!#REF!="予定")*(日次管理!#REF!=$A$71),日次管理!#REF!)</f>
        <v>#REF!</v>
      </c>
      <c r="BS74" s="56" t="e">
        <f>SUMPRODUCT((日次管理!#REF!&lt;=$BS$72)*(日次管理!#REF!=$A$74)*(日次管理!#REF!="実施完了")*(日次管理!#REF!="実績")*(日次管理!#REF!=$A$71),日次管理!#REF!)</f>
        <v>#REF!</v>
      </c>
      <c r="BT74" s="55" t="e">
        <f>SUMPRODUCT((日次管理!#REF!&lt;=$BT$72)*(日次管理!#REF!=$A$74)*(日次管理!#REF!="実施完了")*(日次管理!#REF!="予定")*(日次管理!#REF!=$A$71),日次管理!#REF!)</f>
        <v>#REF!</v>
      </c>
      <c r="BU74" s="56" t="e">
        <f>SUMPRODUCT((日次管理!#REF!&lt;=$BU$72)*(日次管理!#REF!=$A$74)*(日次管理!#REF!="実施完了")*(日次管理!#REF!="実績")*(日次管理!#REF!=$A$71),日次管理!#REF!)</f>
        <v>#REF!</v>
      </c>
      <c r="BV74" s="55" t="e">
        <f>SUMPRODUCT((日次管理!#REF!&lt;=$BV$72)*(日次管理!#REF!=$A$74)*(日次管理!#REF!="実施完了")*(日次管理!#REF!="予定")*(日次管理!#REF!=$A$71),日次管理!#REF!)</f>
        <v>#REF!</v>
      </c>
      <c r="BW74" s="56" t="e">
        <f>SUMPRODUCT((日次管理!#REF!&lt;=$BW$72)*(日次管理!#REF!=$A$74)*(日次管理!#REF!="実施完了")*(日次管理!#REF!="実績")*(日次管理!#REF!=$A$71),日次管理!#REF!)</f>
        <v>#REF!</v>
      </c>
      <c r="BX74" s="55" t="e">
        <f>SUMPRODUCT((日次管理!#REF!&lt;=$BX$72)*(日次管理!#REF!=$A$74)*(日次管理!#REF!="実施完了")*(日次管理!#REF!="予定")*(日次管理!#REF!=$A$71),日次管理!#REF!)</f>
        <v>#REF!</v>
      </c>
      <c r="BY74" s="56" t="e">
        <f>SUMPRODUCT((日次管理!#REF!&lt;=$BY$72)*(日次管理!#REF!=$A$74)*(日次管理!#REF!="実施完了")*(日次管理!#REF!="実績")*(日次管理!#REF!=$A$71),日次管理!#REF!)</f>
        <v>#REF!</v>
      </c>
      <c r="BZ74" s="55" t="e">
        <f>SUMPRODUCT((日次管理!#REF!&lt;=$BZ$72)*(日次管理!#REF!=$A$74)*(日次管理!#REF!="実施完了")*(日次管理!#REF!="予定")*(日次管理!#REF!=$A$71),日次管理!#REF!)</f>
        <v>#REF!</v>
      </c>
      <c r="CA74" s="56" t="e">
        <f>SUMPRODUCT((日次管理!#REF!&lt;=$CA$72)*(日次管理!#REF!=$A$74)*(日次管理!#REF!="実施完了")*(日次管理!#REF!="実績")*(日次管理!#REF!=$A$71),日次管理!#REF!)</f>
        <v>#REF!</v>
      </c>
      <c r="CB74" s="55" t="e">
        <f>SUMPRODUCT((日次管理!#REF!&lt;=$CB$72)*(日次管理!#REF!=$A$74)*(日次管理!#REF!="実施完了")*(日次管理!#REF!="予定")*(日次管理!#REF!=$A$71),日次管理!#REF!)</f>
        <v>#REF!</v>
      </c>
      <c r="CC74" s="56" t="e">
        <f>SUMPRODUCT((日次管理!#REF!&lt;=$CC$72)*(日次管理!#REF!=$A$74)*(日次管理!#REF!="実施完了")*(日次管理!#REF!="実績")*(日次管理!#REF!=$A$71),日次管理!#REF!)</f>
        <v>#REF!</v>
      </c>
      <c r="CD74" s="55" t="e">
        <f>SUMPRODUCT((日次管理!#REF!&lt;=$CD$72)*(日次管理!#REF!=$A$74)*(日次管理!#REF!="実施完了")*(日次管理!#REF!="予定")*(日次管理!#REF!=$A$71),日次管理!#REF!)</f>
        <v>#REF!</v>
      </c>
      <c r="CE74" s="56" t="e">
        <f>SUMPRODUCT((日次管理!#REF!&lt;=$CE$72)*(日次管理!#REF!=$A$74)*(日次管理!#REF!="実施完了")*(日次管理!#REF!="実績")*(日次管理!#REF!=$A$71),日次管理!#REF!)</f>
        <v>#REF!</v>
      </c>
      <c r="CF74" s="55" t="e">
        <f>SUMPRODUCT((日次管理!#REF!&lt;=$CF$72)*(日次管理!#REF!=$A$74)*(日次管理!#REF!="実施完了")*(日次管理!#REF!="予定")*(日次管理!#REF!=$A$71),日次管理!#REF!)</f>
        <v>#REF!</v>
      </c>
      <c r="CG74" s="56" t="e">
        <f>SUMPRODUCT((日次管理!#REF!&lt;=$CG$72)*(日次管理!#REF!=$A$74)*(日次管理!#REF!="実施完了")*(日次管理!#REF!="実績")*(日次管理!#REF!=$A$71),日次管理!#REF!)</f>
        <v>#REF!</v>
      </c>
      <c r="CH74" s="55" t="e">
        <f>SUMPRODUCT((日次管理!#REF!&lt;=$CH$72)*(日次管理!#REF!=$A$74)*(日次管理!#REF!="実施完了")*(日次管理!#REF!="予定")*(日次管理!#REF!=$A$71),日次管理!#REF!)</f>
        <v>#REF!</v>
      </c>
      <c r="CI74" s="56" t="e">
        <f>SUMPRODUCT((日次管理!#REF!&lt;=$CI$72)*(日次管理!#REF!=$A$74)*(日次管理!#REF!="実施完了")*(日次管理!#REF!="実績")*(日次管理!#REF!=$A$71),日次管理!#REF!)</f>
        <v>#REF!</v>
      </c>
      <c r="CJ74" s="55" t="e">
        <f>SUMPRODUCT((日次管理!#REF!&lt;=$CJ$72)*(日次管理!#REF!=$A$74)*(日次管理!#REF!="実施完了")*(日次管理!#REF!="予定")*(日次管理!#REF!=$A$71),日次管理!#REF!)</f>
        <v>#REF!</v>
      </c>
      <c r="CK74" s="56" t="e">
        <f>SUMPRODUCT((日次管理!#REF!&lt;=$CK$72)*(日次管理!#REF!=$A$74)*(日次管理!#REF!="実施完了")*(日次管理!#REF!="実績")*(日次管理!#REF!=$A$71),日次管理!#REF!)</f>
        <v>#REF!</v>
      </c>
      <c r="CL74" s="55" t="e">
        <f>SUMPRODUCT((日次管理!#REF!&lt;=$CL$72)*(日次管理!#REF!=$A$74)*(日次管理!#REF!="実施完了")*(日次管理!#REF!="予定")*(日次管理!#REF!=$A$71),日次管理!#REF!)</f>
        <v>#REF!</v>
      </c>
      <c r="CM74" s="56" t="e">
        <f>SUMPRODUCT((日次管理!#REF!&lt;=$CM$72)*(日次管理!#REF!=$A$74)*(日次管理!#REF!="実施完了")*(日次管理!#REF!="実績")*(日次管理!#REF!=$A$71),日次管理!#REF!)</f>
        <v>#REF!</v>
      </c>
      <c r="CN74" s="55" t="e">
        <f>SUMPRODUCT((日次管理!#REF!&lt;=$CN$72)*(日次管理!#REF!=$A$74)*(日次管理!#REF!="実施完了")*(日次管理!#REF!="予定")*(日次管理!#REF!=$A$71),日次管理!#REF!)</f>
        <v>#REF!</v>
      </c>
      <c r="CO74" s="56" t="e">
        <f>SUMPRODUCT((日次管理!#REF!&lt;=$CO$72)*(日次管理!#REF!=$A$74)*(日次管理!#REF!="実施完了")*(日次管理!#REF!="実績")*(日次管理!#REF!=$A$71),日次管理!#REF!)</f>
        <v>#REF!</v>
      </c>
      <c r="CP74" s="55" t="e">
        <f>SUMPRODUCT((日次管理!#REF!&lt;=$CP$72)*(日次管理!#REF!=$A$74)*(日次管理!#REF!="実施完了")*(日次管理!#REF!="予定")*(日次管理!#REF!=$A$71),日次管理!#REF!)</f>
        <v>#REF!</v>
      </c>
      <c r="CQ74" s="56" t="e">
        <f>SUMPRODUCT((日次管理!#REF!&lt;=$CQ$72)*(日次管理!#REF!=$A$74)*(日次管理!#REF!="実施完了")*(日次管理!#REF!="実績")*(日次管理!#REF!=$A$71),日次管理!#REF!)</f>
        <v>#REF!</v>
      </c>
      <c r="CR74" s="55" t="e">
        <f>SUMPRODUCT((日次管理!#REF!&lt;=$CR$72)*(日次管理!#REF!=$A$74)*(日次管理!#REF!="実施完了")*(日次管理!#REF!="予定")*(日次管理!#REF!=$A$71),日次管理!#REF!)</f>
        <v>#REF!</v>
      </c>
      <c r="CS74" s="56" t="e">
        <f>SUMPRODUCT((日次管理!#REF!&lt;=$CS$72)*(日次管理!#REF!=$A$74)*(日次管理!#REF!="実施完了")*(日次管理!#REF!="実績")*(日次管理!#REF!=$A$71),日次管理!#REF!)</f>
        <v>#REF!</v>
      </c>
      <c r="CT74" s="55" t="e">
        <f>SUMPRODUCT((日次管理!#REF!&lt;=$CT$72)*(日次管理!#REF!=$A$74)*(日次管理!#REF!="実施完了")*(日次管理!#REF!="予定")*(日次管理!#REF!=$A$71),日次管理!#REF!)</f>
        <v>#REF!</v>
      </c>
      <c r="CU74" s="56" t="e">
        <f>SUMPRODUCT((日次管理!#REF!&lt;=$CU$72)*(日次管理!#REF!=$A$74)*(日次管理!#REF!="実施完了")*(日次管理!#REF!="実績")*(日次管理!#REF!=$A$71),日次管理!#REF!)</f>
        <v>#REF!</v>
      </c>
      <c r="CV74" s="57" t="e">
        <f ca="1">SUMPRODUCT(($A$72- WEEKDAY($A$72) + 6 =$B$72:$CU$72)*("実績"=$B$73:$CU$73),$B$74:$CU$74)/SUMPRODUCT(($A$72- WEEKDAY($A$72) + 6 =$B$72:$CU$72)*("予定"=$B$73:$CU$73),$B$74:$CU$74)</f>
        <v>#REF!</v>
      </c>
      <c r="CW74" s="58" t="e">
        <f>$CU$74/$CT$74</f>
        <v>#REF!</v>
      </c>
    </row>
    <row r="75" spans="1:101" ht="20.149999999999999" customHeight="1">
      <c r="A75" s="104" t="s">
        <v>73</v>
      </c>
      <c r="B75" s="91" t="e">
        <f>SUMPRODUCT((日次管理!#REF!&lt;=$B$72)*(日次管理!#REF!=$A$75)*(日次管理!#REF!="実施完了")*(日次管理!#REF!="予定")*(日次管理!#REF!=$A$71),日次管理!#REF!)</f>
        <v>#REF!</v>
      </c>
      <c r="C75" s="59" t="e">
        <f>SUMPRODUCT((日次管理!#REF!&lt;=$C$72)*(日次管理!#REF!=$A$75)*(日次管理!#REF!="実施完了")*(日次管理!#REF!="実績")*(日次管理!#REF!=$A$71),日次管理!#REF!)</f>
        <v>#REF!</v>
      </c>
      <c r="D75" s="91" t="e">
        <f>SUMPRODUCT((日次管理!#REF!&lt;=$D$72)*(日次管理!#REF!=$A$75)*(日次管理!#REF!="実施完了")*(日次管理!#REF!="予定")*(日次管理!#REF!=$A$71),日次管理!#REF!)</f>
        <v>#REF!</v>
      </c>
      <c r="E75" s="59" t="e">
        <f>SUMPRODUCT((日次管理!#REF!&lt;=$E$72)*(日次管理!#REF!=$A$75)*(日次管理!#REF!="実施完了")*(日次管理!#REF!="実績")*(日次管理!#REF!=$A$71),日次管理!#REF!)</f>
        <v>#REF!</v>
      </c>
      <c r="F75" s="91" t="e">
        <f>SUMPRODUCT((日次管理!#REF!&lt;=$F$72)*(日次管理!#REF!=$A$75)*(日次管理!#REF!="実施完了")*(日次管理!#REF!="予定")*(日次管理!#REF!=$A$71),日次管理!#REF!)</f>
        <v>#REF!</v>
      </c>
      <c r="G75" s="59" t="e">
        <f>SUMPRODUCT((日次管理!#REF!&lt;=$G$72)*(日次管理!#REF!=$A$75)*(日次管理!#REF!="実施完了")*(日次管理!#REF!="実績")*(日次管理!#REF!=$A$71),日次管理!#REF!)</f>
        <v>#REF!</v>
      </c>
      <c r="H75" s="91" t="e">
        <f>SUMPRODUCT((日次管理!#REF!&lt;=$H$72)*(日次管理!#REF!=$A$75)*(日次管理!#REF!="実施完了")*(日次管理!#REF!="予定")*(日次管理!#REF!=$A$71),日次管理!#REF!)</f>
        <v>#REF!</v>
      </c>
      <c r="I75" s="59" t="e">
        <f>SUMPRODUCT((日次管理!#REF!&lt;=$I$72)*(日次管理!#REF!=$A$75)*(日次管理!#REF!="実施完了")*(日次管理!#REF!="実績")*(日次管理!#REF!=$A$71),日次管理!#REF!)</f>
        <v>#REF!</v>
      </c>
      <c r="J75" s="91" t="e">
        <f>SUMPRODUCT((日次管理!#REF!&lt;=$J$72)*(日次管理!#REF!=$A$75)*(日次管理!#REF!="実施完了")*(日次管理!#REF!="予定")*(日次管理!#REF!=$A$71),日次管理!#REF!)</f>
        <v>#REF!</v>
      </c>
      <c r="K75" s="59" t="e">
        <f>SUMPRODUCT((日次管理!#REF!&lt;=$K$72)*(日次管理!#REF!=$A$75)*(日次管理!#REF!="実施完了")*(日次管理!#REF!="実績")*(日次管理!#REF!=$A$71),日次管理!#REF!)</f>
        <v>#REF!</v>
      </c>
      <c r="L75" s="91" t="e">
        <f>SUMPRODUCT((日次管理!#REF!&lt;=$L$72)*(日次管理!#REF!=$A$75)*(日次管理!#REF!="実施完了")*(日次管理!#REF!="予定")*(日次管理!#REF!=$A$71),日次管理!#REF!)</f>
        <v>#REF!</v>
      </c>
      <c r="M75" s="59" t="e">
        <f>SUMPRODUCT((日次管理!#REF!&lt;=$M$72)*(日次管理!#REF!=$A$75)*(日次管理!#REF!="実施完了")*(日次管理!#REF!="実績")*(日次管理!#REF!=$A$71),日次管理!#REF!)</f>
        <v>#REF!</v>
      </c>
      <c r="N75" s="91" t="e">
        <f>SUMPRODUCT((日次管理!#REF!&lt;=$N$72)*(日次管理!#REF!=$A$75)*(日次管理!#REF!="実施完了")*(日次管理!#REF!="予定")*(日次管理!#REF!=$A$71),日次管理!#REF!)</f>
        <v>#REF!</v>
      </c>
      <c r="O75" s="59" t="e">
        <f>SUMPRODUCT((日次管理!#REF!&lt;=$O$72)*(日次管理!#REF!=$A$75)*(日次管理!#REF!="実施完了")*(日次管理!#REF!="実績")*(日次管理!#REF!=$A$71),日次管理!#REF!)</f>
        <v>#REF!</v>
      </c>
      <c r="P75" s="91" t="e">
        <f>SUMPRODUCT((日次管理!#REF!&lt;=$P$72)*(日次管理!#REF!=$A$75)*(日次管理!#REF!="実施完了")*(日次管理!#REF!="予定")*(日次管理!#REF!=$A$71),日次管理!#REF!)</f>
        <v>#REF!</v>
      </c>
      <c r="Q75" s="59" t="e">
        <f>SUMPRODUCT((日次管理!#REF!&lt;=$Q$72)*(日次管理!#REF!=$A$75)*(日次管理!#REF!="実施完了")*(日次管理!#REF!="実績")*(日次管理!#REF!=$A$71),日次管理!#REF!)</f>
        <v>#REF!</v>
      </c>
      <c r="R75" s="91" t="e">
        <f>SUMPRODUCT((日次管理!#REF!&lt;=$R$72)*(日次管理!#REF!=$A$75)*(日次管理!#REF!="実施完了")*(日次管理!#REF!="予定")*(日次管理!#REF!=$A$71),日次管理!#REF!)</f>
        <v>#REF!</v>
      </c>
      <c r="S75" s="59" t="e">
        <f>SUMPRODUCT((日次管理!#REF!&lt;=$S$72)*(日次管理!#REF!=$A$75)*(日次管理!#REF!="実施完了")*(日次管理!#REF!="実績")*(日次管理!#REF!=$A$71),日次管理!#REF!)</f>
        <v>#REF!</v>
      </c>
      <c r="T75" s="91" t="e">
        <f>SUMPRODUCT((日次管理!#REF!&lt;=$T$72)*(日次管理!#REF!=$A$75)*(日次管理!#REF!="実施完了")*(日次管理!#REF!="予定")*(日次管理!#REF!=$A$71),日次管理!#REF!)</f>
        <v>#REF!</v>
      </c>
      <c r="U75" s="59" t="e">
        <f>SUMPRODUCT((日次管理!#REF!&lt;=$U$72)*(日次管理!#REF!=$A$75)*(日次管理!#REF!="実施完了")*(日次管理!#REF!="実績")*(日次管理!#REF!=$A$71),日次管理!#REF!)</f>
        <v>#REF!</v>
      </c>
      <c r="V75" s="91" t="e">
        <f>SUMPRODUCT((日次管理!#REF!&lt;=$V$72)*(日次管理!#REF!=$A$75)*(日次管理!#REF!="実施完了")*(日次管理!#REF!="予定")*(日次管理!#REF!=$A$71),日次管理!#REF!)</f>
        <v>#REF!</v>
      </c>
      <c r="W75" s="59" t="e">
        <f>SUMPRODUCT((日次管理!#REF!&lt;=$W$72)*(日次管理!#REF!=$A$75)*(日次管理!#REF!="実施完了")*(日次管理!#REF!="実績")*(日次管理!#REF!=$A$71),日次管理!#REF!)</f>
        <v>#REF!</v>
      </c>
      <c r="X75" s="91" t="e">
        <f>SUMPRODUCT((日次管理!#REF!&lt;=$X$72)*(日次管理!#REF!=$A$75)*(日次管理!#REF!="実施完了")*(日次管理!#REF!="予定")*(日次管理!#REF!=$A$71),日次管理!#REF!)</f>
        <v>#REF!</v>
      </c>
      <c r="Y75" s="59" t="e">
        <f>SUMPRODUCT((日次管理!#REF!&lt;=$Y$72)*(日次管理!#REF!=$A$75)*(日次管理!#REF!="実施完了")*(日次管理!#REF!="実績")*(日次管理!#REF!=$A$71),日次管理!#REF!)</f>
        <v>#REF!</v>
      </c>
      <c r="Z75" s="91" t="e">
        <f>SUMPRODUCT((日次管理!#REF!&lt;=$Z$72)*(日次管理!#REF!=$A$75)*(日次管理!#REF!="実施完了")*(日次管理!#REF!="予定")*(日次管理!#REF!=$A$71),日次管理!#REF!)</f>
        <v>#REF!</v>
      </c>
      <c r="AA75" s="59" t="e">
        <f>SUMPRODUCT((日次管理!#REF!&lt;=$AA$72)*(日次管理!#REF!=$A$75)*(日次管理!#REF!="実施完了")*(日次管理!#REF!="実績")*(日次管理!#REF!=$A$71),日次管理!#REF!)</f>
        <v>#REF!</v>
      </c>
      <c r="AB75" s="91" t="e">
        <f>SUMPRODUCT((日次管理!#REF!&lt;=$AB$72)*(日次管理!#REF!=$A$75)*(日次管理!#REF!="実施完了")*(日次管理!#REF!="予定")*(日次管理!#REF!=$A$71),日次管理!#REF!)</f>
        <v>#REF!</v>
      </c>
      <c r="AC75" s="59" t="e">
        <f>SUMPRODUCT((日次管理!#REF!&lt;=$AC$72)*(日次管理!#REF!=$A$75)*(日次管理!#REF!="実施完了")*(日次管理!#REF!="実績")*(日次管理!#REF!=$A$71),日次管理!#REF!)</f>
        <v>#REF!</v>
      </c>
      <c r="AD75" s="91" t="e">
        <f>SUMPRODUCT((日次管理!#REF!&lt;=$AD$72)*(日次管理!#REF!=$A$75)*(日次管理!#REF!="実施完了")*(日次管理!#REF!="予定")*(日次管理!#REF!=$A$71),日次管理!#REF!)</f>
        <v>#REF!</v>
      </c>
      <c r="AE75" s="59" t="e">
        <f>SUMPRODUCT((日次管理!#REF!&lt;=$AE$72)*(日次管理!#REF!=$A$75)*(日次管理!#REF!="実施完了")*(日次管理!#REF!="実績")*(日次管理!#REF!=$A$71),日次管理!#REF!)</f>
        <v>#REF!</v>
      </c>
      <c r="AF75" s="91" t="e">
        <f>SUMPRODUCT((日次管理!#REF!&lt;=$AF$72)*(日次管理!#REF!=$A$75)*(日次管理!#REF!="実施完了")*(日次管理!#REF!="予定")*(日次管理!#REF!=$A$71),日次管理!#REF!)</f>
        <v>#REF!</v>
      </c>
      <c r="AG75" s="59" t="e">
        <f>SUMPRODUCT((日次管理!#REF!&lt;=$AG$72)*(日次管理!#REF!=$A$75)*(日次管理!#REF!="実施完了")*(日次管理!#REF!="実績")*(日次管理!#REF!=$A$71),日次管理!#REF!)</f>
        <v>#REF!</v>
      </c>
      <c r="AH75" s="91" t="e">
        <f>SUMPRODUCT((日次管理!#REF!&lt;=$AH$72)*(日次管理!#REF!=$A$75)*(日次管理!#REF!="実施完了")*(日次管理!#REF!="予定")*(日次管理!#REF!=$A$71),日次管理!#REF!)</f>
        <v>#REF!</v>
      </c>
      <c r="AI75" s="59" t="e">
        <f>SUMPRODUCT((日次管理!#REF!&lt;=$AI$72)*(日次管理!#REF!=$A$75)*(日次管理!#REF!="実施完了")*(日次管理!#REF!="実績")*(日次管理!#REF!=$A$71),日次管理!#REF!)</f>
        <v>#REF!</v>
      </c>
      <c r="AJ75" s="91" t="e">
        <f>SUMPRODUCT((日次管理!#REF!&lt;=$AJ$72)*(日次管理!#REF!=$A$75)*(日次管理!#REF!="実施完了")*(日次管理!#REF!="予定")*(日次管理!#REF!=$A$71),日次管理!#REF!)</f>
        <v>#REF!</v>
      </c>
      <c r="AK75" s="59" t="e">
        <f>SUMPRODUCT((日次管理!#REF!&lt;=$AK$72)*(日次管理!#REF!=$A$75)*(日次管理!#REF!="実施完了")*(日次管理!#REF!="実績")*(日次管理!#REF!=$A$71),日次管理!#REF!)</f>
        <v>#REF!</v>
      </c>
      <c r="AL75" s="91" t="e">
        <f>SUMPRODUCT((日次管理!#REF!&lt;=$AL$72)*(日次管理!#REF!=$A$75)*(日次管理!#REF!="実施完了")*(日次管理!#REF!="予定")*(日次管理!#REF!=$A$71),日次管理!#REF!)</f>
        <v>#REF!</v>
      </c>
      <c r="AM75" s="59" t="e">
        <f>SUMPRODUCT((日次管理!#REF!&lt;=$AM$72)*(日次管理!#REF!=$A$75)*(日次管理!#REF!="実施完了")*(日次管理!#REF!="実績")*(日次管理!#REF!=$A$71),日次管理!#REF!)</f>
        <v>#REF!</v>
      </c>
      <c r="AN75" s="91" t="e">
        <f>SUMPRODUCT((日次管理!#REF!&lt;=$AN$72)*(日次管理!#REF!=$A$75)*(日次管理!#REF!="実施完了")*(日次管理!#REF!="予定")*(日次管理!#REF!=$A$71),日次管理!#REF!)</f>
        <v>#REF!</v>
      </c>
      <c r="AO75" s="59" t="e">
        <f>SUMPRODUCT((日次管理!#REF!&lt;=$AO$72)*(日次管理!#REF!=$A$75)*(日次管理!#REF!="実施完了")*(日次管理!#REF!="実績")*(日次管理!#REF!=$A$71),日次管理!#REF!)</f>
        <v>#REF!</v>
      </c>
      <c r="AP75" s="91" t="e">
        <f>SUMPRODUCT((日次管理!#REF!&lt;=$AP$72)*(日次管理!#REF!=$A$75)*(日次管理!#REF!="実施完了")*(日次管理!#REF!="予定")*(日次管理!#REF!=$A$71),日次管理!#REF!)</f>
        <v>#REF!</v>
      </c>
      <c r="AQ75" s="59" t="e">
        <f>SUMPRODUCT((日次管理!#REF!&lt;=$AQ$72)*(日次管理!#REF!=$A$75)*(日次管理!#REF!="実施完了")*(日次管理!#REF!="実績")*(日次管理!#REF!=$A$71),日次管理!#REF!)</f>
        <v>#REF!</v>
      </c>
      <c r="AR75" s="91" t="e">
        <f>SUMPRODUCT((日次管理!#REF!&lt;=$AR$72)*(日次管理!#REF!=$A$75)*(日次管理!#REF!="実施完了")*(日次管理!#REF!="予定")*(日次管理!#REF!=$A$71),日次管理!#REF!)</f>
        <v>#REF!</v>
      </c>
      <c r="AS75" s="59" t="e">
        <f>SUMPRODUCT((日次管理!#REF!&lt;=$AS$72)*(日次管理!#REF!=$A$75)*(日次管理!#REF!="実施完了")*(日次管理!#REF!="実績")*(日次管理!#REF!=$A$71),日次管理!#REF!)</f>
        <v>#REF!</v>
      </c>
      <c r="AT75" s="91" t="e">
        <f>SUMPRODUCT((日次管理!#REF!&lt;=$AT$72)*(日次管理!#REF!=$A$75)*(日次管理!#REF!="実施完了")*(日次管理!#REF!="予定")*(日次管理!#REF!=$A$71),日次管理!#REF!)</f>
        <v>#REF!</v>
      </c>
      <c r="AU75" s="59" t="e">
        <f>SUMPRODUCT((日次管理!#REF!&lt;=$AU$72)*(日次管理!#REF!=$A$75)*(日次管理!#REF!="実施完了")*(日次管理!#REF!="実績")*(日次管理!#REF!=$A$71),日次管理!#REF!)</f>
        <v>#REF!</v>
      </c>
      <c r="AV75" s="91" t="e">
        <f>SUMPRODUCT((日次管理!#REF!&lt;=$AV$72)*(日次管理!#REF!=$A$75)*(日次管理!#REF!="実施完了")*(日次管理!#REF!="予定")*(日次管理!#REF!=$A$71),日次管理!#REF!)</f>
        <v>#REF!</v>
      </c>
      <c r="AW75" s="59" t="e">
        <f>SUMPRODUCT((日次管理!#REF!&lt;=$AW$72)*(日次管理!#REF!=$A$75)*(日次管理!#REF!="実施完了")*(日次管理!#REF!="実績")*(日次管理!#REF!=$A$71),日次管理!#REF!)</f>
        <v>#REF!</v>
      </c>
      <c r="AX75" s="91" t="e">
        <f>SUMPRODUCT((日次管理!#REF!&lt;=$AX$72)*(日次管理!#REF!=$A$75)*(日次管理!#REF!="実施完了")*(日次管理!#REF!="予定")*(日次管理!#REF!=$A$71),日次管理!#REF!)</f>
        <v>#REF!</v>
      </c>
      <c r="AY75" s="59" t="e">
        <f>SUMPRODUCT((日次管理!#REF!&lt;=$AY$72)*(日次管理!#REF!=$A$75)*(日次管理!#REF!="実施完了")*(日次管理!#REF!="実績")*(日次管理!#REF!=$A$71),日次管理!#REF!)</f>
        <v>#REF!</v>
      </c>
      <c r="AZ75" s="91" t="e">
        <f>SUMPRODUCT((日次管理!#REF!&lt;=$AZ$72)*(日次管理!#REF!=$A$75)*(日次管理!#REF!="実施完了")*(日次管理!#REF!="予定")*(日次管理!#REF!=$A$71),日次管理!#REF!)</f>
        <v>#REF!</v>
      </c>
      <c r="BA75" s="59" t="e">
        <f>SUMPRODUCT((日次管理!#REF!&lt;=$BA$72)*(日次管理!#REF!=$A$75)*(日次管理!#REF!="実施完了")*(日次管理!#REF!="実績")*(日次管理!#REF!=$A$71),日次管理!#REF!)</f>
        <v>#REF!</v>
      </c>
      <c r="BB75" s="91" t="e">
        <f>SUMPRODUCT((日次管理!#REF!&lt;=$BB$72)*(日次管理!#REF!=$A$75)*(日次管理!#REF!="実施完了")*(日次管理!#REF!="予定")*(日次管理!#REF!=$A$71),日次管理!#REF!)</f>
        <v>#REF!</v>
      </c>
      <c r="BC75" s="59" t="e">
        <f>SUMPRODUCT((日次管理!#REF!&lt;=$BC$72)*(日次管理!#REF!=$A$75)*(日次管理!#REF!="実施完了")*(日次管理!#REF!="実績")*(日次管理!#REF!=$A$71),日次管理!#REF!)</f>
        <v>#REF!</v>
      </c>
      <c r="BD75" s="91" t="e">
        <f>SUMPRODUCT((日次管理!#REF!&lt;=$BD$72)*(日次管理!#REF!=$A$75)*(日次管理!#REF!="実施完了")*(日次管理!#REF!="予定")*(日次管理!#REF!=$A$71),日次管理!#REF!)</f>
        <v>#REF!</v>
      </c>
      <c r="BE75" s="59" t="e">
        <f>SUMPRODUCT((日次管理!#REF!&lt;=$BE$72)*(日次管理!#REF!=$A$75)*(日次管理!#REF!="実施完了")*(日次管理!#REF!="実績")*(日次管理!#REF!=$A$71),日次管理!#REF!)</f>
        <v>#REF!</v>
      </c>
      <c r="BF75" s="91" t="e">
        <f>SUMPRODUCT((日次管理!#REF!&lt;=$BF$72)*(日次管理!#REF!=$A$75)*(日次管理!#REF!="実施完了")*(日次管理!#REF!="予定")*(日次管理!#REF!=$A$71),日次管理!#REF!)</f>
        <v>#REF!</v>
      </c>
      <c r="BG75" s="59" t="e">
        <f>SUMPRODUCT((日次管理!#REF!&lt;=$BG$72)*(日次管理!#REF!=$A$75)*(日次管理!#REF!="実施完了")*(日次管理!#REF!="実績")*(日次管理!#REF!=$A$71),日次管理!#REF!)</f>
        <v>#REF!</v>
      </c>
      <c r="BH75" s="91" t="e">
        <f>SUMPRODUCT((日次管理!#REF!&lt;=$BH$72)*(日次管理!#REF!=$A$75)*(日次管理!#REF!="実施完了")*(日次管理!#REF!="予定")*(日次管理!#REF!=$A$71),日次管理!#REF!)</f>
        <v>#REF!</v>
      </c>
      <c r="BI75" s="59" t="e">
        <f>SUMPRODUCT((日次管理!#REF!&lt;=$BI$72)*(日次管理!#REF!=$A$75)*(日次管理!#REF!="実施完了")*(日次管理!#REF!="実績")*(日次管理!#REF!=$A$71),日次管理!#REF!)</f>
        <v>#REF!</v>
      </c>
      <c r="BJ75" s="91" t="e">
        <f>SUMPRODUCT((日次管理!#REF!&lt;=$BJ$72)*(日次管理!#REF!=$A$75)*(日次管理!#REF!="実施完了")*(日次管理!#REF!="予定")*(日次管理!#REF!=$A$71),日次管理!#REF!)</f>
        <v>#REF!</v>
      </c>
      <c r="BK75" s="59" t="e">
        <f>SUMPRODUCT((日次管理!#REF!&lt;=$BK$72)*(日次管理!#REF!=$A$75)*(日次管理!#REF!="実施完了")*(日次管理!#REF!="実績")*(日次管理!#REF!=$A$71),日次管理!#REF!)</f>
        <v>#REF!</v>
      </c>
      <c r="BL75" s="91" t="e">
        <f>SUMPRODUCT((日次管理!#REF!&lt;=$BL$72)*(日次管理!#REF!=$A$75)*(日次管理!#REF!="実施完了")*(日次管理!#REF!="予定")*(日次管理!#REF!=$A$71),日次管理!#REF!)</f>
        <v>#REF!</v>
      </c>
      <c r="BM75" s="59" t="e">
        <f>SUMPRODUCT((日次管理!#REF!&lt;=$BM$72)*(日次管理!#REF!=$A$75)*(日次管理!#REF!="実施完了")*(日次管理!#REF!="実績")*(日次管理!#REF!=$A$71),日次管理!#REF!)</f>
        <v>#REF!</v>
      </c>
      <c r="BN75" s="91" t="e">
        <f>SUMPRODUCT((日次管理!#REF!&lt;=$BN$72)*(日次管理!#REF!=$A$75)*(日次管理!#REF!="実施完了")*(日次管理!#REF!="予定")*(日次管理!#REF!=$A$71),日次管理!#REF!)</f>
        <v>#REF!</v>
      </c>
      <c r="BO75" s="59" t="e">
        <f>SUMPRODUCT((日次管理!#REF!&lt;=$BO$72)*(日次管理!#REF!=$A$75)*(日次管理!#REF!="実施完了")*(日次管理!#REF!="実績")*(日次管理!#REF!=$A$71),日次管理!#REF!)</f>
        <v>#REF!</v>
      </c>
      <c r="BP75" s="91" t="e">
        <f>SUMPRODUCT((日次管理!#REF!&lt;=$BP$72)*(日次管理!#REF!=$A$75)*(日次管理!#REF!="実施完了")*(日次管理!#REF!="予定")*(日次管理!#REF!=$A$71),日次管理!#REF!)</f>
        <v>#REF!</v>
      </c>
      <c r="BQ75" s="59" t="e">
        <f>SUMPRODUCT((日次管理!#REF!&lt;=$BQ$72)*(日次管理!#REF!=$A$75)*(日次管理!#REF!="実施完了")*(日次管理!#REF!="実績")*(日次管理!#REF!=$A$71),日次管理!#REF!)</f>
        <v>#REF!</v>
      </c>
      <c r="BR75" s="91" t="e">
        <f>SUMPRODUCT((日次管理!#REF!&lt;=$BR$72)*(日次管理!#REF!=$A$75)*(日次管理!#REF!="実施完了")*(日次管理!#REF!="予定")*(日次管理!#REF!=$A$71),日次管理!#REF!)</f>
        <v>#REF!</v>
      </c>
      <c r="BS75" s="59" t="e">
        <f>SUMPRODUCT((日次管理!#REF!&lt;=$BS$72)*(日次管理!#REF!=$A$75)*(日次管理!#REF!="実施完了")*(日次管理!#REF!="実績")*(日次管理!#REF!=$A$71),日次管理!#REF!)</f>
        <v>#REF!</v>
      </c>
      <c r="BT75" s="91" t="e">
        <f>SUMPRODUCT((日次管理!#REF!&lt;=$BT$72)*(日次管理!#REF!=$A$75)*(日次管理!#REF!="実施完了")*(日次管理!#REF!="予定")*(日次管理!#REF!=$A$71),日次管理!#REF!)</f>
        <v>#REF!</v>
      </c>
      <c r="BU75" s="59" t="e">
        <f>SUMPRODUCT((日次管理!#REF!&lt;=$BU$72)*(日次管理!#REF!=$A$75)*(日次管理!#REF!="実施完了")*(日次管理!#REF!="実績")*(日次管理!#REF!=$A$71),日次管理!#REF!)</f>
        <v>#REF!</v>
      </c>
      <c r="BV75" s="91" t="e">
        <f>SUMPRODUCT((日次管理!#REF!&lt;=$BV$72)*(日次管理!#REF!=$A$75)*(日次管理!#REF!="実施完了")*(日次管理!#REF!="予定")*(日次管理!#REF!=$A$71),日次管理!#REF!)</f>
        <v>#REF!</v>
      </c>
      <c r="BW75" s="59" t="e">
        <f>SUMPRODUCT((日次管理!#REF!&lt;=$BW$72)*(日次管理!#REF!=$A$75)*(日次管理!#REF!="実施完了")*(日次管理!#REF!="実績")*(日次管理!#REF!=$A$71),日次管理!#REF!)</f>
        <v>#REF!</v>
      </c>
      <c r="BX75" s="91" t="e">
        <f>SUMPRODUCT((日次管理!#REF!&lt;=$BX$72)*(日次管理!#REF!=$A$75)*(日次管理!#REF!="実施完了")*(日次管理!#REF!="予定")*(日次管理!#REF!=$A$71),日次管理!#REF!)</f>
        <v>#REF!</v>
      </c>
      <c r="BY75" s="59" t="e">
        <f>SUMPRODUCT((日次管理!#REF!&lt;=$BY$72)*(日次管理!#REF!=$A$75)*(日次管理!#REF!="実施完了")*(日次管理!#REF!="実績")*(日次管理!#REF!=$A$71),日次管理!#REF!)</f>
        <v>#REF!</v>
      </c>
      <c r="BZ75" s="91" t="e">
        <f>SUMPRODUCT((日次管理!#REF!&lt;=$BZ$72)*(日次管理!#REF!=$A$75)*(日次管理!#REF!="実施完了")*(日次管理!#REF!="予定")*(日次管理!#REF!=$A$71),日次管理!#REF!)</f>
        <v>#REF!</v>
      </c>
      <c r="CA75" s="59" t="e">
        <f>SUMPRODUCT((日次管理!#REF!&lt;=$CA$72)*(日次管理!#REF!=$A$75)*(日次管理!#REF!="実施完了")*(日次管理!#REF!="実績")*(日次管理!#REF!=$A$71),日次管理!#REF!)</f>
        <v>#REF!</v>
      </c>
      <c r="CB75" s="91" t="e">
        <f>SUMPRODUCT((日次管理!#REF!&lt;=$CB$72)*(日次管理!#REF!=$A$75)*(日次管理!#REF!="実施完了")*(日次管理!#REF!="予定")*(日次管理!#REF!=$A$71),日次管理!#REF!)</f>
        <v>#REF!</v>
      </c>
      <c r="CC75" s="59" t="e">
        <f>SUMPRODUCT((日次管理!#REF!&lt;=$CC$72)*(日次管理!#REF!=$A$75)*(日次管理!#REF!="実施完了")*(日次管理!#REF!="実績")*(日次管理!#REF!=$A$71),日次管理!#REF!)</f>
        <v>#REF!</v>
      </c>
      <c r="CD75" s="91" t="e">
        <f>SUMPRODUCT((日次管理!#REF!&lt;=$CD$72)*(日次管理!#REF!=$A$75)*(日次管理!#REF!="実施完了")*(日次管理!#REF!="予定")*(日次管理!#REF!=$A$71),日次管理!#REF!)</f>
        <v>#REF!</v>
      </c>
      <c r="CE75" s="59" t="e">
        <f>SUMPRODUCT((日次管理!#REF!&lt;=$CE$72)*(日次管理!#REF!=$A$75)*(日次管理!#REF!="実施完了")*(日次管理!#REF!="実績")*(日次管理!#REF!=$A$71),日次管理!#REF!)</f>
        <v>#REF!</v>
      </c>
      <c r="CF75" s="91" t="e">
        <f>SUMPRODUCT((日次管理!#REF!&lt;=$CF$72)*(日次管理!#REF!=$A$75)*(日次管理!#REF!="実施完了")*(日次管理!#REF!="予定")*(日次管理!#REF!=$A$71),日次管理!#REF!)</f>
        <v>#REF!</v>
      </c>
      <c r="CG75" s="59" t="e">
        <f>SUMPRODUCT((日次管理!#REF!&lt;=$CG$72)*(日次管理!#REF!=$A$75)*(日次管理!#REF!="実施完了")*(日次管理!#REF!="実績")*(日次管理!#REF!=$A$71),日次管理!#REF!)</f>
        <v>#REF!</v>
      </c>
      <c r="CH75" s="91" t="e">
        <f>SUMPRODUCT((日次管理!#REF!&lt;=$CH$72)*(日次管理!#REF!=$A$75)*(日次管理!#REF!="実施完了")*(日次管理!#REF!="予定")*(日次管理!#REF!=$A$71),日次管理!#REF!)</f>
        <v>#REF!</v>
      </c>
      <c r="CI75" s="59" t="e">
        <f>SUMPRODUCT((日次管理!#REF!&lt;=$CI$72)*(日次管理!#REF!=$A$75)*(日次管理!#REF!="実施完了")*(日次管理!#REF!="実績")*(日次管理!#REF!=$A$71),日次管理!#REF!)</f>
        <v>#REF!</v>
      </c>
      <c r="CJ75" s="91" t="e">
        <f>SUMPRODUCT((日次管理!#REF!&lt;=$CJ$72)*(日次管理!#REF!=$A$75)*(日次管理!#REF!="実施完了")*(日次管理!#REF!="予定")*(日次管理!#REF!=$A$71),日次管理!#REF!)</f>
        <v>#REF!</v>
      </c>
      <c r="CK75" s="59" t="e">
        <f>SUMPRODUCT((日次管理!#REF!&lt;=$CK$72)*(日次管理!#REF!=$A$75)*(日次管理!#REF!="実施完了")*(日次管理!#REF!="実績")*(日次管理!#REF!=$A$71),日次管理!#REF!)</f>
        <v>#REF!</v>
      </c>
      <c r="CL75" s="91" t="e">
        <f>SUMPRODUCT((日次管理!#REF!&lt;=$CL$72)*(日次管理!#REF!=$A$75)*(日次管理!#REF!="実施完了")*(日次管理!#REF!="予定")*(日次管理!#REF!=$A$71),日次管理!#REF!)</f>
        <v>#REF!</v>
      </c>
      <c r="CM75" s="59" t="e">
        <f>SUMPRODUCT((日次管理!#REF!&lt;=$CM$72)*(日次管理!#REF!=$A$75)*(日次管理!#REF!="実施完了")*(日次管理!#REF!="実績")*(日次管理!#REF!=$A$71),日次管理!#REF!)</f>
        <v>#REF!</v>
      </c>
      <c r="CN75" s="91" t="e">
        <f>SUMPRODUCT((日次管理!#REF!&lt;=$CN$72)*(日次管理!#REF!=$A$75)*(日次管理!#REF!="実施完了")*(日次管理!#REF!="予定")*(日次管理!#REF!=$A$71),日次管理!#REF!)</f>
        <v>#REF!</v>
      </c>
      <c r="CO75" s="59" t="e">
        <f>SUMPRODUCT((日次管理!#REF!&lt;=$CO$72)*(日次管理!#REF!=$A$75)*(日次管理!#REF!="実施完了")*(日次管理!#REF!="実績")*(日次管理!#REF!=$A$71),日次管理!#REF!)</f>
        <v>#REF!</v>
      </c>
      <c r="CP75" s="91" t="e">
        <f>SUMPRODUCT((日次管理!#REF!&lt;=$CP$72)*(日次管理!#REF!=$A$75)*(日次管理!#REF!="実施完了")*(日次管理!#REF!="予定")*(日次管理!#REF!=$A$71),日次管理!#REF!)</f>
        <v>#REF!</v>
      </c>
      <c r="CQ75" s="59" t="e">
        <f>SUMPRODUCT((日次管理!#REF!&lt;=$CQ$72)*(日次管理!#REF!=$A$75)*(日次管理!#REF!="実施完了")*(日次管理!#REF!="実績")*(日次管理!#REF!=$A$71),日次管理!#REF!)</f>
        <v>#REF!</v>
      </c>
      <c r="CR75" s="91" t="e">
        <f>SUMPRODUCT((日次管理!#REF!&lt;=$CR$72)*(日次管理!#REF!=$A$75)*(日次管理!#REF!="実施完了")*(日次管理!#REF!="予定")*(日次管理!#REF!=$A$71),日次管理!#REF!)</f>
        <v>#REF!</v>
      </c>
      <c r="CS75" s="59" t="e">
        <f>SUMPRODUCT((日次管理!#REF!&lt;=$CS$72)*(日次管理!#REF!=$A$75)*(日次管理!#REF!="実施完了")*(日次管理!#REF!="実績")*(日次管理!#REF!=$A$71),日次管理!#REF!)</f>
        <v>#REF!</v>
      </c>
      <c r="CT75" s="91" t="e">
        <f>SUMPRODUCT((日次管理!#REF!&lt;=$CT$72)*(日次管理!#REF!=$A$75)*(日次管理!#REF!="実施完了")*(日次管理!#REF!="予定")*(日次管理!#REF!=$A$71),日次管理!#REF!)</f>
        <v>#REF!</v>
      </c>
      <c r="CU75" s="59" t="e">
        <f>SUMPRODUCT((日次管理!#REF!&lt;=$CU$72)*(日次管理!#REF!=$A$75)*(日次管理!#REF!="実施完了")*(日次管理!#REF!="実績")*(日次管理!#REF!=$A$71),日次管理!#REF!)</f>
        <v>#REF!</v>
      </c>
      <c r="CV75" s="92" t="e">
        <f ca="1">SUMPRODUCT(($A$72- WEEKDAY($A$72) + 6 =$B$72:$CU$72)*("実績"=$B$73:$CU$73),$B$75:$CU$75)/SUMPRODUCT(($A$72- WEEKDAY($A$72) + 6 =$B$72:$CU$72)*("予定"=$B$73:$CU$73),$B$75:$CU$75)</f>
        <v>#REF!</v>
      </c>
      <c r="CW75" s="93" t="e">
        <f>$CU$75/$CT$75</f>
        <v>#REF!</v>
      </c>
    </row>
    <row r="76" spans="1:101" ht="20.149999999999999" customHeight="1">
      <c r="A76" s="105" t="s">
        <v>74</v>
      </c>
      <c r="B76" s="95" t="e">
        <f>SUMPRODUCT((日次管理!#REF!&lt;=$B$72)*(日次管理!#REF!=$A$76)*(日次管理!#REF!="実施完了")*(日次管理!#REF!="予定")*(日次管理!#REF!=$A$71),日次管理!#REF!)</f>
        <v>#REF!</v>
      </c>
      <c r="C76" s="60" t="e">
        <f>SUMPRODUCT((日次管理!#REF!&lt;=$C$72)*(日次管理!#REF!=$A$76)*(日次管理!#REF!="実施完了")*(日次管理!#REF!="実績")*(日次管理!#REF!=$A$71),日次管理!#REF!)</f>
        <v>#REF!</v>
      </c>
      <c r="D76" s="95" t="e">
        <f>SUMPRODUCT((日次管理!#REF!&lt;=$D$72)*(日次管理!#REF!=$A$76)*(日次管理!#REF!="実施完了")*(日次管理!#REF!="予定")*(日次管理!#REF!=$A$71),日次管理!#REF!)</f>
        <v>#REF!</v>
      </c>
      <c r="E76" s="60" t="e">
        <f>SUMPRODUCT((日次管理!#REF!&lt;=$E$72)*(日次管理!#REF!=$A$76)*(日次管理!#REF!="実施完了")*(日次管理!#REF!="実績")*(日次管理!#REF!=$A$71),日次管理!#REF!)</f>
        <v>#REF!</v>
      </c>
      <c r="F76" s="95" t="e">
        <f>SUMPRODUCT((日次管理!#REF!&lt;=$F$72)*(日次管理!#REF!=$A$76)*(日次管理!#REF!="実施完了")*(日次管理!#REF!="予定")*(日次管理!#REF!=$A$71),日次管理!#REF!)</f>
        <v>#REF!</v>
      </c>
      <c r="G76" s="60" t="e">
        <f>SUMPRODUCT((日次管理!#REF!&lt;=$G$72)*(日次管理!#REF!=$A$76)*(日次管理!#REF!="実施完了")*(日次管理!#REF!="実績")*(日次管理!#REF!=$A$71),日次管理!#REF!)</f>
        <v>#REF!</v>
      </c>
      <c r="H76" s="95" t="e">
        <f>SUMPRODUCT((日次管理!#REF!&lt;=$H$72)*(日次管理!#REF!=$A$76)*(日次管理!#REF!="実施完了")*(日次管理!#REF!="予定")*(日次管理!#REF!=$A$71),日次管理!#REF!)</f>
        <v>#REF!</v>
      </c>
      <c r="I76" s="60" t="e">
        <f>SUMPRODUCT((日次管理!#REF!&lt;=$I$72)*(日次管理!#REF!=$A$76)*(日次管理!#REF!="実施完了")*(日次管理!#REF!="実績")*(日次管理!#REF!=$A$71),日次管理!#REF!)</f>
        <v>#REF!</v>
      </c>
      <c r="J76" s="95" t="e">
        <f>SUMPRODUCT((日次管理!#REF!&lt;=$J$72)*(日次管理!#REF!=$A$76)*(日次管理!#REF!="実施完了")*(日次管理!#REF!="予定")*(日次管理!#REF!=$A$71),日次管理!#REF!)</f>
        <v>#REF!</v>
      </c>
      <c r="K76" s="60" t="e">
        <f>SUMPRODUCT((日次管理!#REF!&lt;=$K$72)*(日次管理!#REF!=$A$76)*(日次管理!#REF!="実施完了")*(日次管理!#REF!="実績")*(日次管理!#REF!=$A$71),日次管理!#REF!)</f>
        <v>#REF!</v>
      </c>
      <c r="L76" s="95" t="e">
        <f>SUMPRODUCT((日次管理!#REF!&lt;=$L$72)*(日次管理!#REF!=$A$76)*(日次管理!#REF!="実施完了")*(日次管理!#REF!="予定")*(日次管理!#REF!=$A$71),日次管理!#REF!)</f>
        <v>#REF!</v>
      </c>
      <c r="M76" s="60" t="e">
        <f>SUMPRODUCT((日次管理!#REF!&lt;=$M$72)*(日次管理!#REF!=$A$76)*(日次管理!#REF!="実施完了")*(日次管理!#REF!="実績")*(日次管理!#REF!=$A$71),日次管理!#REF!)</f>
        <v>#REF!</v>
      </c>
      <c r="N76" s="95" t="e">
        <f>SUMPRODUCT((日次管理!#REF!&lt;=$N$72)*(日次管理!#REF!=$A$76)*(日次管理!#REF!="実施完了")*(日次管理!#REF!="予定")*(日次管理!#REF!=$A$71),日次管理!#REF!)</f>
        <v>#REF!</v>
      </c>
      <c r="O76" s="60" t="e">
        <f>SUMPRODUCT((日次管理!#REF!&lt;=$O$72)*(日次管理!#REF!=$A$76)*(日次管理!#REF!="実施完了")*(日次管理!#REF!="実績")*(日次管理!#REF!=$A$71),日次管理!#REF!)</f>
        <v>#REF!</v>
      </c>
      <c r="P76" s="95" t="e">
        <f>SUMPRODUCT((日次管理!#REF!&lt;=$P$72)*(日次管理!#REF!=$A$76)*(日次管理!#REF!="実施完了")*(日次管理!#REF!="予定")*(日次管理!#REF!=$A$71),日次管理!#REF!)</f>
        <v>#REF!</v>
      </c>
      <c r="Q76" s="60" t="e">
        <f>SUMPRODUCT((日次管理!#REF!&lt;=$Q$72)*(日次管理!#REF!=$A$76)*(日次管理!#REF!="実施完了")*(日次管理!#REF!="実績")*(日次管理!#REF!=$A$71),日次管理!#REF!)</f>
        <v>#REF!</v>
      </c>
      <c r="R76" s="95" t="e">
        <f>SUMPRODUCT((日次管理!#REF!&lt;=$R$72)*(日次管理!#REF!=$A$76)*(日次管理!#REF!="実施完了")*(日次管理!#REF!="予定")*(日次管理!#REF!=$A$71),日次管理!#REF!)</f>
        <v>#REF!</v>
      </c>
      <c r="S76" s="60" t="e">
        <f>SUMPRODUCT((日次管理!#REF!&lt;=$S$72)*(日次管理!#REF!=$A$76)*(日次管理!#REF!="実施完了")*(日次管理!#REF!="実績")*(日次管理!#REF!=$A$71),日次管理!#REF!)</f>
        <v>#REF!</v>
      </c>
      <c r="T76" s="95" t="e">
        <f>SUMPRODUCT((日次管理!#REF!&lt;=$T$72)*(日次管理!#REF!=$A$76)*(日次管理!#REF!="実施完了")*(日次管理!#REF!="予定")*(日次管理!#REF!=$A$71),日次管理!#REF!)</f>
        <v>#REF!</v>
      </c>
      <c r="U76" s="60" t="e">
        <f>SUMPRODUCT((日次管理!#REF!&lt;=$U$72)*(日次管理!#REF!=$A$76)*(日次管理!#REF!="実施完了")*(日次管理!#REF!="実績")*(日次管理!#REF!=$A$71),日次管理!#REF!)</f>
        <v>#REF!</v>
      </c>
      <c r="V76" s="95" t="e">
        <f>SUMPRODUCT((日次管理!#REF!&lt;=$V$72)*(日次管理!#REF!=$A$76)*(日次管理!#REF!="実施完了")*(日次管理!#REF!="予定")*(日次管理!#REF!=$A$71),日次管理!#REF!)</f>
        <v>#REF!</v>
      </c>
      <c r="W76" s="60" t="e">
        <f>SUMPRODUCT((日次管理!#REF!&lt;=$W$72)*(日次管理!#REF!=$A$76)*(日次管理!#REF!="実施完了")*(日次管理!#REF!="実績")*(日次管理!#REF!=$A$71),日次管理!#REF!)</f>
        <v>#REF!</v>
      </c>
      <c r="X76" s="95" t="e">
        <f>SUMPRODUCT((日次管理!#REF!&lt;=$X$72)*(日次管理!#REF!=$A$76)*(日次管理!#REF!="実施完了")*(日次管理!#REF!="予定")*(日次管理!#REF!=$A$71),日次管理!#REF!)</f>
        <v>#REF!</v>
      </c>
      <c r="Y76" s="60" t="e">
        <f>SUMPRODUCT((日次管理!#REF!&lt;=$Y$72)*(日次管理!#REF!=$A$76)*(日次管理!#REF!="実施完了")*(日次管理!#REF!="実績")*(日次管理!#REF!=$A$71),日次管理!#REF!)</f>
        <v>#REF!</v>
      </c>
      <c r="Z76" s="95" t="e">
        <f>SUMPRODUCT((日次管理!#REF!&lt;=$Z$72)*(日次管理!#REF!=$A$76)*(日次管理!#REF!="実施完了")*(日次管理!#REF!="予定")*(日次管理!#REF!=$A$71),日次管理!#REF!)</f>
        <v>#REF!</v>
      </c>
      <c r="AA76" s="60" t="e">
        <f>SUMPRODUCT((日次管理!#REF!&lt;=$AA$72)*(日次管理!#REF!=$A$76)*(日次管理!#REF!="実施完了")*(日次管理!#REF!="実績")*(日次管理!#REF!=$A$71),日次管理!#REF!)</f>
        <v>#REF!</v>
      </c>
      <c r="AB76" s="95" t="e">
        <f>SUMPRODUCT((日次管理!#REF!&lt;=$AB$72)*(日次管理!#REF!=$A$76)*(日次管理!#REF!="実施完了")*(日次管理!#REF!="予定")*(日次管理!#REF!=$A$71),日次管理!#REF!)</f>
        <v>#REF!</v>
      </c>
      <c r="AC76" s="60" t="e">
        <f>SUMPRODUCT((日次管理!#REF!&lt;=$AC$72)*(日次管理!#REF!=$A$76)*(日次管理!#REF!="実施完了")*(日次管理!#REF!="実績")*(日次管理!#REF!=$A$71),日次管理!#REF!)</f>
        <v>#REF!</v>
      </c>
      <c r="AD76" s="95" t="e">
        <f>SUMPRODUCT((日次管理!#REF!&lt;=$AD$72)*(日次管理!#REF!=$A$76)*(日次管理!#REF!="実施完了")*(日次管理!#REF!="予定")*(日次管理!#REF!=$A$71),日次管理!#REF!)</f>
        <v>#REF!</v>
      </c>
      <c r="AE76" s="60" t="e">
        <f>SUMPRODUCT((日次管理!#REF!&lt;=$AE$72)*(日次管理!#REF!=$A$76)*(日次管理!#REF!="実施完了")*(日次管理!#REF!="実績")*(日次管理!#REF!=$A$71),日次管理!#REF!)</f>
        <v>#REF!</v>
      </c>
      <c r="AF76" s="95" t="e">
        <f>SUMPRODUCT((日次管理!#REF!&lt;=$AF$72)*(日次管理!#REF!=$A$76)*(日次管理!#REF!="実施完了")*(日次管理!#REF!="予定")*(日次管理!#REF!=$A$71),日次管理!#REF!)</f>
        <v>#REF!</v>
      </c>
      <c r="AG76" s="60" t="e">
        <f>SUMPRODUCT((日次管理!#REF!&lt;=$AG$72)*(日次管理!#REF!=$A$76)*(日次管理!#REF!="実施完了")*(日次管理!#REF!="実績")*(日次管理!#REF!=$A$71),日次管理!#REF!)</f>
        <v>#REF!</v>
      </c>
      <c r="AH76" s="95" t="e">
        <f>SUMPRODUCT((日次管理!#REF!&lt;=$AH$72)*(日次管理!#REF!=$A$76)*(日次管理!#REF!="実施完了")*(日次管理!#REF!="予定")*(日次管理!#REF!=$A$71),日次管理!#REF!)</f>
        <v>#REF!</v>
      </c>
      <c r="AI76" s="60" t="e">
        <f>SUMPRODUCT((日次管理!#REF!&lt;=$AI$72)*(日次管理!#REF!=$A$76)*(日次管理!#REF!="実施完了")*(日次管理!#REF!="実績")*(日次管理!#REF!=$A$71),日次管理!#REF!)</f>
        <v>#REF!</v>
      </c>
      <c r="AJ76" s="95" t="e">
        <f>SUMPRODUCT((日次管理!#REF!&lt;=$AJ$72)*(日次管理!#REF!=$A$76)*(日次管理!#REF!="実施完了")*(日次管理!#REF!="予定")*(日次管理!#REF!=$A$71),日次管理!#REF!)</f>
        <v>#REF!</v>
      </c>
      <c r="AK76" s="60" t="e">
        <f>SUMPRODUCT((日次管理!#REF!&lt;=$AK$72)*(日次管理!#REF!=$A$76)*(日次管理!#REF!="実施完了")*(日次管理!#REF!="実績")*(日次管理!#REF!=$A$71),日次管理!#REF!)</f>
        <v>#REF!</v>
      </c>
      <c r="AL76" s="95" t="e">
        <f>SUMPRODUCT((日次管理!#REF!&lt;=$AL$72)*(日次管理!#REF!=$A$76)*(日次管理!#REF!="実施完了")*(日次管理!#REF!="予定")*(日次管理!#REF!=$A$71),日次管理!#REF!)</f>
        <v>#REF!</v>
      </c>
      <c r="AM76" s="60" t="e">
        <f>SUMPRODUCT((日次管理!#REF!&lt;=$AM$72)*(日次管理!#REF!=$A$76)*(日次管理!#REF!="実施完了")*(日次管理!#REF!="実績")*(日次管理!#REF!=$A$71),日次管理!#REF!)</f>
        <v>#REF!</v>
      </c>
      <c r="AN76" s="95" t="e">
        <f>SUMPRODUCT((日次管理!#REF!&lt;=$AN$72)*(日次管理!#REF!=$A$76)*(日次管理!#REF!="実施完了")*(日次管理!#REF!="予定")*(日次管理!#REF!=$A$71),日次管理!#REF!)</f>
        <v>#REF!</v>
      </c>
      <c r="AO76" s="60" t="e">
        <f>SUMPRODUCT((日次管理!#REF!&lt;=$AO$72)*(日次管理!#REF!=$A$76)*(日次管理!#REF!="実施完了")*(日次管理!#REF!="実績")*(日次管理!#REF!=$A$71),日次管理!#REF!)</f>
        <v>#REF!</v>
      </c>
      <c r="AP76" s="95" t="e">
        <f>SUMPRODUCT((日次管理!#REF!&lt;=$AP$72)*(日次管理!#REF!=$A$76)*(日次管理!#REF!="実施完了")*(日次管理!#REF!="予定")*(日次管理!#REF!=$A$71),日次管理!#REF!)</f>
        <v>#REF!</v>
      </c>
      <c r="AQ76" s="60" t="e">
        <f>SUMPRODUCT((日次管理!#REF!&lt;=$AQ$72)*(日次管理!#REF!=$A$76)*(日次管理!#REF!="実施完了")*(日次管理!#REF!="実績")*(日次管理!#REF!=$A$71),日次管理!#REF!)</f>
        <v>#REF!</v>
      </c>
      <c r="AR76" s="95" t="e">
        <f>SUMPRODUCT((日次管理!#REF!&lt;=$AR$72)*(日次管理!#REF!=$A$76)*(日次管理!#REF!="実施完了")*(日次管理!#REF!="予定")*(日次管理!#REF!=$A$71),日次管理!#REF!)</f>
        <v>#REF!</v>
      </c>
      <c r="AS76" s="60" t="e">
        <f>SUMPRODUCT((日次管理!#REF!&lt;=$AS$72)*(日次管理!#REF!=$A$76)*(日次管理!#REF!="実施完了")*(日次管理!#REF!="実績")*(日次管理!#REF!=$A$71),日次管理!#REF!)</f>
        <v>#REF!</v>
      </c>
      <c r="AT76" s="95" t="e">
        <f>SUMPRODUCT((日次管理!#REF!&lt;=$AT$72)*(日次管理!#REF!=$A$76)*(日次管理!#REF!="実施完了")*(日次管理!#REF!="予定")*(日次管理!#REF!=$A$71),日次管理!#REF!)</f>
        <v>#REF!</v>
      </c>
      <c r="AU76" s="60" t="e">
        <f>SUMPRODUCT((日次管理!#REF!&lt;=$AU$72)*(日次管理!#REF!=$A$76)*(日次管理!#REF!="実施完了")*(日次管理!#REF!="実績")*(日次管理!#REF!=$A$71),日次管理!#REF!)</f>
        <v>#REF!</v>
      </c>
      <c r="AV76" s="95" t="e">
        <f>SUMPRODUCT((日次管理!#REF!&lt;=$AV$72)*(日次管理!#REF!=$A$76)*(日次管理!#REF!="実施完了")*(日次管理!#REF!="予定")*(日次管理!#REF!=$A$71),日次管理!#REF!)</f>
        <v>#REF!</v>
      </c>
      <c r="AW76" s="60" t="e">
        <f>SUMPRODUCT((日次管理!#REF!&lt;=$AW$72)*(日次管理!#REF!=$A$76)*(日次管理!#REF!="実施完了")*(日次管理!#REF!="実績")*(日次管理!#REF!=$A$71),日次管理!#REF!)</f>
        <v>#REF!</v>
      </c>
      <c r="AX76" s="95" t="e">
        <f>SUMPRODUCT((日次管理!#REF!&lt;=$AX$72)*(日次管理!#REF!=$A$76)*(日次管理!#REF!="実施完了")*(日次管理!#REF!="予定")*(日次管理!#REF!=$A$71),日次管理!#REF!)</f>
        <v>#REF!</v>
      </c>
      <c r="AY76" s="60" t="e">
        <f>SUMPRODUCT((日次管理!#REF!&lt;=$AY$72)*(日次管理!#REF!=$A$76)*(日次管理!#REF!="実施完了")*(日次管理!#REF!="実績")*(日次管理!#REF!=$A$71),日次管理!#REF!)</f>
        <v>#REF!</v>
      </c>
      <c r="AZ76" s="95" t="e">
        <f>SUMPRODUCT((日次管理!#REF!&lt;=$AZ$72)*(日次管理!#REF!=$A$76)*(日次管理!#REF!="実施完了")*(日次管理!#REF!="予定")*(日次管理!#REF!=$A$71),日次管理!#REF!)</f>
        <v>#REF!</v>
      </c>
      <c r="BA76" s="60" t="e">
        <f>SUMPRODUCT((日次管理!#REF!&lt;=$BA$72)*(日次管理!#REF!=$A$76)*(日次管理!#REF!="実施完了")*(日次管理!#REF!="実績")*(日次管理!#REF!=$A$71),日次管理!#REF!)</f>
        <v>#REF!</v>
      </c>
      <c r="BB76" s="95" t="e">
        <f>SUMPRODUCT((日次管理!#REF!&lt;=$BB$72)*(日次管理!#REF!=$A$76)*(日次管理!#REF!="実施完了")*(日次管理!#REF!="予定")*(日次管理!#REF!=$A$71),日次管理!#REF!)</f>
        <v>#REF!</v>
      </c>
      <c r="BC76" s="60" t="e">
        <f>SUMPRODUCT((日次管理!#REF!&lt;=$BC$72)*(日次管理!#REF!=$A$76)*(日次管理!#REF!="実施完了")*(日次管理!#REF!="実績")*(日次管理!#REF!=$A$71),日次管理!#REF!)</f>
        <v>#REF!</v>
      </c>
      <c r="BD76" s="95" t="e">
        <f>SUMPRODUCT((日次管理!#REF!&lt;=$BD$72)*(日次管理!#REF!=$A$76)*(日次管理!#REF!="実施完了")*(日次管理!#REF!="予定")*(日次管理!#REF!=$A$71),日次管理!#REF!)</f>
        <v>#REF!</v>
      </c>
      <c r="BE76" s="60" t="e">
        <f>SUMPRODUCT((日次管理!#REF!&lt;=$BE$72)*(日次管理!#REF!=$A$76)*(日次管理!#REF!="実施完了")*(日次管理!#REF!="実績")*(日次管理!#REF!=$A$71),日次管理!#REF!)</f>
        <v>#REF!</v>
      </c>
      <c r="BF76" s="95" t="e">
        <f>SUMPRODUCT((日次管理!#REF!&lt;=$BF$72)*(日次管理!#REF!=$A$76)*(日次管理!#REF!="実施完了")*(日次管理!#REF!="予定")*(日次管理!#REF!=$A$71),日次管理!#REF!)</f>
        <v>#REF!</v>
      </c>
      <c r="BG76" s="60" t="e">
        <f>SUMPRODUCT((日次管理!#REF!&lt;=$BG$72)*(日次管理!#REF!=$A$76)*(日次管理!#REF!="実施完了")*(日次管理!#REF!="実績")*(日次管理!#REF!=$A$71),日次管理!#REF!)</f>
        <v>#REF!</v>
      </c>
      <c r="BH76" s="95" t="e">
        <f>SUMPRODUCT((日次管理!#REF!&lt;=$BH$72)*(日次管理!#REF!=$A$76)*(日次管理!#REF!="実施完了")*(日次管理!#REF!="予定")*(日次管理!#REF!=$A$71),日次管理!#REF!)</f>
        <v>#REF!</v>
      </c>
      <c r="BI76" s="60" t="e">
        <f>SUMPRODUCT((日次管理!#REF!&lt;=$BI$72)*(日次管理!#REF!=$A$76)*(日次管理!#REF!="実施完了")*(日次管理!#REF!="実績")*(日次管理!#REF!=$A$71),日次管理!#REF!)</f>
        <v>#REF!</v>
      </c>
      <c r="BJ76" s="95" t="e">
        <f>SUMPRODUCT((日次管理!#REF!&lt;=$BJ$72)*(日次管理!#REF!=$A$76)*(日次管理!#REF!="実施完了")*(日次管理!#REF!="予定")*(日次管理!#REF!=$A$71),日次管理!#REF!)</f>
        <v>#REF!</v>
      </c>
      <c r="BK76" s="60" t="e">
        <f>SUMPRODUCT((日次管理!#REF!&lt;=$BK$72)*(日次管理!#REF!=$A$76)*(日次管理!#REF!="実施完了")*(日次管理!#REF!="実績")*(日次管理!#REF!=$A$71),日次管理!#REF!)</f>
        <v>#REF!</v>
      </c>
      <c r="BL76" s="95" t="e">
        <f>SUMPRODUCT((日次管理!#REF!&lt;=$BL$72)*(日次管理!#REF!=$A$76)*(日次管理!#REF!="実施完了")*(日次管理!#REF!="予定")*(日次管理!#REF!=$A$71),日次管理!#REF!)</f>
        <v>#REF!</v>
      </c>
      <c r="BM76" s="60" t="e">
        <f>SUMPRODUCT((日次管理!#REF!&lt;=$BM$72)*(日次管理!#REF!=$A$76)*(日次管理!#REF!="実施完了")*(日次管理!#REF!="実績")*(日次管理!#REF!=$A$71),日次管理!#REF!)</f>
        <v>#REF!</v>
      </c>
      <c r="BN76" s="95" t="e">
        <f>SUMPRODUCT((日次管理!#REF!&lt;=$BN$72)*(日次管理!#REF!=$A$76)*(日次管理!#REF!="実施完了")*(日次管理!#REF!="予定")*(日次管理!#REF!=$A$71),日次管理!#REF!)</f>
        <v>#REF!</v>
      </c>
      <c r="BO76" s="60" t="e">
        <f>SUMPRODUCT((日次管理!#REF!&lt;=$BO$72)*(日次管理!#REF!=$A$76)*(日次管理!#REF!="実施完了")*(日次管理!#REF!="実績")*(日次管理!#REF!=$A$71),日次管理!#REF!)</f>
        <v>#REF!</v>
      </c>
      <c r="BP76" s="95" t="e">
        <f>SUMPRODUCT((日次管理!#REF!&lt;=$BP$72)*(日次管理!#REF!=$A$76)*(日次管理!#REF!="実施完了")*(日次管理!#REF!="予定")*(日次管理!#REF!=$A$71),日次管理!#REF!)</f>
        <v>#REF!</v>
      </c>
      <c r="BQ76" s="60" t="e">
        <f>SUMPRODUCT((日次管理!#REF!&lt;=$BQ$72)*(日次管理!#REF!=$A$76)*(日次管理!#REF!="実施完了")*(日次管理!#REF!="実績")*(日次管理!#REF!=$A$71),日次管理!#REF!)</f>
        <v>#REF!</v>
      </c>
      <c r="BR76" s="95" t="e">
        <f>SUMPRODUCT((日次管理!#REF!&lt;=$BR$72)*(日次管理!#REF!=$A$76)*(日次管理!#REF!="実施完了")*(日次管理!#REF!="予定")*(日次管理!#REF!=$A$71),日次管理!#REF!)</f>
        <v>#REF!</v>
      </c>
      <c r="BS76" s="60" t="e">
        <f>SUMPRODUCT((日次管理!#REF!&lt;=$BS$72)*(日次管理!#REF!=$A$76)*(日次管理!#REF!="実施完了")*(日次管理!#REF!="実績")*(日次管理!#REF!=$A$71),日次管理!#REF!)</f>
        <v>#REF!</v>
      </c>
      <c r="BT76" s="95" t="e">
        <f>SUMPRODUCT((日次管理!#REF!&lt;=$BT$72)*(日次管理!#REF!=$A$76)*(日次管理!#REF!="実施完了")*(日次管理!#REF!="予定")*(日次管理!#REF!=$A$71),日次管理!#REF!)</f>
        <v>#REF!</v>
      </c>
      <c r="BU76" s="60" t="e">
        <f>SUMPRODUCT((日次管理!#REF!&lt;=$BU$72)*(日次管理!#REF!=$A$76)*(日次管理!#REF!="実施完了")*(日次管理!#REF!="実績")*(日次管理!#REF!=$A$71),日次管理!#REF!)</f>
        <v>#REF!</v>
      </c>
      <c r="BV76" s="95" t="e">
        <f>SUMPRODUCT((日次管理!#REF!&lt;=$BV$72)*(日次管理!#REF!=$A$76)*(日次管理!#REF!="実施完了")*(日次管理!#REF!="予定")*(日次管理!#REF!=$A$71),日次管理!#REF!)</f>
        <v>#REF!</v>
      </c>
      <c r="BW76" s="60" t="e">
        <f>SUMPRODUCT((日次管理!#REF!&lt;=$BW$72)*(日次管理!#REF!=$A$76)*(日次管理!#REF!="実施完了")*(日次管理!#REF!="実績")*(日次管理!#REF!=$A$71),日次管理!#REF!)</f>
        <v>#REF!</v>
      </c>
      <c r="BX76" s="95" t="e">
        <f>SUMPRODUCT((日次管理!#REF!&lt;=$BX$72)*(日次管理!#REF!=$A$76)*(日次管理!#REF!="実施完了")*(日次管理!#REF!="予定")*(日次管理!#REF!=$A$71),日次管理!#REF!)</f>
        <v>#REF!</v>
      </c>
      <c r="BY76" s="60" t="e">
        <f>SUMPRODUCT((日次管理!#REF!&lt;=$BY$72)*(日次管理!#REF!=$A$76)*(日次管理!#REF!="実施完了")*(日次管理!#REF!="実績")*(日次管理!#REF!=$A$71),日次管理!#REF!)</f>
        <v>#REF!</v>
      </c>
      <c r="BZ76" s="95" t="e">
        <f>SUMPRODUCT((日次管理!#REF!&lt;=$BZ$72)*(日次管理!#REF!=$A$76)*(日次管理!#REF!="実施完了")*(日次管理!#REF!="予定")*(日次管理!#REF!=$A$71),日次管理!#REF!)</f>
        <v>#REF!</v>
      </c>
      <c r="CA76" s="60" t="e">
        <f>SUMPRODUCT((日次管理!#REF!&lt;=$CA$72)*(日次管理!#REF!=$A$76)*(日次管理!#REF!="実施完了")*(日次管理!#REF!="実績")*(日次管理!#REF!=$A$71),日次管理!#REF!)</f>
        <v>#REF!</v>
      </c>
      <c r="CB76" s="95" t="e">
        <f>SUMPRODUCT((日次管理!#REF!&lt;=$CB$72)*(日次管理!#REF!=$A$76)*(日次管理!#REF!="実施完了")*(日次管理!#REF!="予定")*(日次管理!#REF!=$A$71),日次管理!#REF!)</f>
        <v>#REF!</v>
      </c>
      <c r="CC76" s="60" t="e">
        <f>SUMPRODUCT((日次管理!#REF!&lt;=$CC$72)*(日次管理!#REF!=$A$76)*(日次管理!#REF!="実施完了")*(日次管理!#REF!="実績")*(日次管理!#REF!=$A$71),日次管理!#REF!)</f>
        <v>#REF!</v>
      </c>
      <c r="CD76" s="95" t="e">
        <f>SUMPRODUCT((日次管理!#REF!&lt;=$CD$72)*(日次管理!#REF!=$A$76)*(日次管理!#REF!="実施完了")*(日次管理!#REF!="予定")*(日次管理!#REF!=$A$71),日次管理!#REF!)</f>
        <v>#REF!</v>
      </c>
      <c r="CE76" s="60" t="e">
        <f>SUMPRODUCT((日次管理!#REF!&lt;=$CE$72)*(日次管理!#REF!=$A$76)*(日次管理!#REF!="実施完了")*(日次管理!#REF!="実績")*(日次管理!#REF!=$A$71),日次管理!#REF!)</f>
        <v>#REF!</v>
      </c>
      <c r="CF76" s="95" t="e">
        <f>SUMPRODUCT((日次管理!#REF!&lt;=$CF$72)*(日次管理!#REF!=$A$76)*(日次管理!#REF!="実施完了")*(日次管理!#REF!="予定")*(日次管理!#REF!=$A$71),日次管理!#REF!)</f>
        <v>#REF!</v>
      </c>
      <c r="CG76" s="60" t="e">
        <f>SUMPRODUCT((日次管理!#REF!&lt;=$CG$72)*(日次管理!#REF!=$A$76)*(日次管理!#REF!="実施完了")*(日次管理!#REF!="実績")*(日次管理!#REF!=$A$71),日次管理!#REF!)</f>
        <v>#REF!</v>
      </c>
      <c r="CH76" s="95" t="e">
        <f>SUMPRODUCT((日次管理!#REF!&lt;=$CH$72)*(日次管理!#REF!=$A$76)*(日次管理!#REF!="実施完了")*(日次管理!#REF!="予定")*(日次管理!#REF!=$A$71),日次管理!#REF!)</f>
        <v>#REF!</v>
      </c>
      <c r="CI76" s="60" t="e">
        <f>SUMPRODUCT((日次管理!#REF!&lt;=$CI$72)*(日次管理!#REF!=$A$76)*(日次管理!#REF!="実施完了")*(日次管理!#REF!="実績")*(日次管理!#REF!=$A$71),日次管理!#REF!)</f>
        <v>#REF!</v>
      </c>
      <c r="CJ76" s="95" t="e">
        <f>SUMPRODUCT((日次管理!#REF!&lt;=$CJ$72)*(日次管理!#REF!=$A$76)*(日次管理!#REF!="実施完了")*(日次管理!#REF!="予定")*(日次管理!#REF!=$A$71),日次管理!#REF!)</f>
        <v>#REF!</v>
      </c>
      <c r="CK76" s="60" t="e">
        <f>SUMPRODUCT((日次管理!#REF!&lt;=$CK$72)*(日次管理!#REF!=$A$76)*(日次管理!#REF!="実施完了")*(日次管理!#REF!="実績")*(日次管理!#REF!=$A$71),日次管理!#REF!)</f>
        <v>#REF!</v>
      </c>
      <c r="CL76" s="95" t="e">
        <f>SUMPRODUCT((日次管理!#REF!&lt;=$CL$72)*(日次管理!#REF!=$A$76)*(日次管理!#REF!="実施完了")*(日次管理!#REF!="予定")*(日次管理!#REF!=$A$71),日次管理!#REF!)</f>
        <v>#REF!</v>
      </c>
      <c r="CM76" s="60" t="e">
        <f>SUMPRODUCT((日次管理!#REF!&lt;=$CM$72)*(日次管理!#REF!=$A$76)*(日次管理!#REF!="実施完了")*(日次管理!#REF!="実績")*(日次管理!#REF!=$A$71),日次管理!#REF!)</f>
        <v>#REF!</v>
      </c>
      <c r="CN76" s="95" t="e">
        <f>SUMPRODUCT((日次管理!#REF!&lt;=$CN$72)*(日次管理!#REF!=$A$76)*(日次管理!#REF!="実施完了")*(日次管理!#REF!="予定")*(日次管理!#REF!=$A$71),日次管理!#REF!)</f>
        <v>#REF!</v>
      </c>
      <c r="CO76" s="60" t="e">
        <f>SUMPRODUCT((日次管理!#REF!&lt;=$CO$72)*(日次管理!#REF!=$A$76)*(日次管理!#REF!="実施完了")*(日次管理!#REF!="実績")*(日次管理!#REF!=$A$71),日次管理!#REF!)</f>
        <v>#REF!</v>
      </c>
      <c r="CP76" s="95" t="e">
        <f>SUMPRODUCT((日次管理!#REF!&lt;=$CP$72)*(日次管理!#REF!=$A$76)*(日次管理!#REF!="実施完了")*(日次管理!#REF!="予定")*(日次管理!#REF!=$A$71),日次管理!#REF!)</f>
        <v>#REF!</v>
      </c>
      <c r="CQ76" s="60" t="e">
        <f>SUMPRODUCT((日次管理!#REF!&lt;=$CQ$72)*(日次管理!#REF!=$A$76)*(日次管理!#REF!="実施完了")*(日次管理!#REF!="実績")*(日次管理!#REF!=$A$71),日次管理!#REF!)</f>
        <v>#REF!</v>
      </c>
      <c r="CR76" s="95" t="e">
        <f>SUMPRODUCT((日次管理!#REF!&lt;=$CR$72)*(日次管理!#REF!=$A$76)*(日次管理!#REF!="実施完了")*(日次管理!#REF!="予定")*(日次管理!#REF!=$A$71),日次管理!#REF!)</f>
        <v>#REF!</v>
      </c>
      <c r="CS76" s="60" t="e">
        <f>SUMPRODUCT((日次管理!#REF!&lt;=$CS$72)*(日次管理!#REF!=$A$76)*(日次管理!#REF!="実施完了")*(日次管理!#REF!="実績")*(日次管理!#REF!=$A$71),日次管理!#REF!)</f>
        <v>#REF!</v>
      </c>
      <c r="CT76" s="95" t="e">
        <f>SUMPRODUCT((日次管理!#REF!&lt;=$CT$72)*(日次管理!#REF!=$A$76)*(日次管理!#REF!="実施完了")*(日次管理!#REF!="予定")*(日次管理!#REF!=$A$71),日次管理!#REF!)</f>
        <v>#REF!</v>
      </c>
      <c r="CU76" s="60" t="e">
        <f>SUMPRODUCT((日次管理!#REF!&lt;=$CU$72)*(日次管理!#REF!=$A$76)*(日次管理!#REF!="実施完了")*(日次管理!#REF!="実績")*(日次管理!#REF!=$A$71),日次管理!#REF!)</f>
        <v>#REF!</v>
      </c>
      <c r="CV76" s="96" t="e">
        <f ca="1">SUMPRODUCT(($A$72- WEEKDAY($A$72) + 6 =$B$72:$CU$72)*("実績"=$B$73:$CU$73),$B$76:$CU$76)/SUMPRODUCT(($A$72- WEEKDAY($A$72) + 6 =$B$72:$CU$72)*("予定"=$B$73:$CU$73),$B$76:$CU$76)</f>
        <v>#REF!</v>
      </c>
      <c r="CW76" s="97" t="e">
        <f>$CU$76/$CT$76</f>
        <v>#REF!</v>
      </c>
    </row>
    <row r="77" spans="1:101" ht="20.149999999999999" customHeight="1" thickBot="1">
      <c r="A77" s="111" t="s">
        <v>65</v>
      </c>
      <c r="B77" s="99" t="e">
        <f>SUM($B$74:$B$76)</f>
        <v>#REF!</v>
      </c>
      <c r="C77" s="100" t="e">
        <f>SUM($C$74:$C$76)</f>
        <v>#REF!</v>
      </c>
      <c r="D77" s="99" t="e">
        <f>SUM($D$74:$D$76)</f>
        <v>#REF!</v>
      </c>
      <c r="E77" s="100" t="e">
        <f>SUM($E$74:$E$76)</f>
        <v>#REF!</v>
      </c>
      <c r="F77" s="99" t="e">
        <f>SUM($F$74:$F$76)</f>
        <v>#REF!</v>
      </c>
      <c r="G77" s="100" t="e">
        <f>SUM($G$74:$G$76)</f>
        <v>#REF!</v>
      </c>
      <c r="H77" s="99" t="e">
        <f>SUM($H$74:$H$76)</f>
        <v>#REF!</v>
      </c>
      <c r="I77" s="100" t="e">
        <f>SUM($I$74:$I$76)</f>
        <v>#REF!</v>
      </c>
      <c r="J77" s="99" t="e">
        <f>SUM($J$74:$J$76)</f>
        <v>#REF!</v>
      </c>
      <c r="K77" s="100" t="e">
        <f>SUM($K$74:$K$76)</f>
        <v>#REF!</v>
      </c>
      <c r="L77" s="99" t="e">
        <f>SUM($L$74:$L$76)</f>
        <v>#REF!</v>
      </c>
      <c r="M77" s="100" t="e">
        <f>SUM($M$74:$M$76)</f>
        <v>#REF!</v>
      </c>
      <c r="N77" s="99" t="e">
        <f>SUM($N$74:$N$76)</f>
        <v>#REF!</v>
      </c>
      <c r="O77" s="100" t="e">
        <f>SUM($O$74:$O$76)</f>
        <v>#REF!</v>
      </c>
      <c r="P77" s="99" t="e">
        <f>SUM($P$74:$P$76)</f>
        <v>#REF!</v>
      </c>
      <c r="Q77" s="100" t="e">
        <f>SUM($Q$74:$Q$76)</f>
        <v>#REF!</v>
      </c>
      <c r="R77" s="99" t="e">
        <f>SUM($R$74:$R$76)</f>
        <v>#REF!</v>
      </c>
      <c r="S77" s="100" t="e">
        <f>SUM($S$74:$S$76)</f>
        <v>#REF!</v>
      </c>
      <c r="T77" s="99" t="e">
        <f>SUM($T$74:$T$76)</f>
        <v>#REF!</v>
      </c>
      <c r="U77" s="100" t="e">
        <f>SUM($U$74:$U$76)</f>
        <v>#REF!</v>
      </c>
      <c r="V77" s="99" t="e">
        <f>SUM($V$74:$V$76)</f>
        <v>#REF!</v>
      </c>
      <c r="W77" s="100" t="e">
        <f>SUM($W$74:$W$76)</f>
        <v>#REF!</v>
      </c>
      <c r="X77" s="99" t="e">
        <f>SUM($X$74:$X$76)</f>
        <v>#REF!</v>
      </c>
      <c r="Y77" s="100" t="e">
        <f>SUM($Y$74:$Y$76)</f>
        <v>#REF!</v>
      </c>
      <c r="Z77" s="99" t="e">
        <f>SUM($Z$74:$Z$76)</f>
        <v>#REF!</v>
      </c>
      <c r="AA77" s="100" t="e">
        <f>SUM($AA$74:$AA$76)</f>
        <v>#REF!</v>
      </c>
      <c r="AB77" s="99" t="e">
        <f>SUM($AB$74:$AB$76)</f>
        <v>#REF!</v>
      </c>
      <c r="AC77" s="100" t="e">
        <f>SUM($AC$74:$AC$76)</f>
        <v>#REF!</v>
      </c>
      <c r="AD77" s="99" t="e">
        <f>SUM($AD$74:$AD$76)</f>
        <v>#REF!</v>
      </c>
      <c r="AE77" s="100" t="e">
        <f>SUM($AE$74:$AE$76)</f>
        <v>#REF!</v>
      </c>
      <c r="AF77" s="99" t="e">
        <f>SUM($AF$74:$AF$76)</f>
        <v>#REF!</v>
      </c>
      <c r="AG77" s="100" t="e">
        <f>SUM($AG$74:$AG$76)</f>
        <v>#REF!</v>
      </c>
      <c r="AH77" s="99" t="e">
        <f>SUM($AH$74:$AH$76)</f>
        <v>#REF!</v>
      </c>
      <c r="AI77" s="100" t="e">
        <f>SUM($AI$74:$AI$76)</f>
        <v>#REF!</v>
      </c>
      <c r="AJ77" s="99" t="e">
        <f>SUM($AJ$74:$AJ$76)</f>
        <v>#REF!</v>
      </c>
      <c r="AK77" s="100" t="e">
        <f>SUM($AK$74:$AK$76)</f>
        <v>#REF!</v>
      </c>
      <c r="AL77" s="99" t="e">
        <f>SUM($AL$74:$AL$76)</f>
        <v>#REF!</v>
      </c>
      <c r="AM77" s="100" t="e">
        <f>SUM($AM$74:$AM$76)</f>
        <v>#REF!</v>
      </c>
      <c r="AN77" s="99" t="e">
        <f>SUM($AN$74:$AN$76)</f>
        <v>#REF!</v>
      </c>
      <c r="AO77" s="100" t="e">
        <f>SUM($AO$74:$AO$76)</f>
        <v>#REF!</v>
      </c>
      <c r="AP77" s="99" t="e">
        <f>SUM($AP$74:$AP$76)</f>
        <v>#REF!</v>
      </c>
      <c r="AQ77" s="100" t="e">
        <f>SUM($AQ$74:$AQ$76)</f>
        <v>#REF!</v>
      </c>
      <c r="AR77" s="99" t="e">
        <f>SUM($AR$74:$AR$76)</f>
        <v>#REF!</v>
      </c>
      <c r="AS77" s="100" t="e">
        <f>SUM($AS$74:$AS$76)</f>
        <v>#REF!</v>
      </c>
      <c r="AT77" s="99" t="e">
        <f>SUM($AT$74:$AT$76)</f>
        <v>#REF!</v>
      </c>
      <c r="AU77" s="100" t="e">
        <f>SUM($AU$74:$AU$76)</f>
        <v>#REF!</v>
      </c>
      <c r="AV77" s="99" t="e">
        <f>SUM($AV$74:$AV$76)</f>
        <v>#REF!</v>
      </c>
      <c r="AW77" s="100" t="e">
        <f>SUM($AW$74:$AW$76)</f>
        <v>#REF!</v>
      </c>
      <c r="AX77" s="99" t="e">
        <f>SUM($AX$74:$AX$76)</f>
        <v>#REF!</v>
      </c>
      <c r="AY77" s="100" t="e">
        <f>SUM($AY$74:$AY$76)</f>
        <v>#REF!</v>
      </c>
      <c r="AZ77" s="99" t="e">
        <f>SUM($AZ$74:$AZ$76)</f>
        <v>#REF!</v>
      </c>
      <c r="BA77" s="100" t="e">
        <f>SUM($BA$74:$BA$76)</f>
        <v>#REF!</v>
      </c>
      <c r="BB77" s="99" t="e">
        <f>SUM($BB$74:$BB$76)</f>
        <v>#REF!</v>
      </c>
      <c r="BC77" s="100" t="e">
        <f>SUM($BC$74:$BC$76)</f>
        <v>#REF!</v>
      </c>
      <c r="BD77" s="99" t="e">
        <f>SUM($BD$74:$BD$76)</f>
        <v>#REF!</v>
      </c>
      <c r="BE77" s="100" t="e">
        <f>SUM($BE$74:$BE$76)</f>
        <v>#REF!</v>
      </c>
      <c r="BF77" s="99" t="e">
        <f>SUM($BF$74:$BF$76)</f>
        <v>#REF!</v>
      </c>
      <c r="BG77" s="100" t="e">
        <f>SUM($BG$74:$BG$76)</f>
        <v>#REF!</v>
      </c>
      <c r="BH77" s="99" t="e">
        <f>SUM($BH$74:$BH$76)</f>
        <v>#REF!</v>
      </c>
      <c r="BI77" s="100" t="e">
        <f>SUM($BI$74:$BI$76)</f>
        <v>#REF!</v>
      </c>
      <c r="BJ77" s="99" t="e">
        <f>SUM($BJ$74:$BJ$76)</f>
        <v>#REF!</v>
      </c>
      <c r="BK77" s="100" t="e">
        <f>SUM($BK$74:$BK$76)</f>
        <v>#REF!</v>
      </c>
      <c r="BL77" s="99" t="e">
        <f>SUM($BL$74:$BL$76)</f>
        <v>#REF!</v>
      </c>
      <c r="BM77" s="100" t="e">
        <f>SUM($BM$74:$BM$76)</f>
        <v>#REF!</v>
      </c>
      <c r="BN77" s="99" t="e">
        <f>SUM($BN$74:$BN$76)</f>
        <v>#REF!</v>
      </c>
      <c r="BO77" s="100" t="e">
        <f>SUM($BO$74:$BO$76)</f>
        <v>#REF!</v>
      </c>
      <c r="BP77" s="99" t="e">
        <f>SUM($BP$74:$BP$76)</f>
        <v>#REF!</v>
      </c>
      <c r="BQ77" s="100" t="e">
        <f>SUM($BQ$74:$BQ$76)</f>
        <v>#REF!</v>
      </c>
      <c r="BR77" s="99" t="e">
        <f>SUM($BR$74:$BR$76)</f>
        <v>#REF!</v>
      </c>
      <c r="BS77" s="100" t="e">
        <f>SUM($BS$74:$BS$76)</f>
        <v>#REF!</v>
      </c>
      <c r="BT77" s="99" t="e">
        <f>SUM($BT$74:$BT$76)</f>
        <v>#REF!</v>
      </c>
      <c r="BU77" s="100" t="e">
        <f>SUM($BU$74:$BU$76)</f>
        <v>#REF!</v>
      </c>
      <c r="BV77" s="99" t="e">
        <f>SUM($BV$74:$BV$76)</f>
        <v>#REF!</v>
      </c>
      <c r="BW77" s="100" t="e">
        <f>SUM($BW$74:$BW$76)</f>
        <v>#REF!</v>
      </c>
      <c r="BX77" s="99" t="e">
        <f>SUM($BX$74:$BX$76)</f>
        <v>#REF!</v>
      </c>
      <c r="BY77" s="100" t="e">
        <f>SUM($BY$74:$BY$76)</f>
        <v>#REF!</v>
      </c>
      <c r="BZ77" s="99" t="e">
        <f>SUM($BZ$74:$BZ$76)</f>
        <v>#REF!</v>
      </c>
      <c r="CA77" s="100" t="e">
        <f>SUM($CA$74:$CA$76)</f>
        <v>#REF!</v>
      </c>
      <c r="CB77" s="99" t="e">
        <f>SUM($CB$74:$CB$76)</f>
        <v>#REF!</v>
      </c>
      <c r="CC77" s="100" t="e">
        <f>SUM($CC$74:$CC$76)</f>
        <v>#REF!</v>
      </c>
      <c r="CD77" s="99" t="e">
        <f>SUM($CD$74:$CD$76)</f>
        <v>#REF!</v>
      </c>
      <c r="CE77" s="100" t="e">
        <f>SUM($CE$74:$CE$76)</f>
        <v>#REF!</v>
      </c>
      <c r="CF77" s="99" t="e">
        <f>SUM($CF$74:$CF$76)</f>
        <v>#REF!</v>
      </c>
      <c r="CG77" s="100" t="e">
        <f>SUM($CG$74:$CG$76)</f>
        <v>#REF!</v>
      </c>
      <c r="CH77" s="99" t="e">
        <f>SUM($CH$74:$CH$76)</f>
        <v>#REF!</v>
      </c>
      <c r="CI77" s="100" t="e">
        <f>SUM($CI$74:$CI$76)</f>
        <v>#REF!</v>
      </c>
      <c r="CJ77" s="99" t="e">
        <f>SUM($CJ$74:$CJ$76)</f>
        <v>#REF!</v>
      </c>
      <c r="CK77" s="100" t="e">
        <f>SUM($CK$74:$CK$76)</f>
        <v>#REF!</v>
      </c>
      <c r="CL77" s="99" t="e">
        <f>SUM($CL$74:$CL$76)</f>
        <v>#REF!</v>
      </c>
      <c r="CM77" s="100" t="e">
        <f>SUM($CM$74:$CM$76)</f>
        <v>#REF!</v>
      </c>
      <c r="CN77" s="99" t="e">
        <f>SUM($CN$74:$CN$76)</f>
        <v>#REF!</v>
      </c>
      <c r="CO77" s="100" t="e">
        <f>SUM($CO$74:$CO$76)</f>
        <v>#REF!</v>
      </c>
      <c r="CP77" s="99" t="e">
        <f>SUM($CP$74:$CP$76)</f>
        <v>#REF!</v>
      </c>
      <c r="CQ77" s="100" t="e">
        <f>SUM($CQ$74:$CQ$76)</f>
        <v>#REF!</v>
      </c>
      <c r="CR77" s="99" t="e">
        <f>SUM($CR$74:$CR$76)</f>
        <v>#REF!</v>
      </c>
      <c r="CS77" s="100" t="e">
        <f>SUM($CS$74:$CS$76)</f>
        <v>#REF!</v>
      </c>
      <c r="CT77" s="99" t="e">
        <f>SUM($CT$74:$CT$76)</f>
        <v>#REF!</v>
      </c>
      <c r="CU77" s="100" t="e">
        <f>SUM($CU$74:$CU$76)</f>
        <v>#REF!</v>
      </c>
      <c r="CV77" s="101" t="e">
        <f ca="1">SUMPRODUCT(($A$72- WEEKDAY($A$72) + 6 =$B$72:$CU$72)*("実績"=$B$73:$CU$73),$B$77:$CU$77)/SUMPRODUCT(($A$72- WEEKDAY($A$72) + 6 =$B$72:$CU$72)*("予定"=$B$73:$CU$73),$B$77:$CU$77)</f>
        <v>#REF!</v>
      </c>
      <c r="CW77" s="102" t="e">
        <f>$CU$77/$CT$77</f>
        <v>#REF!</v>
      </c>
    </row>
    <row r="79" spans="1:101" ht="20.149999999999999" customHeight="1" thickBot="1">
      <c r="A79" s="79" t="s">
        <v>112</v>
      </c>
      <c r="B79" s="43" t="s">
        <v>69</v>
      </c>
    </row>
    <row r="80" spans="1:101" ht="40" customHeight="1">
      <c r="A80" s="80">
        <f ca="1">TODAY()</f>
        <v>43566</v>
      </c>
      <c r="B80" s="82">
        <v>43528</v>
      </c>
      <c r="C80" s="53">
        <v>43528</v>
      </c>
      <c r="D80" s="83">
        <v>43529</v>
      </c>
      <c r="E80" s="63">
        <v>43529</v>
      </c>
      <c r="F80" s="82">
        <v>43530</v>
      </c>
      <c r="G80" s="53">
        <v>43530</v>
      </c>
      <c r="H80" s="83">
        <v>43531</v>
      </c>
      <c r="I80" s="63">
        <v>43531</v>
      </c>
      <c r="J80" s="82">
        <v>43532</v>
      </c>
      <c r="K80" s="53">
        <v>43532</v>
      </c>
      <c r="L80" s="83">
        <v>43533</v>
      </c>
      <c r="M80" s="63">
        <v>43533</v>
      </c>
      <c r="N80" s="82">
        <v>43534</v>
      </c>
      <c r="O80" s="53">
        <v>43534</v>
      </c>
      <c r="P80" s="83">
        <v>43535</v>
      </c>
      <c r="Q80" s="63">
        <v>43535</v>
      </c>
      <c r="R80" s="82">
        <v>43536</v>
      </c>
      <c r="S80" s="53">
        <v>43536</v>
      </c>
      <c r="T80" s="83">
        <v>43537</v>
      </c>
      <c r="U80" s="63">
        <v>43537</v>
      </c>
      <c r="V80" s="82">
        <v>43538</v>
      </c>
      <c r="W80" s="53">
        <v>43538</v>
      </c>
      <c r="X80" s="83">
        <v>43539</v>
      </c>
      <c r="Y80" s="63">
        <v>43539</v>
      </c>
      <c r="Z80" s="82">
        <v>43540</v>
      </c>
      <c r="AA80" s="53">
        <v>43540</v>
      </c>
      <c r="AB80" s="83">
        <v>43541</v>
      </c>
      <c r="AC80" s="63">
        <v>43541</v>
      </c>
      <c r="AD80" s="82">
        <v>43542</v>
      </c>
      <c r="AE80" s="53">
        <v>43542</v>
      </c>
      <c r="AF80" s="83">
        <v>43543</v>
      </c>
      <c r="AG80" s="63">
        <v>43543</v>
      </c>
      <c r="AH80" s="82">
        <v>43544</v>
      </c>
      <c r="AI80" s="53">
        <v>43544</v>
      </c>
      <c r="AJ80" s="83">
        <v>43545</v>
      </c>
      <c r="AK80" s="63">
        <v>43545</v>
      </c>
      <c r="AL80" s="82">
        <v>43546</v>
      </c>
      <c r="AM80" s="53">
        <v>43546</v>
      </c>
      <c r="AN80" s="83">
        <v>43547</v>
      </c>
      <c r="AO80" s="63">
        <v>43547</v>
      </c>
      <c r="AP80" s="82">
        <v>43548</v>
      </c>
      <c r="AQ80" s="53">
        <v>43548</v>
      </c>
      <c r="AR80" s="83">
        <v>43549</v>
      </c>
      <c r="AS80" s="63">
        <v>43549</v>
      </c>
      <c r="AT80" s="82">
        <v>43550</v>
      </c>
      <c r="AU80" s="53">
        <v>43550</v>
      </c>
      <c r="AV80" s="83">
        <v>43551</v>
      </c>
      <c r="AW80" s="63">
        <v>43551</v>
      </c>
      <c r="AX80" s="82">
        <v>43552</v>
      </c>
      <c r="AY80" s="53">
        <v>43552</v>
      </c>
      <c r="AZ80" s="83">
        <v>43553</v>
      </c>
      <c r="BA80" s="63">
        <v>43553</v>
      </c>
      <c r="BB80" s="82">
        <v>43554</v>
      </c>
      <c r="BC80" s="53">
        <v>43554</v>
      </c>
      <c r="BD80" s="83">
        <v>43555</v>
      </c>
      <c r="BE80" s="63">
        <v>43555</v>
      </c>
      <c r="BF80" s="82">
        <v>43556</v>
      </c>
      <c r="BG80" s="53">
        <v>43556</v>
      </c>
      <c r="BH80" s="83">
        <v>43557</v>
      </c>
      <c r="BI80" s="63">
        <v>43557</v>
      </c>
      <c r="BJ80" s="82">
        <v>43558</v>
      </c>
      <c r="BK80" s="53">
        <v>43558</v>
      </c>
      <c r="BL80" s="83">
        <v>43559</v>
      </c>
      <c r="BM80" s="63">
        <v>43559</v>
      </c>
      <c r="BN80" s="82">
        <v>43560</v>
      </c>
      <c r="BO80" s="53">
        <v>43560</v>
      </c>
      <c r="BP80" s="83">
        <v>43561</v>
      </c>
      <c r="BQ80" s="63">
        <v>43561</v>
      </c>
      <c r="BR80" s="82">
        <v>43562</v>
      </c>
      <c r="BS80" s="53">
        <v>43562</v>
      </c>
      <c r="BT80" s="83">
        <v>43563</v>
      </c>
      <c r="BU80" s="63">
        <v>43563</v>
      </c>
      <c r="BV80" s="82">
        <v>43564</v>
      </c>
      <c r="BW80" s="53">
        <v>43564</v>
      </c>
      <c r="BX80" s="83">
        <v>43565</v>
      </c>
      <c r="BY80" s="63">
        <v>43565</v>
      </c>
      <c r="BZ80" s="82">
        <v>43566</v>
      </c>
      <c r="CA80" s="53">
        <v>43566</v>
      </c>
      <c r="CB80" s="83">
        <v>43567</v>
      </c>
      <c r="CC80" s="63">
        <v>43567</v>
      </c>
      <c r="CD80" s="82">
        <v>43568</v>
      </c>
      <c r="CE80" s="53">
        <v>43568</v>
      </c>
      <c r="CF80" s="83">
        <v>43569</v>
      </c>
      <c r="CG80" s="63">
        <v>43569</v>
      </c>
      <c r="CH80" s="82">
        <v>43570</v>
      </c>
      <c r="CI80" s="53">
        <v>43570</v>
      </c>
      <c r="CJ80" s="83">
        <v>43571</v>
      </c>
      <c r="CK80" s="63">
        <v>43571</v>
      </c>
      <c r="CL80" s="82">
        <v>43572</v>
      </c>
      <c r="CM80" s="53">
        <v>43572</v>
      </c>
      <c r="CN80" s="83">
        <v>43573</v>
      </c>
      <c r="CO80" s="63">
        <v>43573</v>
      </c>
      <c r="CP80" s="82">
        <v>43574</v>
      </c>
      <c r="CQ80" s="53">
        <v>43574</v>
      </c>
      <c r="CR80" s="83">
        <v>43575</v>
      </c>
      <c r="CS80" s="63">
        <v>43575</v>
      </c>
      <c r="CT80" s="82">
        <v>43576</v>
      </c>
      <c r="CU80" s="53">
        <v>43576</v>
      </c>
      <c r="CV80" s="141" t="s">
        <v>66</v>
      </c>
      <c r="CW80" s="142"/>
    </row>
    <row r="81" spans="1:101" ht="20.149999999999999" customHeight="1" thickBot="1">
      <c r="A81" s="103" t="s">
        <v>64</v>
      </c>
      <c r="B81" s="85" t="s">
        <v>60</v>
      </c>
      <c r="C81" s="86" t="s">
        <v>61</v>
      </c>
      <c r="D81" s="87" t="s">
        <v>60</v>
      </c>
      <c r="E81" s="88" t="s">
        <v>61</v>
      </c>
      <c r="F81" s="85" t="s">
        <v>60</v>
      </c>
      <c r="G81" s="86" t="s">
        <v>61</v>
      </c>
      <c r="H81" s="87" t="s">
        <v>60</v>
      </c>
      <c r="I81" s="88" t="s">
        <v>61</v>
      </c>
      <c r="J81" s="85" t="s">
        <v>60</v>
      </c>
      <c r="K81" s="86" t="s">
        <v>61</v>
      </c>
      <c r="L81" s="87" t="s">
        <v>60</v>
      </c>
      <c r="M81" s="88" t="s">
        <v>61</v>
      </c>
      <c r="N81" s="85" t="s">
        <v>60</v>
      </c>
      <c r="O81" s="86" t="s">
        <v>61</v>
      </c>
      <c r="P81" s="87" t="s">
        <v>60</v>
      </c>
      <c r="Q81" s="88" t="s">
        <v>61</v>
      </c>
      <c r="R81" s="85" t="s">
        <v>60</v>
      </c>
      <c r="S81" s="86" t="s">
        <v>61</v>
      </c>
      <c r="T81" s="87" t="s">
        <v>60</v>
      </c>
      <c r="U81" s="88" t="s">
        <v>61</v>
      </c>
      <c r="V81" s="85" t="s">
        <v>60</v>
      </c>
      <c r="W81" s="86" t="s">
        <v>61</v>
      </c>
      <c r="X81" s="87" t="s">
        <v>60</v>
      </c>
      <c r="Y81" s="88" t="s">
        <v>61</v>
      </c>
      <c r="Z81" s="85" t="s">
        <v>60</v>
      </c>
      <c r="AA81" s="86" t="s">
        <v>61</v>
      </c>
      <c r="AB81" s="87" t="s">
        <v>60</v>
      </c>
      <c r="AC81" s="88" t="s">
        <v>61</v>
      </c>
      <c r="AD81" s="85" t="s">
        <v>60</v>
      </c>
      <c r="AE81" s="86" t="s">
        <v>61</v>
      </c>
      <c r="AF81" s="87" t="s">
        <v>60</v>
      </c>
      <c r="AG81" s="88" t="s">
        <v>61</v>
      </c>
      <c r="AH81" s="85" t="s">
        <v>60</v>
      </c>
      <c r="AI81" s="86" t="s">
        <v>61</v>
      </c>
      <c r="AJ81" s="87" t="s">
        <v>60</v>
      </c>
      <c r="AK81" s="88" t="s">
        <v>61</v>
      </c>
      <c r="AL81" s="85" t="s">
        <v>60</v>
      </c>
      <c r="AM81" s="86" t="s">
        <v>61</v>
      </c>
      <c r="AN81" s="87" t="s">
        <v>60</v>
      </c>
      <c r="AO81" s="88" t="s">
        <v>61</v>
      </c>
      <c r="AP81" s="85" t="s">
        <v>60</v>
      </c>
      <c r="AQ81" s="86" t="s">
        <v>61</v>
      </c>
      <c r="AR81" s="87" t="s">
        <v>60</v>
      </c>
      <c r="AS81" s="88" t="s">
        <v>61</v>
      </c>
      <c r="AT81" s="85" t="s">
        <v>60</v>
      </c>
      <c r="AU81" s="86" t="s">
        <v>61</v>
      </c>
      <c r="AV81" s="87" t="s">
        <v>60</v>
      </c>
      <c r="AW81" s="88" t="s">
        <v>61</v>
      </c>
      <c r="AX81" s="85" t="s">
        <v>60</v>
      </c>
      <c r="AY81" s="86" t="s">
        <v>61</v>
      </c>
      <c r="AZ81" s="87" t="s">
        <v>60</v>
      </c>
      <c r="BA81" s="88" t="s">
        <v>61</v>
      </c>
      <c r="BB81" s="85" t="s">
        <v>60</v>
      </c>
      <c r="BC81" s="86" t="s">
        <v>61</v>
      </c>
      <c r="BD81" s="87" t="s">
        <v>60</v>
      </c>
      <c r="BE81" s="88" t="s">
        <v>61</v>
      </c>
      <c r="BF81" s="85" t="s">
        <v>60</v>
      </c>
      <c r="BG81" s="86" t="s">
        <v>61</v>
      </c>
      <c r="BH81" s="87" t="s">
        <v>60</v>
      </c>
      <c r="BI81" s="88" t="s">
        <v>61</v>
      </c>
      <c r="BJ81" s="85" t="s">
        <v>60</v>
      </c>
      <c r="BK81" s="86" t="s">
        <v>61</v>
      </c>
      <c r="BL81" s="87" t="s">
        <v>60</v>
      </c>
      <c r="BM81" s="88" t="s">
        <v>61</v>
      </c>
      <c r="BN81" s="85" t="s">
        <v>60</v>
      </c>
      <c r="BO81" s="86" t="s">
        <v>61</v>
      </c>
      <c r="BP81" s="87" t="s">
        <v>60</v>
      </c>
      <c r="BQ81" s="88" t="s">
        <v>61</v>
      </c>
      <c r="BR81" s="85" t="s">
        <v>60</v>
      </c>
      <c r="BS81" s="86" t="s">
        <v>61</v>
      </c>
      <c r="BT81" s="87" t="s">
        <v>60</v>
      </c>
      <c r="BU81" s="88" t="s">
        <v>61</v>
      </c>
      <c r="BV81" s="85" t="s">
        <v>60</v>
      </c>
      <c r="BW81" s="86" t="s">
        <v>61</v>
      </c>
      <c r="BX81" s="87" t="s">
        <v>60</v>
      </c>
      <c r="BY81" s="88" t="s">
        <v>61</v>
      </c>
      <c r="BZ81" s="85" t="s">
        <v>60</v>
      </c>
      <c r="CA81" s="86" t="s">
        <v>61</v>
      </c>
      <c r="CB81" s="87" t="s">
        <v>60</v>
      </c>
      <c r="CC81" s="88" t="s">
        <v>61</v>
      </c>
      <c r="CD81" s="85" t="s">
        <v>60</v>
      </c>
      <c r="CE81" s="86" t="s">
        <v>61</v>
      </c>
      <c r="CF81" s="87" t="s">
        <v>60</v>
      </c>
      <c r="CG81" s="88" t="s">
        <v>61</v>
      </c>
      <c r="CH81" s="85" t="s">
        <v>60</v>
      </c>
      <c r="CI81" s="86" t="s">
        <v>61</v>
      </c>
      <c r="CJ81" s="87" t="s">
        <v>60</v>
      </c>
      <c r="CK81" s="88" t="s">
        <v>61</v>
      </c>
      <c r="CL81" s="85" t="s">
        <v>60</v>
      </c>
      <c r="CM81" s="86" t="s">
        <v>61</v>
      </c>
      <c r="CN81" s="87" t="s">
        <v>60</v>
      </c>
      <c r="CO81" s="88" t="s">
        <v>61</v>
      </c>
      <c r="CP81" s="85" t="s">
        <v>60</v>
      </c>
      <c r="CQ81" s="86" t="s">
        <v>61</v>
      </c>
      <c r="CR81" s="87" t="s">
        <v>60</v>
      </c>
      <c r="CS81" s="88" t="s">
        <v>61</v>
      </c>
      <c r="CT81" s="85" t="s">
        <v>60</v>
      </c>
      <c r="CU81" s="86" t="s">
        <v>61</v>
      </c>
      <c r="CV81" s="87" t="s">
        <v>67</v>
      </c>
      <c r="CW81" s="89" t="s">
        <v>68</v>
      </c>
    </row>
    <row r="82" spans="1:101" ht="20.149999999999999" customHeight="1">
      <c r="A82" s="81" t="s">
        <v>78</v>
      </c>
      <c r="B82" s="55" t="e">
        <f>SUMPRODUCT((日次管理!#REF!&lt;=$B$80)*(日次管理!#REF!=$A$82)*(日次管理!#REF!="精査完了")*(日次管理!#REF!="予定")*(日次管理!#REF!=$A$79),日次管理!#REF!)</f>
        <v>#REF!</v>
      </c>
      <c r="C82" s="56" t="e">
        <f>SUMPRODUCT((日次管理!#REF!&lt;=$C$80)*(日次管理!#REF!=$A$82)*(日次管理!#REF!="精査完了")*(日次管理!#REF!="実績")*(日次管理!#REF!=$A$79),日次管理!#REF!)</f>
        <v>#REF!</v>
      </c>
      <c r="D82" s="55" t="e">
        <f>SUMPRODUCT((日次管理!#REF!&lt;=$D$80)*(日次管理!#REF!=$A$82)*(日次管理!#REF!="精査完了")*(日次管理!#REF!="予定")*(日次管理!#REF!=$A$79),日次管理!#REF!)</f>
        <v>#REF!</v>
      </c>
      <c r="E82" s="56" t="e">
        <f>SUMPRODUCT((日次管理!#REF!&lt;=$E$80)*(日次管理!#REF!=$A$82)*(日次管理!#REF!="精査完了")*(日次管理!#REF!="実績")*(日次管理!#REF!=$A$79),日次管理!#REF!)</f>
        <v>#REF!</v>
      </c>
      <c r="F82" s="55" t="e">
        <f>SUMPRODUCT((日次管理!#REF!&lt;=$F$80)*(日次管理!#REF!=$A$82)*(日次管理!#REF!="精査完了")*(日次管理!#REF!="予定")*(日次管理!#REF!=$A$79),日次管理!#REF!)</f>
        <v>#REF!</v>
      </c>
      <c r="G82" s="56" t="e">
        <f>SUMPRODUCT((日次管理!#REF!&lt;=$G$80)*(日次管理!#REF!=$A$82)*(日次管理!#REF!="精査完了")*(日次管理!#REF!="実績")*(日次管理!#REF!=$A$79),日次管理!#REF!)</f>
        <v>#REF!</v>
      </c>
      <c r="H82" s="55" t="e">
        <f>SUMPRODUCT((日次管理!#REF!&lt;=$H$80)*(日次管理!#REF!=$A$82)*(日次管理!#REF!="精査完了")*(日次管理!#REF!="予定")*(日次管理!#REF!=$A$79),日次管理!#REF!)</f>
        <v>#REF!</v>
      </c>
      <c r="I82" s="56" t="e">
        <f>SUMPRODUCT((日次管理!#REF!&lt;=$I$80)*(日次管理!#REF!=$A$82)*(日次管理!#REF!="精査完了")*(日次管理!#REF!="実績")*(日次管理!#REF!=$A$79),日次管理!#REF!)</f>
        <v>#REF!</v>
      </c>
      <c r="J82" s="55" t="e">
        <f>SUMPRODUCT((日次管理!#REF!&lt;=$J$80)*(日次管理!#REF!=$A$82)*(日次管理!#REF!="精査完了")*(日次管理!#REF!="予定")*(日次管理!#REF!=$A$79),日次管理!#REF!)</f>
        <v>#REF!</v>
      </c>
      <c r="K82" s="56" t="e">
        <f>SUMPRODUCT((日次管理!#REF!&lt;=$K$80)*(日次管理!#REF!=$A$82)*(日次管理!#REF!="精査完了")*(日次管理!#REF!="実績")*(日次管理!#REF!=$A$79),日次管理!#REF!)</f>
        <v>#REF!</v>
      </c>
      <c r="L82" s="55" t="e">
        <f>SUMPRODUCT((日次管理!#REF!&lt;=$L$80)*(日次管理!#REF!=$A$82)*(日次管理!#REF!="精査完了")*(日次管理!#REF!="予定")*(日次管理!#REF!=$A$79),日次管理!#REF!)</f>
        <v>#REF!</v>
      </c>
      <c r="M82" s="56" t="e">
        <f>SUMPRODUCT((日次管理!#REF!&lt;=$M$80)*(日次管理!#REF!=$A$82)*(日次管理!#REF!="精査完了")*(日次管理!#REF!="実績")*(日次管理!#REF!=$A$79),日次管理!#REF!)</f>
        <v>#REF!</v>
      </c>
      <c r="N82" s="55" t="e">
        <f>SUMPRODUCT((日次管理!#REF!&lt;=$N$80)*(日次管理!#REF!=$A$82)*(日次管理!#REF!="精査完了")*(日次管理!#REF!="予定")*(日次管理!#REF!=$A$79),日次管理!#REF!)</f>
        <v>#REF!</v>
      </c>
      <c r="O82" s="56" t="e">
        <f>SUMPRODUCT((日次管理!#REF!&lt;=$O$80)*(日次管理!#REF!=$A$82)*(日次管理!#REF!="精査完了")*(日次管理!#REF!="実績")*(日次管理!#REF!=$A$79),日次管理!#REF!)</f>
        <v>#REF!</v>
      </c>
      <c r="P82" s="55" t="e">
        <f>SUMPRODUCT((日次管理!#REF!&lt;=$P$80)*(日次管理!#REF!=$A$82)*(日次管理!#REF!="精査完了")*(日次管理!#REF!="予定")*(日次管理!#REF!=$A$79),日次管理!#REF!)</f>
        <v>#REF!</v>
      </c>
      <c r="Q82" s="56" t="e">
        <f>SUMPRODUCT((日次管理!#REF!&lt;=$Q$80)*(日次管理!#REF!=$A$82)*(日次管理!#REF!="精査完了")*(日次管理!#REF!="実績")*(日次管理!#REF!=$A$79),日次管理!#REF!)</f>
        <v>#REF!</v>
      </c>
      <c r="R82" s="55" t="e">
        <f>SUMPRODUCT((日次管理!#REF!&lt;=$R$80)*(日次管理!#REF!=$A$82)*(日次管理!#REF!="精査完了")*(日次管理!#REF!="予定")*(日次管理!#REF!=$A$79),日次管理!#REF!)</f>
        <v>#REF!</v>
      </c>
      <c r="S82" s="56" t="e">
        <f>SUMPRODUCT((日次管理!#REF!&lt;=$S$80)*(日次管理!#REF!=$A$82)*(日次管理!#REF!="精査完了")*(日次管理!#REF!="実績")*(日次管理!#REF!=$A$79),日次管理!#REF!)</f>
        <v>#REF!</v>
      </c>
      <c r="T82" s="55" t="e">
        <f>SUMPRODUCT((日次管理!#REF!&lt;=$T$80)*(日次管理!#REF!=$A$82)*(日次管理!#REF!="精査完了")*(日次管理!#REF!="予定")*(日次管理!#REF!=$A$79),日次管理!#REF!)</f>
        <v>#REF!</v>
      </c>
      <c r="U82" s="56" t="e">
        <f>SUMPRODUCT((日次管理!#REF!&lt;=$U$80)*(日次管理!#REF!=$A$82)*(日次管理!#REF!="精査完了")*(日次管理!#REF!="実績")*(日次管理!#REF!=$A$79),日次管理!#REF!)</f>
        <v>#REF!</v>
      </c>
      <c r="V82" s="55" t="e">
        <f>SUMPRODUCT((日次管理!#REF!&lt;=$V$80)*(日次管理!#REF!=$A$82)*(日次管理!#REF!="精査完了")*(日次管理!#REF!="予定")*(日次管理!#REF!=$A$79),日次管理!#REF!)</f>
        <v>#REF!</v>
      </c>
      <c r="W82" s="56" t="e">
        <f>SUMPRODUCT((日次管理!#REF!&lt;=$W$80)*(日次管理!#REF!=$A$82)*(日次管理!#REF!="精査完了")*(日次管理!#REF!="実績")*(日次管理!#REF!=$A$79),日次管理!#REF!)</f>
        <v>#REF!</v>
      </c>
      <c r="X82" s="55" t="e">
        <f>SUMPRODUCT((日次管理!#REF!&lt;=$X$80)*(日次管理!#REF!=$A$82)*(日次管理!#REF!="精査完了")*(日次管理!#REF!="予定")*(日次管理!#REF!=$A$79),日次管理!#REF!)</f>
        <v>#REF!</v>
      </c>
      <c r="Y82" s="56" t="e">
        <f>SUMPRODUCT((日次管理!#REF!&lt;=$Y$80)*(日次管理!#REF!=$A$82)*(日次管理!#REF!="精査完了")*(日次管理!#REF!="実績")*(日次管理!#REF!=$A$79),日次管理!#REF!)</f>
        <v>#REF!</v>
      </c>
      <c r="Z82" s="55" t="e">
        <f>SUMPRODUCT((日次管理!#REF!&lt;=$Z$80)*(日次管理!#REF!=$A$82)*(日次管理!#REF!="精査完了")*(日次管理!#REF!="予定")*(日次管理!#REF!=$A$79),日次管理!#REF!)</f>
        <v>#REF!</v>
      </c>
      <c r="AA82" s="56" t="e">
        <f>SUMPRODUCT((日次管理!#REF!&lt;=$AA$80)*(日次管理!#REF!=$A$82)*(日次管理!#REF!="精査完了")*(日次管理!#REF!="実績")*(日次管理!#REF!=$A$79),日次管理!#REF!)</f>
        <v>#REF!</v>
      </c>
      <c r="AB82" s="55" t="e">
        <f>SUMPRODUCT((日次管理!#REF!&lt;=$AB$80)*(日次管理!#REF!=$A$82)*(日次管理!#REF!="精査完了")*(日次管理!#REF!="予定")*(日次管理!#REF!=$A$79),日次管理!#REF!)</f>
        <v>#REF!</v>
      </c>
      <c r="AC82" s="56" t="e">
        <f>SUMPRODUCT((日次管理!#REF!&lt;=$AC$80)*(日次管理!#REF!=$A$82)*(日次管理!#REF!="精査完了")*(日次管理!#REF!="実績")*(日次管理!#REF!=$A$79),日次管理!#REF!)</f>
        <v>#REF!</v>
      </c>
      <c r="AD82" s="55" t="e">
        <f>SUMPRODUCT((日次管理!#REF!&lt;=$AD$80)*(日次管理!#REF!=$A$82)*(日次管理!#REF!="精査完了")*(日次管理!#REF!="予定")*(日次管理!#REF!=$A$79),日次管理!#REF!)</f>
        <v>#REF!</v>
      </c>
      <c r="AE82" s="56" t="e">
        <f>SUMPRODUCT((日次管理!#REF!&lt;=$AE$80)*(日次管理!#REF!=$A$82)*(日次管理!#REF!="精査完了")*(日次管理!#REF!="実績")*(日次管理!#REF!=$A$79),日次管理!#REF!)</f>
        <v>#REF!</v>
      </c>
      <c r="AF82" s="55" t="e">
        <f>SUMPRODUCT((日次管理!#REF!&lt;=$AF$80)*(日次管理!#REF!=$A$82)*(日次管理!#REF!="精査完了")*(日次管理!#REF!="予定")*(日次管理!#REF!=$A$79),日次管理!#REF!)</f>
        <v>#REF!</v>
      </c>
      <c r="AG82" s="56" t="e">
        <f>SUMPRODUCT((日次管理!#REF!&lt;=$AG$80)*(日次管理!#REF!=$A$82)*(日次管理!#REF!="精査完了")*(日次管理!#REF!="実績")*(日次管理!#REF!=$A$79),日次管理!#REF!)</f>
        <v>#REF!</v>
      </c>
      <c r="AH82" s="55" t="e">
        <f>SUMPRODUCT((日次管理!#REF!&lt;=$AH$80)*(日次管理!#REF!=$A$82)*(日次管理!#REF!="精査完了")*(日次管理!#REF!="予定")*(日次管理!#REF!=$A$79),日次管理!#REF!)</f>
        <v>#REF!</v>
      </c>
      <c r="AI82" s="56" t="e">
        <f>SUMPRODUCT((日次管理!#REF!&lt;=$AI$80)*(日次管理!#REF!=$A$82)*(日次管理!#REF!="精査完了")*(日次管理!#REF!="実績")*(日次管理!#REF!=$A$79),日次管理!#REF!)</f>
        <v>#REF!</v>
      </c>
      <c r="AJ82" s="55" t="e">
        <f>SUMPRODUCT((日次管理!#REF!&lt;=$AJ$80)*(日次管理!#REF!=$A$82)*(日次管理!#REF!="精査完了")*(日次管理!#REF!="予定")*(日次管理!#REF!=$A$79),日次管理!#REF!)</f>
        <v>#REF!</v>
      </c>
      <c r="AK82" s="56" t="e">
        <f>SUMPRODUCT((日次管理!#REF!&lt;=$AK$80)*(日次管理!#REF!=$A$82)*(日次管理!#REF!="精査完了")*(日次管理!#REF!="実績")*(日次管理!#REF!=$A$79),日次管理!#REF!)</f>
        <v>#REF!</v>
      </c>
      <c r="AL82" s="55" t="e">
        <f>SUMPRODUCT((日次管理!#REF!&lt;=$AL$80)*(日次管理!#REF!=$A$82)*(日次管理!#REF!="精査完了")*(日次管理!#REF!="予定")*(日次管理!#REF!=$A$79),日次管理!#REF!)</f>
        <v>#REF!</v>
      </c>
      <c r="AM82" s="56" t="e">
        <f>SUMPRODUCT((日次管理!#REF!&lt;=$AM$80)*(日次管理!#REF!=$A$82)*(日次管理!#REF!="精査完了")*(日次管理!#REF!="実績")*(日次管理!#REF!=$A$79),日次管理!#REF!)</f>
        <v>#REF!</v>
      </c>
      <c r="AN82" s="55" t="e">
        <f>SUMPRODUCT((日次管理!#REF!&lt;=$AN$80)*(日次管理!#REF!=$A$82)*(日次管理!#REF!="精査完了")*(日次管理!#REF!="予定")*(日次管理!#REF!=$A$79),日次管理!#REF!)</f>
        <v>#REF!</v>
      </c>
      <c r="AO82" s="56" t="e">
        <f>SUMPRODUCT((日次管理!#REF!&lt;=$AO$80)*(日次管理!#REF!=$A$82)*(日次管理!#REF!="精査完了")*(日次管理!#REF!="実績")*(日次管理!#REF!=$A$79),日次管理!#REF!)</f>
        <v>#REF!</v>
      </c>
      <c r="AP82" s="55" t="e">
        <f>SUMPRODUCT((日次管理!#REF!&lt;=$AP$80)*(日次管理!#REF!=$A$82)*(日次管理!#REF!="精査完了")*(日次管理!#REF!="予定")*(日次管理!#REF!=$A$79),日次管理!#REF!)</f>
        <v>#REF!</v>
      </c>
      <c r="AQ82" s="56" t="e">
        <f>SUMPRODUCT((日次管理!#REF!&lt;=$AQ$80)*(日次管理!#REF!=$A$82)*(日次管理!#REF!="精査完了")*(日次管理!#REF!="実績")*(日次管理!#REF!=$A$79),日次管理!#REF!)</f>
        <v>#REF!</v>
      </c>
      <c r="AR82" s="55" t="e">
        <f>SUMPRODUCT((日次管理!#REF!&lt;=$AR$80)*(日次管理!#REF!=$A$82)*(日次管理!#REF!="精査完了")*(日次管理!#REF!="予定")*(日次管理!#REF!=$A$79),日次管理!#REF!)</f>
        <v>#REF!</v>
      </c>
      <c r="AS82" s="56" t="e">
        <f>SUMPRODUCT((日次管理!#REF!&lt;=$AS$80)*(日次管理!#REF!=$A$82)*(日次管理!#REF!="精査完了")*(日次管理!#REF!="実績")*(日次管理!#REF!=$A$79),日次管理!#REF!)</f>
        <v>#REF!</v>
      </c>
      <c r="AT82" s="55" t="e">
        <f>SUMPRODUCT((日次管理!#REF!&lt;=$AT$80)*(日次管理!#REF!=$A$82)*(日次管理!#REF!="精査完了")*(日次管理!#REF!="予定")*(日次管理!#REF!=$A$79),日次管理!#REF!)</f>
        <v>#REF!</v>
      </c>
      <c r="AU82" s="56" t="e">
        <f>SUMPRODUCT((日次管理!#REF!&lt;=$AU$80)*(日次管理!#REF!=$A$82)*(日次管理!#REF!="精査完了")*(日次管理!#REF!="実績")*(日次管理!#REF!=$A$79),日次管理!#REF!)</f>
        <v>#REF!</v>
      </c>
      <c r="AV82" s="55" t="e">
        <f>SUMPRODUCT((日次管理!#REF!&lt;=$AV$80)*(日次管理!#REF!=$A$82)*(日次管理!#REF!="精査完了")*(日次管理!#REF!="予定")*(日次管理!#REF!=$A$79),日次管理!#REF!)</f>
        <v>#REF!</v>
      </c>
      <c r="AW82" s="56" t="e">
        <f>SUMPRODUCT((日次管理!#REF!&lt;=$AW$80)*(日次管理!#REF!=$A$82)*(日次管理!#REF!="精査完了")*(日次管理!#REF!="実績")*(日次管理!#REF!=$A$79),日次管理!#REF!)</f>
        <v>#REF!</v>
      </c>
      <c r="AX82" s="55" t="e">
        <f>SUMPRODUCT((日次管理!#REF!&lt;=$AX$80)*(日次管理!#REF!=$A$82)*(日次管理!#REF!="精査完了")*(日次管理!#REF!="予定")*(日次管理!#REF!=$A$79),日次管理!#REF!)</f>
        <v>#REF!</v>
      </c>
      <c r="AY82" s="56" t="e">
        <f>SUMPRODUCT((日次管理!#REF!&lt;=$AY$80)*(日次管理!#REF!=$A$82)*(日次管理!#REF!="精査完了")*(日次管理!#REF!="実績")*(日次管理!#REF!=$A$79),日次管理!#REF!)</f>
        <v>#REF!</v>
      </c>
      <c r="AZ82" s="55" t="e">
        <f>SUMPRODUCT((日次管理!#REF!&lt;=$AZ$80)*(日次管理!#REF!=$A$82)*(日次管理!#REF!="精査完了")*(日次管理!#REF!="予定")*(日次管理!#REF!=$A$79),日次管理!#REF!)</f>
        <v>#REF!</v>
      </c>
      <c r="BA82" s="56" t="e">
        <f>SUMPRODUCT((日次管理!#REF!&lt;=$BA$80)*(日次管理!#REF!=$A$82)*(日次管理!#REF!="精査完了")*(日次管理!#REF!="実績")*(日次管理!#REF!=$A$79),日次管理!#REF!)</f>
        <v>#REF!</v>
      </c>
      <c r="BB82" s="55" t="e">
        <f>SUMPRODUCT((日次管理!#REF!&lt;=$BB$80)*(日次管理!#REF!=$A$82)*(日次管理!#REF!="精査完了")*(日次管理!#REF!="予定")*(日次管理!#REF!=$A$79),日次管理!#REF!)</f>
        <v>#REF!</v>
      </c>
      <c r="BC82" s="56" t="e">
        <f>SUMPRODUCT((日次管理!#REF!&lt;=$BC$80)*(日次管理!#REF!=$A$82)*(日次管理!#REF!="精査完了")*(日次管理!#REF!="実績")*(日次管理!#REF!=$A$79),日次管理!#REF!)</f>
        <v>#REF!</v>
      </c>
      <c r="BD82" s="55" t="e">
        <f>SUMPRODUCT((日次管理!#REF!&lt;=$BD$80)*(日次管理!#REF!=$A$82)*(日次管理!#REF!="精査完了")*(日次管理!#REF!="予定")*(日次管理!#REF!=$A$79),日次管理!#REF!)</f>
        <v>#REF!</v>
      </c>
      <c r="BE82" s="56" t="e">
        <f>SUMPRODUCT((日次管理!#REF!&lt;=$BE$80)*(日次管理!#REF!=$A$82)*(日次管理!#REF!="精査完了")*(日次管理!#REF!="実績")*(日次管理!#REF!=$A$79),日次管理!#REF!)</f>
        <v>#REF!</v>
      </c>
      <c r="BF82" s="55" t="e">
        <f>SUMPRODUCT((日次管理!#REF!&lt;=$BF$80)*(日次管理!#REF!=$A$82)*(日次管理!#REF!="精査完了")*(日次管理!#REF!="予定")*(日次管理!#REF!=$A$79),日次管理!#REF!)</f>
        <v>#REF!</v>
      </c>
      <c r="BG82" s="56" t="e">
        <f>SUMPRODUCT((日次管理!#REF!&lt;=$BG$80)*(日次管理!#REF!=$A$82)*(日次管理!#REF!="精査完了")*(日次管理!#REF!="実績")*(日次管理!#REF!=$A$79),日次管理!#REF!)</f>
        <v>#REF!</v>
      </c>
      <c r="BH82" s="55" t="e">
        <f>SUMPRODUCT((日次管理!#REF!&lt;=$BH$80)*(日次管理!#REF!=$A$82)*(日次管理!#REF!="精査完了")*(日次管理!#REF!="予定")*(日次管理!#REF!=$A$79),日次管理!#REF!)</f>
        <v>#REF!</v>
      </c>
      <c r="BI82" s="56" t="e">
        <f>SUMPRODUCT((日次管理!#REF!&lt;=$BI$80)*(日次管理!#REF!=$A$82)*(日次管理!#REF!="精査完了")*(日次管理!#REF!="実績")*(日次管理!#REF!=$A$79),日次管理!#REF!)</f>
        <v>#REF!</v>
      </c>
      <c r="BJ82" s="55" t="e">
        <f>SUMPRODUCT((日次管理!#REF!&lt;=$BJ$80)*(日次管理!#REF!=$A$82)*(日次管理!#REF!="精査完了")*(日次管理!#REF!="予定")*(日次管理!#REF!=$A$79),日次管理!#REF!)</f>
        <v>#REF!</v>
      </c>
      <c r="BK82" s="56" t="e">
        <f>SUMPRODUCT((日次管理!#REF!&lt;=$BK$80)*(日次管理!#REF!=$A$82)*(日次管理!#REF!="精査完了")*(日次管理!#REF!="実績")*(日次管理!#REF!=$A$79),日次管理!#REF!)</f>
        <v>#REF!</v>
      </c>
      <c r="BL82" s="55" t="e">
        <f>SUMPRODUCT((日次管理!#REF!&lt;=$BL$80)*(日次管理!#REF!=$A$82)*(日次管理!#REF!="精査完了")*(日次管理!#REF!="予定")*(日次管理!#REF!=$A$79),日次管理!#REF!)</f>
        <v>#REF!</v>
      </c>
      <c r="BM82" s="56" t="e">
        <f>SUMPRODUCT((日次管理!#REF!&lt;=$BM$80)*(日次管理!#REF!=$A$82)*(日次管理!#REF!="精査完了")*(日次管理!#REF!="実績")*(日次管理!#REF!=$A$79),日次管理!#REF!)</f>
        <v>#REF!</v>
      </c>
      <c r="BN82" s="55" t="e">
        <f>SUMPRODUCT((日次管理!#REF!&lt;=$BN$80)*(日次管理!#REF!=$A$82)*(日次管理!#REF!="精査完了")*(日次管理!#REF!="予定")*(日次管理!#REF!=$A$79),日次管理!#REF!)</f>
        <v>#REF!</v>
      </c>
      <c r="BO82" s="56" t="e">
        <f>SUMPRODUCT((日次管理!#REF!&lt;=$BO$80)*(日次管理!#REF!=$A$82)*(日次管理!#REF!="精査完了")*(日次管理!#REF!="実績")*(日次管理!#REF!=$A$79),日次管理!#REF!)</f>
        <v>#REF!</v>
      </c>
      <c r="BP82" s="55" t="e">
        <f>SUMPRODUCT((日次管理!#REF!&lt;=$BP$80)*(日次管理!#REF!=$A$82)*(日次管理!#REF!="精査完了")*(日次管理!#REF!="予定")*(日次管理!#REF!=$A$79),日次管理!#REF!)</f>
        <v>#REF!</v>
      </c>
      <c r="BQ82" s="56" t="e">
        <f>SUMPRODUCT((日次管理!#REF!&lt;=$BQ$80)*(日次管理!#REF!=$A$82)*(日次管理!#REF!="精査完了")*(日次管理!#REF!="実績")*(日次管理!#REF!=$A$79),日次管理!#REF!)</f>
        <v>#REF!</v>
      </c>
      <c r="BR82" s="55" t="e">
        <f>SUMPRODUCT((日次管理!#REF!&lt;=$BR$80)*(日次管理!#REF!=$A$82)*(日次管理!#REF!="精査完了")*(日次管理!#REF!="予定")*(日次管理!#REF!=$A$79),日次管理!#REF!)</f>
        <v>#REF!</v>
      </c>
      <c r="BS82" s="56" t="e">
        <f>SUMPRODUCT((日次管理!#REF!&lt;=$BS$80)*(日次管理!#REF!=$A$82)*(日次管理!#REF!="精査完了")*(日次管理!#REF!="実績")*(日次管理!#REF!=$A$79),日次管理!#REF!)</f>
        <v>#REF!</v>
      </c>
      <c r="BT82" s="55" t="e">
        <f>SUMPRODUCT((日次管理!#REF!&lt;=$BT$80)*(日次管理!#REF!=$A$82)*(日次管理!#REF!="精査完了")*(日次管理!#REF!="予定")*(日次管理!#REF!=$A$79),日次管理!#REF!)</f>
        <v>#REF!</v>
      </c>
      <c r="BU82" s="56" t="e">
        <f>SUMPRODUCT((日次管理!#REF!&lt;=$BU$80)*(日次管理!#REF!=$A$82)*(日次管理!#REF!="精査完了")*(日次管理!#REF!="実績")*(日次管理!#REF!=$A$79),日次管理!#REF!)</f>
        <v>#REF!</v>
      </c>
      <c r="BV82" s="55" t="e">
        <f>SUMPRODUCT((日次管理!#REF!&lt;=$BV$80)*(日次管理!#REF!=$A$82)*(日次管理!#REF!="精査完了")*(日次管理!#REF!="予定")*(日次管理!#REF!=$A$79),日次管理!#REF!)</f>
        <v>#REF!</v>
      </c>
      <c r="BW82" s="56" t="e">
        <f>SUMPRODUCT((日次管理!#REF!&lt;=$BW$80)*(日次管理!#REF!=$A$82)*(日次管理!#REF!="精査完了")*(日次管理!#REF!="実績")*(日次管理!#REF!=$A$79),日次管理!#REF!)</f>
        <v>#REF!</v>
      </c>
      <c r="BX82" s="55" t="e">
        <f>SUMPRODUCT((日次管理!#REF!&lt;=$BX$80)*(日次管理!#REF!=$A$82)*(日次管理!#REF!="精査完了")*(日次管理!#REF!="予定")*(日次管理!#REF!=$A$79),日次管理!#REF!)</f>
        <v>#REF!</v>
      </c>
      <c r="BY82" s="56" t="e">
        <f>SUMPRODUCT((日次管理!#REF!&lt;=$BY$80)*(日次管理!#REF!=$A$82)*(日次管理!#REF!="精査完了")*(日次管理!#REF!="実績")*(日次管理!#REF!=$A$79),日次管理!#REF!)</f>
        <v>#REF!</v>
      </c>
      <c r="BZ82" s="55" t="e">
        <f>SUMPRODUCT((日次管理!#REF!&lt;=$BZ$80)*(日次管理!#REF!=$A$82)*(日次管理!#REF!="精査完了")*(日次管理!#REF!="予定")*(日次管理!#REF!=$A$79),日次管理!#REF!)</f>
        <v>#REF!</v>
      </c>
      <c r="CA82" s="56" t="e">
        <f>SUMPRODUCT((日次管理!#REF!&lt;=$CA$80)*(日次管理!#REF!=$A$82)*(日次管理!#REF!="精査完了")*(日次管理!#REF!="実績")*(日次管理!#REF!=$A$79),日次管理!#REF!)</f>
        <v>#REF!</v>
      </c>
      <c r="CB82" s="55" t="e">
        <f>SUMPRODUCT((日次管理!#REF!&lt;=$CB$80)*(日次管理!#REF!=$A$82)*(日次管理!#REF!="精査完了")*(日次管理!#REF!="予定")*(日次管理!#REF!=$A$79),日次管理!#REF!)</f>
        <v>#REF!</v>
      </c>
      <c r="CC82" s="56" t="e">
        <f>SUMPRODUCT((日次管理!#REF!&lt;=$CC$80)*(日次管理!#REF!=$A$82)*(日次管理!#REF!="精査完了")*(日次管理!#REF!="実績")*(日次管理!#REF!=$A$79),日次管理!#REF!)</f>
        <v>#REF!</v>
      </c>
      <c r="CD82" s="55" t="e">
        <f>SUMPRODUCT((日次管理!#REF!&lt;=$CD$80)*(日次管理!#REF!=$A$82)*(日次管理!#REF!="精査完了")*(日次管理!#REF!="予定")*(日次管理!#REF!=$A$79),日次管理!#REF!)</f>
        <v>#REF!</v>
      </c>
      <c r="CE82" s="56" t="e">
        <f>SUMPRODUCT((日次管理!#REF!&lt;=$CE$80)*(日次管理!#REF!=$A$82)*(日次管理!#REF!="精査完了")*(日次管理!#REF!="実績")*(日次管理!#REF!=$A$79),日次管理!#REF!)</f>
        <v>#REF!</v>
      </c>
      <c r="CF82" s="55" t="e">
        <f>SUMPRODUCT((日次管理!#REF!&lt;=$CF$80)*(日次管理!#REF!=$A$82)*(日次管理!#REF!="精査完了")*(日次管理!#REF!="予定")*(日次管理!#REF!=$A$79),日次管理!#REF!)</f>
        <v>#REF!</v>
      </c>
      <c r="CG82" s="56" t="e">
        <f>SUMPRODUCT((日次管理!#REF!&lt;=$CG$80)*(日次管理!#REF!=$A$82)*(日次管理!#REF!="精査完了")*(日次管理!#REF!="実績")*(日次管理!#REF!=$A$79),日次管理!#REF!)</f>
        <v>#REF!</v>
      </c>
      <c r="CH82" s="55" t="e">
        <f>SUMPRODUCT((日次管理!#REF!&lt;=$CH$80)*(日次管理!#REF!=$A$82)*(日次管理!#REF!="精査完了")*(日次管理!#REF!="予定")*(日次管理!#REF!=$A$79),日次管理!#REF!)</f>
        <v>#REF!</v>
      </c>
      <c r="CI82" s="56" t="e">
        <f>SUMPRODUCT((日次管理!#REF!&lt;=$CI$80)*(日次管理!#REF!=$A$82)*(日次管理!#REF!="精査完了")*(日次管理!#REF!="実績")*(日次管理!#REF!=$A$79),日次管理!#REF!)</f>
        <v>#REF!</v>
      </c>
      <c r="CJ82" s="55" t="e">
        <f>SUMPRODUCT((日次管理!#REF!&lt;=$CJ$80)*(日次管理!#REF!=$A$82)*(日次管理!#REF!="精査完了")*(日次管理!#REF!="予定")*(日次管理!#REF!=$A$79),日次管理!#REF!)</f>
        <v>#REF!</v>
      </c>
      <c r="CK82" s="56" t="e">
        <f>SUMPRODUCT((日次管理!#REF!&lt;=$CK$80)*(日次管理!#REF!=$A$82)*(日次管理!#REF!="精査完了")*(日次管理!#REF!="実績")*(日次管理!#REF!=$A$79),日次管理!#REF!)</f>
        <v>#REF!</v>
      </c>
      <c r="CL82" s="55" t="e">
        <f>SUMPRODUCT((日次管理!#REF!&lt;=$CL$80)*(日次管理!#REF!=$A$82)*(日次管理!#REF!="精査完了")*(日次管理!#REF!="予定")*(日次管理!#REF!=$A$79),日次管理!#REF!)</f>
        <v>#REF!</v>
      </c>
      <c r="CM82" s="56" t="e">
        <f>SUMPRODUCT((日次管理!#REF!&lt;=$CM$80)*(日次管理!#REF!=$A$82)*(日次管理!#REF!="精査完了")*(日次管理!#REF!="実績")*(日次管理!#REF!=$A$79),日次管理!#REF!)</f>
        <v>#REF!</v>
      </c>
      <c r="CN82" s="55" t="e">
        <f>SUMPRODUCT((日次管理!#REF!&lt;=$CN$80)*(日次管理!#REF!=$A$82)*(日次管理!#REF!="精査完了")*(日次管理!#REF!="予定")*(日次管理!#REF!=$A$79),日次管理!#REF!)</f>
        <v>#REF!</v>
      </c>
      <c r="CO82" s="56" t="e">
        <f>SUMPRODUCT((日次管理!#REF!&lt;=$CO$80)*(日次管理!#REF!=$A$82)*(日次管理!#REF!="精査完了")*(日次管理!#REF!="実績")*(日次管理!#REF!=$A$79),日次管理!#REF!)</f>
        <v>#REF!</v>
      </c>
      <c r="CP82" s="55" t="e">
        <f>SUMPRODUCT((日次管理!#REF!&lt;=$CP$80)*(日次管理!#REF!=$A$82)*(日次管理!#REF!="精査完了")*(日次管理!#REF!="予定")*(日次管理!#REF!=$A$79),日次管理!#REF!)</f>
        <v>#REF!</v>
      </c>
      <c r="CQ82" s="56" t="e">
        <f>SUMPRODUCT((日次管理!#REF!&lt;=$CQ$80)*(日次管理!#REF!=$A$82)*(日次管理!#REF!="精査完了")*(日次管理!#REF!="実績")*(日次管理!#REF!=$A$79),日次管理!#REF!)</f>
        <v>#REF!</v>
      </c>
      <c r="CR82" s="55" t="e">
        <f>SUMPRODUCT((日次管理!#REF!&lt;=$CR$80)*(日次管理!#REF!=$A$82)*(日次管理!#REF!="精査完了")*(日次管理!#REF!="予定")*(日次管理!#REF!=$A$79),日次管理!#REF!)</f>
        <v>#REF!</v>
      </c>
      <c r="CS82" s="56" t="e">
        <f>SUMPRODUCT((日次管理!#REF!&lt;=$CS$80)*(日次管理!#REF!=$A$82)*(日次管理!#REF!="精査完了")*(日次管理!#REF!="実績")*(日次管理!#REF!=$A$79),日次管理!#REF!)</f>
        <v>#REF!</v>
      </c>
      <c r="CT82" s="55" t="e">
        <f>SUMPRODUCT((日次管理!#REF!&lt;=$CT$80)*(日次管理!#REF!=$A$82)*(日次管理!#REF!="精査完了")*(日次管理!#REF!="予定")*(日次管理!#REF!=$A$79),日次管理!#REF!)</f>
        <v>#REF!</v>
      </c>
      <c r="CU82" s="56" t="e">
        <f>SUMPRODUCT((日次管理!#REF!&lt;=$CU$80)*(日次管理!#REF!=$A$82)*(日次管理!#REF!="精査完了")*(日次管理!#REF!="実績")*(日次管理!#REF!=$A$79),日次管理!#REF!)</f>
        <v>#REF!</v>
      </c>
      <c r="CV82" s="57" t="e">
        <f ca="1">SUMPRODUCT(($A$80- WEEKDAY($A$80) + 6 =$B$80:$CU$80)*("実績"=$B$81:$CU$81),$B$82:$CU$82)/SUMPRODUCT(($A$80- WEEKDAY($A$80) + 6 =$B$80:$CU$80)*("予定"=$B$81:$CU$81),$B$82:$CU$82)</f>
        <v>#REF!</v>
      </c>
      <c r="CW82" s="58" t="e">
        <f>$CU$82/$CT$82</f>
        <v>#REF!</v>
      </c>
    </row>
    <row r="83" spans="1:101" ht="20.149999999999999" customHeight="1">
      <c r="A83" s="104" t="s">
        <v>74</v>
      </c>
      <c r="B83" s="91" t="e">
        <f>SUMPRODUCT((日次管理!#REF!&lt;=$B$80)*(日次管理!#REF!=$A$83)*(日次管理!#REF!="精査完了")*(日次管理!#REF!="予定")*(日次管理!#REF!=$A$79),日次管理!#REF!)</f>
        <v>#REF!</v>
      </c>
      <c r="C83" s="59" t="e">
        <f>SUMPRODUCT((日次管理!#REF!&lt;=$C$80)*(日次管理!#REF!=$A$83)*(日次管理!#REF!="精査完了")*(日次管理!#REF!="実績")*(日次管理!#REF!=$A$79),日次管理!#REF!)</f>
        <v>#REF!</v>
      </c>
      <c r="D83" s="91" t="e">
        <f>SUMPRODUCT((日次管理!#REF!&lt;=$D$80)*(日次管理!#REF!=$A$83)*(日次管理!#REF!="精査完了")*(日次管理!#REF!="予定")*(日次管理!#REF!=$A$79),日次管理!#REF!)</f>
        <v>#REF!</v>
      </c>
      <c r="E83" s="59" t="e">
        <f>SUMPRODUCT((日次管理!#REF!&lt;=$E$80)*(日次管理!#REF!=$A$83)*(日次管理!#REF!="精査完了")*(日次管理!#REF!="実績")*(日次管理!#REF!=$A$79),日次管理!#REF!)</f>
        <v>#REF!</v>
      </c>
      <c r="F83" s="91" t="e">
        <f>SUMPRODUCT((日次管理!#REF!&lt;=$F$80)*(日次管理!#REF!=$A$83)*(日次管理!#REF!="精査完了")*(日次管理!#REF!="予定")*(日次管理!#REF!=$A$79),日次管理!#REF!)</f>
        <v>#REF!</v>
      </c>
      <c r="G83" s="59" t="e">
        <f>SUMPRODUCT((日次管理!#REF!&lt;=$G$80)*(日次管理!#REF!=$A$83)*(日次管理!#REF!="精査完了")*(日次管理!#REF!="実績")*(日次管理!#REF!=$A$79),日次管理!#REF!)</f>
        <v>#REF!</v>
      </c>
      <c r="H83" s="91" t="e">
        <f>SUMPRODUCT((日次管理!#REF!&lt;=$H$80)*(日次管理!#REF!=$A$83)*(日次管理!#REF!="精査完了")*(日次管理!#REF!="予定")*(日次管理!#REF!=$A$79),日次管理!#REF!)</f>
        <v>#REF!</v>
      </c>
      <c r="I83" s="59" t="e">
        <f>SUMPRODUCT((日次管理!#REF!&lt;=$I$80)*(日次管理!#REF!=$A$83)*(日次管理!#REF!="精査完了")*(日次管理!#REF!="実績")*(日次管理!#REF!=$A$79),日次管理!#REF!)</f>
        <v>#REF!</v>
      </c>
      <c r="J83" s="91" t="e">
        <f>SUMPRODUCT((日次管理!#REF!&lt;=$J$80)*(日次管理!#REF!=$A$83)*(日次管理!#REF!="精査完了")*(日次管理!#REF!="予定")*(日次管理!#REF!=$A$79),日次管理!#REF!)</f>
        <v>#REF!</v>
      </c>
      <c r="K83" s="59" t="e">
        <f>SUMPRODUCT((日次管理!#REF!&lt;=$K$80)*(日次管理!#REF!=$A$83)*(日次管理!#REF!="精査完了")*(日次管理!#REF!="実績")*(日次管理!#REF!=$A$79),日次管理!#REF!)</f>
        <v>#REF!</v>
      </c>
      <c r="L83" s="91" t="e">
        <f>SUMPRODUCT((日次管理!#REF!&lt;=$L$80)*(日次管理!#REF!=$A$83)*(日次管理!#REF!="精査完了")*(日次管理!#REF!="予定")*(日次管理!#REF!=$A$79),日次管理!#REF!)</f>
        <v>#REF!</v>
      </c>
      <c r="M83" s="59" t="e">
        <f>SUMPRODUCT((日次管理!#REF!&lt;=$M$80)*(日次管理!#REF!=$A$83)*(日次管理!#REF!="精査完了")*(日次管理!#REF!="実績")*(日次管理!#REF!=$A$79),日次管理!#REF!)</f>
        <v>#REF!</v>
      </c>
      <c r="N83" s="91" t="e">
        <f>SUMPRODUCT((日次管理!#REF!&lt;=$N$80)*(日次管理!#REF!=$A$83)*(日次管理!#REF!="精査完了")*(日次管理!#REF!="予定")*(日次管理!#REF!=$A$79),日次管理!#REF!)</f>
        <v>#REF!</v>
      </c>
      <c r="O83" s="59" t="e">
        <f>SUMPRODUCT((日次管理!#REF!&lt;=$O$80)*(日次管理!#REF!=$A$83)*(日次管理!#REF!="精査完了")*(日次管理!#REF!="実績")*(日次管理!#REF!=$A$79),日次管理!#REF!)</f>
        <v>#REF!</v>
      </c>
      <c r="P83" s="91" t="e">
        <f>SUMPRODUCT((日次管理!#REF!&lt;=$P$80)*(日次管理!#REF!=$A$83)*(日次管理!#REF!="精査完了")*(日次管理!#REF!="予定")*(日次管理!#REF!=$A$79),日次管理!#REF!)</f>
        <v>#REF!</v>
      </c>
      <c r="Q83" s="59" t="e">
        <f>SUMPRODUCT((日次管理!#REF!&lt;=$Q$80)*(日次管理!#REF!=$A$83)*(日次管理!#REF!="精査完了")*(日次管理!#REF!="実績")*(日次管理!#REF!=$A$79),日次管理!#REF!)</f>
        <v>#REF!</v>
      </c>
      <c r="R83" s="91" t="e">
        <f>SUMPRODUCT((日次管理!#REF!&lt;=$R$80)*(日次管理!#REF!=$A$83)*(日次管理!#REF!="精査完了")*(日次管理!#REF!="予定")*(日次管理!#REF!=$A$79),日次管理!#REF!)</f>
        <v>#REF!</v>
      </c>
      <c r="S83" s="59" t="e">
        <f>SUMPRODUCT((日次管理!#REF!&lt;=$S$80)*(日次管理!#REF!=$A$83)*(日次管理!#REF!="精査完了")*(日次管理!#REF!="実績")*(日次管理!#REF!=$A$79),日次管理!#REF!)</f>
        <v>#REF!</v>
      </c>
      <c r="T83" s="91" t="e">
        <f>SUMPRODUCT((日次管理!#REF!&lt;=$T$80)*(日次管理!#REF!=$A$83)*(日次管理!#REF!="精査完了")*(日次管理!#REF!="予定")*(日次管理!#REF!=$A$79),日次管理!#REF!)</f>
        <v>#REF!</v>
      </c>
      <c r="U83" s="59" t="e">
        <f>SUMPRODUCT((日次管理!#REF!&lt;=$U$80)*(日次管理!#REF!=$A$83)*(日次管理!#REF!="精査完了")*(日次管理!#REF!="実績")*(日次管理!#REF!=$A$79),日次管理!#REF!)</f>
        <v>#REF!</v>
      </c>
      <c r="V83" s="91" t="e">
        <f>SUMPRODUCT((日次管理!#REF!&lt;=$V$80)*(日次管理!#REF!=$A$83)*(日次管理!#REF!="精査完了")*(日次管理!#REF!="予定")*(日次管理!#REF!=$A$79),日次管理!#REF!)</f>
        <v>#REF!</v>
      </c>
      <c r="W83" s="59" t="e">
        <f>SUMPRODUCT((日次管理!#REF!&lt;=$W$80)*(日次管理!#REF!=$A$83)*(日次管理!#REF!="精査完了")*(日次管理!#REF!="実績")*(日次管理!#REF!=$A$79),日次管理!#REF!)</f>
        <v>#REF!</v>
      </c>
      <c r="X83" s="91" t="e">
        <f>SUMPRODUCT((日次管理!#REF!&lt;=$X$80)*(日次管理!#REF!=$A$83)*(日次管理!#REF!="精査完了")*(日次管理!#REF!="予定")*(日次管理!#REF!=$A$79),日次管理!#REF!)</f>
        <v>#REF!</v>
      </c>
      <c r="Y83" s="59" t="e">
        <f>SUMPRODUCT((日次管理!#REF!&lt;=$Y$80)*(日次管理!#REF!=$A$83)*(日次管理!#REF!="精査完了")*(日次管理!#REF!="実績")*(日次管理!#REF!=$A$79),日次管理!#REF!)</f>
        <v>#REF!</v>
      </c>
      <c r="Z83" s="91" t="e">
        <f>SUMPRODUCT((日次管理!#REF!&lt;=$Z$80)*(日次管理!#REF!=$A$83)*(日次管理!#REF!="精査完了")*(日次管理!#REF!="予定")*(日次管理!#REF!=$A$79),日次管理!#REF!)</f>
        <v>#REF!</v>
      </c>
      <c r="AA83" s="59" t="e">
        <f>SUMPRODUCT((日次管理!#REF!&lt;=$AA$80)*(日次管理!#REF!=$A$83)*(日次管理!#REF!="精査完了")*(日次管理!#REF!="実績")*(日次管理!#REF!=$A$79),日次管理!#REF!)</f>
        <v>#REF!</v>
      </c>
      <c r="AB83" s="91" t="e">
        <f>SUMPRODUCT((日次管理!#REF!&lt;=$AB$80)*(日次管理!#REF!=$A$83)*(日次管理!#REF!="精査完了")*(日次管理!#REF!="予定")*(日次管理!#REF!=$A$79),日次管理!#REF!)</f>
        <v>#REF!</v>
      </c>
      <c r="AC83" s="59" t="e">
        <f>SUMPRODUCT((日次管理!#REF!&lt;=$AC$80)*(日次管理!#REF!=$A$83)*(日次管理!#REF!="精査完了")*(日次管理!#REF!="実績")*(日次管理!#REF!=$A$79),日次管理!#REF!)</f>
        <v>#REF!</v>
      </c>
      <c r="AD83" s="91" t="e">
        <f>SUMPRODUCT((日次管理!#REF!&lt;=$AD$80)*(日次管理!#REF!=$A$83)*(日次管理!#REF!="精査完了")*(日次管理!#REF!="予定")*(日次管理!#REF!=$A$79),日次管理!#REF!)</f>
        <v>#REF!</v>
      </c>
      <c r="AE83" s="59" t="e">
        <f>SUMPRODUCT((日次管理!#REF!&lt;=$AE$80)*(日次管理!#REF!=$A$83)*(日次管理!#REF!="精査完了")*(日次管理!#REF!="実績")*(日次管理!#REF!=$A$79),日次管理!#REF!)</f>
        <v>#REF!</v>
      </c>
      <c r="AF83" s="91" t="e">
        <f>SUMPRODUCT((日次管理!#REF!&lt;=$AF$80)*(日次管理!#REF!=$A$83)*(日次管理!#REF!="精査完了")*(日次管理!#REF!="予定")*(日次管理!#REF!=$A$79),日次管理!#REF!)</f>
        <v>#REF!</v>
      </c>
      <c r="AG83" s="59" t="e">
        <f>SUMPRODUCT((日次管理!#REF!&lt;=$AG$80)*(日次管理!#REF!=$A$83)*(日次管理!#REF!="精査完了")*(日次管理!#REF!="実績")*(日次管理!#REF!=$A$79),日次管理!#REF!)</f>
        <v>#REF!</v>
      </c>
      <c r="AH83" s="91" t="e">
        <f>SUMPRODUCT((日次管理!#REF!&lt;=$AH$80)*(日次管理!#REF!=$A$83)*(日次管理!#REF!="精査完了")*(日次管理!#REF!="予定")*(日次管理!#REF!=$A$79),日次管理!#REF!)</f>
        <v>#REF!</v>
      </c>
      <c r="AI83" s="59" t="e">
        <f>SUMPRODUCT((日次管理!#REF!&lt;=$AI$80)*(日次管理!#REF!=$A$83)*(日次管理!#REF!="精査完了")*(日次管理!#REF!="実績")*(日次管理!#REF!=$A$79),日次管理!#REF!)</f>
        <v>#REF!</v>
      </c>
      <c r="AJ83" s="91" t="e">
        <f>SUMPRODUCT((日次管理!#REF!&lt;=$AJ$80)*(日次管理!#REF!=$A$83)*(日次管理!#REF!="精査完了")*(日次管理!#REF!="予定")*(日次管理!#REF!=$A$79),日次管理!#REF!)</f>
        <v>#REF!</v>
      </c>
      <c r="AK83" s="59" t="e">
        <f>SUMPRODUCT((日次管理!#REF!&lt;=$AK$80)*(日次管理!#REF!=$A$83)*(日次管理!#REF!="精査完了")*(日次管理!#REF!="実績")*(日次管理!#REF!=$A$79),日次管理!#REF!)</f>
        <v>#REF!</v>
      </c>
      <c r="AL83" s="91" t="e">
        <f>SUMPRODUCT((日次管理!#REF!&lt;=$AL$80)*(日次管理!#REF!=$A$83)*(日次管理!#REF!="精査完了")*(日次管理!#REF!="予定")*(日次管理!#REF!=$A$79),日次管理!#REF!)</f>
        <v>#REF!</v>
      </c>
      <c r="AM83" s="59" t="e">
        <f>SUMPRODUCT((日次管理!#REF!&lt;=$AM$80)*(日次管理!#REF!=$A$83)*(日次管理!#REF!="精査完了")*(日次管理!#REF!="実績")*(日次管理!#REF!=$A$79),日次管理!#REF!)</f>
        <v>#REF!</v>
      </c>
      <c r="AN83" s="91" t="e">
        <f>SUMPRODUCT((日次管理!#REF!&lt;=$AN$80)*(日次管理!#REF!=$A$83)*(日次管理!#REF!="精査完了")*(日次管理!#REF!="予定")*(日次管理!#REF!=$A$79),日次管理!#REF!)</f>
        <v>#REF!</v>
      </c>
      <c r="AO83" s="59" t="e">
        <f>SUMPRODUCT((日次管理!#REF!&lt;=$AO$80)*(日次管理!#REF!=$A$83)*(日次管理!#REF!="精査完了")*(日次管理!#REF!="実績")*(日次管理!#REF!=$A$79),日次管理!#REF!)</f>
        <v>#REF!</v>
      </c>
      <c r="AP83" s="91" t="e">
        <f>SUMPRODUCT((日次管理!#REF!&lt;=$AP$80)*(日次管理!#REF!=$A$83)*(日次管理!#REF!="精査完了")*(日次管理!#REF!="予定")*(日次管理!#REF!=$A$79),日次管理!#REF!)</f>
        <v>#REF!</v>
      </c>
      <c r="AQ83" s="59" t="e">
        <f>SUMPRODUCT((日次管理!#REF!&lt;=$AQ$80)*(日次管理!#REF!=$A$83)*(日次管理!#REF!="精査完了")*(日次管理!#REF!="実績")*(日次管理!#REF!=$A$79),日次管理!#REF!)</f>
        <v>#REF!</v>
      </c>
      <c r="AR83" s="91" t="e">
        <f>SUMPRODUCT((日次管理!#REF!&lt;=$AR$80)*(日次管理!#REF!=$A$83)*(日次管理!#REF!="精査完了")*(日次管理!#REF!="予定")*(日次管理!#REF!=$A$79),日次管理!#REF!)</f>
        <v>#REF!</v>
      </c>
      <c r="AS83" s="59" t="e">
        <f>SUMPRODUCT((日次管理!#REF!&lt;=$AS$80)*(日次管理!#REF!=$A$83)*(日次管理!#REF!="精査完了")*(日次管理!#REF!="実績")*(日次管理!#REF!=$A$79),日次管理!#REF!)</f>
        <v>#REF!</v>
      </c>
      <c r="AT83" s="91" t="e">
        <f>SUMPRODUCT((日次管理!#REF!&lt;=$AT$80)*(日次管理!#REF!=$A$83)*(日次管理!#REF!="精査完了")*(日次管理!#REF!="予定")*(日次管理!#REF!=$A$79),日次管理!#REF!)</f>
        <v>#REF!</v>
      </c>
      <c r="AU83" s="59" t="e">
        <f>SUMPRODUCT((日次管理!#REF!&lt;=$AU$80)*(日次管理!#REF!=$A$83)*(日次管理!#REF!="精査完了")*(日次管理!#REF!="実績")*(日次管理!#REF!=$A$79),日次管理!#REF!)</f>
        <v>#REF!</v>
      </c>
      <c r="AV83" s="91" t="e">
        <f>SUMPRODUCT((日次管理!#REF!&lt;=$AV$80)*(日次管理!#REF!=$A$83)*(日次管理!#REF!="精査完了")*(日次管理!#REF!="予定")*(日次管理!#REF!=$A$79),日次管理!#REF!)</f>
        <v>#REF!</v>
      </c>
      <c r="AW83" s="59" t="e">
        <f>SUMPRODUCT((日次管理!#REF!&lt;=$AW$80)*(日次管理!#REF!=$A$83)*(日次管理!#REF!="精査完了")*(日次管理!#REF!="実績")*(日次管理!#REF!=$A$79),日次管理!#REF!)</f>
        <v>#REF!</v>
      </c>
      <c r="AX83" s="91" t="e">
        <f>SUMPRODUCT((日次管理!#REF!&lt;=$AX$80)*(日次管理!#REF!=$A$83)*(日次管理!#REF!="精査完了")*(日次管理!#REF!="予定")*(日次管理!#REF!=$A$79),日次管理!#REF!)</f>
        <v>#REF!</v>
      </c>
      <c r="AY83" s="59" t="e">
        <f>SUMPRODUCT((日次管理!#REF!&lt;=$AY$80)*(日次管理!#REF!=$A$83)*(日次管理!#REF!="精査完了")*(日次管理!#REF!="実績")*(日次管理!#REF!=$A$79),日次管理!#REF!)</f>
        <v>#REF!</v>
      </c>
      <c r="AZ83" s="91" t="e">
        <f>SUMPRODUCT((日次管理!#REF!&lt;=$AZ$80)*(日次管理!#REF!=$A$83)*(日次管理!#REF!="精査完了")*(日次管理!#REF!="予定")*(日次管理!#REF!=$A$79),日次管理!#REF!)</f>
        <v>#REF!</v>
      </c>
      <c r="BA83" s="59" t="e">
        <f>SUMPRODUCT((日次管理!#REF!&lt;=$BA$80)*(日次管理!#REF!=$A$83)*(日次管理!#REF!="精査完了")*(日次管理!#REF!="実績")*(日次管理!#REF!=$A$79),日次管理!#REF!)</f>
        <v>#REF!</v>
      </c>
      <c r="BB83" s="91" t="e">
        <f>SUMPRODUCT((日次管理!#REF!&lt;=$BB$80)*(日次管理!#REF!=$A$83)*(日次管理!#REF!="精査完了")*(日次管理!#REF!="予定")*(日次管理!#REF!=$A$79),日次管理!#REF!)</f>
        <v>#REF!</v>
      </c>
      <c r="BC83" s="59" t="e">
        <f>SUMPRODUCT((日次管理!#REF!&lt;=$BC$80)*(日次管理!#REF!=$A$83)*(日次管理!#REF!="精査完了")*(日次管理!#REF!="実績")*(日次管理!#REF!=$A$79),日次管理!#REF!)</f>
        <v>#REF!</v>
      </c>
      <c r="BD83" s="91" t="e">
        <f>SUMPRODUCT((日次管理!#REF!&lt;=$BD$80)*(日次管理!#REF!=$A$83)*(日次管理!#REF!="精査完了")*(日次管理!#REF!="予定")*(日次管理!#REF!=$A$79),日次管理!#REF!)</f>
        <v>#REF!</v>
      </c>
      <c r="BE83" s="59" t="e">
        <f>SUMPRODUCT((日次管理!#REF!&lt;=$BE$80)*(日次管理!#REF!=$A$83)*(日次管理!#REF!="精査完了")*(日次管理!#REF!="実績")*(日次管理!#REF!=$A$79),日次管理!#REF!)</f>
        <v>#REF!</v>
      </c>
      <c r="BF83" s="91" t="e">
        <f>SUMPRODUCT((日次管理!#REF!&lt;=$BF$80)*(日次管理!#REF!=$A$83)*(日次管理!#REF!="精査完了")*(日次管理!#REF!="予定")*(日次管理!#REF!=$A$79),日次管理!#REF!)</f>
        <v>#REF!</v>
      </c>
      <c r="BG83" s="59" t="e">
        <f>SUMPRODUCT((日次管理!#REF!&lt;=$BG$80)*(日次管理!#REF!=$A$83)*(日次管理!#REF!="精査完了")*(日次管理!#REF!="実績")*(日次管理!#REF!=$A$79),日次管理!#REF!)</f>
        <v>#REF!</v>
      </c>
      <c r="BH83" s="91" t="e">
        <f>SUMPRODUCT((日次管理!#REF!&lt;=$BH$80)*(日次管理!#REF!=$A$83)*(日次管理!#REF!="精査完了")*(日次管理!#REF!="予定")*(日次管理!#REF!=$A$79),日次管理!#REF!)</f>
        <v>#REF!</v>
      </c>
      <c r="BI83" s="59" t="e">
        <f>SUMPRODUCT((日次管理!#REF!&lt;=$BI$80)*(日次管理!#REF!=$A$83)*(日次管理!#REF!="精査完了")*(日次管理!#REF!="実績")*(日次管理!#REF!=$A$79),日次管理!#REF!)</f>
        <v>#REF!</v>
      </c>
      <c r="BJ83" s="91" t="e">
        <f>SUMPRODUCT((日次管理!#REF!&lt;=$BJ$80)*(日次管理!#REF!=$A$83)*(日次管理!#REF!="精査完了")*(日次管理!#REF!="予定")*(日次管理!#REF!=$A$79),日次管理!#REF!)</f>
        <v>#REF!</v>
      </c>
      <c r="BK83" s="59" t="e">
        <f>SUMPRODUCT((日次管理!#REF!&lt;=$BK$80)*(日次管理!#REF!=$A$83)*(日次管理!#REF!="精査完了")*(日次管理!#REF!="実績")*(日次管理!#REF!=$A$79),日次管理!#REF!)</f>
        <v>#REF!</v>
      </c>
      <c r="BL83" s="91" t="e">
        <f>SUMPRODUCT((日次管理!#REF!&lt;=$BL$80)*(日次管理!#REF!=$A$83)*(日次管理!#REF!="精査完了")*(日次管理!#REF!="予定")*(日次管理!#REF!=$A$79),日次管理!#REF!)</f>
        <v>#REF!</v>
      </c>
      <c r="BM83" s="59" t="e">
        <f>SUMPRODUCT((日次管理!#REF!&lt;=$BM$80)*(日次管理!#REF!=$A$83)*(日次管理!#REF!="精査完了")*(日次管理!#REF!="実績")*(日次管理!#REF!=$A$79),日次管理!#REF!)</f>
        <v>#REF!</v>
      </c>
      <c r="BN83" s="91" t="e">
        <f>SUMPRODUCT((日次管理!#REF!&lt;=$BN$80)*(日次管理!#REF!=$A$83)*(日次管理!#REF!="精査完了")*(日次管理!#REF!="予定")*(日次管理!#REF!=$A$79),日次管理!#REF!)</f>
        <v>#REF!</v>
      </c>
      <c r="BO83" s="59" t="e">
        <f>SUMPRODUCT((日次管理!#REF!&lt;=$BO$80)*(日次管理!#REF!=$A$83)*(日次管理!#REF!="精査完了")*(日次管理!#REF!="実績")*(日次管理!#REF!=$A$79),日次管理!#REF!)</f>
        <v>#REF!</v>
      </c>
      <c r="BP83" s="91" t="e">
        <f>SUMPRODUCT((日次管理!#REF!&lt;=$BP$80)*(日次管理!#REF!=$A$83)*(日次管理!#REF!="精査完了")*(日次管理!#REF!="予定")*(日次管理!#REF!=$A$79),日次管理!#REF!)</f>
        <v>#REF!</v>
      </c>
      <c r="BQ83" s="59" t="e">
        <f>SUMPRODUCT((日次管理!#REF!&lt;=$BQ$80)*(日次管理!#REF!=$A$83)*(日次管理!#REF!="精査完了")*(日次管理!#REF!="実績")*(日次管理!#REF!=$A$79),日次管理!#REF!)</f>
        <v>#REF!</v>
      </c>
      <c r="BR83" s="91" t="e">
        <f>SUMPRODUCT((日次管理!#REF!&lt;=$BR$80)*(日次管理!#REF!=$A$83)*(日次管理!#REF!="精査完了")*(日次管理!#REF!="予定")*(日次管理!#REF!=$A$79),日次管理!#REF!)</f>
        <v>#REF!</v>
      </c>
      <c r="BS83" s="59" t="e">
        <f>SUMPRODUCT((日次管理!#REF!&lt;=$BS$80)*(日次管理!#REF!=$A$83)*(日次管理!#REF!="精査完了")*(日次管理!#REF!="実績")*(日次管理!#REF!=$A$79),日次管理!#REF!)</f>
        <v>#REF!</v>
      </c>
      <c r="BT83" s="91" t="e">
        <f>SUMPRODUCT((日次管理!#REF!&lt;=$BT$80)*(日次管理!#REF!=$A$83)*(日次管理!#REF!="精査完了")*(日次管理!#REF!="予定")*(日次管理!#REF!=$A$79),日次管理!#REF!)</f>
        <v>#REF!</v>
      </c>
      <c r="BU83" s="59" t="e">
        <f>SUMPRODUCT((日次管理!#REF!&lt;=$BU$80)*(日次管理!#REF!=$A$83)*(日次管理!#REF!="精査完了")*(日次管理!#REF!="実績")*(日次管理!#REF!=$A$79),日次管理!#REF!)</f>
        <v>#REF!</v>
      </c>
      <c r="BV83" s="91" t="e">
        <f>SUMPRODUCT((日次管理!#REF!&lt;=$BV$80)*(日次管理!#REF!=$A$83)*(日次管理!#REF!="精査完了")*(日次管理!#REF!="予定")*(日次管理!#REF!=$A$79),日次管理!#REF!)</f>
        <v>#REF!</v>
      </c>
      <c r="BW83" s="59" t="e">
        <f>SUMPRODUCT((日次管理!#REF!&lt;=$BW$80)*(日次管理!#REF!=$A$83)*(日次管理!#REF!="精査完了")*(日次管理!#REF!="実績")*(日次管理!#REF!=$A$79),日次管理!#REF!)</f>
        <v>#REF!</v>
      </c>
      <c r="BX83" s="91" t="e">
        <f>SUMPRODUCT((日次管理!#REF!&lt;=$BX$80)*(日次管理!#REF!=$A$83)*(日次管理!#REF!="精査完了")*(日次管理!#REF!="予定")*(日次管理!#REF!=$A$79),日次管理!#REF!)</f>
        <v>#REF!</v>
      </c>
      <c r="BY83" s="59" t="e">
        <f>SUMPRODUCT((日次管理!#REF!&lt;=$BY$80)*(日次管理!#REF!=$A$83)*(日次管理!#REF!="精査完了")*(日次管理!#REF!="実績")*(日次管理!#REF!=$A$79),日次管理!#REF!)</f>
        <v>#REF!</v>
      </c>
      <c r="BZ83" s="91" t="e">
        <f>SUMPRODUCT((日次管理!#REF!&lt;=$BZ$80)*(日次管理!#REF!=$A$83)*(日次管理!#REF!="精査完了")*(日次管理!#REF!="予定")*(日次管理!#REF!=$A$79),日次管理!#REF!)</f>
        <v>#REF!</v>
      </c>
      <c r="CA83" s="59" t="e">
        <f>SUMPRODUCT((日次管理!#REF!&lt;=$CA$80)*(日次管理!#REF!=$A$83)*(日次管理!#REF!="精査完了")*(日次管理!#REF!="実績")*(日次管理!#REF!=$A$79),日次管理!#REF!)</f>
        <v>#REF!</v>
      </c>
      <c r="CB83" s="91" t="e">
        <f>SUMPRODUCT((日次管理!#REF!&lt;=$CB$80)*(日次管理!#REF!=$A$83)*(日次管理!#REF!="精査完了")*(日次管理!#REF!="予定")*(日次管理!#REF!=$A$79),日次管理!#REF!)</f>
        <v>#REF!</v>
      </c>
      <c r="CC83" s="59" t="e">
        <f>SUMPRODUCT((日次管理!#REF!&lt;=$CC$80)*(日次管理!#REF!=$A$83)*(日次管理!#REF!="精査完了")*(日次管理!#REF!="実績")*(日次管理!#REF!=$A$79),日次管理!#REF!)</f>
        <v>#REF!</v>
      </c>
      <c r="CD83" s="91" t="e">
        <f>SUMPRODUCT((日次管理!#REF!&lt;=$CD$80)*(日次管理!#REF!=$A$83)*(日次管理!#REF!="精査完了")*(日次管理!#REF!="予定")*(日次管理!#REF!=$A$79),日次管理!#REF!)</f>
        <v>#REF!</v>
      </c>
      <c r="CE83" s="59" t="e">
        <f>SUMPRODUCT((日次管理!#REF!&lt;=$CE$80)*(日次管理!#REF!=$A$83)*(日次管理!#REF!="精査完了")*(日次管理!#REF!="実績")*(日次管理!#REF!=$A$79),日次管理!#REF!)</f>
        <v>#REF!</v>
      </c>
      <c r="CF83" s="91" t="e">
        <f>SUMPRODUCT((日次管理!#REF!&lt;=$CF$80)*(日次管理!#REF!=$A$83)*(日次管理!#REF!="精査完了")*(日次管理!#REF!="予定")*(日次管理!#REF!=$A$79),日次管理!#REF!)</f>
        <v>#REF!</v>
      </c>
      <c r="CG83" s="59" t="e">
        <f>SUMPRODUCT((日次管理!#REF!&lt;=$CG$80)*(日次管理!#REF!=$A$83)*(日次管理!#REF!="精査完了")*(日次管理!#REF!="実績")*(日次管理!#REF!=$A$79),日次管理!#REF!)</f>
        <v>#REF!</v>
      </c>
      <c r="CH83" s="91" t="e">
        <f>SUMPRODUCT((日次管理!#REF!&lt;=$CH$80)*(日次管理!#REF!=$A$83)*(日次管理!#REF!="精査完了")*(日次管理!#REF!="予定")*(日次管理!#REF!=$A$79),日次管理!#REF!)</f>
        <v>#REF!</v>
      </c>
      <c r="CI83" s="59" t="e">
        <f>SUMPRODUCT((日次管理!#REF!&lt;=$CI$80)*(日次管理!#REF!=$A$83)*(日次管理!#REF!="精査完了")*(日次管理!#REF!="実績")*(日次管理!#REF!=$A$79),日次管理!#REF!)</f>
        <v>#REF!</v>
      </c>
      <c r="CJ83" s="91" t="e">
        <f>SUMPRODUCT((日次管理!#REF!&lt;=$CJ$80)*(日次管理!#REF!=$A$83)*(日次管理!#REF!="精査完了")*(日次管理!#REF!="予定")*(日次管理!#REF!=$A$79),日次管理!#REF!)</f>
        <v>#REF!</v>
      </c>
      <c r="CK83" s="59" t="e">
        <f>SUMPRODUCT((日次管理!#REF!&lt;=$CK$80)*(日次管理!#REF!=$A$83)*(日次管理!#REF!="精査完了")*(日次管理!#REF!="実績")*(日次管理!#REF!=$A$79),日次管理!#REF!)</f>
        <v>#REF!</v>
      </c>
      <c r="CL83" s="91" t="e">
        <f>SUMPRODUCT((日次管理!#REF!&lt;=$CL$80)*(日次管理!#REF!=$A$83)*(日次管理!#REF!="精査完了")*(日次管理!#REF!="予定")*(日次管理!#REF!=$A$79),日次管理!#REF!)</f>
        <v>#REF!</v>
      </c>
      <c r="CM83" s="59" t="e">
        <f>SUMPRODUCT((日次管理!#REF!&lt;=$CM$80)*(日次管理!#REF!=$A$83)*(日次管理!#REF!="精査完了")*(日次管理!#REF!="実績")*(日次管理!#REF!=$A$79),日次管理!#REF!)</f>
        <v>#REF!</v>
      </c>
      <c r="CN83" s="91" t="e">
        <f>SUMPRODUCT((日次管理!#REF!&lt;=$CN$80)*(日次管理!#REF!=$A$83)*(日次管理!#REF!="精査完了")*(日次管理!#REF!="予定")*(日次管理!#REF!=$A$79),日次管理!#REF!)</f>
        <v>#REF!</v>
      </c>
      <c r="CO83" s="59" t="e">
        <f>SUMPRODUCT((日次管理!#REF!&lt;=$CO$80)*(日次管理!#REF!=$A$83)*(日次管理!#REF!="精査完了")*(日次管理!#REF!="実績")*(日次管理!#REF!=$A$79),日次管理!#REF!)</f>
        <v>#REF!</v>
      </c>
      <c r="CP83" s="91" t="e">
        <f>SUMPRODUCT((日次管理!#REF!&lt;=$CP$80)*(日次管理!#REF!=$A$83)*(日次管理!#REF!="精査完了")*(日次管理!#REF!="予定")*(日次管理!#REF!=$A$79),日次管理!#REF!)</f>
        <v>#REF!</v>
      </c>
      <c r="CQ83" s="59" t="e">
        <f>SUMPRODUCT((日次管理!#REF!&lt;=$CQ$80)*(日次管理!#REF!=$A$83)*(日次管理!#REF!="精査完了")*(日次管理!#REF!="実績")*(日次管理!#REF!=$A$79),日次管理!#REF!)</f>
        <v>#REF!</v>
      </c>
      <c r="CR83" s="91" t="e">
        <f>SUMPRODUCT((日次管理!#REF!&lt;=$CR$80)*(日次管理!#REF!=$A$83)*(日次管理!#REF!="精査完了")*(日次管理!#REF!="予定")*(日次管理!#REF!=$A$79),日次管理!#REF!)</f>
        <v>#REF!</v>
      </c>
      <c r="CS83" s="59" t="e">
        <f>SUMPRODUCT((日次管理!#REF!&lt;=$CS$80)*(日次管理!#REF!=$A$83)*(日次管理!#REF!="精査完了")*(日次管理!#REF!="実績")*(日次管理!#REF!=$A$79),日次管理!#REF!)</f>
        <v>#REF!</v>
      </c>
      <c r="CT83" s="91" t="e">
        <f>SUMPRODUCT((日次管理!#REF!&lt;=$CT$80)*(日次管理!#REF!=$A$83)*(日次管理!#REF!="精査完了")*(日次管理!#REF!="予定")*(日次管理!#REF!=$A$79),日次管理!#REF!)</f>
        <v>#REF!</v>
      </c>
      <c r="CU83" s="59" t="e">
        <f>SUMPRODUCT((日次管理!#REF!&lt;=$CU$80)*(日次管理!#REF!=$A$83)*(日次管理!#REF!="精査完了")*(日次管理!#REF!="実績")*(日次管理!#REF!=$A$79),日次管理!#REF!)</f>
        <v>#REF!</v>
      </c>
      <c r="CV83" s="92" t="e">
        <f ca="1">SUMPRODUCT(($A$80- WEEKDAY($A$80) + 6 =$B$80:$CU$80)*("実績"=$B$81:$CU$81),$B$83:$CU$83)/SUMPRODUCT(($A$80- WEEKDAY($A$80) + 6 =$B$80:$CU$80)*("予定"=$B$81:$CU$81),$B$83:$CU$83)</f>
        <v>#REF!</v>
      </c>
      <c r="CW83" s="93" t="e">
        <f>$CU$83/$CT$83</f>
        <v>#REF!</v>
      </c>
    </row>
    <row r="84" spans="1:101" ht="20.149999999999999" customHeight="1">
      <c r="A84" s="105" t="s">
        <v>73</v>
      </c>
      <c r="B84" s="95" t="e">
        <f>SUMPRODUCT((日次管理!#REF!&lt;=$B$80)*(日次管理!#REF!=$A$84)*(日次管理!#REF!="精査完了")*(日次管理!#REF!="予定")*(日次管理!#REF!=$A$79),日次管理!#REF!)</f>
        <v>#REF!</v>
      </c>
      <c r="C84" s="60" t="e">
        <f>SUMPRODUCT((日次管理!#REF!&lt;=$C$80)*(日次管理!#REF!=$A$84)*(日次管理!#REF!="精査完了")*(日次管理!#REF!="実績")*(日次管理!#REF!=$A$79),日次管理!#REF!)</f>
        <v>#REF!</v>
      </c>
      <c r="D84" s="95" t="e">
        <f>SUMPRODUCT((日次管理!#REF!&lt;=$D$80)*(日次管理!#REF!=$A$84)*(日次管理!#REF!="精査完了")*(日次管理!#REF!="予定")*(日次管理!#REF!=$A$79),日次管理!#REF!)</f>
        <v>#REF!</v>
      </c>
      <c r="E84" s="60" t="e">
        <f>SUMPRODUCT((日次管理!#REF!&lt;=$E$80)*(日次管理!#REF!=$A$84)*(日次管理!#REF!="精査完了")*(日次管理!#REF!="実績")*(日次管理!#REF!=$A$79),日次管理!#REF!)</f>
        <v>#REF!</v>
      </c>
      <c r="F84" s="95" t="e">
        <f>SUMPRODUCT((日次管理!#REF!&lt;=$F$80)*(日次管理!#REF!=$A$84)*(日次管理!#REF!="精査完了")*(日次管理!#REF!="予定")*(日次管理!#REF!=$A$79),日次管理!#REF!)</f>
        <v>#REF!</v>
      </c>
      <c r="G84" s="60" t="e">
        <f>SUMPRODUCT((日次管理!#REF!&lt;=$G$80)*(日次管理!#REF!=$A$84)*(日次管理!#REF!="精査完了")*(日次管理!#REF!="実績")*(日次管理!#REF!=$A$79),日次管理!#REF!)</f>
        <v>#REF!</v>
      </c>
      <c r="H84" s="95" t="e">
        <f>SUMPRODUCT((日次管理!#REF!&lt;=$H$80)*(日次管理!#REF!=$A$84)*(日次管理!#REF!="精査完了")*(日次管理!#REF!="予定")*(日次管理!#REF!=$A$79),日次管理!#REF!)</f>
        <v>#REF!</v>
      </c>
      <c r="I84" s="60" t="e">
        <f>SUMPRODUCT((日次管理!#REF!&lt;=$I$80)*(日次管理!#REF!=$A$84)*(日次管理!#REF!="精査完了")*(日次管理!#REF!="実績")*(日次管理!#REF!=$A$79),日次管理!#REF!)</f>
        <v>#REF!</v>
      </c>
      <c r="J84" s="95" t="e">
        <f>SUMPRODUCT((日次管理!#REF!&lt;=$J$80)*(日次管理!#REF!=$A$84)*(日次管理!#REF!="精査完了")*(日次管理!#REF!="予定")*(日次管理!#REF!=$A$79),日次管理!#REF!)</f>
        <v>#REF!</v>
      </c>
      <c r="K84" s="60" t="e">
        <f>SUMPRODUCT((日次管理!#REF!&lt;=$K$80)*(日次管理!#REF!=$A$84)*(日次管理!#REF!="精査完了")*(日次管理!#REF!="実績")*(日次管理!#REF!=$A$79),日次管理!#REF!)</f>
        <v>#REF!</v>
      </c>
      <c r="L84" s="95" t="e">
        <f>SUMPRODUCT((日次管理!#REF!&lt;=$L$80)*(日次管理!#REF!=$A$84)*(日次管理!#REF!="精査完了")*(日次管理!#REF!="予定")*(日次管理!#REF!=$A$79),日次管理!#REF!)</f>
        <v>#REF!</v>
      </c>
      <c r="M84" s="60" t="e">
        <f>SUMPRODUCT((日次管理!#REF!&lt;=$M$80)*(日次管理!#REF!=$A$84)*(日次管理!#REF!="精査完了")*(日次管理!#REF!="実績")*(日次管理!#REF!=$A$79),日次管理!#REF!)</f>
        <v>#REF!</v>
      </c>
      <c r="N84" s="95" t="e">
        <f>SUMPRODUCT((日次管理!#REF!&lt;=$N$80)*(日次管理!#REF!=$A$84)*(日次管理!#REF!="精査完了")*(日次管理!#REF!="予定")*(日次管理!#REF!=$A$79),日次管理!#REF!)</f>
        <v>#REF!</v>
      </c>
      <c r="O84" s="60" t="e">
        <f>SUMPRODUCT((日次管理!#REF!&lt;=$O$80)*(日次管理!#REF!=$A$84)*(日次管理!#REF!="精査完了")*(日次管理!#REF!="実績")*(日次管理!#REF!=$A$79),日次管理!#REF!)</f>
        <v>#REF!</v>
      </c>
      <c r="P84" s="95" t="e">
        <f>SUMPRODUCT((日次管理!#REF!&lt;=$P$80)*(日次管理!#REF!=$A$84)*(日次管理!#REF!="精査完了")*(日次管理!#REF!="予定")*(日次管理!#REF!=$A$79),日次管理!#REF!)</f>
        <v>#REF!</v>
      </c>
      <c r="Q84" s="60" t="e">
        <f>SUMPRODUCT((日次管理!#REF!&lt;=$Q$80)*(日次管理!#REF!=$A$84)*(日次管理!#REF!="精査完了")*(日次管理!#REF!="実績")*(日次管理!#REF!=$A$79),日次管理!#REF!)</f>
        <v>#REF!</v>
      </c>
      <c r="R84" s="95" t="e">
        <f>SUMPRODUCT((日次管理!#REF!&lt;=$R$80)*(日次管理!#REF!=$A$84)*(日次管理!#REF!="精査完了")*(日次管理!#REF!="予定")*(日次管理!#REF!=$A$79),日次管理!#REF!)</f>
        <v>#REF!</v>
      </c>
      <c r="S84" s="60" t="e">
        <f>SUMPRODUCT((日次管理!#REF!&lt;=$S$80)*(日次管理!#REF!=$A$84)*(日次管理!#REF!="精査完了")*(日次管理!#REF!="実績")*(日次管理!#REF!=$A$79),日次管理!#REF!)</f>
        <v>#REF!</v>
      </c>
      <c r="T84" s="95" t="e">
        <f>SUMPRODUCT((日次管理!#REF!&lt;=$T$80)*(日次管理!#REF!=$A$84)*(日次管理!#REF!="精査完了")*(日次管理!#REF!="予定")*(日次管理!#REF!=$A$79),日次管理!#REF!)</f>
        <v>#REF!</v>
      </c>
      <c r="U84" s="60" t="e">
        <f>SUMPRODUCT((日次管理!#REF!&lt;=$U$80)*(日次管理!#REF!=$A$84)*(日次管理!#REF!="精査完了")*(日次管理!#REF!="実績")*(日次管理!#REF!=$A$79),日次管理!#REF!)</f>
        <v>#REF!</v>
      </c>
      <c r="V84" s="95" t="e">
        <f>SUMPRODUCT((日次管理!#REF!&lt;=$V$80)*(日次管理!#REF!=$A$84)*(日次管理!#REF!="精査完了")*(日次管理!#REF!="予定")*(日次管理!#REF!=$A$79),日次管理!#REF!)</f>
        <v>#REF!</v>
      </c>
      <c r="W84" s="60" t="e">
        <f>SUMPRODUCT((日次管理!#REF!&lt;=$W$80)*(日次管理!#REF!=$A$84)*(日次管理!#REF!="精査完了")*(日次管理!#REF!="実績")*(日次管理!#REF!=$A$79),日次管理!#REF!)</f>
        <v>#REF!</v>
      </c>
      <c r="X84" s="95" t="e">
        <f>SUMPRODUCT((日次管理!#REF!&lt;=$X$80)*(日次管理!#REF!=$A$84)*(日次管理!#REF!="精査完了")*(日次管理!#REF!="予定")*(日次管理!#REF!=$A$79),日次管理!#REF!)</f>
        <v>#REF!</v>
      </c>
      <c r="Y84" s="60" t="e">
        <f>SUMPRODUCT((日次管理!#REF!&lt;=$Y$80)*(日次管理!#REF!=$A$84)*(日次管理!#REF!="精査完了")*(日次管理!#REF!="実績")*(日次管理!#REF!=$A$79),日次管理!#REF!)</f>
        <v>#REF!</v>
      </c>
      <c r="Z84" s="95" t="e">
        <f>SUMPRODUCT((日次管理!#REF!&lt;=$Z$80)*(日次管理!#REF!=$A$84)*(日次管理!#REF!="精査完了")*(日次管理!#REF!="予定")*(日次管理!#REF!=$A$79),日次管理!#REF!)</f>
        <v>#REF!</v>
      </c>
      <c r="AA84" s="60" t="e">
        <f>SUMPRODUCT((日次管理!#REF!&lt;=$AA$80)*(日次管理!#REF!=$A$84)*(日次管理!#REF!="精査完了")*(日次管理!#REF!="実績")*(日次管理!#REF!=$A$79),日次管理!#REF!)</f>
        <v>#REF!</v>
      </c>
      <c r="AB84" s="95" t="e">
        <f>SUMPRODUCT((日次管理!#REF!&lt;=$AB$80)*(日次管理!#REF!=$A$84)*(日次管理!#REF!="精査完了")*(日次管理!#REF!="予定")*(日次管理!#REF!=$A$79),日次管理!#REF!)</f>
        <v>#REF!</v>
      </c>
      <c r="AC84" s="60" t="e">
        <f>SUMPRODUCT((日次管理!#REF!&lt;=$AC$80)*(日次管理!#REF!=$A$84)*(日次管理!#REF!="精査完了")*(日次管理!#REF!="実績")*(日次管理!#REF!=$A$79),日次管理!#REF!)</f>
        <v>#REF!</v>
      </c>
      <c r="AD84" s="95" t="e">
        <f>SUMPRODUCT((日次管理!#REF!&lt;=$AD$80)*(日次管理!#REF!=$A$84)*(日次管理!#REF!="精査完了")*(日次管理!#REF!="予定")*(日次管理!#REF!=$A$79),日次管理!#REF!)</f>
        <v>#REF!</v>
      </c>
      <c r="AE84" s="60" t="e">
        <f>SUMPRODUCT((日次管理!#REF!&lt;=$AE$80)*(日次管理!#REF!=$A$84)*(日次管理!#REF!="精査完了")*(日次管理!#REF!="実績")*(日次管理!#REF!=$A$79),日次管理!#REF!)</f>
        <v>#REF!</v>
      </c>
      <c r="AF84" s="95" t="e">
        <f>SUMPRODUCT((日次管理!#REF!&lt;=$AF$80)*(日次管理!#REF!=$A$84)*(日次管理!#REF!="精査完了")*(日次管理!#REF!="予定")*(日次管理!#REF!=$A$79),日次管理!#REF!)</f>
        <v>#REF!</v>
      </c>
      <c r="AG84" s="60" t="e">
        <f>SUMPRODUCT((日次管理!#REF!&lt;=$AG$80)*(日次管理!#REF!=$A$84)*(日次管理!#REF!="精査完了")*(日次管理!#REF!="実績")*(日次管理!#REF!=$A$79),日次管理!#REF!)</f>
        <v>#REF!</v>
      </c>
      <c r="AH84" s="95" t="e">
        <f>SUMPRODUCT((日次管理!#REF!&lt;=$AH$80)*(日次管理!#REF!=$A$84)*(日次管理!#REF!="精査完了")*(日次管理!#REF!="予定")*(日次管理!#REF!=$A$79),日次管理!#REF!)</f>
        <v>#REF!</v>
      </c>
      <c r="AI84" s="60" t="e">
        <f>SUMPRODUCT((日次管理!#REF!&lt;=$AI$80)*(日次管理!#REF!=$A$84)*(日次管理!#REF!="精査完了")*(日次管理!#REF!="実績")*(日次管理!#REF!=$A$79),日次管理!#REF!)</f>
        <v>#REF!</v>
      </c>
      <c r="AJ84" s="95" t="e">
        <f>SUMPRODUCT((日次管理!#REF!&lt;=$AJ$80)*(日次管理!#REF!=$A$84)*(日次管理!#REF!="精査完了")*(日次管理!#REF!="予定")*(日次管理!#REF!=$A$79),日次管理!#REF!)</f>
        <v>#REF!</v>
      </c>
      <c r="AK84" s="60" t="e">
        <f>SUMPRODUCT((日次管理!#REF!&lt;=$AK$80)*(日次管理!#REF!=$A$84)*(日次管理!#REF!="精査完了")*(日次管理!#REF!="実績")*(日次管理!#REF!=$A$79),日次管理!#REF!)</f>
        <v>#REF!</v>
      </c>
      <c r="AL84" s="95" t="e">
        <f>SUMPRODUCT((日次管理!#REF!&lt;=$AL$80)*(日次管理!#REF!=$A$84)*(日次管理!#REF!="精査完了")*(日次管理!#REF!="予定")*(日次管理!#REF!=$A$79),日次管理!#REF!)</f>
        <v>#REF!</v>
      </c>
      <c r="AM84" s="60" t="e">
        <f>SUMPRODUCT((日次管理!#REF!&lt;=$AM$80)*(日次管理!#REF!=$A$84)*(日次管理!#REF!="精査完了")*(日次管理!#REF!="実績")*(日次管理!#REF!=$A$79),日次管理!#REF!)</f>
        <v>#REF!</v>
      </c>
      <c r="AN84" s="95" t="e">
        <f>SUMPRODUCT((日次管理!#REF!&lt;=$AN$80)*(日次管理!#REF!=$A$84)*(日次管理!#REF!="精査完了")*(日次管理!#REF!="予定")*(日次管理!#REF!=$A$79),日次管理!#REF!)</f>
        <v>#REF!</v>
      </c>
      <c r="AO84" s="60" t="e">
        <f>SUMPRODUCT((日次管理!#REF!&lt;=$AO$80)*(日次管理!#REF!=$A$84)*(日次管理!#REF!="精査完了")*(日次管理!#REF!="実績")*(日次管理!#REF!=$A$79),日次管理!#REF!)</f>
        <v>#REF!</v>
      </c>
      <c r="AP84" s="95" t="e">
        <f>SUMPRODUCT((日次管理!#REF!&lt;=$AP$80)*(日次管理!#REF!=$A$84)*(日次管理!#REF!="精査完了")*(日次管理!#REF!="予定")*(日次管理!#REF!=$A$79),日次管理!#REF!)</f>
        <v>#REF!</v>
      </c>
      <c r="AQ84" s="60" t="e">
        <f>SUMPRODUCT((日次管理!#REF!&lt;=$AQ$80)*(日次管理!#REF!=$A$84)*(日次管理!#REF!="精査完了")*(日次管理!#REF!="実績")*(日次管理!#REF!=$A$79),日次管理!#REF!)</f>
        <v>#REF!</v>
      </c>
      <c r="AR84" s="95" t="e">
        <f>SUMPRODUCT((日次管理!#REF!&lt;=$AR$80)*(日次管理!#REF!=$A$84)*(日次管理!#REF!="精査完了")*(日次管理!#REF!="予定")*(日次管理!#REF!=$A$79),日次管理!#REF!)</f>
        <v>#REF!</v>
      </c>
      <c r="AS84" s="60" t="e">
        <f>SUMPRODUCT((日次管理!#REF!&lt;=$AS$80)*(日次管理!#REF!=$A$84)*(日次管理!#REF!="精査完了")*(日次管理!#REF!="実績")*(日次管理!#REF!=$A$79),日次管理!#REF!)</f>
        <v>#REF!</v>
      </c>
      <c r="AT84" s="95" t="e">
        <f>SUMPRODUCT((日次管理!#REF!&lt;=$AT$80)*(日次管理!#REF!=$A$84)*(日次管理!#REF!="精査完了")*(日次管理!#REF!="予定")*(日次管理!#REF!=$A$79),日次管理!#REF!)</f>
        <v>#REF!</v>
      </c>
      <c r="AU84" s="60" t="e">
        <f>SUMPRODUCT((日次管理!#REF!&lt;=$AU$80)*(日次管理!#REF!=$A$84)*(日次管理!#REF!="精査完了")*(日次管理!#REF!="実績")*(日次管理!#REF!=$A$79),日次管理!#REF!)</f>
        <v>#REF!</v>
      </c>
      <c r="AV84" s="95" t="e">
        <f>SUMPRODUCT((日次管理!#REF!&lt;=$AV$80)*(日次管理!#REF!=$A$84)*(日次管理!#REF!="精査完了")*(日次管理!#REF!="予定")*(日次管理!#REF!=$A$79),日次管理!#REF!)</f>
        <v>#REF!</v>
      </c>
      <c r="AW84" s="60" t="e">
        <f>SUMPRODUCT((日次管理!#REF!&lt;=$AW$80)*(日次管理!#REF!=$A$84)*(日次管理!#REF!="精査完了")*(日次管理!#REF!="実績")*(日次管理!#REF!=$A$79),日次管理!#REF!)</f>
        <v>#REF!</v>
      </c>
      <c r="AX84" s="95" t="e">
        <f>SUMPRODUCT((日次管理!#REF!&lt;=$AX$80)*(日次管理!#REF!=$A$84)*(日次管理!#REF!="精査完了")*(日次管理!#REF!="予定")*(日次管理!#REF!=$A$79),日次管理!#REF!)</f>
        <v>#REF!</v>
      </c>
      <c r="AY84" s="60" t="e">
        <f>SUMPRODUCT((日次管理!#REF!&lt;=$AY$80)*(日次管理!#REF!=$A$84)*(日次管理!#REF!="精査完了")*(日次管理!#REF!="実績")*(日次管理!#REF!=$A$79),日次管理!#REF!)</f>
        <v>#REF!</v>
      </c>
      <c r="AZ84" s="95" t="e">
        <f>SUMPRODUCT((日次管理!#REF!&lt;=$AZ$80)*(日次管理!#REF!=$A$84)*(日次管理!#REF!="精査完了")*(日次管理!#REF!="予定")*(日次管理!#REF!=$A$79),日次管理!#REF!)</f>
        <v>#REF!</v>
      </c>
      <c r="BA84" s="60" t="e">
        <f>SUMPRODUCT((日次管理!#REF!&lt;=$BA$80)*(日次管理!#REF!=$A$84)*(日次管理!#REF!="精査完了")*(日次管理!#REF!="実績")*(日次管理!#REF!=$A$79),日次管理!#REF!)</f>
        <v>#REF!</v>
      </c>
      <c r="BB84" s="95" t="e">
        <f>SUMPRODUCT((日次管理!#REF!&lt;=$BB$80)*(日次管理!#REF!=$A$84)*(日次管理!#REF!="精査完了")*(日次管理!#REF!="予定")*(日次管理!#REF!=$A$79),日次管理!#REF!)</f>
        <v>#REF!</v>
      </c>
      <c r="BC84" s="60" t="e">
        <f>SUMPRODUCT((日次管理!#REF!&lt;=$BC$80)*(日次管理!#REF!=$A$84)*(日次管理!#REF!="精査完了")*(日次管理!#REF!="実績")*(日次管理!#REF!=$A$79),日次管理!#REF!)</f>
        <v>#REF!</v>
      </c>
      <c r="BD84" s="95" t="e">
        <f>SUMPRODUCT((日次管理!#REF!&lt;=$BD$80)*(日次管理!#REF!=$A$84)*(日次管理!#REF!="精査完了")*(日次管理!#REF!="予定")*(日次管理!#REF!=$A$79),日次管理!#REF!)</f>
        <v>#REF!</v>
      </c>
      <c r="BE84" s="60" t="e">
        <f>SUMPRODUCT((日次管理!#REF!&lt;=$BE$80)*(日次管理!#REF!=$A$84)*(日次管理!#REF!="精査完了")*(日次管理!#REF!="実績")*(日次管理!#REF!=$A$79),日次管理!#REF!)</f>
        <v>#REF!</v>
      </c>
      <c r="BF84" s="95" t="e">
        <f>SUMPRODUCT((日次管理!#REF!&lt;=$BF$80)*(日次管理!#REF!=$A$84)*(日次管理!#REF!="精査完了")*(日次管理!#REF!="予定")*(日次管理!#REF!=$A$79),日次管理!#REF!)</f>
        <v>#REF!</v>
      </c>
      <c r="BG84" s="60" t="e">
        <f>SUMPRODUCT((日次管理!#REF!&lt;=$BG$80)*(日次管理!#REF!=$A$84)*(日次管理!#REF!="精査完了")*(日次管理!#REF!="実績")*(日次管理!#REF!=$A$79),日次管理!#REF!)</f>
        <v>#REF!</v>
      </c>
      <c r="BH84" s="95" t="e">
        <f>SUMPRODUCT((日次管理!#REF!&lt;=$BH$80)*(日次管理!#REF!=$A$84)*(日次管理!#REF!="精査完了")*(日次管理!#REF!="予定")*(日次管理!#REF!=$A$79),日次管理!#REF!)</f>
        <v>#REF!</v>
      </c>
      <c r="BI84" s="60" t="e">
        <f>SUMPRODUCT((日次管理!#REF!&lt;=$BI$80)*(日次管理!#REF!=$A$84)*(日次管理!#REF!="精査完了")*(日次管理!#REF!="実績")*(日次管理!#REF!=$A$79),日次管理!#REF!)</f>
        <v>#REF!</v>
      </c>
      <c r="BJ84" s="95" t="e">
        <f>SUMPRODUCT((日次管理!#REF!&lt;=$BJ$80)*(日次管理!#REF!=$A$84)*(日次管理!#REF!="精査完了")*(日次管理!#REF!="予定")*(日次管理!#REF!=$A$79),日次管理!#REF!)</f>
        <v>#REF!</v>
      </c>
      <c r="BK84" s="60" t="e">
        <f>SUMPRODUCT((日次管理!#REF!&lt;=$BK$80)*(日次管理!#REF!=$A$84)*(日次管理!#REF!="精査完了")*(日次管理!#REF!="実績")*(日次管理!#REF!=$A$79),日次管理!#REF!)</f>
        <v>#REF!</v>
      </c>
      <c r="BL84" s="95" t="e">
        <f>SUMPRODUCT((日次管理!#REF!&lt;=$BL$80)*(日次管理!#REF!=$A$84)*(日次管理!#REF!="精査完了")*(日次管理!#REF!="予定")*(日次管理!#REF!=$A$79),日次管理!#REF!)</f>
        <v>#REF!</v>
      </c>
      <c r="BM84" s="60" t="e">
        <f>SUMPRODUCT((日次管理!#REF!&lt;=$BM$80)*(日次管理!#REF!=$A$84)*(日次管理!#REF!="精査完了")*(日次管理!#REF!="実績")*(日次管理!#REF!=$A$79),日次管理!#REF!)</f>
        <v>#REF!</v>
      </c>
      <c r="BN84" s="95" t="e">
        <f>SUMPRODUCT((日次管理!#REF!&lt;=$BN$80)*(日次管理!#REF!=$A$84)*(日次管理!#REF!="精査完了")*(日次管理!#REF!="予定")*(日次管理!#REF!=$A$79),日次管理!#REF!)</f>
        <v>#REF!</v>
      </c>
      <c r="BO84" s="60" t="e">
        <f>SUMPRODUCT((日次管理!#REF!&lt;=$BO$80)*(日次管理!#REF!=$A$84)*(日次管理!#REF!="精査完了")*(日次管理!#REF!="実績")*(日次管理!#REF!=$A$79),日次管理!#REF!)</f>
        <v>#REF!</v>
      </c>
      <c r="BP84" s="95" t="e">
        <f>SUMPRODUCT((日次管理!#REF!&lt;=$BP$80)*(日次管理!#REF!=$A$84)*(日次管理!#REF!="精査完了")*(日次管理!#REF!="予定")*(日次管理!#REF!=$A$79),日次管理!#REF!)</f>
        <v>#REF!</v>
      </c>
      <c r="BQ84" s="60" t="e">
        <f>SUMPRODUCT((日次管理!#REF!&lt;=$BQ$80)*(日次管理!#REF!=$A$84)*(日次管理!#REF!="精査完了")*(日次管理!#REF!="実績")*(日次管理!#REF!=$A$79),日次管理!#REF!)</f>
        <v>#REF!</v>
      </c>
      <c r="BR84" s="95" t="e">
        <f>SUMPRODUCT((日次管理!#REF!&lt;=$BR$80)*(日次管理!#REF!=$A$84)*(日次管理!#REF!="精査完了")*(日次管理!#REF!="予定")*(日次管理!#REF!=$A$79),日次管理!#REF!)</f>
        <v>#REF!</v>
      </c>
      <c r="BS84" s="60" t="e">
        <f>SUMPRODUCT((日次管理!#REF!&lt;=$BS$80)*(日次管理!#REF!=$A$84)*(日次管理!#REF!="精査完了")*(日次管理!#REF!="実績")*(日次管理!#REF!=$A$79),日次管理!#REF!)</f>
        <v>#REF!</v>
      </c>
      <c r="BT84" s="95" t="e">
        <f>SUMPRODUCT((日次管理!#REF!&lt;=$BT$80)*(日次管理!#REF!=$A$84)*(日次管理!#REF!="精査完了")*(日次管理!#REF!="予定")*(日次管理!#REF!=$A$79),日次管理!#REF!)</f>
        <v>#REF!</v>
      </c>
      <c r="BU84" s="60" t="e">
        <f>SUMPRODUCT((日次管理!#REF!&lt;=$BU$80)*(日次管理!#REF!=$A$84)*(日次管理!#REF!="精査完了")*(日次管理!#REF!="実績")*(日次管理!#REF!=$A$79),日次管理!#REF!)</f>
        <v>#REF!</v>
      </c>
      <c r="BV84" s="95" t="e">
        <f>SUMPRODUCT((日次管理!#REF!&lt;=$BV$80)*(日次管理!#REF!=$A$84)*(日次管理!#REF!="精査完了")*(日次管理!#REF!="予定")*(日次管理!#REF!=$A$79),日次管理!#REF!)</f>
        <v>#REF!</v>
      </c>
      <c r="BW84" s="60" t="e">
        <f>SUMPRODUCT((日次管理!#REF!&lt;=$BW$80)*(日次管理!#REF!=$A$84)*(日次管理!#REF!="精査完了")*(日次管理!#REF!="実績")*(日次管理!#REF!=$A$79),日次管理!#REF!)</f>
        <v>#REF!</v>
      </c>
      <c r="BX84" s="95" t="e">
        <f>SUMPRODUCT((日次管理!#REF!&lt;=$BX$80)*(日次管理!#REF!=$A$84)*(日次管理!#REF!="精査完了")*(日次管理!#REF!="予定")*(日次管理!#REF!=$A$79),日次管理!#REF!)</f>
        <v>#REF!</v>
      </c>
      <c r="BY84" s="60" t="e">
        <f>SUMPRODUCT((日次管理!#REF!&lt;=$BY$80)*(日次管理!#REF!=$A$84)*(日次管理!#REF!="精査完了")*(日次管理!#REF!="実績")*(日次管理!#REF!=$A$79),日次管理!#REF!)</f>
        <v>#REF!</v>
      </c>
      <c r="BZ84" s="95" t="e">
        <f>SUMPRODUCT((日次管理!#REF!&lt;=$BZ$80)*(日次管理!#REF!=$A$84)*(日次管理!#REF!="精査完了")*(日次管理!#REF!="予定")*(日次管理!#REF!=$A$79),日次管理!#REF!)</f>
        <v>#REF!</v>
      </c>
      <c r="CA84" s="60" t="e">
        <f>SUMPRODUCT((日次管理!#REF!&lt;=$CA$80)*(日次管理!#REF!=$A$84)*(日次管理!#REF!="精査完了")*(日次管理!#REF!="実績")*(日次管理!#REF!=$A$79),日次管理!#REF!)</f>
        <v>#REF!</v>
      </c>
      <c r="CB84" s="95" t="e">
        <f>SUMPRODUCT((日次管理!#REF!&lt;=$CB$80)*(日次管理!#REF!=$A$84)*(日次管理!#REF!="精査完了")*(日次管理!#REF!="予定")*(日次管理!#REF!=$A$79),日次管理!#REF!)</f>
        <v>#REF!</v>
      </c>
      <c r="CC84" s="60" t="e">
        <f>SUMPRODUCT((日次管理!#REF!&lt;=$CC$80)*(日次管理!#REF!=$A$84)*(日次管理!#REF!="精査完了")*(日次管理!#REF!="実績")*(日次管理!#REF!=$A$79),日次管理!#REF!)</f>
        <v>#REF!</v>
      </c>
      <c r="CD84" s="95" t="e">
        <f>SUMPRODUCT((日次管理!#REF!&lt;=$CD$80)*(日次管理!#REF!=$A$84)*(日次管理!#REF!="精査完了")*(日次管理!#REF!="予定")*(日次管理!#REF!=$A$79),日次管理!#REF!)</f>
        <v>#REF!</v>
      </c>
      <c r="CE84" s="60" t="e">
        <f>SUMPRODUCT((日次管理!#REF!&lt;=$CE$80)*(日次管理!#REF!=$A$84)*(日次管理!#REF!="精査完了")*(日次管理!#REF!="実績")*(日次管理!#REF!=$A$79),日次管理!#REF!)</f>
        <v>#REF!</v>
      </c>
      <c r="CF84" s="95" t="e">
        <f>SUMPRODUCT((日次管理!#REF!&lt;=$CF$80)*(日次管理!#REF!=$A$84)*(日次管理!#REF!="精査完了")*(日次管理!#REF!="予定")*(日次管理!#REF!=$A$79),日次管理!#REF!)</f>
        <v>#REF!</v>
      </c>
      <c r="CG84" s="60" t="e">
        <f>SUMPRODUCT((日次管理!#REF!&lt;=$CG$80)*(日次管理!#REF!=$A$84)*(日次管理!#REF!="精査完了")*(日次管理!#REF!="実績")*(日次管理!#REF!=$A$79),日次管理!#REF!)</f>
        <v>#REF!</v>
      </c>
      <c r="CH84" s="95" t="e">
        <f>SUMPRODUCT((日次管理!#REF!&lt;=$CH$80)*(日次管理!#REF!=$A$84)*(日次管理!#REF!="精査完了")*(日次管理!#REF!="予定")*(日次管理!#REF!=$A$79),日次管理!#REF!)</f>
        <v>#REF!</v>
      </c>
      <c r="CI84" s="60" t="e">
        <f>SUMPRODUCT((日次管理!#REF!&lt;=$CI$80)*(日次管理!#REF!=$A$84)*(日次管理!#REF!="精査完了")*(日次管理!#REF!="実績")*(日次管理!#REF!=$A$79),日次管理!#REF!)</f>
        <v>#REF!</v>
      </c>
      <c r="CJ84" s="95" t="e">
        <f>SUMPRODUCT((日次管理!#REF!&lt;=$CJ$80)*(日次管理!#REF!=$A$84)*(日次管理!#REF!="精査完了")*(日次管理!#REF!="予定")*(日次管理!#REF!=$A$79),日次管理!#REF!)</f>
        <v>#REF!</v>
      </c>
      <c r="CK84" s="60" t="e">
        <f>SUMPRODUCT((日次管理!#REF!&lt;=$CK$80)*(日次管理!#REF!=$A$84)*(日次管理!#REF!="精査完了")*(日次管理!#REF!="実績")*(日次管理!#REF!=$A$79),日次管理!#REF!)</f>
        <v>#REF!</v>
      </c>
      <c r="CL84" s="95" t="e">
        <f>SUMPRODUCT((日次管理!#REF!&lt;=$CL$80)*(日次管理!#REF!=$A$84)*(日次管理!#REF!="精査完了")*(日次管理!#REF!="予定")*(日次管理!#REF!=$A$79),日次管理!#REF!)</f>
        <v>#REF!</v>
      </c>
      <c r="CM84" s="60" t="e">
        <f>SUMPRODUCT((日次管理!#REF!&lt;=$CM$80)*(日次管理!#REF!=$A$84)*(日次管理!#REF!="精査完了")*(日次管理!#REF!="実績")*(日次管理!#REF!=$A$79),日次管理!#REF!)</f>
        <v>#REF!</v>
      </c>
      <c r="CN84" s="95" t="e">
        <f>SUMPRODUCT((日次管理!#REF!&lt;=$CN$80)*(日次管理!#REF!=$A$84)*(日次管理!#REF!="精査完了")*(日次管理!#REF!="予定")*(日次管理!#REF!=$A$79),日次管理!#REF!)</f>
        <v>#REF!</v>
      </c>
      <c r="CO84" s="60" t="e">
        <f>SUMPRODUCT((日次管理!#REF!&lt;=$CO$80)*(日次管理!#REF!=$A$84)*(日次管理!#REF!="精査完了")*(日次管理!#REF!="実績")*(日次管理!#REF!=$A$79),日次管理!#REF!)</f>
        <v>#REF!</v>
      </c>
      <c r="CP84" s="95" t="e">
        <f>SUMPRODUCT((日次管理!#REF!&lt;=$CP$80)*(日次管理!#REF!=$A$84)*(日次管理!#REF!="精査完了")*(日次管理!#REF!="予定")*(日次管理!#REF!=$A$79),日次管理!#REF!)</f>
        <v>#REF!</v>
      </c>
      <c r="CQ84" s="60" t="e">
        <f>SUMPRODUCT((日次管理!#REF!&lt;=$CQ$80)*(日次管理!#REF!=$A$84)*(日次管理!#REF!="精査完了")*(日次管理!#REF!="実績")*(日次管理!#REF!=$A$79),日次管理!#REF!)</f>
        <v>#REF!</v>
      </c>
      <c r="CR84" s="95" t="e">
        <f>SUMPRODUCT((日次管理!#REF!&lt;=$CR$80)*(日次管理!#REF!=$A$84)*(日次管理!#REF!="精査完了")*(日次管理!#REF!="予定")*(日次管理!#REF!=$A$79),日次管理!#REF!)</f>
        <v>#REF!</v>
      </c>
      <c r="CS84" s="60" t="e">
        <f>SUMPRODUCT((日次管理!#REF!&lt;=$CS$80)*(日次管理!#REF!=$A$84)*(日次管理!#REF!="精査完了")*(日次管理!#REF!="実績")*(日次管理!#REF!=$A$79),日次管理!#REF!)</f>
        <v>#REF!</v>
      </c>
      <c r="CT84" s="95" t="e">
        <f>SUMPRODUCT((日次管理!#REF!&lt;=$CT$80)*(日次管理!#REF!=$A$84)*(日次管理!#REF!="精査完了")*(日次管理!#REF!="予定")*(日次管理!#REF!=$A$79),日次管理!#REF!)</f>
        <v>#REF!</v>
      </c>
      <c r="CU84" s="60" t="e">
        <f>SUMPRODUCT((日次管理!#REF!&lt;=$CU$80)*(日次管理!#REF!=$A$84)*(日次管理!#REF!="精査完了")*(日次管理!#REF!="実績")*(日次管理!#REF!=$A$79),日次管理!#REF!)</f>
        <v>#REF!</v>
      </c>
      <c r="CV84" s="96" t="e">
        <f ca="1">SUMPRODUCT(($A$80- WEEKDAY($A$80) + 6 =$B$80:$CU$80)*("実績"=$B$81:$CU$81),$B$84:$CU$84)/SUMPRODUCT(($A$80- WEEKDAY($A$80) + 6 =$B$80:$CU$80)*("予定"=$B$81:$CU$81),$B$84:$CU$84)</f>
        <v>#REF!</v>
      </c>
      <c r="CW84" s="97" t="e">
        <f>$CU$84/$CT$84</f>
        <v>#REF!</v>
      </c>
    </row>
    <row r="85" spans="1:101" ht="20.149999999999999" customHeight="1" thickBot="1">
      <c r="A85" s="111" t="s">
        <v>65</v>
      </c>
      <c r="B85" s="99" t="e">
        <f>SUM($B$82:$B$84)</f>
        <v>#REF!</v>
      </c>
      <c r="C85" s="100" t="e">
        <f>SUM($C$82:$C$84)</f>
        <v>#REF!</v>
      </c>
      <c r="D85" s="99" t="e">
        <f>SUM($D$82:$D$84)</f>
        <v>#REF!</v>
      </c>
      <c r="E85" s="100" t="e">
        <f>SUM($E$82:$E$84)</f>
        <v>#REF!</v>
      </c>
      <c r="F85" s="99" t="e">
        <f>SUM($F$82:$F$84)</f>
        <v>#REF!</v>
      </c>
      <c r="G85" s="100" t="e">
        <f>SUM($G$82:$G$84)</f>
        <v>#REF!</v>
      </c>
      <c r="H85" s="99" t="e">
        <f>SUM($H$82:$H$84)</f>
        <v>#REF!</v>
      </c>
      <c r="I85" s="100" t="e">
        <f>SUM($I$82:$I$84)</f>
        <v>#REF!</v>
      </c>
      <c r="J85" s="99" t="e">
        <f>SUM($J$82:$J$84)</f>
        <v>#REF!</v>
      </c>
      <c r="K85" s="100" t="e">
        <f>SUM($K$82:$K$84)</f>
        <v>#REF!</v>
      </c>
      <c r="L85" s="99" t="e">
        <f>SUM($L$82:$L$84)</f>
        <v>#REF!</v>
      </c>
      <c r="M85" s="100" t="e">
        <f>SUM($M$82:$M$84)</f>
        <v>#REF!</v>
      </c>
      <c r="N85" s="99" t="e">
        <f>SUM($N$82:$N$84)</f>
        <v>#REF!</v>
      </c>
      <c r="O85" s="100" t="e">
        <f>SUM($O$82:$O$84)</f>
        <v>#REF!</v>
      </c>
      <c r="P85" s="99" t="e">
        <f>SUM($P$82:$P$84)</f>
        <v>#REF!</v>
      </c>
      <c r="Q85" s="100" t="e">
        <f>SUM($Q$82:$Q$84)</f>
        <v>#REF!</v>
      </c>
      <c r="R85" s="99" t="e">
        <f>SUM($R$82:$R$84)</f>
        <v>#REF!</v>
      </c>
      <c r="S85" s="100" t="e">
        <f>SUM($S$82:$S$84)</f>
        <v>#REF!</v>
      </c>
      <c r="T85" s="99" t="e">
        <f>SUM($T$82:$T$84)</f>
        <v>#REF!</v>
      </c>
      <c r="U85" s="100" t="e">
        <f>SUM($U$82:$U$84)</f>
        <v>#REF!</v>
      </c>
      <c r="V85" s="99" t="e">
        <f>SUM($V$82:$V$84)</f>
        <v>#REF!</v>
      </c>
      <c r="W85" s="100" t="e">
        <f>SUM($W$82:$W$84)</f>
        <v>#REF!</v>
      </c>
      <c r="X85" s="99" t="e">
        <f>SUM($X$82:$X$84)</f>
        <v>#REF!</v>
      </c>
      <c r="Y85" s="100" t="e">
        <f>SUM($Y$82:$Y$84)</f>
        <v>#REF!</v>
      </c>
      <c r="Z85" s="99" t="e">
        <f>SUM($Z$82:$Z$84)</f>
        <v>#REF!</v>
      </c>
      <c r="AA85" s="100" t="e">
        <f>SUM($AA$82:$AA$84)</f>
        <v>#REF!</v>
      </c>
      <c r="AB85" s="99" t="e">
        <f>SUM($AB$82:$AB$84)</f>
        <v>#REF!</v>
      </c>
      <c r="AC85" s="100" t="e">
        <f>SUM($AC$82:$AC$84)</f>
        <v>#REF!</v>
      </c>
      <c r="AD85" s="99" t="e">
        <f>SUM($AD$82:$AD$84)</f>
        <v>#REF!</v>
      </c>
      <c r="AE85" s="100" t="e">
        <f>SUM($AE$82:$AE$84)</f>
        <v>#REF!</v>
      </c>
      <c r="AF85" s="99" t="e">
        <f>SUM($AF$82:$AF$84)</f>
        <v>#REF!</v>
      </c>
      <c r="AG85" s="100" t="e">
        <f>SUM($AG$82:$AG$84)</f>
        <v>#REF!</v>
      </c>
      <c r="AH85" s="99" t="e">
        <f>SUM($AH$82:$AH$84)</f>
        <v>#REF!</v>
      </c>
      <c r="AI85" s="100" t="e">
        <f>SUM($AI$82:$AI$84)</f>
        <v>#REF!</v>
      </c>
      <c r="AJ85" s="99" t="e">
        <f>SUM($AJ$82:$AJ$84)</f>
        <v>#REF!</v>
      </c>
      <c r="AK85" s="100" t="e">
        <f>SUM($AK$82:$AK$84)</f>
        <v>#REF!</v>
      </c>
      <c r="AL85" s="99" t="e">
        <f>SUM($AL$82:$AL$84)</f>
        <v>#REF!</v>
      </c>
      <c r="AM85" s="100" t="e">
        <f>SUM($AM$82:$AM$84)</f>
        <v>#REF!</v>
      </c>
      <c r="AN85" s="99" t="e">
        <f>SUM($AN$82:$AN$84)</f>
        <v>#REF!</v>
      </c>
      <c r="AO85" s="100" t="e">
        <f>SUM($AO$82:$AO$84)</f>
        <v>#REF!</v>
      </c>
      <c r="AP85" s="99" t="e">
        <f>SUM($AP$82:$AP$84)</f>
        <v>#REF!</v>
      </c>
      <c r="AQ85" s="100" t="e">
        <f>SUM($AQ$82:$AQ$84)</f>
        <v>#REF!</v>
      </c>
      <c r="AR85" s="99" t="e">
        <f>SUM($AR$82:$AR$84)</f>
        <v>#REF!</v>
      </c>
      <c r="AS85" s="100" t="e">
        <f>SUM($AS$82:$AS$84)</f>
        <v>#REF!</v>
      </c>
      <c r="AT85" s="99" t="e">
        <f>SUM($AT$82:$AT$84)</f>
        <v>#REF!</v>
      </c>
      <c r="AU85" s="100" t="e">
        <f>SUM($AU$82:$AU$84)</f>
        <v>#REF!</v>
      </c>
      <c r="AV85" s="99" t="e">
        <f>SUM($AV$82:$AV$84)</f>
        <v>#REF!</v>
      </c>
      <c r="AW85" s="100" t="e">
        <f>SUM($AW$82:$AW$84)</f>
        <v>#REF!</v>
      </c>
      <c r="AX85" s="99" t="e">
        <f>SUM($AX$82:$AX$84)</f>
        <v>#REF!</v>
      </c>
      <c r="AY85" s="100" t="e">
        <f>SUM($AY$82:$AY$84)</f>
        <v>#REF!</v>
      </c>
      <c r="AZ85" s="99" t="e">
        <f>SUM($AZ$82:$AZ$84)</f>
        <v>#REF!</v>
      </c>
      <c r="BA85" s="100" t="e">
        <f>SUM($BA$82:$BA$84)</f>
        <v>#REF!</v>
      </c>
      <c r="BB85" s="99" t="e">
        <f>SUM($BB$82:$BB$84)</f>
        <v>#REF!</v>
      </c>
      <c r="BC85" s="100" t="e">
        <f>SUM($BC$82:$BC$84)</f>
        <v>#REF!</v>
      </c>
      <c r="BD85" s="99" t="e">
        <f>SUM($BD$82:$BD$84)</f>
        <v>#REF!</v>
      </c>
      <c r="BE85" s="100" t="e">
        <f>SUM($BE$82:$BE$84)</f>
        <v>#REF!</v>
      </c>
      <c r="BF85" s="99" t="e">
        <f>SUM($BF$82:$BF$84)</f>
        <v>#REF!</v>
      </c>
      <c r="BG85" s="100" t="e">
        <f>SUM($BG$82:$BG$84)</f>
        <v>#REF!</v>
      </c>
      <c r="BH85" s="99" t="e">
        <f>SUM($BH$82:$BH$84)</f>
        <v>#REF!</v>
      </c>
      <c r="BI85" s="100" t="e">
        <f>SUM($BI$82:$BI$84)</f>
        <v>#REF!</v>
      </c>
      <c r="BJ85" s="99" t="e">
        <f>SUM($BJ$82:$BJ$84)</f>
        <v>#REF!</v>
      </c>
      <c r="BK85" s="100" t="e">
        <f>SUM($BK$82:$BK$84)</f>
        <v>#REF!</v>
      </c>
      <c r="BL85" s="99" t="e">
        <f>SUM($BL$82:$BL$84)</f>
        <v>#REF!</v>
      </c>
      <c r="BM85" s="100" t="e">
        <f>SUM($BM$82:$BM$84)</f>
        <v>#REF!</v>
      </c>
      <c r="BN85" s="99" t="e">
        <f>SUM($BN$82:$BN$84)</f>
        <v>#REF!</v>
      </c>
      <c r="BO85" s="100" t="e">
        <f>SUM($BO$82:$BO$84)</f>
        <v>#REF!</v>
      </c>
      <c r="BP85" s="99" t="e">
        <f>SUM($BP$82:$BP$84)</f>
        <v>#REF!</v>
      </c>
      <c r="BQ85" s="100" t="e">
        <f>SUM($BQ$82:$BQ$84)</f>
        <v>#REF!</v>
      </c>
      <c r="BR85" s="99" t="e">
        <f>SUM($BR$82:$BR$84)</f>
        <v>#REF!</v>
      </c>
      <c r="BS85" s="100" t="e">
        <f>SUM($BS$82:$BS$84)</f>
        <v>#REF!</v>
      </c>
      <c r="BT85" s="99" t="e">
        <f>SUM($BT$82:$BT$84)</f>
        <v>#REF!</v>
      </c>
      <c r="BU85" s="100" t="e">
        <f>SUM($BU$82:$BU$84)</f>
        <v>#REF!</v>
      </c>
      <c r="BV85" s="99" t="e">
        <f>SUM($BV$82:$BV$84)</f>
        <v>#REF!</v>
      </c>
      <c r="BW85" s="100" t="e">
        <f>SUM($BW$82:$BW$84)</f>
        <v>#REF!</v>
      </c>
      <c r="BX85" s="99" t="e">
        <f>SUM($BX$82:$BX$84)</f>
        <v>#REF!</v>
      </c>
      <c r="BY85" s="100" t="e">
        <f>SUM($BY$82:$BY$84)</f>
        <v>#REF!</v>
      </c>
      <c r="BZ85" s="99" t="e">
        <f>SUM($BZ$82:$BZ$84)</f>
        <v>#REF!</v>
      </c>
      <c r="CA85" s="100" t="e">
        <f>SUM($CA$82:$CA$84)</f>
        <v>#REF!</v>
      </c>
      <c r="CB85" s="99" t="e">
        <f>SUM($CB$82:$CB$84)</f>
        <v>#REF!</v>
      </c>
      <c r="CC85" s="100" t="e">
        <f>SUM($CC$82:$CC$84)</f>
        <v>#REF!</v>
      </c>
      <c r="CD85" s="99" t="e">
        <f>SUM($CD$82:$CD$84)</f>
        <v>#REF!</v>
      </c>
      <c r="CE85" s="100" t="e">
        <f>SUM($CE$82:$CE$84)</f>
        <v>#REF!</v>
      </c>
      <c r="CF85" s="99" t="e">
        <f>SUM($CF$82:$CF$84)</f>
        <v>#REF!</v>
      </c>
      <c r="CG85" s="100" t="e">
        <f>SUM($CG$82:$CG$84)</f>
        <v>#REF!</v>
      </c>
      <c r="CH85" s="99" t="e">
        <f>SUM($CH$82:$CH$84)</f>
        <v>#REF!</v>
      </c>
      <c r="CI85" s="100" t="e">
        <f>SUM($CI$82:$CI$84)</f>
        <v>#REF!</v>
      </c>
      <c r="CJ85" s="99" t="e">
        <f>SUM($CJ$82:$CJ$84)</f>
        <v>#REF!</v>
      </c>
      <c r="CK85" s="100" t="e">
        <f>SUM($CK$82:$CK$84)</f>
        <v>#REF!</v>
      </c>
      <c r="CL85" s="99" t="e">
        <f>SUM($CL$82:$CL$84)</f>
        <v>#REF!</v>
      </c>
      <c r="CM85" s="100" t="e">
        <f>SUM($CM$82:$CM$84)</f>
        <v>#REF!</v>
      </c>
      <c r="CN85" s="99" t="e">
        <f>SUM($CN$82:$CN$84)</f>
        <v>#REF!</v>
      </c>
      <c r="CO85" s="100" t="e">
        <f>SUM($CO$82:$CO$84)</f>
        <v>#REF!</v>
      </c>
      <c r="CP85" s="99" t="e">
        <f>SUM($CP$82:$CP$84)</f>
        <v>#REF!</v>
      </c>
      <c r="CQ85" s="100" t="e">
        <f>SUM($CQ$82:$CQ$84)</f>
        <v>#REF!</v>
      </c>
      <c r="CR85" s="99" t="e">
        <f>SUM($CR$82:$CR$84)</f>
        <v>#REF!</v>
      </c>
      <c r="CS85" s="100" t="e">
        <f>SUM($CS$82:$CS$84)</f>
        <v>#REF!</v>
      </c>
      <c r="CT85" s="99" t="e">
        <f>SUM($CT$82:$CT$84)</f>
        <v>#REF!</v>
      </c>
      <c r="CU85" s="100" t="e">
        <f>SUM($CU$82:$CU$84)</f>
        <v>#REF!</v>
      </c>
      <c r="CV85" s="101" t="e">
        <f ca="1">SUMPRODUCT(($A$80- WEEKDAY($A$80) + 6 =$B$80:$CU$80)*("実績"=$B$81:$CU$81),$B$85:$CU$85)/SUMPRODUCT(($A$80- WEEKDAY($A$80) + 6 =$B$80:$CU$80)*("予定"=$B$81:$CU$81),$B$85:$CU$85)</f>
        <v>#REF!</v>
      </c>
      <c r="CW85" s="102" t="e">
        <f>$CU$85/$CT$85</f>
        <v>#REF!</v>
      </c>
    </row>
  </sheetData>
  <mergeCells count="10">
    <mergeCell ref="CV80:CW80"/>
    <mergeCell ref="CV3:CW3"/>
    <mergeCell ref="CV12:CW12"/>
    <mergeCell ref="CV22:CW22"/>
    <mergeCell ref="CV28:CW28"/>
    <mergeCell ref="CV37:CW37"/>
    <mergeCell ref="CV46:CW46"/>
    <mergeCell ref="CV58:CW58"/>
    <mergeCell ref="CV64:CW64"/>
    <mergeCell ref="CV72:CW72"/>
  </mergeCells>
  <phoneticPr fontId="2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ガイド</vt:lpstr>
      <vt:lpstr>日次管理</vt:lpstr>
      <vt:lpstr>予実管理</vt:lpstr>
      <vt:lpstr>予実管理_機能単位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森山 展成</dc:creator>
  <cp:lastModifiedBy>森山展成</cp:lastModifiedBy>
  <cp:lastPrinted>2019-03-22T02:51:58Z</cp:lastPrinted>
  <dcterms:created xsi:type="dcterms:W3CDTF">1997-01-08T22:48:59Z</dcterms:created>
  <dcterms:modified xsi:type="dcterms:W3CDTF">2019-04-11T11:20:01Z</dcterms:modified>
</cp:coreProperties>
</file>