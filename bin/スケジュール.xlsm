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C:\work\"/>
    </mc:Choice>
  </mc:AlternateContent>
  <xr:revisionPtr revIDLastSave="0" documentId="13_ncr:1_{41152AE4-092D-4BA4-957C-944190CF96F8}" xr6:coauthVersionLast="43" xr6:coauthVersionMax="43" xr10:uidLastSave="{00000000-0000-0000-0000-000000000000}"/>
  <bookViews>
    <workbookView xWindow="-110" yWindow="-110" windowWidth="19420" windowHeight="12420" xr2:uid="{00000000-000D-0000-FFFF-FFFF00000000}"/>
  </bookViews>
  <sheets>
    <sheet name="改善点" sheetId="15" r:id="rId1"/>
    <sheet name="ToDoタスク" sheetId="12" r:id="rId2"/>
    <sheet name="Sheet3" sheetId="9" state="hidden" r:id="rId3"/>
    <sheet name="案件フォルダへのリンク" sheetId="13" r:id="rId4"/>
    <sheet name="ToDoタスク (bk)" sheetId="14" r:id="rId5"/>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723" i="12" l="1"/>
  <c r="I722" i="12"/>
  <c r="I721" i="12"/>
  <c r="I720" i="12"/>
  <c r="I719" i="12"/>
  <c r="I718" i="12"/>
  <c r="I717" i="12"/>
  <c r="I716" i="12"/>
  <c r="I715" i="12"/>
  <c r="I714" i="12"/>
  <c r="I713" i="12"/>
  <c r="I712" i="12"/>
  <c r="I711" i="12"/>
  <c r="I710" i="12"/>
  <c r="I709" i="12"/>
  <c r="I708" i="12"/>
  <c r="I707" i="12"/>
  <c r="I706" i="12"/>
  <c r="I705" i="12"/>
  <c r="I704" i="12"/>
  <c r="I703" i="12"/>
  <c r="I702" i="12"/>
  <c r="B702" i="12"/>
  <c r="B703" i="12" s="1"/>
  <c r="B704" i="12" s="1"/>
  <c r="B705" i="12" s="1"/>
  <c r="B706" i="12" s="1"/>
  <c r="B707" i="12" s="1"/>
  <c r="B708" i="12" s="1"/>
  <c r="B709" i="12" s="1"/>
  <c r="B710" i="12" s="1"/>
  <c r="B711" i="12" s="1"/>
  <c r="B712" i="12" s="1"/>
  <c r="B713" i="12" s="1"/>
  <c r="B714" i="12" s="1"/>
  <c r="B715" i="12" s="1"/>
  <c r="B716" i="12" s="1"/>
  <c r="B717" i="12" s="1"/>
  <c r="B718" i="12" s="1"/>
  <c r="B719" i="12" s="1"/>
  <c r="B720" i="12" s="1"/>
  <c r="B721" i="12" s="1"/>
  <c r="B722" i="12" s="1"/>
  <c r="B723" i="12" s="1"/>
  <c r="I701" i="12"/>
  <c r="B701" i="12"/>
  <c r="I700" i="12"/>
  <c r="I694" i="12"/>
  <c r="I693" i="12"/>
  <c r="I692" i="12"/>
  <c r="I691" i="12"/>
  <c r="I690" i="12"/>
  <c r="I689" i="12"/>
  <c r="I688" i="12"/>
  <c r="I687" i="12"/>
  <c r="I686" i="12"/>
  <c r="I685" i="12"/>
  <c r="I684" i="12"/>
  <c r="I683" i="12"/>
  <c r="I682" i="12"/>
  <c r="I681" i="12"/>
  <c r="I680" i="12"/>
  <c r="I679" i="12"/>
  <c r="I678" i="12"/>
  <c r="I677" i="12"/>
  <c r="I676" i="12"/>
  <c r="I675" i="12"/>
  <c r="I674" i="12"/>
  <c r="I673" i="12"/>
  <c r="B673" i="12"/>
  <c r="B674" i="12" s="1"/>
  <c r="B675" i="12" s="1"/>
  <c r="B676" i="12" s="1"/>
  <c r="B677" i="12" s="1"/>
  <c r="B678" i="12" s="1"/>
  <c r="B679" i="12" s="1"/>
  <c r="B680" i="12" s="1"/>
  <c r="B681" i="12" s="1"/>
  <c r="B682" i="12" s="1"/>
  <c r="B683" i="12" s="1"/>
  <c r="B684" i="12" s="1"/>
  <c r="B685" i="12" s="1"/>
  <c r="B686" i="12" s="1"/>
  <c r="B687" i="12" s="1"/>
  <c r="B688" i="12" s="1"/>
  <c r="B689" i="12" s="1"/>
  <c r="B690" i="12" s="1"/>
  <c r="B691" i="12" s="1"/>
  <c r="B692" i="12" s="1"/>
  <c r="B693" i="12" s="1"/>
  <c r="B694" i="12" s="1"/>
  <c r="I672" i="12"/>
  <c r="B672" i="12"/>
  <c r="I671" i="12"/>
  <c r="I667" i="12"/>
  <c r="I666" i="12"/>
  <c r="I665" i="12"/>
  <c r="I664" i="12"/>
  <c r="I663" i="12"/>
  <c r="I662" i="12"/>
  <c r="I661" i="12"/>
  <c r="I660" i="12"/>
  <c r="I659" i="12"/>
  <c r="I658" i="12"/>
  <c r="I657" i="12"/>
  <c r="I656" i="12"/>
  <c r="I655" i="12"/>
  <c r="I654" i="12"/>
  <c r="I653" i="12"/>
  <c r="I652" i="12"/>
  <c r="I651" i="12"/>
  <c r="I650" i="12"/>
  <c r="I649" i="12"/>
  <c r="I648" i="12"/>
  <c r="I647" i="12"/>
  <c r="I646" i="12"/>
  <c r="I645" i="12"/>
  <c r="B645" i="12"/>
  <c r="B646" i="12" s="1"/>
  <c r="B647" i="12" s="1"/>
  <c r="B648" i="12" s="1"/>
  <c r="B649" i="12" s="1"/>
  <c r="B650" i="12" s="1"/>
  <c r="B651" i="12" s="1"/>
  <c r="B652" i="12" s="1"/>
  <c r="B653" i="12" s="1"/>
  <c r="B654" i="12" s="1"/>
  <c r="B655" i="12" s="1"/>
  <c r="B656" i="12" s="1"/>
  <c r="B657" i="12" s="1"/>
  <c r="B658" i="12" s="1"/>
  <c r="B659" i="12" s="1"/>
  <c r="B660" i="12" s="1"/>
  <c r="B661" i="12" s="1"/>
  <c r="B662" i="12" s="1"/>
  <c r="B663" i="12" s="1"/>
  <c r="B664" i="12" s="1"/>
  <c r="B665" i="12" s="1"/>
  <c r="B666" i="12" s="1"/>
  <c r="B667" i="12" s="1"/>
  <c r="I644" i="12"/>
  <c r="I617" i="12"/>
  <c r="B618" i="12"/>
  <c r="I618" i="12"/>
  <c r="B619" i="12"/>
  <c r="B620" i="12" s="1"/>
  <c r="B621" i="12" s="1"/>
  <c r="B622" i="12" s="1"/>
  <c r="B623" i="12" s="1"/>
  <c r="B624" i="12" s="1"/>
  <c r="B625" i="12" s="1"/>
  <c r="B626" i="12" s="1"/>
  <c r="B627" i="12" s="1"/>
  <c r="B628" i="12" s="1"/>
  <c r="B629" i="12" s="1"/>
  <c r="B630" i="12" s="1"/>
  <c r="B631" i="12" s="1"/>
  <c r="B632" i="12" s="1"/>
  <c r="B633" i="12" s="1"/>
  <c r="B634" i="12" s="1"/>
  <c r="B635" i="12" s="1"/>
  <c r="B636" i="12" s="1"/>
  <c r="B637" i="12" s="1"/>
  <c r="B638" i="12" s="1"/>
  <c r="B639" i="12" s="1"/>
  <c r="B640" i="12" s="1"/>
  <c r="I619" i="12"/>
  <c r="I620" i="12"/>
  <c r="I621" i="12"/>
  <c r="I622" i="12"/>
  <c r="I623" i="12"/>
  <c r="I624" i="12"/>
  <c r="I625" i="12"/>
  <c r="I626" i="12"/>
  <c r="I627" i="12"/>
  <c r="I628" i="12"/>
  <c r="I629" i="12"/>
  <c r="I630" i="12"/>
  <c r="I631" i="12"/>
  <c r="I632" i="12"/>
  <c r="I633" i="12"/>
  <c r="I634" i="12"/>
  <c r="I635" i="12"/>
  <c r="I636" i="12"/>
  <c r="I637" i="12"/>
  <c r="I638" i="12"/>
  <c r="I639" i="12"/>
  <c r="I640" i="12"/>
  <c r="I591" i="12"/>
  <c r="B592" i="12"/>
  <c r="B593" i="12" s="1"/>
  <c r="B594" i="12" s="1"/>
  <c r="B595" i="12" s="1"/>
  <c r="B596" i="12" s="1"/>
  <c r="B597" i="12" s="1"/>
  <c r="B598" i="12" s="1"/>
  <c r="B599" i="12" s="1"/>
  <c r="B600" i="12" s="1"/>
  <c r="B601" i="12" s="1"/>
  <c r="B602" i="12" s="1"/>
  <c r="B603" i="12" s="1"/>
  <c r="B604" i="12" s="1"/>
  <c r="B605" i="12" s="1"/>
  <c r="B606" i="12" s="1"/>
  <c r="B607" i="12" s="1"/>
  <c r="B608" i="12" s="1"/>
  <c r="B609" i="12" s="1"/>
  <c r="B610" i="12" s="1"/>
  <c r="B611" i="12" s="1"/>
  <c r="B612" i="12" s="1"/>
  <c r="B613" i="12" s="1"/>
  <c r="B614" i="12" s="1"/>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538" i="12"/>
  <c r="B539" i="12"/>
  <c r="I539" i="12"/>
  <c r="B540" i="12"/>
  <c r="B541" i="12" s="1"/>
  <c r="B542" i="12" s="1"/>
  <c r="B543" i="12" s="1"/>
  <c r="B544" i="12" s="1"/>
  <c r="B545" i="12" s="1"/>
  <c r="B546" i="12" s="1"/>
  <c r="B547" i="12" s="1"/>
  <c r="B548" i="12" s="1"/>
  <c r="B549" i="12" s="1"/>
  <c r="B550" i="12" s="1"/>
  <c r="B551" i="12" s="1"/>
  <c r="B552" i="12" s="1"/>
  <c r="B553" i="12" s="1"/>
  <c r="B554" i="12" s="1"/>
  <c r="B555" i="12" s="1"/>
  <c r="B556" i="12" s="1"/>
  <c r="B557" i="12" s="1"/>
  <c r="B558" i="12" s="1"/>
  <c r="B559" i="12" s="1"/>
  <c r="B560" i="12" s="1"/>
  <c r="B561" i="12" s="1"/>
  <c r="I540" i="12"/>
  <c r="I541" i="12"/>
  <c r="I542" i="12"/>
  <c r="I543" i="12"/>
  <c r="I544" i="12"/>
  <c r="I545" i="12"/>
  <c r="I546" i="12"/>
  <c r="I547" i="12"/>
  <c r="I548" i="12"/>
  <c r="I549" i="12"/>
  <c r="I550" i="12"/>
  <c r="I551" i="12"/>
  <c r="I552" i="12"/>
  <c r="I553" i="12"/>
  <c r="I554" i="12"/>
  <c r="I555" i="12"/>
  <c r="I556" i="12"/>
  <c r="I557" i="12"/>
  <c r="I558" i="12"/>
  <c r="I559" i="12"/>
  <c r="I560" i="12"/>
  <c r="I561" i="12"/>
  <c r="I565" i="12"/>
  <c r="B566" i="12"/>
  <c r="B567" i="12" s="1"/>
  <c r="B568" i="12" s="1"/>
  <c r="B569" i="12" s="1"/>
  <c r="B570" i="12" s="1"/>
  <c r="B571" i="12" s="1"/>
  <c r="B572" i="12" s="1"/>
  <c r="B573" i="12" s="1"/>
  <c r="B574" i="12" s="1"/>
  <c r="B575" i="12" s="1"/>
  <c r="B576" i="12" s="1"/>
  <c r="B577" i="12" s="1"/>
  <c r="B578" i="12" s="1"/>
  <c r="B579" i="12" s="1"/>
  <c r="B580" i="12" s="1"/>
  <c r="B581" i="12" s="1"/>
  <c r="B582" i="12" s="1"/>
  <c r="B583" i="12" s="1"/>
  <c r="B584" i="12" s="1"/>
  <c r="B585" i="12" s="1"/>
  <c r="B586" i="12" s="1"/>
  <c r="B587" i="12" s="1"/>
  <c r="B588" i="12" s="1"/>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34" i="12" l="1"/>
  <c r="I533" i="12"/>
  <c r="I532" i="12"/>
  <c r="I531" i="12"/>
  <c r="I530" i="12"/>
  <c r="I529" i="12"/>
  <c r="I528" i="12"/>
  <c r="I527" i="12"/>
  <c r="I526" i="12"/>
  <c r="I525" i="12"/>
  <c r="I524" i="12"/>
  <c r="I523" i="12"/>
  <c r="I522" i="12"/>
  <c r="I521" i="12"/>
  <c r="I520" i="12"/>
  <c r="I519" i="12"/>
  <c r="I518" i="12"/>
  <c r="I517" i="12"/>
  <c r="I516" i="12"/>
  <c r="I515" i="12"/>
  <c r="I514" i="12"/>
  <c r="I513" i="12"/>
  <c r="I512" i="12"/>
  <c r="B512" i="12"/>
  <c r="B513" i="12" s="1"/>
  <c r="B514" i="12" s="1"/>
  <c r="B515" i="12" s="1"/>
  <c r="B516" i="12" s="1"/>
  <c r="B517" i="12" s="1"/>
  <c r="B518" i="12" s="1"/>
  <c r="B519" i="12" s="1"/>
  <c r="B520" i="12" s="1"/>
  <c r="B521" i="12" s="1"/>
  <c r="B522" i="12" s="1"/>
  <c r="B523" i="12" s="1"/>
  <c r="B524" i="12" s="1"/>
  <c r="B525" i="12" s="1"/>
  <c r="B526" i="12" s="1"/>
  <c r="B527" i="12" s="1"/>
  <c r="B528" i="12" s="1"/>
  <c r="B529" i="12" s="1"/>
  <c r="B530" i="12" s="1"/>
  <c r="B531" i="12" s="1"/>
  <c r="B532" i="12" s="1"/>
  <c r="B533" i="12" s="1"/>
  <c r="B534" i="12" s="1"/>
  <c r="I511" i="12"/>
  <c r="I507" i="12"/>
  <c r="I506" i="12"/>
  <c r="I505" i="12"/>
  <c r="I504" i="12"/>
  <c r="I503" i="12"/>
  <c r="I502" i="12"/>
  <c r="I501" i="12"/>
  <c r="I500" i="12"/>
  <c r="I499" i="12"/>
  <c r="I498" i="12"/>
  <c r="I497" i="12"/>
  <c r="I496" i="12"/>
  <c r="I495" i="12"/>
  <c r="I494" i="12"/>
  <c r="I493" i="12"/>
  <c r="I492" i="12"/>
  <c r="I491" i="12"/>
  <c r="I490" i="12"/>
  <c r="I489" i="12"/>
  <c r="I488" i="12"/>
  <c r="I487" i="12"/>
  <c r="I486" i="12"/>
  <c r="I485" i="12"/>
  <c r="B485" i="12"/>
  <c r="B486" i="12" s="1"/>
  <c r="B487" i="12" s="1"/>
  <c r="B488" i="12" s="1"/>
  <c r="B489" i="12" s="1"/>
  <c r="B490" i="12" s="1"/>
  <c r="B491" i="12" s="1"/>
  <c r="B492" i="12" s="1"/>
  <c r="B493" i="12" s="1"/>
  <c r="B494" i="12" s="1"/>
  <c r="B495" i="12" s="1"/>
  <c r="B496" i="12" s="1"/>
  <c r="B497" i="12" s="1"/>
  <c r="B498" i="12" s="1"/>
  <c r="B499" i="12" s="1"/>
  <c r="B500" i="12" s="1"/>
  <c r="B501" i="12" s="1"/>
  <c r="B502" i="12" s="1"/>
  <c r="B503" i="12" s="1"/>
  <c r="B504" i="12" s="1"/>
  <c r="B505" i="12" s="1"/>
  <c r="B506" i="12" s="1"/>
  <c r="B507" i="12" s="1"/>
  <c r="I484" i="12"/>
  <c r="I455" i="12"/>
  <c r="B456" i="12"/>
  <c r="B457" i="12" s="1"/>
  <c r="B458" i="12" s="1"/>
  <c r="B459" i="12" s="1"/>
  <c r="B460" i="12" s="1"/>
  <c r="B461" i="12" s="1"/>
  <c r="B462" i="12" s="1"/>
  <c r="B463" i="12" s="1"/>
  <c r="B464" i="12" s="1"/>
  <c r="B465" i="12" s="1"/>
  <c r="B466" i="12" s="1"/>
  <c r="B467" i="12" s="1"/>
  <c r="B468" i="12" s="1"/>
  <c r="B469" i="12" s="1"/>
  <c r="B470" i="12" s="1"/>
  <c r="B471" i="12" s="1"/>
  <c r="B472" i="12" s="1"/>
  <c r="B473" i="12" s="1"/>
  <c r="B474" i="12" s="1"/>
  <c r="B475" i="12" s="1"/>
  <c r="B476" i="12" s="1"/>
  <c r="B477" i="12" s="1"/>
  <c r="B478" i="12" s="1"/>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26" i="12"/>
  <c r="B427" i="12"/>
  <c r="B428" i="12" s="1"/>
  <c r="B429" i="12" s="1"/>
  <c r="B430" i="12" s="1"/>
  <c r="B431" i="12" s="1"/>
  <c r="B432" i="12" s="1"/>
  <c r="B433" i="12" s="1"/>
  <c r="B434" i="12" s="1"/>
  <c r="B435" i="12" s="1"/>
  <c r="B436" i="12" s="1"/>
  <c r="B437" i="12" s="1"/>
  <c r="B438" i="12" s="1"/>
  <c r="B439" i="12" s="1"/>
  <c r="B440" i="12" s="1"/>
  <c r="B441" i="12" s="1"/>
  <c r="B442" i="12" s="1"/>
  <c r="B443" i="12" s="1"/>
  <c r="B444" i="12" s="1"/>
  <c r="B445" i="12" s="1"/>
  <c r="B446" i="12" s="1"/>
  <c r="B447" i="12" s="1"/>
  <c r="B448" i="12" s="1"/>
  <c r="B449" i="12" s="1"/>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20" i="12" l="1"/>
  <c r="I419" i="12"/>
  <c r="I418" i="12"/>
  <c r="I417" i="12"/>
  <c r="I416" i="12"/>
  <c r="I415" i="12"/>
  <c r="I414" i="12"/>
  <c r="I413" i="12"/>
  <c r="I412" i="12"/>
  <c r="I411" i="12"/>
  <c r="I410" i="12"/>
  <c r="I409" i="12"/>
  <c r="I408" i="12"/>
  <c r="I407" i="12"/>
  <c r="I406" i="12"/>
  <c r="I405" i="12"/>
  <c r="I404" i="12"/>
  <c r="I403" i="12"/>
  <c r="I402" i="12"/>
  <c r="I401" i="12"/>
  <c r="I400" i="12"/>
  <c r="I399" i="12"/>
  <c r="I398" i="12"/>
  <c r="B398" i="12"/>
  <c r="B399" i="12" s="1"/>
  <c r="B400" i="12" s="1"/>
  <c r="B401" i="12" s="1"/>
  <c r="B402" i="12" s="1"/>
  <c r="B403" i="12" s="1"/>
  <c r="B404" i="12" s="1"/>
  <c r="B405" i="12" s="1"/>
  <c r="B406" i="12" s="1"/>
  <c r="B407" i="12" s="1"/>
  <c r="B408" i="12" s="1"/>
  <c r="B409" i="12" s="1"/>
  <c r="B410" i="12" s="1"/>
  <c r="B411" i="12" s="1"/>
  <c r="B412" i="12" s="1"/>
  <c r="B413" i="12" s="1"/>
  <c r="B414" i="12" s="1"/>
  <c r="B415" i="12" s="1"/>
  <c r="B416" i="12" s="1"/>
  <c r="B417" i="12" s="1"/>
  <c r="B418" i="12" s="1"/>
  <c r="B419" i="12" s="1"/>
  <c r="B420" i="12" s="1"/>
  <c r="I397" i="12"/>
  <c r="I392" i="12" l="1"/>
  <c r="I391" i="12"/>
  <c r="I390" i="12"/>
  <c r="I389" i="12"/>
  <c r="I388" i="12"/>
  <c r="I387" i="12"/>
  <c r="I386" i="12"/>
  <c r="I385" i="12"/>
  <c r="I384" i="12"/>
  <c r="I383" i="12"/>
  <c r="I382" i="12"/>
  <c r="I381" i="12"/>
  <c r="I380" i="12"/>
  <c r="I379" i="12"/>
  <c r="I378" i="12"/>
  <c r="I377" i="12"/>
  <c r="I376" i="12"/>
  <c r="I375" i="12"/>
  <c r="I374" i="12"/>
  <c r="I373" i="12"/>
  <c r="I372" i="12"/>
  <c r="I371" i="12"/>
  <c r="I370" i="12"/>
  <c r="B370" i="12"/>
  <c r="B371" i="12" s="1"/>
  <c r="B372" i="12" s="1"/>
  <c r="B373" i="12" s="1"/>
  <c r="B374" i="12" s="1"/>
  <c r="B375" i="12" s="1"/>
  <c r="B376" i="12" s="1"/>
  <c r="B377" i="12" s="1"/>
  <c r="B378" i="12" s="1"/>
  <c r="B379" i="12" s="1"/>
  <c r="B380" i="12" s="1"/>
  <c r="B381" i="12" s="1"/>
  <c r="B382" i="12" s="1"/>
  <c r="B383" i="12" s="1"/>
  <c r="B384" i="12" s="1"/>
  <c r="B385" i="12" s="1"/>
  <c r="B386" i="12" s="1"/>
  <c r="B387" i="12" s="1"/>
  <c r="B388" i="12" s="1"/>
  <c r="B389" i="12" s="1"/>
  <c r="B390" i="12" s="1"/>
  <c r="B391" i="12" s="1"/>
  <c r="B392" i="12" s="1"/>
  <c r="I369" i="12"/>
  <c r="I351" i="12" l="1"/>
  <c r="I352" i="12"/>
  <c r="I353" i="12"/>
  <c r="I354" i="12"/>
  <c r="I355" i="12"/>
  <c r="I356" i="12"/>
  <c r="I357" i="12"/>
  <c r="I358" i="12"/>
  <c r="I359" i="12"/>
  <c r="I360" i="12"/>
  <c r="I361" i="12"/>
  <c r="I362" i="12"/>
  <c r="I363" i="12"/>
  <c r="I364" i="12"/>
  <c r="I342" i="12"/>
  <c r="I343" i="12"/>
  <c r="I344" i="12"/>
  <c r="I345" i="12"/>
  <c r="I346" i="12"/>
  <c r="I347" i="12"/>
  <c r="I348" i="12"/>
  <c r="I349" i="12"/>
  <c r="I350" i="12"/>
  <c r="I341" i="12"/>
  <c r="I336" i="12"/>
  <c r="I337" i="12"/>
  <c r="I326" i="12"/>
  <c r="I327" i="12"/>
  <c r="I328" i="12"/>
  <c r="I329" i="12"/>
  <c r="I330" i="12"/>
  <c r="I331" i="12"/>
  <c r="I332" i="12"/>
  <c r="I333" i="12"/>
  <c r="I334" i="12"/>
  <c r="I335" i="12"/>
  <c r="I315" i="12"/>
  <c r="I316" i="12"/>
  <c r="I317" i="12"/>
  <c r="I318" i="12"/>
  <c r="I319" i="12"/>
  <c r="I320" i="12"/>
  <c r="I321" i="12"/>
  <c r="I322" i="12"/>
  <c r="I323" i="12"/>
  <c r="I324" i="12"/>
  <c r="I325" i="12"/>
  <c r="I314" i="12"/>
  <c r="I302" i="12"/>
  <c r="I303" i="12"/>
  <c r="I304" i="12"/>
  <c r="I305" i="12"/>
  <c r="I306" i="12"/>
  <c r="I307" i="12"/>
  <c r="I308" i="12"/>
  <c r="I309" i="12"/>
  <c r="I287" i="12"/>
  <c r="I288" i="12"/>
  <c r="I289" i="12"/>
  <c r="I290" i="12"/>
  <c r="I291" i="12"/>
  <c r="I292" i="12"/>
  <c r="I293" i="12"/>
  <c r="I294" i="12"/>
  <c r="I295" i="12"/>
  <c r="I296" i="12"/>
  <c r="I297" i="12"/>
  <c r="I298" i="12"/>
  <c r="I299" i="12"/>
  <c r="I300" i="12"/>
  <c r="I301" i="12"/>
  <c r="I286" i="12"/>
  <c r="I276" i="12"/>
  <c r="I277" i="12"/>
  <c r="I278" i="12"/>
  <c r="I279" i="12"/>
  <c r="I280" i="12"/>
  <c r="I281" i="12"/>
  <c r="I275" i="12"/>
  <c r="I248" i="12"/>
  <c r="I249" i="12"/>
  <c r="I250" i="12"/>
  <c r="I251" i="12"/>
  <c r="I252" i="12"/>
  <c r="I253" i="12"/>
  <c r="I254" i="12"/>
  <c r="I255" i="12"/>
  <c r="I256" i="12"/>
  <c r="I257" i="12"/>
  <c r="I258" i="12"/>
  <c r="I259" i="12"/>
  <c r="I260" i="12"/>
  <c r="I261" i="12"/>
  <c r="I262" i="12"/>
  <c r="I263" i="12"/>
  <c r="I264" i="12"/>
  <c r="I265" i="12"/>
  <c r="I266" i="12"/>
  <c r="I267" i="12"/>
  <c r="I247"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19" i="12"/>
  <c r="I208" i="12"/>
  <c r="I209" i="12"/>
  <c r="I210" i="12"/>
  <c r="I211" i="12"/>
  <c r="I212" i="12"/>
  <c r="I213" i="12"/>
  <c r="I214" i="12"/>
  <c r="I207" i="12"/>
  <c r="I187" i="12"/>
  <c r="I188" i="12"/>
  <c r="I189" i="12"/>
  <c r="I190" i="12"/>
  <c r="I191" i="12"/>
  <c r="I192" i="12"/>
  <c r="I193" i="12"/>
  <c r="I194" i="12"/>
  <c r="I195" i="12"/>
  <c r="I196" i="12"/>
  <c r="I197" i="12"/>
  <c r="I198" i="12"/>
  <c r="I199" i="12"/>
  <c r="I200" i="12"/>
  <c r="I201" i="12"/>
  <c r="I202" i="12"/>
  <c r="I203" i="12"/>
  <c r="I204" i="12"/>
  <c r="I205" i="12"/>
  <c r="I206" i="12"/>
  <c r="I186" i="12"/>
  <c r="I180" i="12"/>
  <c r="I181" i="12"/>
  <c r="I182" i="12"/>
  <c r="I183" i="12"/>
  <c r="I179" i="12"/>
  <c r="B342" i="12" l="1"/>
  <c r="B343" i="12" s="1"/>
  <c r="B344" i="12" s="1"/>
  <c r="B345" i="12" s="1"/>
  <c r="B346" i="12" s="1"/>
  <c r="B347" i="12" s="1"/>
  <c r="B348" i="12" s="1"/>
  <c r="B349" i="12" s="1"/>
  <c r="B350" i="12" s="1"/>
  <c r="B351" i="12" s="1"/>
  <c r="B352" i="12" s="1"/>
  <c r="B353" i="12" s="1"/>
  <c r="B354" i="12" s="1"/>
  <c r="B355" i="12" s="1"/>
  <c r="B356" i="12" s="1"/>
  <c r="B357" i="12" s="1"/>
  <c r="B358" i="12" s="1"/>
  <c r="B359" i="12" s="1"/>
  <c r="B360" i="12" s="1"/>
  <c r="B361" i="12" s="1"/>
  <c r="B362" i="12" s="1"/>
  <c r="B363" i="12" s="1"/>
  <c r="B364" i="12" s="1"/>
  <c r="B315" i="12" l="1"/>
  <c r="B316" i="12" s="1"/>
  <c r="B317" i="12" s="1"/>
  <c r="B318" i="12" s="1"/>
  <c r="B319" i="12" s="1"/>
  <c r="B320" i="12" s="1"/>
  <c r="B321" i="12" s="1"/>
  <c r="B322" i="12" s="1"/>
  <c r="B323" i="12" s="1"/>
  <c r="B324" i="12" s="1"/>
  <c r="B325" i="12" s="1"/>
  <c r="B326" i="12" s="1"/>
  <c r="B327" i="12" s="1"/>
  <c r="B328" i="12" s="1"/>
  <c r="B329" i="12" s="1"/>
  <c r="B330" i="12" s="1"/>
  <c r="B331" i="12" s="1"/>
  <c r="B332" i="12" s="1"/>
  <c r="B333" i="12" s="1"/>
  <c r="B334" i="12" s="1"/>
  <c r="B335" i="12" s="1"/>
  <c r="B336" i="12" s="1"/>
  <c r="B337" i="12" s="1"/>
  <c r="B287" i="12" l="1"/>
  <c r="B288" i="12" s="1"/>
  <c r="B289" i="12" s="1"/>
  <c r="B290" i="12" s="1"/>
  <c r="B291" i="12" s="1"/>
  <c r="B292" i="12" s="1"/>
  <c r="B293" i="12" s="1"/>
  <c r="B294" i="12" s="1"/>
  <c r="B295" i="12" s="1"/>
  <c r="B296" i="12" s="1"/>
  <c r="B297" i="12" s="1"/>
  <c r="B298" i="12" s="1"/>
  <c r="B299" i="12" s="1"/>
  <c r="B300" i="12" s="1"/>
  <c r="B301" i="12" s="1"/>
  <c r="B302" i="12" s="1"/>
  <c r="B303" i="12" s="1"/>
  <c r="B304" i="12" s="1"/>
  <c r="B305" i="12" s="1"/>
  <c r="B306" i="12" s="1"/>
  <c r="B307" i="12" s="1"/>
  <c r="B308" i="12" s="1"/>
  <c r="B309" i="12" s="1"/>
  <c r="B276" i="12" l="1"/>
  <c r="B277" i="12" s="1"/>
  <c r="B278" i="12" s="1"/>
  <c r="B279" i="12" s="1"/>
  <c r="B280" i="12" s="1"/>
  <c r="B281" i="12" s="1"/>
  <c r="I3" i="12" l="1"/>
  <c r="I270" i="12" l="1"/>
  <c r="I269" i="12"/>
  <c r="I268" i="12"/>
  <c r="B248" i="12"/>
  <c r="B249" i="12" s="1"/>
  <c r="B250" i="12" s="1"/>
  <c r="B251" i="12" s="1"/>
  <c r="B252" i="12" s="1"/>
  <c r="B253" i="12" s="1"/>
  <c r="B254" i="12" s="1"/>
  <c r="B255" i="12" s="1"/>
  <c r="B256" i="12" s="1"/>
  <c r="B257" i="12" s="1"/>
  <c r="B258" i="12" s="1"/>
  <c r="B259" i="12" s="1"/>
  <c r="B260" i="12" s="1"/>
  <c r="B261" i="12" s="1"/>
  <c r="B262" i="12" s="1"/>
  <c r="B263" i="12" s="1"/>
  <c r="B264" i="12" s="1"/>
  <c r="B265" i="12" s="1"/>
  <c r="B266" i="12" s="1"/>
  <c r="B267" i="12" s="1"/>
  <c r="B268" i="12" s="1"/>
  <c r="B269" i="12" s="1"/>
  <c r="B270" i="12" s="1"/>
  <c r="I160" i="12" l="1"/>
  <c r="B161" i="12"/>
  <c r="I161" i="12"/>
  <c r="B162" i="12"/>
  <c r="B163" i="12" s="1"/>
  <c r="B164" i="12" s="1"/>
  <c r="B165" i="12" s="1"/>
  <c r="I162" i="12"/>
  <c r="I163" i="12"/>
  <c r="I164" i="12"/>
  <c r="I165" i="12"/>
  <c r="I166" i="12"/>
  <c r="I167" i="12"/>
  <c r="I168" i="12"/>
  <c r="I169" i="12"/>
  <c r="I170" i="12"/>
  <c r="I171" i="12"/>
  <c r="I172" i="12"/>
  <c r="I173" i="12"/>
  <c r="I174" i="12"/>
  <c r="I175" i="12"/>
  <c r="I176" i="12"/>
  <c r="I177" i="12"/>
  <c r="I178" i="12"/>
  <c r="I135" i="12"/>
  <c r="I136" i="12"/>
  <c r="I137" i="12"/>
  <c r="I138" i="12"/>
  <c r="I139" i="12"/>
  <c r="I140" i="12"/>
  <c r="I141" i="12"/>
  <c r="I142" i="12"/>
  <c r="I143" i="12"/>
  <c r="I144" i="12"/>
  <c r="I145" i="12"/>
  <c r="I146" i="12"/>
  <c r="I147" i="12"/>
  <c r="I148" i="12"/>
  <c r="I149" i="12"/>
  <c r="I150" i="12"/>
  <c r="I151" i="12"/>
  <c r="I152" i="12"/>
  <c r="I153" i="12"/>
  <c r="I154" i="12"/>
  <c r="I155" i="12"/>
  <c r="I134" i="12"/>
  <c r="I112" i="12"/>
  <c r="I113" i="12"/>
  <c r="I114" i="12"/>
  <c r="I115" i="12"/>
  <c r="I116" i="12"/>
  <c r="I117" i="12"/>
  <c r="I118" i="12"/>
  <c r="I119" i="12"/>
  <c r="I120" i="12"/>
  <c r="I121" i="12"/>
  <c r="I122" i="12"/>
  <c r="I123" i="12"/>
  <c r="I124" i="12"/>
  <c r="I125" i="12"/>
  <c r="I126" i="12"/>
  <c r="I127" i="12"/>
  <c r="I128" i="12"/>
  <c r="I129" i="12"/>
  <c r="I111" i="12"/>
  <c r="I90" i="12"/>
  <c r="I91" i="12"/>
  <c r="I92" i="12"/>
  <c r="I93" i="12"/>
  <c r="I94" i="12"/>
  <c r="I95" i="12"/>
  <c r="I96" i="12"/>
  <c r="I97" i="12"/>
  <c r="I98" i="12"/>
  <c r="I99" i="12"/>
  <c r="I100" i="12"/>
  <c r="I101" i="12"/>
  <c r="I102" i="12"/>
  <c r="I103" i="12"/>
  <c r="I104" i="12"/>
  <c r="I105" i="12"/>
  <c r="I106" i="12"/>
  <c r="I89" i="12"/>
  <c r="I83" i="12"/>
  <c r="I66" i="12"/>
  <c r="I67" i="12"/>
  <c r="I68" i="12"/>
  <c r="I69" i="12"/>
  <c r="I70" i="12"/>
  <c r="I71" i="12"/>
  <c r="I72" i="12"/>
  <c r="I73" i="12"/>
  <c r="I74" i="12"/>
  <c r="I75" i="12"/>
  <c r="I76" i="12"/>
  <c r="I77" i="12"/>
  <c r="I78" i="12"/>
  <c r="I79" i="12"/>
  <c r="I80" i="12"/>
  <c r="I81" i="12"/>
  <c r="I82" i="12"/>
  <c r="I65" i="12"/>
  <c r="I43" i="12"/>
  <c r="I44" i="12"/>
  <c r="I45" i="12"/>
  <c r="I46" i="12"/>
  <c r="I47" i="12"/>
  <c r="I48" i="12"/>
  <c r="I49" i="12"/>
  <c r="I50" i="12"/>
  <c r="I51" i="12"/>
  <c r="I52" i="12"/>
  <c r="I53" i="12"/>
  <c r="I54" i="12"/>
  <c r="I55" i="12"/>
  <c r="I56" i="12"/>
  <c r="I57" i="12"/>
  <c r="I58" i="12"/>
  <c r="I59" i="12"/>
  <c r="I60" i="12"/>
  <c r="I42" i="12"/>
  <c r="I21" i="12"/>
  <c r="I22" i="12"/>
  <c r="I23" i="12"/>
  <c r="I24" i="12"/>
  <c r="I25" i="12"/>
  <c r="I26" i="12"/>
  <c r="I27" i="12"/>
  <c r="I28" i="12"/>
  <c r="I29" i="12"/>
  <c r="I30" i="12"/>
  <c r="I31" i="12"/>
  <c r="I32" i="12"/>
  <c r="I33" i="12"/>
  <c r="I34" i="12"/>
  <c r="I35" i="12"/>
  <c r="I36" i="12"/>
  <c r="I37" i="12"/>
  <c r="I20" i="12"/>
  <c r="I4" i="12"/>
  <c r="I5" i="12"/>
  <c r="I6" i="12"/>
  <c r="I7" i="12"/>
  <c r="I8" i="12"/>
  <c r="I9" i="12"/>
  <c r="I10" i="12"/>
  <c r="I11" i="12"/>
  <c r="I12" i="12"/>
  <c r="I13" i="12"/>
  <c r="I14" i="12"/>
  <c r="I15" i="12"/>
  <c r="B169" i="12" l="1"/>
  <c r="B170" i="12" s="1"/>
  <c r="B171" i="12" s="1"/>
  <c r="B172" i="12" s="1"/>
  <c r="B173" i="12" s="1"/>
  <c r="B174" i="12" s="1"/>
  <c r="B175" i="12" s="1"/>
  <c r="B176" i="12" s="1"/>
  <c r="B177" i="12" s="1"/>
  <c r="B178" i="12" s="1"/>
  <c r="B179" i="12" s="1"/>
  <c r="B180" i="12" s="1"/>
  <c r="B181" i="12" s="1"/>
  <c r="B166" i="12"/>
  <c r="B167" i="12" s="1"/>
  <c r="B168" i="12" s="1"/>
  <c r="B220" i="12" l="1"/>
  <c r="B221" i="12" s="1"/>
  <c r="B222" i="12" s="1"/>
  <c r="B223" i="12" s="1"/>
  <c r="B224" i="12" s="1"/>
  <c r="B225" i="12" s="1"/>
  <c r="B226" i="12" s="1"/>
  <c r="B227" i="12" s="1"/>
  <c r="B228" i="12" s="1"/>
  <c r="B229" i="12" s="1"/>
  <c r="B230" i="12" s="1"/>
  <c r="B231" i="12" s="1"/>
  <c r="B232" i="12" s="1"/>
  <c r="B233" i="12" s="1"/>
  <c r="B234" i="12" s="1"/>
  <c r="B235" i="12" s="1"/>
  <c r="B236" i="12" s="1"/>
  <c r="B237" i="12" s="1"/>
  <c r="B238" i="12" s="1"/>
  <c r="B239" i="12" s="1"/>
  <c r="B240" i="12" s="1"/>
  <c r="B241" i="12" s="1"/>
  <c r="B242" i="12" s="1"/>
  <c r="I427" i="14" l="1"/>
  <c r="I426" i="14"/>
  <c r="I424" i="14"/>
  <c r="I423" i="14"/>
  <c r="I422" i="14"/>
  <c r="I421" i="14"/>
  <c r="I420" i="14"/>
  <c r="I419" i="14"/>
  <c r="I418" i="14"/>
  <c r="I417" i="14"/>
  <c r="I416" i="14"/>
  <c r="I415" i="14"/>
  <c r="I414" i="14"/>
  <c r="I413" i="14"/>
  <c r="I412" i="14"/>
  <c r="B412" i="14"/>
  <c r="B413" i="14" s="1"/>
  <c r="B414" i="14" s="1"/>
  <c r="I411" i="14"/>
  <c r="B411" i="14"/>
  <c r="I410" i="14"/>
  <c r="I405" i="14"/>
  <c r="I404" i="14"/>
  <c r="I402" i="14"/>
  <c r="I401" i="14"/>
  <c r="I400" i="14"/>
  <c r="I399" i="14"/>
  <c r="I398" i="14"/>
  <c r="I397" i="14"/>
  <c r="I396" i="14"/>
  <c r="I395" i="14"/>
  <c r="I394" i="14"/>
  <c r="I393" i="14"/>
  <c r="I392" i="14"/>
  <c r="I391" i="14"/>
  <c r="I390" i="14"/>
  <c r="I389" i="14"/>
  <c r="B389" i="14"/>
  <c r="B390" i="14" s="1"/>
  <c r="B391" i="14" s="1"/>
  <c r="B392" i="14" s="1"/>
  <c r="I388" i="14"/>
  <c r="I382" i="14"/>
  <c r="I381" i="14"/>
  <c r="I380" i="14"/>
  <c r="I379" i="14"/>
  <c r="I378" i="14"/>
  <c r="I377" i="14"/>
  <c r="I376" i="14"/>
  <c r="I375" i="14"/>
  <c r="I374" i="14"/>
  <c r="I373" i="14"/>
  <c r="I372" i="14"/>
  <c r="I371" i="14"/>
  <c r="I370" i="14"/>
  <c r="I369" i="14"/>
  <c r="I368" i="14"/>
  <c r="I367" i="14"/>
  <c r="I366" i="14"/>
  <c r="I365" i="14"/>
  <c r="B365" i="14"/>
  <c r="B366" i="14" s="1"/>
  <c r="B367" i="14" s="1"/>
  <c r="B368" i="14" s="1"/>
  <c r="I364" i="14"/>
  <c r="I359" i="14"/>
  <c r="I358" i="14"/>
  <c r="I357" i="14"/>
  <c r="I356" i="14"/>
  <c r="I355" i="14"/>
  <c r="I354" i="14"/>
  <c r="I353" i="14"/>
  <c r="I352" i="14"/>
  <c r="I351" i="14"/>
  <c r="I350" i="14"/>
  <c r="I349" i="14"/>
  <c r="I348" i="14"/>
  <c r="I347" i="14"/>
  <c r="I346" i="14"/>
  <c r="I345" i="14"/>
  <c r="I344" i="14"/>
  <c r="I343" i="14"/>
  <c r="I342" i="14"/>
  <c r="B342" i="14"/>
  <c r="B343" i="14" s="1"/>
  <c r="B344" i="14" s="1"/>
  <c r="B345" i="14" s="1"/>
  <c r="I341" i="14"/>
  <c r="I336" i="14"/>
  <c r="I335" i="14"/>
  <c r="I334" i="14"/>
  <c r="I333" i="14"/>
  <c r="I332" i="14"/>
  <c r="I331" i="14"/>
  <c r="I330" i="14"/>
  <c r="I329" i="14"/>
  <c r="I328" i="14"/>
  <c r="I327" i="14"/>
  <c r="I326" i="14"/>
  <c r="I325" i="14"/>
  <c r="I324" i="14"/>
  <c r="I323" i="14"/>
  <c r="I322" i="14"/>
  <c r="I321" i="14"/>
  <c r="B321" i="14"/>
  <c r="B322" i="14" s="1"/>
  <c r="B323" i="14" s="1"/>
  <c r="I320" i="14"/>
  <c r="B320" i="14"/>
  <c r="I319" i="14"/>
  <c r="I313" i="14"/>
  <c r="I312" i="14"/>
  <c r="I311" i="14"/>
  <c r="I310" i="14"/>
  <c r="I309" i="14"/>
  <c r="I308" i="14"/>
  <c r="I307" i="14"/>
  <c r="I306" i="14"/>
  <c r="I305" i="14"/>
  <c r="B305" i="14"/>
  <c r="B306" i="14" s="1"/>
  <c r="B307" i="14" s="1"/>
  <c r="I304" i="14"/>
  <c r="B304" i="14"/>
  <c r="I303" i="14"/>
  <c r="B290" i="14"/>
  <c r="B291" i="14" s="1"/>
  <c r="B292" i="14" s="1"/>
  <c r="B289" i="14"/>
  <c r="B277" i="14"/>
  <c r="B278" i="14" s="1"/>
  <c r="B279" i="14" s="1"/>
  <c r="B280" i="14" s="1"/>
  <c r="B275" i="14"/>
  <c r="B276" i="14" s="1"/>
  <c r="B274" i="14"/>
  <c r="B260" i="14"/>
  <c r="B261" i="14" s="1"/>
  <c r="B262" i="14" s="1"/>
  <c r="B259" i="14"/>
  <c r="B247" i="14"/>
  <c r="B248" i="14" s="1"/>
  <c r="B249" i="14" s="1"/>
  <c r="B250" i="14" s="1"/>
  <c r="B245" i="14"/>
  <c r="B246" i="14" s="1"/>
  <c r="B244" i="14"/>
  <c r="B230" i="14"/>
  <c r="B231" i="14" s="1"/>
  <c r="B232" i="14" s="1"/>
  <c r="B229" i="14"/>
  <c r="B208" i="14"/>
  <c r="B209" i="14" s="1"/>
  <c r="B210" i="14" s="1"/>
  <c r="B211" i="14" s="1"/>
  <c r="B212" i="14" s="1"/>
  <c r="B213" i="14" s="1"/>
  <c r="B214" i="14" s="1"/>
  <c r="B215" i="14" s="1"/>
  <c r="B216" i="14" s="1"/>
  <c r="B217" i="14" s="1"/>
  <c r="B218" i="14" s="1"/>
  <c r="B219" i="14" s="1"/>
  <c r="B220" i="14" s="1"/>
  <c r="B221" i="14" s="1"/>
  <c r="B222" i="14" s="1"/>
  <c r="B206" i="14"/>
  <c r="B207" i="14" s="1"/>
  <c r="B194" i="14"/>
  <c r="B195" i="14" s="1"/>
  <c r="B196" i="14" s="1"/>
  <c r="B197" i="14" s="1"/>
  <c r="B198" i="14" s="1"/>
  <c r="B199" i="14" s="1"/>
  <c r="B192" i="14"/>
  <c r="B193" i="14" s="1"/>
  <c r="B150" i="14"/>
  <c r="B151" i="14" s="1"/>
  <c r="B152" i="14" s="1"/>
  <c r="B153" i="14" s="1"/>
  <c r="B154" i="14" s="1"/>
  <c r="B155" i="14" s="1"/>
  <c r="B156" i="14" s="1"/>
  <c r="B157" i="14" s="1"/>
  <c r="B158" i="14" s="1"/>
  <c r="B159" i="14" s="1"/>
  <c r="B160" i="14" s="1"/>
  <c r="B161" i="14" s="1"/>
  <c r="B162" i="14" s="1"/>
  <c r="B163" i="14" s="1"/>
  <c r="B164" i="14" s="1"/>
  <c r="B165" i="14" s="1"/>
  <c r="B166" i="14" s="1"/>
  <c r="B167" i="14" s="1"/>
  <c r="B168" i="14" s="1"/>
  <c r="B169" i="14" s="1"/>
  <c r="B170" i="14" s="1"/>
  <c r="B171" i="14" s="1"/>
  <c r="B172" i="14" s="1"/>
  <c r="B173" i="14" s="1"/>
  <c r="B174" i="14" s="1"/>
  <c r="B175" i="14" s="1"/>
  <c r="B176" i="14" s="1"/>
  <c r="B177" i="14" s="1"/>
  <c r="B178" i="14" s="1"/>
  <c r="B179" i="14" s="1"/>
  <c r="B180" i="14" s="1"/>
  <c r="B181" i="14" s="1"/>
  <c r="B182" i="14" s="1"/>
  <c r="B183" i="14" s="1"/>
  <c r="B184" i="14" s="1"/>
  <c r="B185" i="14" s="1"/>
  <c r="B130" i="14"/>
  <c r="B131" i="14" s="1"/>
  <c r="B132" i="14" s="1"/>
  <c r="B133" i="14" s="1"/>
  <c r="B134" i="14" s="1"/>
  <c r="B135" i="14" s="1"/>
  <c r="B136" i="14" s="1"/>
  <c r="B137" i="14" s="1"/>
  <c r="B138" i="14" s="1"/>
  <c r="B139" i="14" s="1"/>
  <c r="B140" i="14" s="1"/>
  <c r="B141" i="14" s="1"/>
  <c r="B142" i="14" s="1"/>
  <c r="B143" i="14" s="1"/>
  <c r="B144" i="14" s="1"/>
  <c r="B145" i="14" s="1"/>
  <c r="B129" i="14"/>
  <c r="B114" i="14"/>
  <c r="B115" i="14" s="1"/>
  <c r="B116" i="14" s="1"/>
  <c r="B117" i="14" s="1"/>
  <c r="B118" i="14" s="1"/>
  <c r="B119" i="14" s="1"/>
  <c r="B120" i="14" s="1"/>
  <c r="B121" i="14" s="1"/>
  <c r="B122" i="14" s="1"/>
  <c r="B123" i="14" s="1"/>
  <c r="B124" i="14" s="1"/>
  <c r="B99" i="14"/>
  <c r="B100" i="14" s="1"/>
  <c r="B101" i="14" s="1"/>
  <c r="B102" i="14" s="1"/>
  <c r="B103" i="14" s="1"/>
  <c r="B104" i="14" s="1"/>
  <c r="B105" i="14" s="1"/>
  <c r="B106" i="14" s="1"/>
  <c r="B107" i="14" s="1"/>
  <c r="B108" i="14" s="1"/>
  <c r="B89" i="14"/>
  <c r="B90" i="14" s="1"/>
  <c r="B91" i="14" s="1"/>
  <c r="B92" i="14" s="1"/>
  <c r="B93" i="14" s="1"/>
  <c r="B94" i="14" s="1"/>
  <c r="B81" i="14"/>
  <c r="B82" i="14" s="1"/>
  <c r="B83" i="14" s="1"/>
  <c r="B84" i="14" s="1"/>
  <c r="B79" i="14"/>
  <c r="B80" i="14" s="1"/>
  <c r="B64" i="14"/>
  <c r="B65" i="14" s="1"/>
  <c r="B66" i="14" s="1"/>
  <c r="B67" i="14" s="1"/>
  <c r="B68" i="14" s="1"/>
  <c r="B69" i="14" s="1"/>
  <c r="B70" i="14" s="1"/>
  <c r="B71" i="14" s="1"/>
  <c r="B72" i="14" s="1"/>
  <c r="B73" i="14" s="1"/>
  <c r="B41" i="14"/>
  <c r="B42" i="14" s="1"/>
  <c r="B43" i="14" s="1"/>
  <c r="B44" i="14" s="1"/>
  <c r="B45" i="14" s="1"/>
  <c r="B46" i="14" s="1"/>
  <c r="B47" i="14" s="1"/>
  <c r="B48" i="14" s="1"/>
  <c r="B49" i="14" s="1"/>
  <c r="B50" i="14" s="1"/>
  <c r="B51" i="14" s="1"/>
  <c r="B52" i="14" s="1"/>
  <c r="B53" i="14" s="1"/>
  <c r="B54" i="14" s="1"/>
  <c r="B55" i="14" s="1"/>
  <c r="B56" i="14" s="1"/>
  <c r="B57" i="14" s="1"/>
  <c r="B58" i="14" s="1"/>
  <c r="B26" i="14"/>
  <c r="B27" i="14" s="1"/>
  <c r="B28" i="14" s="1"/>
  <c r="B29" i="14" s="1"/>
  <c r="B30" i="14" s="1"/>
  <c r="B31" i="14" s="1"/>
  <c r="B32" i="14" s="1"/>
  <c r="B33" i="14" s="1"/>
  <c r="B34" i="14" s="1"/>
  <c r="B35" i="14" s="1"/>
  <c r="B5" i="14"/>
  <c r="B6" i="14" s="1"/>
  <c r="B7" i="14" s="1"/>
  <c r="B8" i="14" s="1"/>
  <c r="B9" i="14" s="1"/>
  <c r="B10" i="14" s="1"/>
  <c r="B11" i="14" s="1"/>
  <c r="B12" i="14" s="1"/>
  <c r="B13" i="14" s="1"/>
  <c r="B14" i="14" s="1"/>
  <c r="B15" i="14" s="1"/>
  <c r="B16" i="14" s="1"/>
  <c r="B17" i="14" s="1"/>
  <c r="B18" i="14" s="1"/>
  <c r="B19" i="14" s="1"/>
  <c r="B20" i="14" s="1"/>
  <c r="B4" i="14"/>
  <c r="B187" i="12"/>
  <c r="B188" i="12" s="1"/>
  <c r="B189" i="12" s="1"/>
  <c r="B190" i="12" s="1"/>
  <c r="B191" i="12" s="1"/>
  <c r="B135" i="12"/>
  <c r="B136" i="12" s="1"/>
  <c r="B137" i="12" s="1"/>
  <c r="B138" i="12" s="1"/>
  <c r="B112" i="12"/>
  <c r="B113" i="12" s="1"/>
  <c r="B114" i="12" s="1"/>
  <c r="B115" i="12" s="1"/>
  <c r="B90" i="12"/>
  <c r="B91" i="12" s="1"/>
  <c r="B92" i="12" s="1"/>
  <c r="B93" i="12" s="1"/>
  <c r="B66" i="12"/>
  <c r="B67" i="12" s="1"/>
  <c r="B68" i="12" s="1"/>
  <c r="B69" i="12" s="1"/>
  <c r="B43" i="12"/>
  <c r="B44" i="12" s="1"/>
  <c r="B45" i="12" s="1"/>
  <c r="B46" i="12" s="1"/>
  <c r="B21" i="12"/>
  <c r="B22" i="12" s="1"/>
  <c r="B23" i="12" s="1"/>
  <c r="B24" i="12" s="1"/>
  <c r="B4" i="12"/>
  <c r="B5" i="12" s="1"/>
  <c r="B6" i="12" s="1"/>
  <c r="B7" i="12" s="1"/>
  <c r="B263" i="14" l="1"/>
  <c r="B264" i="14" s="1"/>
  <c r="B265" i="14" s="1"/>
  <c r="B266" i="14"/>
  <c r="B267" i="14" s="1"/>
  <c r="B268" i="14" s="1"/>
  <c r="B369" i="14"/>
  <c r="B370" i="14" s="1"/>
  <c r="B371" i="14" s="1"/>
  <c r="B372" i="14"/>
  <c r="B373" i="14" s="1"/>
  <c r="B374" i="14" s="1"/>
  <c r="B375" i="14" s="1"/>
  <c r="B376" i="14" s="1"/>
  <c r="B377" i="14" s="1"/>
  <c r="B378" i="14" s="1"/>
  <c r="B379" i="14" s="1"/>
  <c r="B380" i="14" s="1"/>
  <c r="B308" i="14"/>
  <c r="B309" i="14" s="1"/>
  <c r="B310" i="14" s="1"/>
  <c r="B311" i="14"/>
  <c r="B312" i="14" s="1"/>
  <c r="B313" i="14" s="1"/>
  <c r="B293" i="14"/>
  <c r="B294" i="14" s="1"/>
  <c r="B295" i="14" s="1"/>
  <c r="B296" i="14"/>
  <c r="B297" i="14" s="1"/>
  <c r="B298" i="14" s="1"/>
  <c r="B233" i="14"/>
  <c r="B234" i="14" s="1"/>
  <c r="B235" i="14" s="1"/>
  <c r="B236" i="14"/>
  <c r="B237" i="14" s="1"/>
  <c r="B238" i="14" s="1"/>
  <c r="B415" i="14"/>
  <c r="B416" i="14" s="1"/>
  <c r="B417" i="14" s="1"/>
  <c r="B418" i="14"/>
  <c r="B419" i="14" s="1"/>
  <c r="B420" i="14" s="1"/>
  <c r="B421" i="14" s="1"/>
  <c r="B422" i="14" s="1"/>
  <c r="B423" i="14" s="1"/>
  <c r="B424" i="14" s="1"/>
  <c r="B425" i="14" s="1"/>
  <c r="B426" i="14" s="1"/>
  <c r="B427" i="14" s="1"/>
  <c r="B251" i="14"/>
  <c r="B252" i="14" s="1"/>
  <c r="B253" i="14" s="1"/>
  <c r="B281" i="14"/>
  <c r="B282" i="14" s="1"/>
  <c r="B283" i="14" s="1"/>
  <c r="B327" i="14"/>
  <c r="B328" i="14" s="1"/>
  <c r="B329" i="14" s="1"/>
  <c r="B330" i="14" s="1"/>
  <c r="B331" i="14" s="1"/>
  <c r="B332" i="14" s="1"/>
  <c r="B333" i="14" s="1"/>
  <c r="B334" i="14" s="1"/>
  <c r="B335" i="14" s="1"/>
  <c r="B324" i="14"/>
  <c r="B325" i="14" s="1"/>
  <c r="B326" i="14" s="1"/>
  <c r="B346" i="14"/>
  <c r="B347" i="14" s="1"/>
  <c r="B348" i="14" s="1"/>
  <c r="B349" i="14"/>
  <c r="B350" i="14" s="1"/>
  <c r="B351" i="14" s="1"/>
  <c r="B352" i="14" s="1"/>
  <c r="B353" i="14" s="1"/>
  <c r="B354" i="14" s="1"/>
  <c r="B355" i="14" s="1"/>
  <c r="B356" i="14" s="1"/>
  <c r="B357" i="14" s="1"/>
  <c r="B396" i="14"/>
  <c r="B397" i="14" s="1"/>
  <c r="B398" i="14" s="1"/>
  <c r="B399" i="14" s="1"/>
  <c r="B400" i="14" s="1"/>
  <c r="B401" i="14" s="1"/>
  <c r="B402" i="14" s="1"/>
  <c r="B403" i="14" s="1"/>
  <c r="B404" i="14" s="1"/>
  <c r="B405" i="14" s="1"/>
  <c r="B393" i="14"/>
  <c r="B394" i="14" s="1"/>
  <c r="B395" i="14" s="1"/>
  <c r="B11" i="12"/>
  <c r="B12" i="12" s="1"/>
  <c r="B13" i="12" s="1"/>
  <c r="B8" i="12"/>
  <c r="B9" i="12" s="1"/>
  <c r="B10" i="12" s="1"/>
  <c r="B73" i="12"/>
  <c r="B74" i="12" s="1"/>
  <c r="B75" i="12" s="1"/>
  <c r="B76" i="12" s="1"/>
  <c r="B77" i="12" s="1"/>
  <c r="B78" i="12" s="1"/>
  <c r="B79" i="12" s="1"/>
  <c r="B80" i="12" s="1"/>
  <c r="B81" i="12" s="1"/>
  <c r="B70" i="12"/>
  <c r="B71" i="12" s="1"/>
  <c r="B72" i="12" s="1"/>
  <c r="B47" i="12"/>
  <c r="B48" i="12" s="1"/>
  <c r="B49" i="12" s="1"/>
  <c r="B50" i="12"/>
  <c r="B51" i="12" s="1"/>
  <c r="B52" i="12" s="1"/>
  <c r="B53" i="12" s="1"/>
  <c r="B54" i="12" s="1"/>
  <c r="B55" i="12" s="1"/>
  <c r="B56" i="12" s="1"/>
  <c r="B57" i="12" s="1"/>
  <c r="B58" i="12" s="1"/>
  <c r="B195" i="12"/>
  <c r="B196" i="12" s="1"/>
  <c r="B197" i="12" s="1"/>
  <c r="B198" i="12" s="1"/>
  <c r="B199" i="12" s="1"/>
  <c r="B200" i="12" s="1"/>
  <c r="B201" i="12" s="1"/>
  <c r="B202" i="12" s="1"/>
  <c r="B203" i="12" s="1"/>
  <c r="B204" i="12" s="1"/>
  <c r="B205" i="12" s="1"/>
  <c r="B206" i="12" s="1"/>
  <c r="B207" i="12" s="1"/>
  <c r="B208" i="12" s="1"/>
  <c r="B209" i="12" s="1"/>
  <c r="B210" i="12" s="1"/>
  <c r="B211" i="12" s="1"/>
  <c r="B212" i="12" s="1"/>
  <c r="B213" i="12" s="1"/>
  <c r="B214" i="12" s="1"/>
  <c r="B192" i="12"/>
  <c r="B193" i="12" s="1"/>
  <c r="B194" i="12" s="1"/>
  <c r="B97" i="12"/>
  <c r="B98" i="12" s="1"/>
  <c r="B99" i="12" s="1"/>
  <c r="B100" i="12" s="1"/>
  <c r="B101" i="12" s="1"/>
  <c r="B102" i="12" s="1"/>
  <c r="B103" i="12" s="1"/>
  <c r="B104" i="12" s="1"/>
  <c r="B105" i="12" s="1"/>
  <c r="B106" i="12" s="1"/>
  <c r="B94" i="12"/>
  <c r="B95" i="12" s="1"/>
  <c r="B96" i="12" s="1"/>
  <c r="B142" i="12"/>
  <c r="B143" i="12" s="1"/>
  <c r="B144" i="12" s="1"/>
  <c r="B145" i="12" s="1"/>
  <c r="B146" i="12" s="1"/>
  <c r="B147" i="12" s="1"/>
  <c r="B148" i="12" s="1"/>
  <c r="B149" i="12" s="1"/>
  <c r="B150" i="12" s="1"/>
  <c r="B151" i="12" s="1"/>
  <c r="B152" i="12" s="1"/>
  <c r="B153" i="12" s="1"/>
  <c r="B154" i="12" s="1"/>
  <c r="B155" i="12" s="1"/>
  <c r="B139" i="12"/>
  <c r="B140" i="12" s="1"/>
  <c r="B141" i="12" s="1"/>
  <c r="B116" i="12"/>
  <c r="B117" i="12" s="1"/>
  <c r="B118" i="12" s="1"/>
  <c r="B119" i="12"/>
  <c r="B120" i="12" s="1"/>
  <c r="B121" i="12" s="1"/>
  <c r="B122" i="12" s="1"/>
  <c r="B123" i="12" s="1"/>
  <c r="B124" i="12" s="1"/>
  <c r="B125" i="12" s="1"/>
  <c r="B126" i="12" s="1"/>
  <c r="B127" i="12" s="1"/>
  <c r="B128" i="12" s="1"/>
  <c r="B129" i="12" s="1"/>
  <c r="B28" i="12"/>
  <c r="B29" i="12" s="1"/>
  <c r="B30" i="12" s="1"/>
  <c r="B31" i="12" s="1"/>
  <c r="B32" i="12" s="1"/>
  <c r="B33" i="12" s="1"/>
  <c r="B34" i="12" s="1"/>
  <c r="B35" i="12" s="1"/>
  <c r="B36" i="12" s="1"/>
  <c r="B25" i="12"/>
  <c r="B26" i="12" s="1"/>
  <c r="B27"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DII10172</author>
  </authors>
  <commentList>
    <comment ref="H178" authorId="0" shapeId="0" xr:uid="{00000000-0006-0000-0100-000001000000}">
      <text>
        <r>
          <rPr>
            <b/>
            <sz val="9"/>
            <color indexed="81"/>
            <rFont val="ＭＳ Ｐゴシック"/>
            <family val="3"/>
            <charset val="128"/>
          </rPr>
          <t>（川瀬さん）
対応策としては、2018年1月に実績がある、プリンタ共有設定のリフレッシュが有効であるとみており、
所管部様でのオペレーションに影響がないタイミング（閉局中および週末メンテナンス中）にて、
出来るだけ早期にプリンタ共有設定のリフレッシュを実施する方向で、弊社内にて調整しております。
（リフレッシュ作業は、構成等を変更するものではなく、設定の再読み込みと位置付けられる作業となります。）</t>
        </r>
      </text>
    </comment>
    <comment ref="H199" authorId="0" shapeId="0" xr:uid="{00000000-0006-0000-0100-000002000000}">
      <text>
        <r>
          <rPr>
            <b/>
            <sz val="9"/>
            <color indexed="81"/>
            <rFont val="ＭＳ Ｐゴシック"/>
            <family val="3"/>
            <charset val="128"/>
          </rPr>
          <t>（川瀬さん）
対応策としては、2018年1月に実績がある、プリンタ共有設定のリフレッシュが有効であるとみており、
所管部様でのオペレーションに影響がないタイミング（閉局中および週末メンテナンス中）にて、
出来るだけ早期にプリンタ共有設定のリフレッシュを実施する方向で、弊社内にて調整しております。
（リフレッシュ作業は、構成等を変更するものではなく、設定の再読み込みと位置付けられる作業となります。）</t>
        </r>
      </text>
    </comment>
  </commentList>
</comments>
</file>

<file path=xl/sharedStrings.xml><?xml version="1.0" encoding="utf-8"?>
<sst xmlns="http://schemas.openxmlformats.org/spreadsheetml/2006/main" count="3822" uniqueCount="622">
  <si>
    <t>機能</t>
    <rPh sb="0" eb="2">
      <t>キノウ</t>
    </rPh>
    <phoneticPr fontId="2"/>
  </si>
  <si>
    <t>掛金種類の追加</t>
    <rPh sb="0" eb="2">
      <t>カケキン</t>
    </rPh>
    <rPh sb="2" eb="4">
      <t>シュルイ</t>
    </rPh>
    <rPh sb="5" eb="7">
      <t>ツイカ</t>
    </rPh>
    <phoneticPr fontId="2"/>
  </si>
  <si>
    <t>掛金計算書等の帳票類の改訂</t>
    <rPh sb="0" eb="2">
      <t>カケキン</t>
    </rPh>
    <rPh sb="2" eb="4">
      <t>ケイサン</t>
    </rPh>
    <rPh sb="4" eb="6">
      <t>ショナド</t>
    </rPh>
    <rPh sb="7" eb="9">
      <t>チョウヒョウ</t>
    </rPh>
    <rPh sb="9" eb="10">
      <t>ルイ</t>
    </rPh>
    <rPh sb="11" eb="13">
      <t>カイテイ</t>
    </rPh>
    <phoneticPr fontId="2"/>
  </si>
  <si>
    <t>その他リスク分担型DB導入に伴う対応</t>
    <phoneticPr fontId="2"/>
  </si>
  <si>
    <t>要件調査</t>
    <rPh sb="0" eb="2">
      <t>ヨウケン</t>
    </rPh>
    <rPh sb="2" eb="4">
      <t>チョウサ</t>
    </rPh>
    <phoneticPr fontId="2"/>
  </si>
  <si>
    <t>要件定義書作成</t>
    <rPh sb="0" eb="2">
      <t>ヨウケン</t>
    </rPh>
    <rPh sb="2" eb="5">
      <t>テイギショ</t>
    </rPh>
    <rPh sb="5" eb="7">
      <t>サクセイ</t>
    </rPh>
    <phoneticPr fontId="2"/>
  </si>
  <si>
    <t>見積もり</t>
    <rPh sb="0" eb="2">
      <t>ミツ</t>
    </rPh>
    <phoneticPr fontId="2"/>
  </si>
  <si>
    <t>予定</t>
    <rPh sb="0" eb="2">
      <t>ヨテイ</t>
    </rPh>
    <phoneticPr fontId="2"/>
  </si>
  <si>
    <t>実施者</t>
    <rPh sb="0" eb="2">
      <t>ジッシ</t>
    </rPh>
    <rPh sb="2" eb="3">
      <t>シャ</t>
    </rPh>
    <phoneticPr fontId="2"/>
  </si>
  <si>
    <t>実績</t>
    <rPh sb="0" eb="2">
      <t>ジッセキ</t>
    </rPh>
    <phoneticPr fontId="2"/>
  </si>
  <si>
    <t>開始</t>
    <rPh sb="0" eb="2">
      <t>カイシ</t>
    </rPh>
    <phoneticPr fontId="2"/>
  </si>
  <si>
    <t>終了</t>
    <rPh sb="0" eb="2">
      <t>シュウリョウ</t>
    </rPh>
    <phoneticPr fontId="2"/>
  </si>
  <si>
    <t>精査</t>
    <rPh sb="0" eb="2">
      <t>セイサ</t>
    </rPh>
    <phoneticPr fontId="2"/>
  </si>
  <si>
    <t>精査ご対応</t>
    <rPh sb="0" eb="2">
      <t>セイサ</t>
    </rPh>
    <rPh sb="3" eb="5">
      <t>タイオウ</t>
    </rPh>
    <phoneticPr fontId="2"/>
  </si>
  <si>
    <t>タスク詳細</t>
    <rPh sb="3" eb="5">
      <t>ショウサイ</t>
    </rPh>
    <phoneticPr fontId="6"/>
  </si>
  <si>
    <t>備考</t>
    <rPh sb="0" eb="2">
      <t>ビコウ</t>
    </rPh>
    <phoneticPr fontId="6"/>
  </si>
  <si>
    <t>共通資源申請</t>
    <rPh sb="0" eb="2">
      <t>キョウツウ</t>
    </rPh>
    <rPh sb="2" eb="4">
      <t>シゲン</t>
    </rPh>
    <rPh sb="4" eb="6">
      <t>シンセイ</t>
    </rPh>
    <phoneticPr fontId="2"/>
  </si>
  <si>
    <t>No</t>
    <phoneticPr fontId="6"/>
  </si>
  <si>
    <t>案件</t>
    <rPh sb="0" eb="2">
      <t>アンケン</t>
    </rPh>
    <phoneticPr fontId="6"/>
  </si>
  <si>
    <t>タスク</t>
    <phoneticPr fontId="6"/>
  </si>
  <si>
    <t>状況</t>
    <rPh sb="0" eb="2">
      <t>ジョウキョウ</t>
    </rPh>
    <phoneticPr fontId="6"/>
  </si>
  <si>
    <t>6/11～6/15</t>
    <phoneticPr fontId="2"/>
  </si>
  <si>
    <t>一時金ＭＴの帳票出力先変更対応</t>
  </si>
  <si>
    <t>テスト仕様書作成</t>
    <rPh sb="3" eb="6">
      <t>シヨウショ</t>
    </rPh>
    <rPh sb="6" eb="8">
      <t>サクセイ</t>
    </rPh>
    <phoneticPr fontId="2"/>
  </si>
  <si>
    <t>完了</t>
  </si>
  <si>
    <t>未着手</t>
  </si>
  <si>
    <t>適年ＤＢ数理Ｉ／Ｆファイル作成対応</t>
    <rPh sb="15" eb="17">
      <t>タイオウ</t>
    </rPh>
    <phoneticPr fontId="2"/>
  </si>
  <si>
    <t>WBS番号</t>
    <rPh sb="3" eb="5">
      <t>バンゴウ</t>
    </rPh>
    <phoneticPr fontId="2"/>
  </si>
  <si>
    <t>6/18～6/22</t>
    <phoneticPr fontId="2"/>
  </si>
  <si>
    <t>テスト実施（新）</t>
    <rPh sb="3" eb="5">
      <t>ジッシ</t>
    </rPh>
    <rPh sb="6" eb="7">
      <t>シン</t>
    </rPh>
    <phoneticPr fontId="2"/>
  </si>
  <si>
    <t>現新比較（現行Ver）</t>
    <rPh sb="0" eb="2">
      <t>ゲンシン</t>
    </rPh>
    <rPh sb="2" eb="4">
      <t>ヒカク</t>
    </rPh>
    <rPh sb="5" eb="7">
      <t>ゲンコウ</t>
    </rPh>
    <phoneticPr fontId="2"/>
  </si>
  <si>
    <t>テスト実施</t>
    <rPh sb="3" eb="5">
      <t>ジッシ</t>
    </rPh>
    <phoneticPr fontId="2"/>
  </si>
  <si>
    <t>機能検証，無影響検証，現新比較（新Ver）</t>
    <rPh sb="0" eb="2">
      <t>キノウ</t>
    </rPh>
    <rPh sb="2" eb="4">
      <t>ケンショウ</t>
    </rPh>
    <rPh sb="5" eb="6">
      <t>ム</t>
    </rPh>
    <rPh sb="6" eb="8">
      <t>エイキョウ</t>
    </rPh>
    <rPh sb="8" eb="10">
      <t>ケンショウ</t>
    </rPh>
    <rPh sb="16" eb="17">
      <t>シン</t>
    </rPh>
    <phoneticPr fontId="2"/>
  </si>
  <si>
    <t>本番稼動準備</t>
    <rPh sb="0" eb="2">
      <t>ホンバン</t>
    </rPh>
    <rPh sb="2" eb="4">
      <t>カドウ</t>
    </rPh>
    <rPh sb="4" eb="6">
      <t>ジュンビ</t>
    </rPh>
    <phoneticPr fontId="2"/>
  </si>
  <si>
    <t>レビュー準備</t>
    <rPh sb="4" eb="6">
      <t>ジュンビ</t>
    </rPh>
    <phoneticPr fontId="2"/>
  </si>
  <si>
    <t>4.2.1</t>
  </si>
  <si>
    <t>6/25～6/29</t>
    <phoneticPr fontId="2"/>
  </si>
  <si>
    <t>初回稼動準備</t>
    <rPh sb="0" eb="2">
      <t>ショカイ</t>
    </rPh>
    <rPh sb="2" eb="4">
      <t>カドウ</t>
    </rPh>
    <rPh sb="4" eb="6">
      <t>ジュンビ</t>
    </rPh>
    <phoneticPr fontId="2"/>
  </si>
  <si>
    <t>4.1.1</t>
    <phoneticPr fontId="2"/>
  </si>
  <si>
    <t>4.1.2</t>
    <phoneticPr fontId="2"/>
  </si>
  <si>
    <t>プレテスト準備</t>
    <rPh sb="5" eb="7">
      <t>ジュンビ</t>
    </rPh>
    <phoneticPr fontId="2"/>
  </si>
  <si>
    <t>ITCi申請</t>
    <rPh sb="4" eb="6">
      <t>シンセイ</t>
    </rPh>
    <phoneticPr fontId="2"/>
  </si>
  <si>
    <t>面環境構築依頼（ＩＴビルド依頼）</t>
    <phoneticPr fontId="2"/>
  </si>
  <si>
    <t>プレテスト</t>
  </si>
  <si>
    <t>プレテスト</t>
    <phoneticPr fontId="2"/>
  </si>
  <si>
    <t>現新比較(現行Ver）</t>
    <rPh sb="0" eb="2">
      <t>ゲンシン</t>
    </rPh>
    <rPh sb="2" eb="4">
      <t>ヒカク</t>
    </rPh>
    <rPh sb="5" eb="7">
      <t>ゲンコウ</t>
    </rPh>
    <phoneticPr fontId="2"/>
  </si>
  <si>
    <t>2.1.1</t>
    <phoneticPr fontId="2"/>
  </si>
  <si>
    <t>現新比較(新Ver）</t>
    <rPh sb="0" eb="2">
      <t>ゲンシン</t>
    </rPh>
    <rPh sb="2" eb="4">
      <t>ヒカク</t>
    </rPh>
    <rPh sb="5" eb="6">
      <t>シン</t>
    </rPh>
    <phoneticPr fontId="2"/>
  </si>
  <si>
    <t>2.1.2</t>
    <phoneticPr fontId="2"/>
  </si>
  <si>
    <t>7/2～7/6</t>
    <phoneticPr fontId="2"/>
  </si>
  <si>
    <t>比較結果検証</t>
  </si>
  <si>
    <t>7/9～7/13</t>
    <phoneticPr fontId="2"/>
  </si>
  <si>
    <t>事業報告書の処理フロー確認</t>
    <phoneticPr fontId="2"/>
  </si>
  <si>
    <t>(A00921)リスク分担型企業年金制度対応</t>
    <phoneticPr fontId="2"/>
  </si>
  <si>
    <t>1.1.1</t>
    <phoneticPr fontId="2"/>
  </si>
  <si>
    <t>「リスク分担型企業年金掛金」欄への掛金額設定</t>
  </si>
  <si>
    <t>1.1.2</t>
  </si>
  <si>
    <t>1.1.2</t>
    <phoneticPr fontId="2"/>
  </si>
  <si>
    <t>「リスク分担型企業年金掛金」欄使用時におけるタイトル変更</t>
  </si>
  <si>
    <t>1.1.3</t>
  </si>
  <si>
    <t>「調整率」欄への調整率設定</t>
  </si>
  <si>
    <t>1.1.4</t>
  </si>
  <si>
    <t>(続きの確認)DC法改正対応</t>
    <phoneticPr fontId="2"/>
  </si>
  <si>
    <t>(優先順位1)「事業報告書作成」</t>
  </si>
  <si>
    <t>(優先順位4)「加入者承継受換届」登録</t>
  </si>
  <si>
    <t>(優先順位5)「加入者中脱記録補正」登録</t>
  </si>
  <si>
    <t>(優先順位6)「移換完了通知書」</t>
  </si>
  <si>
    <t>1.1.5</t>
  </si>
  <si>
    <t>1.1.6</t>
  </si>
  <si>
    <t>(優先順位1’)「承継受換記録(加算)補正」</t>
    <phoneticPr fontId="2"/>
  </si>
  <si>
    <t>要件定義計画</t>
  </si>
  <si>
    <t>システム部へつぶやき出来る程度の確度で。</t>
    <rPh sb="4" eb="5">
      <t>ブ</t>
    </rPh>
    <rPh sb="10" eb="12">
      <t>デキ</t>
    </rPh>
    <rPh sb="13" eb="15">
      <t>テイド</t>
    </rPh>
    <rPh sb="16" eb="18">
      <t>カクド</t>
    </rPh>
    <phoneticPr fontId="2"/>
  </si>
  <si>
    <t>1.2.1</t>
    <phoneticPr fontId="2"/>
  </si>
  <si>
    <t>(with 仲川さん)</t>
    <rPh sb="6" eb="8">
      <t>ナカガワ</t>
    </rPh>
    <phoneticPr fontId="2"/>
  </si>
  <si>
    <t>(with 仲川さん，山本（国）さん)</t>
    <rPh sb="6" eb="8">
      <t>ナカガワ</t>
    </rPh>
    <rPh sb="11" eb="18">
      <t>ヤマ</t>
    </rPh>
    <phoneticPr fontId="2"/>
  </si>
  <si>
    <t>要件定義計画 正式回答</t>
  </si>
  <si>
    <t>1.3.1</t>
    <phoneticPr fontId="2"/>
  </si>
  <si>
    <t>要件定義作成</t>
    <rPh sb="0" eb="2">
      <t>ヨウケン</t>
    </rPh>
    <rPh sb="2" eb="4">
      <t>テイギ</t>
    </rPh>
    <rPh sb="4" eb="6">
      <t>サクセイ</t>
    </rPh>
    <phoneticPr fontId="2"/>
  </si>
  <si>
    <t>1.2.1</t>
    <phoneticPr fontId="2"/>
  </si>
  <si>
    <t>1.2.2</t>
  </si>
  <si>
    <t>1.2.3</t>
  </si>
  <si>
    <t>(優先順位3)「見込額照会画面」</t>
    <phoneticPr fontId="2"/>
  </si>
  <si>
    <t>一時金ＭＴの帳票出力先変更対応</t>
    <phoneticPr fontId="2"/>
  </si>
  <si>
    <t>案件名</t>
    <rPh sb="0" eb="2">
      <t>アンケン</t>
    </rPh>
    <rPh sb="2" eb="3">
      <t>メイ</t>
    </rPh>
    <phoneticPr fontId="6"/>
  </si>
  <si>
    <t>(A00923)遺族一時金給付通知書（追加給付分）の委託者住所表記相違</t>
    <phoneticPr fontId="2"/>
  </si>
  <si>
    <t>開発</t>
    <rPh sb="0" eb="2">
      <t>カイハツ</t>
    </rPh>
    <phoneticPr fontId="2"/>
  </si>
  <si>
    <t>CD/UT精査</t>
    <rPh sb="5" eb="7">
      <t>セイサ</t>
    </rPh>
    <phoneticPr fontId="2"/>
  </si>
  <si>
    <t>調査</t>
    <rPh sb="0" eb="2">
      <t>チョウサ</t>
    </rPh>
    <phoneticPr fontId="2"/>
  </si>
  <si>
    <t>事象，対応内容調査</t>
    <rPh sb="0" eb="2">
      <t>ジショウ</t>
    </rPh>
    <rPh sb="3" eb="5">
      <t>タイオウ</t>
    </rPh>
    <rPh sb="5" eb="7">
      <t>ナイヨウ</t>
    </rPh>
    <rPh sb="7" eb="9">
      <t>チョウサ</t>
    </rPh>
    <phoneticPr fontId="2"/>
  </si>
  <si>
    <t>4.1.1.2</t>
    <phoneticPr fontId="2"/>
  </si>
  <si>
    <t>IT</t>
    <phoneticPr fontId="2"/>
  </si>
  <si>
    <t>IT準備（面環境構築依頼）</t>
    <rPh sb="2" eb="4">
      <t>ジュンビ</t>
    </rPh>
    <rPh sb="5" eb="6">
      <t>メン</t>
    </rPh>
    <rPh sb="6" eb="8">
      <t>カンキョウ</t>
    </rPh>
    <rPh sb="8" eb="10">
      <t>コウチク</t>
    </rPh>
    <rPh sb="10" eb="12">
      <t>イライ</t>
    </rPh>
    <phoneticPr fontId="2"/>
  </si>
  <si>
    <t>4.2.1.2</t>
    <phoneticPr fontId="2"/>
  </si>
  <si>
    <t>IT精査</t>
    <rPh sb="2" eb="4">
      <t>セイサ</t>
    </rPh>
    <phoneticPr fontId="2"/>
  </si>
  <si>
    <t>4.2.1.1</t>
    <phoneticPr fontId="2"/>
  </si>
  <si>
    <t>4.2.3</t>
    <phoneticPr fontId="2"/>
  </si>
  <si>
    <t>ITチェックイン</t>
    <phoneticPr fontId="2"/>
  </si>
  <si>
    <t>ユーザー送付</t>
    <rPh sb="4" eb="6">
      <t>ソウフ</t>
    </rPh>
    <phoneticPr fontId="2"/>
  </si>
  <si>
    <t>S/Iレビュー</t>
  </si>
  <si>
    <t>本番移行</t>
    <rPh sb="0" eb="2">
      <t>ホンバン</t>
    </rPh>
    <rPh sb="2" eb="4">
      <t>イコウ</t>
    </rPh>
    <phoneticPr fontId="2"/>
  </si>
  <si>
    <t>本番稼働準備</t>
    <rPh sb="0" eb="2">
      <t>ホンバン</t>
    </rPh>
    <rPh sb="2" eb="4">
      <t>カドウ</t>
    </rPh>
    <rPh sb="4" eb="6">
      <t>ジュンビ</t>
    </rPh>
    <phoneticPr fontId="2"/>
  </si>
  <si>
    <t>A00923_一時金給付通知書（追加給付分）差出人住所出力不備対応</t>
    <phoneticPr fontId="2"/>
  </si>
  <si>
    <t>STCi申請</t>
    <rPh sb="4" eb="6">
      <t>シンセイ</t>
    </rPh>
    <phoneticPr fontId="2"/>
  </si>
  <si>
    <t>初回稼働確認依頼</t>
    <rPh sb="0" eb="2">
      <t>ショカイ</t>
    </rPh>
    <rPh sb="2" eb="4">
      <t>カドウ</t>
    </rPh>
    <rPh sb="4" eb="6">
      <t>カクニン</t>
    </rPh>
    <rPh sb="6" eb="8">
      <t>イライ</t>
    </rPh>
    <phoneticPr fontId="2"/>
  </si>
  <si>
    <t>水際検証</t>
    <rPh sb="0" eb="2">
      <t>ミズギワ</t>
    </rPh>
    <rPh sb="2" eb="4">
      <t>ケンショウ</t>
    </rPh>
    <phoneticPr fontId="2"/>
  </si>
  <si>
    <t>初回稼働確認</t>
    <rPh sb="0" eb="2">
      <t>ショカイ</t>
    </rPh>
    <rPh sb="2" eb="4">
      <t>カドウ</t>
    </rPh>
    <rPh sb="4" eb="6">
      <t>カクニン</t>
    </rPh>
    <phoneticPr fontId="2"/>
  </si>
  <si>
    <t>稼働確認</t>
    <rPh sb="0" eb="2">
      <t>カドウ</t>
    </rPh>
    <rPh sb="2" eb="4">
      <t>カクニン</t>
    </rPh>
    <phoneticPr fontId="2"/>
  </si>
  <si>
    <t>7月再実施</t>
    <rPh sb="1" eb="2">
      <t>ガツ</t>
    </rPh>
    <rPh sb="2" eb="5">
      <t>サイジッシ</t>
    </rPh>
    <phoneticPr fontId="2"/>
  </si>
  <si>
    <t>(DB)スケジュール管理TBL準備</t>
    <rPh sb="10" eb="12">
      <t>カンリ</t>
    </rPh>
    <rPh sb="15" eb="17">
      <t>ジュンビ</t>
    </rPh>
    <phoneticPr fontId="2"/>
  </si>
  <si>
    <t>DBバックアップ</t>
    <phoneticPr fontId="2"/>
  </si>
  <si>
    <t>現新比較（現行Ver）</t>
    <rPh sb="0" eb="1">
      <t>ゲン</t>
    </rPh>
    <rPh sb="1" eb="2">
      <t>シン</t>
    </rPh>
    <rPh sb="2" eb="4">
      <t>ヒカク</t>
    </rPh>
    <rPh sb="5" eb="7">
      <t>ゲンコウ</t>
    </rPh>
    <phoneticPr fontId="2"/>
  </si>
  <si>
    <t>面環境構築依頼（ＩＴビルド依頼）</t>
    <phoneticPr fontId="2"/>
  </si>
  <si>
    <t>現新比較(新Ver）</t>
  </si>
  <si>
    <t>比較結果確認</t>
    <rPh sb="0" eb="2">
      <t>ヒカク</t>
    </rPh>
    <rPh sb="2" eb="4">
      <t>ケッカ</t>
    </rPh>
    <rPh sb="4" eb="6">
      <t>カクニン</t>
    </rPh>
    <phoneticPr fontId="2"/>
  </si>
  <si>
    <t>実施中</t>
  </si>
  <si>
    <t>7/17～7/20</t>
    <phoneticPr fontId="2"/>
  </si>
  <si>
    <t>A00922_脱退一時金相当額の移換対象者の拡大(DC法改正)対応</t>
    <phoneticPr fontId="2"/>
  </si>
  <si>
    <t>要件定義</t>
    <rPh sb="0" eb="2">
      <t>ヨウケン</t>
    </rPh>
    <rPh sb="2" eb="4">
      <t>テイギ</t>
    </rPh>
    <phoneticPr fontId="2"/>
  </si>
  <si>
    <t>計画作成</t>
    <rPh sb="0" eb="2">
      <t>ケイカク</t>
    </rPh>
    <rPh sb="2" eb="4">
      <t>サクセイ</t>
    </rPh>
    <phoneticPr fontId="2"/>
  </si>
  <si>
    <t>調査(1_事業報告書の変更)</t>
    <rPh sb="0" eb="2">
      <t>チョウサ</t>
    </rPh>
    <phoneticPr fontId="2"/>
  </si>
  <si>
    <t>調査(5_DC及び中退共からDBへ受換③(移換元完了通知書))</t>
    <rPh sb="0" eb="2">
      <t>チョウサ</t>
    </rPh>
    <phoneticPr fontId="2"/>
  </si>
  <si>
    <t>7/23～7/27</t>
    <phoneticPr fontId="2"/>
  </si>
  <si>
    <t>A00922_脱退一時金相当額の移換対象者の拡大(DC法改正)対応</t>
  </si>
  <si>
    <t>調査(4_DC及び中退共からDBへ受換②(ゼロ円受換))</t>
    <phoneticPr fontId="2"/>
  </si>
  <si>
    <t>共通資源整理</t>
    <rPh sb="0" eb="2">
      <t>キョウツウ</t>
    </rPh>
    <rPh sb="2" eb="4">
      <t>シゲン</t>
    </rPh>
    <rPh sb="4" eb="6">
      <t>セイリ</t>
    </rPh>
    <phoneticPr fontId="2"/>
  </si>
  <si>
    <t>各担当者へヒアリング</t>
    <rPh sb="0" eb="4">
      <t>カクタントウシャ</t>
    </rPh>
    <phoneticPr fontId="2"/>
  </si>
  <si>
    <t>情報管理者</t>
    <rPh sb="0" eb="2">
      <t>ジョウホウ</t>
    </rPh>
    <rPh sb="2" eb="5">
      <t>カンリシャ</t>
    </rPh>
    <phoneticPr fontId="2"/>
  </si>
  <si>
    <t>開発端末準備</t>
    <rPh sb="0" eb="2">
      <t>カイハツ</t>
    </rPh>
    <rPh sb="2" eb="4">
      <t>タンマツ</t>
    </rPh>
    <rPh sb="4" eb="6">
      <t>ジュンビ</t>
    </rPh>
    <phoneticPr fontId="2"/>
  </si>
  <si>
    <t>3台確保</t>
    <rPh sb="1" eb="2">
      <t>ダイ</t>
    </rPh>
    <rPh sb="2" eb="4">
      <t>カクホ</t>
    </rPh>
    <phoneticPr fontId="2"/>
  </si>
  <si>
    <t>H031P2263(国さん机端末)…新人？用</t>
    <rPh sb="10" eb="11">
      <t>クニ</t>
    </rPh>
    <rPh sb="13" eb="14">
      <t>ツクエ</t>
    </rPh>
    <rPh sb="14" eb="16">
      <t>タンマツ</t>
    </rPh>
    <rPh sb="18" eb="20">
      <t>シンジン</t>
    </rPh>
    <rPh sb="21" eb="22">
      <t>ヨウ</t>
    </rPh>
    <phoneticPr fontId="2"/>
  </si>
  <si>
    <t>H031P2275(旧安部さん端末)…江さん用</t>
    <rPh sb="10" eb="11">
      <t>キュウ</t>
    </rPh>
    <rPh sb="11" eb="13">
      <t>アベ</t>
    </rPh>
    <rPh sb="15" eb="17">
      <t>タンマツ</t>
    </rPh>
    <phoneticPr fontId="2"/>
  </si>
  <si>
    <t>H031P2274(旧王さん端末)…ルイさん用(要初期化)</t>
    <rPh sb="10" eb="11">
      <t>キュウ</t>
    </rPh>
    <rPh sb="11" eb="12">
      <t>オウ</t>
    </rPh>
    <rPh sb="14" eb="16">
      <t>タンマツ</t>
    </rPh>
    <phoneticPr fontId="2"/>
  </si>
  <si>
    <t>(遡及)済</t>
    <rPh sb="1" eb="3">
      <t>ソキュウ</t>
    </rPh>
    <rPh sb="4" eb="5">
      <t>ス</t>
    </rPh>
    <phoneticPr fontId="2"/>
  </si>
  <si>
    <t>7/30～8/3</t>
    <phoneticPr fontId="2"/>
  </si>
  <si>
    <t>調査(2_DBから中退共へ移換を可能とする対応)</t>
    <rPh sb="0" eb="2">
      <t>チョウサ</t>
    </rPh>
    <phoneticPr fontId="2"/>
  </si>
  <si>
    <t>調査(3_DC及び中退共からDBへ受換①(移換元種類追加))</t>
    <phoneticPr fontId="2"/>
  </si>
  <si>
    <t>生産性向上委員会</t>
    <rPh sb="0" eb="3">
      <t>セイサンセイ</t>
    </rPh>
    <rPh sb="3" eb="5">
      <t>コウジョウ</t>
    </rPh>
    <rPh sb="5" eb="8">
      <t>イインカイ</t>
    </rPh>
    <phoneticPr fontId="2"/>
  </si>
  <si>
    <t>No.9_共通資源整理</t>
    <rPh sb="5" eb="7">
      <t>キョウツウ</t>
    </rPh>
    <rPh sb="7" eb="9">
      <t>シゲン</t>
    </rPh>
    <rPh sb="9" eb="11">
      <t>セイリ</t>
    </rPh>
    <phoneticPr fontId="2"/>
  </si>
  <si>
    <t>No.12_貸出フロー更新</t>
    <rPh sb="6" eb="8">
      <t>カシダシ</t>
    </rPh>
    <rPh sb="11" eb="13">
      <t>コウシン</t>
    </rPh>
    <phoneticPr fontId="2"/>
  </si>
  <si>
    <t>照会連絡票(2334)</t>
    <rPh sb="0" eb="2">
      <t>ショウカイ</t>
    </rPh>
    <rPh sb="2" eb="4">
      <t>レンラク</t>
    </rPh>
    <rPh sb="4" eb="5">
      <t>ヒョウ</t>
    </rPh>
    <phoneticPr fontId="2"/>
  </si>
  <si>
    <t>回答</t>
    <rPh sb="0" eb="2">
      <t>カイトウ</t>
    </rPh>
    <phoneticPr fontId="2"/>
  </si>
  <si>
    <t>残タスク整理</t>
    <rPh sb="0" eb="1">
      <t>ザン</t>
    </rPh>
    <rPh sb="4" eb="6">
      <t>セイリ</t>
    </rPh>
    <phoneticPr fontId="2"/>
  </si>
  <si>
    <t>各担当者へ残タスク対応開始連絡</t>
    <rPh sb="0" eb="4">
      <t>カクタントウシャ</t>
    </rPh>
    <rPh sb="5" eb="6">
      <t>ザン</t>
    </rPh>
    <rPh sb="9" eb="11">
      <t>タイオウ</t>
    </rPh>
    <rPh sb="11" eb="13">
      <t>カイシ</t>
    </rPh>
    <rPh sb="13" eb="15">
      <t>レンラク</t>
    </rPh>
    <phoneticPr fontId="2"/>
  </si>
  <si>
    <t>8/6～8/10</t>
    <phoneticPr fontId="2"/>
  </si>
  <si>
    <t>作成(1_事業報告書の変更)</t>
    <rPh sb="0" eb="2">
      <t>サクセイ</t>
    </rPh>
    <phoneticPr fontId="2"/>
  </si>
  <si>
    <t>作成(2_DBから中退共へ移換を可能とする対応)</t>
    <rPh sb="0" eb="2">
      <t>サクセイ</t>
    </rPh>
    <phoneticPr fontId="2"/>
  </si>
  <si>
    <t>作成(3_DC及び中退共からDBへ受換①(移換元種類追加))</t>
    <rPh sb="0" eb="2">
      <t>サクセイ</t>
    </rPh>
    <phoneticPr fontId="2"/>
  </si>
  <si>
    <t>作成(4_DC及び中退共からDBへ受換②(ゼロ円受換))</t>
    <rPh sb="0" eb="2">
      <t>サクセイ</t>
    </rPh>
    <phoneticPr fontId="2"/>
  </si>
  <si>
    <t>作成(5_DC及び中退共からDBへ受換③(移換元完了通知書))</t>
    <rPh sb="0" eb="2">
      <t>サクセイ</t>
    </rPh>
    <phoneticPr fontId="2"/>
  </si>
  <si>
    <t>見積り(1_事業報告書の変更)</t>
    <rPh sb="0" eb="2">
      <t>ミツモ</t>
    </rPh>
    <phoneticPr fontId="2"/>
  </si>
  <si>
    <t>見積り(2_DBから中退共へ移換を可能とする対応)</t>
    <rPh sb="0" eb="2">
      <t>ミツモ</t>
    </rPh>
    <phoneticPr fontId="2"/>
  </si>
  <si>
    <t>見積り(3_DC及び中退共からDBへ受換①(移換元種類追加))</t>
    <rPh sb="0" eb="2">
      <t>ミツモ</t>
    </rPh>
    <phoneticPr fontId="2"/>
  </si>
  <si>
    <t>見積り(4_DC及び中退共からDBへ受換②(ゼロ円受換))</t>
    <rPh sb="0" eb="2">
      <t>ミツモ</t>
    </rPh>
    <phoneticPr fontId="2"/>
  </si>
  <si>
    <t>見積り(5_DC及び中退共からDBへ受換③(移換元完了通知書))</t>
    <rPh sb="0" eb="2">
      <t>ミツモ</t>
    </rPh>
    <phoneticPr fontId="2"/>
  </si>
  <si>
    <t>A00921_(法改正)リスク分担型企業年金制度の対応 - (RD)事業報告書</t>
    <phoneticPr fontId="2"/>
  </si>
  <si>
    <t>様式整備</t>
    <rPh sb="0" eb="2">
      <t>ヨウシキ</t>
    </rPh>
    <rPh sb="2" eb="4">
      <t>セイビ</t>
    </rPh>
    <phoneticPr fontId="2"/>
  </si>
  <si>
    <t>メール案内</t>
    <rPh sb="3" eb="5">
      <t>アンナイ</t>
    </rPh>
    <phoneticPr fontId="2"/>
  </si>
  <si>
    <t>8/13～8/17</t>
    <phoneticPr fontId="2"/>
  </si>
  <si>
    <t>A00924_適年DB数理IFファイル作成_受給権者基加別TBL取得不可解消対応</t>
    <phoneticPr fontId="2"/>
  </si>
  <si>
    <t>進捗確認</t>
    <rPh sb="0" eb="2">
      <t>シンチョク</t>
    </rPh>
    <rPh sb="2" eb="4">
      <t>カクニン</t>
    </rPh>
    <phoneticPr fontId="2"/>
  </si>
  <si>
    <t>要件定義説明会召集</t>
    <rPh sb="0" eb="2">
      <t>ヨウケン</t>
    </rPh>
    <rPh sb="2" eb="4">
      <t>テイギ</t>
    </rPh>
    <rPh sb="4" eb="7">
      <t>セツメイカイ</t>
    </rPh>
    <rPh sb="7" eb="9">
      <t>ショウシュウ</t>
    </rPh>
    <phoneticPr fontId="2"/>
  </si>
  <si>
    <t>変更申請承認依頼</t>
    <rPh sb="0" eb="2">
      <t>ヘンコウ</t>
    </rPh>
    <rPh sb="2" eb="4">
      <t>シンセイ</t>
    </rPh>
    <rPh sb="4" eb="6">
      <t>ショウニン</t>
    </rPh>
    <rPh sb="6" eb="8">
      <t>イライ</t>
    </rPh>
    <phoneticPr fontId="2"/>
  </si>
  <si>
    <t>マージ</t>
    <phoneticPr fontId="2"/>
  </si>
  <si>
    <t>S/I Rv召集</t>
    <rPh sb="6" eb="8">
      <t>ショウシュウ</t>
    </rPh>
    <phoneticPr fontId="2"/>
  </si>
  <si>
    <t>IT Ci 申請</t>
    <rPh sb="6" eb="8">
      <t>シンセイ</t>
    </rPh>
    <phoneticPr fontId="2"/>
  </si>
  <si>
    <t>8/20～8/24</t>
    <phoneticPr fontId="2"/>
  </si>
  <si>
    <t>IT Ci確認(8/23)</t>
    <rPh sb="5" eb="7">
      <t>カクニン</t>
    </rPh>
    <phoneticPr fontId="2"/>
  </si>
  <si>
    <t>8/27～8/31</t>
    <phoneticPr fontId="2"/>
  </si>
  <si>
    <t>次回ST Ci依頼(8/29)</t>
    <rPh sb="0" eb="2">
      <t>ジカイ</t>
    </rPh>
    <rPh sb="7" eb="9">
      <t>イライ</t>
    </rPh>
    <phoneticPr fontId="2"/>
  </si>
  <si>
    <t>基本行動チェックリスト</t>
    <rPh sb="0" eb="2">
      <t>キホン</t>
    </rPh>
    <rPh sb="2" eb="4">
      <t>コウドウ</t>
    </rPh>
    <phoneticPr fontId="2"/>
  </si>
  <si>
    <t>初回稼働確認一覧表</t>
    <phoneticPr fontId="2"/>
  </si>
  <si>
    <t>変更一覧</t>
    <rPh sb="0" eb="2">
      <t>ヘンコウ</t>
    </rPh>
    <rPh sb="2" eb="4">
      <t>イチラン</t>
    </rPh>
    <phoneticPr fontId="2"/>
  </si>
  <si>
    <t>精査実施報告書</t>
    <rPh sb="0" eb="2">
      <t>セイサ</t>
    </rPh>
    <rPh sb="2" eb="4">
      <t>ジッシ</t>
    </rPh>
    <rPh sb="4" eb="7">
      <t>ホウコクショ</t>
    </rPh>
    <phoneticPr fontId="2"/>
  </si>
  <si>
    <t>成果物チェックリスト</t>
    <phoneticPr fontId="2"/>
  </si>
  <si>
    <t>作業依頼連絡書</t>
    <phoneticPr fontId="2"/>
  </si>
  <si>
    <t>作業報告兼ｾｷｭﾘﾃｨｶｰﾄﾞ貸出依頼書</t>
    <phoneticPr fontId="2"/>
  </si>
  <si>
    <t>フェーズアップ結果確認手順（定例）</t>
    <phoneticPr fontId="2"/>
  </si>
  <si>
    <t>S/I Rv資料作成</t>
    <rPh sb="6" eb="8">
      <t>シリョウ</t>
    </rPh>
    <rPh sb="8" eb="10">
      <t>サクセイ</t>
    </rPh>
    <phoneticPr fontId="2"/>
  </si>
  <si>
    <t>PBA(外部設計以降)準備</t>
    <rPh sb="11" eb="13">
      <t>ジュンビ</t>
    </rPh>
    <phoneticPr fontId="2"/>
  </si>
  <si>
    <t>成果物チェックリスト(8/29)</t>
    <phoneticPr fontId="2"/>
  </si>
  <si>
    <t>変更一覧(8/29)</t>
    <rPh sb="0" eb="2">
      <t>ヘンコウ</t>
    </rPh>
    <rPh sb="2" eb="4">
      <t>イチラン</t>
    </rPh>
    <phoneticPr fontId="2"/>
  </si>
  <si>
    <t>本番作業確認一覧表</t>
    <phoneticPr fontId="2"/>
  </si>
  <si>
    <t>照会連絡票（初回稼働確認依頼）</t>
    <rPh sb="0" eb="2">
      <t>ショウカイ</t>
    </rPh>
    <rPh sb="2" eb="4">
      <t>レンラク</t>
    </rPh>
    <rPh sb="4" eb="5">
      <t>ヒョウ</t>
    </rPh>
    <rPh sb="6" eb="8">
      <t>ショカイ</t>
    </rPh>
    <rPh sb="8" eb="10">
      <t>カドウ</t>
    </rPh>
    <rPh sb="10" eb="12">
      <t>カクニン</t>
    </rPh>
    <rPh sb="12" eb="14">
      <t>イライ</t>
    </rPh>
    <phoneticPr fontId="2"/>
  </si>
  <si>
    <t>A00921_(法改正)リスク分担型企業年金制度の対応 - (RD)事業報告書</t>
    <phoneticPr fontId="2"/>
  </si>
  <si>
    <t>要件定義</t>
  </si>
  <si>
    <t>変更申請承認依頼</t>
  </si>
  <si>
    <t>(事業報告書)TM（RDからED）作成</t>
  </si>
  <si>
    <t>(事業報告書)生産計画表（ED）</t>
  </si>
  <si>
    <t>(全体)TM（RDからED）作成</t>
  </si>
  <si>
    <t>(全体)生産計画表（ED）</t>
  </si>
  <si>
    <t>(全体)精査実施報告書</t>
  </si>
  <si>
    <t>期限：2018年9月3日　9:00まで</t>
  </si>
  <si>
    <t>【依頼】昨年実施した業務効率化アンケートの対応結果の評価と新たなアンケートの実施について</t>
  </si>
  <si>
    <t>鷹津さんより。9月7日(金) 17:00まで</t>
  </si>
  <si>
    <t>要件定義実施依頼（T-494-18-009-90_(信託)年金制度管理システムReppyの委託者要望、事務厳正化・効率化対応）</t>
  </si>
  <si>
    <t>見積り</t>
  </si>
  <si>
    <t>No.4 エクセルアップロードファイルの改善</t>
  </si>
  <si>
    <t>No.5 不要還元資料の廃止</t>
  </si>
  <si>
    <t>要件定義書の完成の現在の目標は9月21日です。（ユーザー検証はその翌週9/28）</t>
  </si>
  <si>
    <t>9/3～9/7</t>
    <phoneticPr fontId="2"/>
  </si>
  <si>
    <t>作業依頼連絡書</t>
    <phoneticPr fontId="2"/>
  </si>
  <si>
    <t>作業依頼連絡書　提出</t>
    <rPh sb="0" eb="2">
      <t>サギョウ</t>
    </rPh>
    <rPh sb="2" eb="4">
      <t>イライ</t>
    </rPh>
    <rPh sb="4" eb="7">
      <t>レンラクショ</t>
    </rPh>
    <rPh sb="8" eb="10">
      <t>テイシュツ</t>
    </rPh>
    <phoneticPr fontId="2"/>
  </si>
  <si>
    <t>作業報告兼ｾｷｭﾘﾃｨｶｰﾄﾞ貸出依頼書　提出</t>
    <rPh sb="21" eb="23">
      <t>テイシュツ</t>
    </rPh>
    <phoneticPr fontId="2"/>
  </si>
  <si>
    <t>9/7 実施</t>
    <rPh sb="4" eb="6">
      <t>ジッシ</t>
    </rPh>
    <phoneticPr fontId="2"/>
  </si>
  <si>
    <t>9/5 マデに実施</t>
    <rPh sb="7" eb="9">
      <t>ジッシ</t>
    </rPh>
    <phoneticPr fontId="2"/>
  </si>
  <si>
    <t>照会連絡票（初回稼働確認依頼）</t>
    <phoneticPr fontId="2"/>
  </si>
  <si>
    <t>PBA(外部設計以降)準備</t>
    <phoneticPr fontId="2"/>
  </si>
  <si>
    <t>DoU依頼</t>
    <rPh sb="3" eb="5">
      <t>イライ</t>
    </rPh>
    <phoneticPr fontId="2"/>
  </si>
  <si>
    <t>期限：2018年9月3日　7:00まで
諏訪さんメール参照。</t>
    <rPh sb="20" eb="22">
      <t>スワ</t>
    </rPh>
    <rPh sb="27" eb="29">
      <t>サンショウ</t>
    </rPh>
    <phoneticPr fontId="2"/>
  </si>
  <si>
    <t>PBA(外部設計以降)資料作成</t>
    <phoneticPr fontId="2"/>
  </si>
  <si>
    <t>要件定義実施依頼（T-494-18-009-90_(信託)年金制度管理システムReppyの委託者要望、事務厳正化・効率化対応）</t>
    <phoneticPr fontId="2"/>
  </si>
  <si>
    <t>見積り</t>
    <phoneticPr fontId="2"/>
  </si>
  <si>
    <t>本番ユーザーID借出</t>
    <rPh sb="0" eb="2">
      <t>ホンバン</t>
    </rPh>
    <rPh sb="8" eb="10">
      <t>カリダシ</t>
    </rPh>
    <phoneticPr fontId="2"/>
  </si>
  <si>
    <t>15面水際環境構築</t>
    <rPh sb="2" eb="3">
      <t>メン</t>
    </rPh>
    <rPh sb="3" eb="5">
      <t>ミズギワ</t>
    </rPh>
    <rPh sb="5" eb="7">
      <t>カンキョウ</t>
    </rPh>
    <rPh sb="7" eb="9">
      <t>コウチク</t>
    </rPh>
    <phoneticPr fontId="2"/>
  </si>
  <si>
    <t>DB権限</t>
    <rPh sb="2" eb="4">
      <t>ケンゲン</t>
    </rPh>
    <phoneticPr fontId="2"/>
  </si>
  <si>
    <t>松本さん・安部さんのログインパスワード設定後、Export実施</t>
    <rPh sb="0" eb="2">
      <t>マツモト</t>
    </rPh>
    <rPh sb="5" eb="7">
      <t>アベ</t>
    </rPh>
    <rPh sb="19" eb="21">
      <t>セッテイ</t>
    </rPh>
    <rPh sb="21" eb="22">
      <t>ゴ</t>
    </rPh>
    <rPh sb="29" eb="31">
      <t>ジッシ</t>
    </rPh>
    <phoneticPr fontId="2"/>
  </si>
  <si>
    <t>9/10～9/14</t>
    <phoneticPr fontId="2"/>
  </si>
  <si>
    <t>生産性向上委員会</t>
  </si>
  <si>
    <t>手順書整備</t>
    <rPh sb="0" eb="2">
      <t>テジュン</t>
    </rPh>
    <rPh sb="2" eb="3">
      <t>ショ</t>
    </rPh>
    <rPh sb="3" eb="5">
      <t>セイビ</t>
    </rPh>
    <phoneticPr fontId="2"/>
  </si>
  <si>
    <t>出力一覧</t>
    <rPh sb="0" eb="2">
      <t>シュツリョク</t>
    </rPh>
    <rPh sb="2" eb="4">
      <t>イチラン</t>
    </rPh>
    <phoneticPr fontId="2"/>
  </si>
  <si>
    <t>他シスI/F一覧</t>
    <rPh sb="0" eb="1">
      <t>タ</t>
    </rPh>
    <rPh sb="6" eb="8">
      <t>イチラン</t>
    </rPh>
    <phoneticPr fontId="2"/>
  </si>
  <si>
    <t>TM</t>
    <phoneticPr fontId="2"/>
  </si>
  <si>
    <t>TM作成</t>
    <rPh sb="2" eb="4">
      <t>サクセイ</t>
    </rPh>
    <phoneticPr fontId="2"/>
  </si>
  <si>
    <t>要件定義書作成</t>
    <rPh sb="0" eb="2">
      <t>ヨウケン</t>
    </rPh>
    <rPh sb="2" eb="4">
      <t>テイギ</t>
    </rPh>
    <rPh sb="4" eb="5">
      <t>ショ</t>
    </rPh>
    <rPh sb="5" eb="7">
      <t>サクセイ</t>
    </rPh>
    <phoneticPr fontId="2"/>
  </si>
  <si>
    <t>見積り</t>
    <rPh sb="0" eb="2">
      <t>ミツモ</t>
    </rPh>
    <phoneticPr fontId="2"/>
  </si>
  <si>
    <t>国さんの精査待ち</t>
    <rPh sb="0" eb="1">
      <t>クニ</t>
    </rPh>
    <rPh sb="4" eb="6">
      <t>セイサ</t>
    </rPh>
    <rPh sb="6" eb="7">
      <t>マ</t>
    </rPh>
    <phoneticPr fontId="2"/>
  </si>
  <si>
    <t>ユーザーからの回答待ち</t>
    <rPh sb="7" eb="9">
      <t>カイトウ</t>
    </rPh>
    <rPh sb="9" eb="10">
      <t>マ</t>
    </rPh>
    <phoneticPr fontId="2"/>
  </si>
  <si>
    <t>TM</t>
  </si>
  <si>
    <t>申請が必要な「前提」についてテンプレ用意</t>
    <rPh sb="0" eb="2">
      <t>シンセイ</t>
    </rPh>
    <rPh sb="3" eb="5">
      <t>ヒツヨウ</t>
    </rPh>
    <rPh sb="7" eb="9">
      <t>ゼンテイ</t>
    </rPh>
    <rPh sb="18" eb="20">
      <t>ヨウイ</t>
    </rPh>
    <phoneticPr fontId="2"/>
  </si>
  <si>
    <t>申請が必要な「前提」についてアナウンス</t>
    <rPh sb="0" eb="2">
      <t>シンセイ</t>
    </rPh>
    <rPh sb="3" eb="5">
      <t>ヒツヨウ</t>
    </rPh>
    <rPh sb="7" eb="9">
      <t>ゼンテイ</t>
    </rPh>
    <phoneticPr fontId="2"/>
  </si>
  <si>
    <t>9/17～9/21</t>
    <phoneticPr fontId="2"/>
  </si>
  <si>
    <t>(見積り)No.4 エクセルアップロードファイルの改善</t>
    <rPh sb="1" eb="3">
      <t>ミツモ</t>
    </rPh>
    <phoneticPr fontId="2"/>
  </si>
  <si>
    <t>工数算出シートの作成</t>
    <rPh sb="0" eb="2">
      <t>コウスウ</t>
    </rPh>
    <rPh sb="2" eb="4">
      <t>サンシュツ</t>
    </rPh>
    <rPh sb="8" eb="10">
      <t>サクセイ</t>
    </rPh>
    <phoneticPr fontId="2"/>
  </si>
  <si>
    <t>FPカウント資料の作成</t>
    <rPh sb="9" eb="11">
      <t>サクセイ</t>
    </rPh>
    <phoneticPr fontId="2"/>
  </si>
  <si>
    <t>(見積り)No.5 不要還元資料の廃止</t>
    <rPh sb="1" eb="3">
      <t>ミツモ</t>
    </rPh>
    <phoneticPr fontId="2"/>
  </si>
  <si>
    <t>セッション資料の格納</t>
    <rPh sb="5" eb="7">
      <t>シリョウ</t>
    </rPh>
    <rPh sb="8" eb="10">
      <t>カクノウ</t>
    </rPh>
    <phoneticPr fontId="2"/>
  </si>
  <si>
    <t>外部設計</t>
    <rPh sb="0" eb="2">
      <t>ガイブ</t>
    </rPh>
    <rPh sb="2" eb="4">
      <t>セッケイ</t>
    </rPh>
    <phoneticPr fontId="2"/>
  </si>
  <si>
    <t>作成</t>
    <rPh sb="0" eb="2">
      <t>サクセイ</t>
    </rPh>
    <phoneticPr fontId="2"/>
  </si>
  <si>
    <t>9/25～9/28</t>
    <phoneticPr fontId="2"/>
  </si>
  <si>
    <t>完了</t>
    <phoneticPr fontId="2"/>
  </si>
  <si>
    <t>10/1～10/5</t>
    <phoneticPr fontId="2"/>
  </si>
  <si>
    <t>確認会</t>
    <rPh sb="0" eb="2">
      <t>カクニン</t>
    </rPh>
    <rPh sb="2" eb="3">
      <t>カイ</t>
    </rPh>
    <phoneticPr fontId="2"/>
  </si>
  <si>
    <t>予定表作成</t>
    <rPh sb="0" eb="2">
      <t>ヨテイ</t>
    </rPh>
    <rPh sb="2" eb="3">
      <t>ヒョウ</t>
    </rPh>
    <rPh sb="3" eb="5">
      <t>サクセイ</t>
    </rPh>
    <phoneticPr fontId="2"/>
  </si>
  <si>
    <t>展開</t>
    <rPh sb="0" eb="2">
      <t>テンカイ</t>
    </rPh>
    <phoneticPr fontId="2"/>
  </si>
  <si>
    <t>10/9～10/12</t>
    <phoneticPr fontId="2"/>
  </si>
  <si>
    <t>適年DB数理IFファイル作成_算出期間逆転現象解消対応</t>
    <phoneticPr fontId="2"/>
  </si>
  <si>
    <t>ユーザーRv日程調整</t>
    <phoneticPr fontId="2"/>
  </si>
  <si>
    <t>要件定義修正内容についてユーザーと話す</t>
    <rPh sb="0" eb="2">
      <t>ヨウケン</t>
    </rPh>
    <rPh sb="2" eb="4">
      <t>テイギ</t>
    </rPh>
    <rPh sb="4" eb="6">
      <t>シュウセイ</t>
    </rPh>
    <rPh sb="6" eb="8">
      <t>ナイヨウ</t>
    </rPh>
    <rPh sb="17" eb="18">
      <t>ハナ</t>
    </rPh>
    <phoneticPr fontId="2"/>
  </si>
  <si>
    <t>面環境構築</t>
    <rPh sb="0" eb="1">
      <t>メン</t>
    </rPh>
    <rPh sb="1" eb="3">
      <t>カンキョウ</t>
    </rPh>
    <rPh sb="3" eb="5">
      <t>コウチク</t>
    </rPh>
    <phoneticPr fontId="2"/>
  </si>
  <si>
    <t>ビルド</t>
    <phoneticPr fontId="2"/>
  </si>
  <si>
    <t>15面へ配布</t>
    <rPh sb="2" eb="3">
      <t>メン</t>
    </rPh>
    <rPh sb="4" eb="6">
      <t>ハイフ</t>
    </rPh>
    <phoneticPr fontId="2"/>
  </si>
  <si>
    <t>現新比較</t>
    <rPh sb="0" eb="2">
      <t>ゲンシン</t>
    </rPh>
    <rPh sb="2" eb="4">
      <t>ヒカク</t>
    </rPh>
    <phoneticPr fontId="2"/>
  </si>
  <si>
    <t>実施</t>
    <rPh sb="0" eb="2">
      <t>ジッシ</t>
    </rPh>
    <phoneticPr fontId="2"/>
  </si>
  <si>
    <t>検証</t>
    <rPh sb="0" eb="2">
      <t>ケンショウ</t>
    </rPh>
    <phoneticPr fontId="2"/>
  </si>
  <si>
    <t>10/15～10/19</t>
    <phoneticPr fontId="2"/>
  </si>
  <si>
    <t>帳票、他シス</t>
    <rPh sb="0" eb="2">
      <t>チョウヒョウ</t>
    </rPh>
    <rPh sb="3" eb="4">
      <t>タ</t>
    </rPh>
    <phoneticPr fontId="2"/>
  </si>
  <si>
    <t>再度確認</t>
    <rPh sb="0" eb="2">
      <t>サイド</t>
    </rPh>
    <rPh sb="2" eb="4">
      <t>カクニン</t>
    </rPh>
    <phoneticPr fontId="2"/>
  </si>
  <si>
    <t>ユーザーRv日程調整</t>
  </si>
  <si>
    <t>適年DB数理IFファイル作成_算出期間逆転現象解消対応</t>
  </si>
  <si>
    <t>ユーザー調整</t>
    <rPh sb="4" eb="6">
      <t>チョウセイ</t>
    </rPh>
    <phoneticPr fontId="2"/>
  </si>
  <si>
    <t>熊丸さまに確認</t>
    <phoneticPr fontId="2"/>
  </si>
  <si>
    <t>照会連絡票投げる</t>
    <rPh sb="0" eb="2">
      <t>ショウカイ</t>
    </rPh>
    <rPh sb="2" eb="4">
      <t>レンラク</t>
    </rPh>
    <rPh sb="4" eb="5">
      <t>ヒョウ</t>
    </rPh>
    <rPh sb="5" eb="6">
      <t>ナ</t>
    </rPh>
    <phoneticPr fontId="2"/>
  </si>
  <si>
    <t>案件フォルダ準備</t>
    <rPh sb="0" eb="2">
      <t>アンケン</t>
    </rPh>
    <rPh sb="6" eb="8">
      <t>ジュンビ</t>
    </rPh>
    <phoneticPr fontId="2"/>
  </si>
  <si>
    <t>案件フォルダ内の内容を用意する</t>
    <rPh sb="0" eb="2">
      <t>アンケン</t>
    </rPh>
    <rPh sb="6" eb="7">
      <t>ナイ</t>
    </rPh>
    <rPh sb="8" eb="10">
      <t>ナイヨウ</t>
    </rPh>
    <rPh sb="11" eb="13">
      <t>ヨウイ</t>
    </rPh>
    <phoneticPr fontId="2"/>
  </si>
  <si>
    <t>精査実施報告書作成</t>
    <rPh sb="0" eb="2">
      <t>セイサ</t>
    </rPh>
    <rPh sb="2" eb="4">
      <t>ジッシ</t>
    </rPh>
    <rPh sb="4" eb="7">
      <t>ホウコクショ</t>
    </rPh>
    <rPh sb="7" eb="9">
      <t>サクセイ</t>
    </rPh>
    <phoneticPr fontId="2"/>
  </si>
  <si>
    <t>チェックポイント振り返り</t>
    <rPh sb="8" eb="9">
      <t>フ</t>
    </rPh>
    <rPh sb="10" eb="11">
      <t>カエ</t>
    </rPh>
    <phoneticPr fontId="2"/>
  </si>
  <si>
    <t>CheckPoint 振り返りのミーティング(11/13)</t>
  </si>
  <si>
    <t>ED</t>
    <phoneticPr fontId="2"/>
  </si>
  <si>
    <t>外部設計書借出</t>
    <rPh sb="0" eb="2">
      <t>ガイブ</t>
    </rPh>
    <rPh sb="2" eb="5">
      <t>セッケイショ</t>
    </rPh>
    <rPh sb="5" eb="7">
      <t>カリダシ</t>
    </rPh>
    <phoneticPr fontId="2"/>
  </si>
  <si>
    <t>CD</t>
  </si>
  <si>
    <t>PGM借出</t>
    <rPh sb="3" eb="5">
      <t>カリダシ</t>
    </rPh>
    <phoneticPr fontId="2"/>
  </si>
  <si>
    <t>外部設計 修正</t>
    <rPh sb="0" eb="2">
      <t>ガイブ</t>
    </rPh>
    <rPh sb="2" eb="4">
      <t>セッケイ</t>
    </rPh>
    <rPh sb="5" eb="7">
      <t>シュウセイ</t>
    </rPh>
    <phoneticPr fontId="2"/>
  </si>
  <si>
    <t>外部設計 精査</t>
    <rPh sb="5" eb="7">
      <t>セイサ</t>
    </rPh>
    <phoneticPr fontId="2"/>
  </si>
  <si>
    <t>精査実施報告書　押印</t>
    <rPh sb="0" eb="2">
      <t>セイサ</t>
    </rPh>
    <rPh sb="2" eb="4">
      <t>ジッシ</t>
    </rPh>
    <rPh sb="4" eb="7">
      <t>ホウコクショ</t>
    </rPh>
    <rPh sb="8" eb="10">
      <t>オウイン</t>
    </rPh>
    <phoneticPr fontId="2"/>
  </si>
  <si>
    <t>A00921_(法改正)リスク分担型企業年金制度の対応</t>
    <phoneticPr fontId="2"/>
  </si>
  <si>
    <t>A00921_(法改正)リスク分担型企業年金制度の対応</t>
    <phoneticPr fontId="2"/>
  </si>
  <si>
    <t>ED</t>
    <phoneticPr fontId="2"/>
  </si>
  <si>
    <t>事業報告書　作成</t>
    <rPh sb="0" eb="2">
      <t>ジギョウ</t>
    </rPh>
    <rPh sb="2" eb="5">
      <t>ホウコクショ</t>
    </rPh>
    <rPh sb="6" eb="8">
      <t>サクセイ</t>
    </rPh>
    <phoneticPr fontId="2"/>
  </si>
  <si>
    <t>10/22～10/26</t>
    <phoneticPr fontId="2"/>
  </si>
  <si>
    <t>ユーザー回答受領したら設計書に反映</t>
    <rPh sb="4" eb="6">
      <t>カイトウ</t>
    </rPh>
    <rPh sb="6" eb="8">
      <t>ズリョウ</t>
    </rPh>
    <rPh sb="11" eb="13">
      <t>セッケイ</t>
    </rPh>
    <rPh sb="13" eb="14">
      <t>ショ</t>
    </rPh>
    <rPh sb="15" eb="17">
      <t>ハンエイ</t>
    </rPh>
    <phoneticPr fontId="2"/>
  </si>
  <si>
    <t>設計書修正について照会連絡票投げる</t>
    <rPh sb="0" eb="2">
      <t>セッケイ</t>
    </rPh>
    <rPh sb="2" eb="3">
      <t>ショ</t>
    </rPh>
    <rPh sb="3" eb="5">
      <t>シュウセイ</t>
    </rPh>
    <rPh sb="9" eb="11">
      <t>ショウカイ</t>
    </rPh>
    <rPh sb="11" eb="13">
      <t>レンラク</t>
    </rPh>
    <rPh sb="13" eb="14">
      <t>ヒョウ</t>
    </rPh>
    <rPh sb="14" eb="15">
      <t>ナ</t>
    </rPh>
    <phoneticPr fontId="2"/>
  </si>
  <si>
    <t>UT</t>
  </si>
  <si>
    <t>GDCに実施依頼</t>
    <rPh sb="4" eb="6">
      <t>ジッシ</t>
    </rPh>
    <rPh sb="6" eb="8">
      <t>イライ</t>
    </rPh>
    <phoneticPr fontId="2"/>
  </si>
  <si>
    <t>UT精査</t>
    <rPh sb="2" eb="4">
      <t>セイサ</t>
    </rPh>
    <phoneticPr fontId="2"/>
  </si>
  <si>
    <t>A00921_(法改正)リスク分担型企業年金制度の対応</t>
  </si>
  <si>
    <t>ED</t>
  </si>
  <si>
    <t>ユーザーにRv用資料を送る</t>
    <rPh sb="7" eb="8">
      <t>ヨウ</t>
    </rPh>
    <rPh sb="8" eb="10">
      <t>シリョウ</t>
    </rPh>
    <rPh sb="11" eb="12">
      <t>オク</t>
    </rPh>
    <phoneticPr fontId="2"/>
  </si>
  <si>
    <t>照会連絡票(2355)</t>
    <rPh sb="0" eb="2">
      <t>ショウカイ</t>
    </rPh>
    <rPh sb="2" eb="4">
      <t>レンラク</t>
    </rPh>
    <rPh sb="4" eb="5">
      <t>ヒョウ</t>
    </rPh>
    <phoneticPr fontId="2"/>
  </si>
  <si>
    <t>GDCへ調査依頼内容の精査</t>
    <rPh sb="4" eb="6">
      <t>チョウサ</t>
    </rPh>
    <rPh sb="6" eb="8">
      <t>イライ</t>
    </rPh>
    <rPh sb="8" eb="10">
      <t>ナイヨウ</t>
    </rPh>
    <rPh sb="11" eb="13">
      <t>セイサ</t>
    </rPh>
    <phoneticPr fontId="2"/>
  </si>
  <si>
    <t>対応案検討＆見積り</t>
    <rPh sb="0" eb="2">
      <t>タイオウ</t>
    </rPh>
    <rPh sb="2" eb="3">
      <t>アン</t>
    </rPh>
    <rPh sb="3" eb="5">
      <t>ケントウ</t>
    </rPh>
    <rPh sb="6" eb="8">
      <t>ミツモ</t>
    </rPh>
    <phoneticPr fontId="2"/>
  </si>
  <si>
    <t>仲川さんにタスク説明可能か確認する</t>
    <rPh sb="0" eb="2">
      <t>ナカガワ</t>
    </rPh>
    <rPh sb="8" eb="10">
      <t>セツメイ</t>
    </rPh>
    <rPh sb="10" eb="12">
      <t>カノウ</t>
    </rPh>
    <rPh sb="13" eb="15">
      <t>カクニン</t>
    </rPh>
    <phoneticPr fontId="2"/>
  </si>
  <si>
    <t>全体</t>
    <rPh sb="0" eb="2">
      <t>ゼンタイ</t>
    </rPh>
    <phoneticPr fontId="2"/>
  </si>
  <si>
    <t>・システム共通資源申請方法.xlsx
・999_各種資源と統合環境への反映について.xls</t>
    <phoneticPr fontId="2"/>
  </si>
  <si>
    <t>ブラッシュアップする</t>
    <phoneticPr fontId="2"/>
  </si>
  <si>
    <t>変更一覧　作成</t>
    <rPh sb="0" eb="2">
      <t>ヘンコウ</t>
    </rPh>
    <rPh sb="2" eb="4">
      <t>イチラン</t>
    </rPh>
    <rPh sb="5" eb="7">
      <t>サクセイ</t>
    </rPh>
    <phoneticPr fontId="2"/>
  </si>
  <si>
    <t>10/29～11/2</t>
    <phoneticPr fontId="2"/>
  </si>
  <si>
    <t>ブラッシュアップする</t>
  </si>
  <si>
    <t>・GDC陳さん記入待ち</t>
    <rPh sb="4" eb="5">
      <t>チン</t>
    </rPh>
    <rPh sb="7" eb="9">
      <t>キニュウ</t>
    </rPh>
    <rPh sb="9" eb="10">
      <t>マ</t>
    </rPh>
    <phoneticPr fontId="2"/>
  </si>
  <si>
    <t>生産計画表(CD)　作成</t>
    <rPh sb="0" eb="2">
      <t>セイサン</t>
    </rPh>
    <rPh sb="2" eb="4">
      <t>ケイカク</t>
    </rPh>
    <rPh sb="4" eb="5">
      <t>ヒョウ</t>
    </rPh>
    <rPh sb="10" eb="12">
      <t>サクセイ</t>
    </rPh>
    <phoneticPr fontId="2"/>
  </si>
  <si>
    <t>生産計画表(UT)　作成</t>
    <phoneticPr fontId="2"/>
  </si>
  <si>
    <t>・システム共通資源申請方法.xlsx
・999_各種資源と統合環境への反映について.xls</t>
    <phoneticPr fontId="2"/>
  </si>
  <si>
    <t>・GDC陳さん記入待ち</t>
  </si>
  <si>
    <t>システム開発連絡票送付(ED)</t>
    <rPh sb="4" eb="6">
      <t>カイハツ</t>
    </rPh>
    <rPh sb="6" eb="8">
      <t>レンラク</t>
    </rPh>
    <rPh sb="8" eb="9">
      <t>ヒョウ</t>
    </rPh>
    <rPh sb="9" eb="11">
      <t>ソウフ</t>
    </rPh>
    <phoneticPr fontId="2"/>
  </si>
  <si>
    <t>案件資料用意</t>
    <rPh sb="0" eb="2">
      <t>アンケン</t>
    </rPh>
    <rPh sb="2" eb="4">
      <t>シリョウ</t>
    </rPh>
    <rPh sb="4" eb="6">
      <t>ヨウイ</t>
    </rPh>
    <phoneticPr fontId="2"/>
  </si>
  <si>
    <t>WBS/マスタスケジュール作成</t>
    <rPh sb="13" eb="15">
      <t>サクセイ</t>
    </rPh>
    <phoneticPr fontId="2"/>
  </si>
  <si>
    <t>・CheckPoint記載、・自己評価シート記載</t>
    <rPh sb="11" eb="13">
      <t>キサイ</t>
    </rPh>
    <rPh sb="15" eb="17">
      <t>ジコ</t>
    </rPh>
    <rPh sb="17" eb="19">
      <t>ヒョウカ</t>
    </rPh>
    <rPh sb="22" eb="24">
      <t>キサイ</t>
    </rPh>
    <phoneticPr fontId="2"/>
  </si>
  <si>
    <t>GDC陳さんへ調査依頼内容の精査</t>
    <rPh sb="3" eb="4">
      <t>チン</t>
    </rPh>
    <rPh sb="7" eb="9">
      <t>チョウサ</t>
    </rPh>
    <rPh sb="9" eb="11">
      <t>イライ</t>
    </rPh>
    <rPh sb="11" eb="13">
      <t>ナイヨウ</t>
    </rPh>
    <rPh sb="14" eb="16">
      <t>セイサ</t>
    </rPh>
    <phoneticPr fontId="2"/>
  </si>
  <si>
    <t>A00943_指図書出力一覧画面表示時の受給権者番号ソート対応</t>
  </si>
  <si>
    <t>外部設計のシステム開発連絡票送付</t>
    <rPh sb="0" eb="2">
      <t>ガイブ</t>
    </rPh>
    <rPh sb="2" eb="4">
      <t>セッケイ</t>
    </rPh>
    <rPh sb="9" eb="11">
      <t>カイハツ</t>
    </rPh>
    <rPh sb="11" eb="13">
      <t>レンラク</t>
    </rPh>
    <rPh sb="13" eb="14">
      <t>ヒョウ</t>
    </rPh>
    <rPh sb="14" eb="16">
      <t>ソウフ</t>
    </rPh>
    <phoneticPr fontId="2"/>
  </si>
  <si>
    <t>・システム部からの予防保守案件開始連絡受領待ち</t>
    <rPh sb="5" eb="6">
      <t>ブ</t>
    </rPh>
    <rPh sb="9" eb="11">
      <t>ヨボウ</t>
    </rPh>
    <rPh sb="11" eb="13">
      <t>ホシュ</t>
    </rPh>
    <rPh sb="13" eb="15">
      <t>アンケン</t>
    </rPh>
    <rPh sb="15" eb="17">
      <t>カイシ</t>
    </rPh>
    <rPh sb="17" eb="19">
      <t>レンラク</t>
    </rPh>
    <rPh sb="19" eb="21">
      <t>ズリョウ</t>
    </rPh>
    <rPh sb="21" eb="22">
      <t>マ</t>
    </rPh>
    <phoneticPr fontId="2"/>
  </si>
  <si>
    <t>・ユーザー柿原さんの回答待ち</t>
    <rPh sb="5" eb="7">
      <t>カキハラ</t>
    </rPh>
    <rPh sb="10" eb="12">
      <t>カイトウ</t>
    </rPh>
    <rPh sb="12" eb="13">
      <t>マ</t>
    </rPh>
    <phoneticPr fontId="2"/>
  </si>
  <si>
    <t>・陳さんからの回答待ち</t>
    <rPh sb="1" eb="2">
      <t>チン</t>
    </rPh>
    <rPh sb="7" eb="9">
      <t>カイトウ</t>
    </rPh>
    <rPh sb="9" eb="10">
      <t>マ</t>
    </rPh>
    <phoneticPr fontId="2"/>
  </si>
  <si>
    <t>CD(D&amp;I分_SVF) 実施</t>
    <rPh sb="6" eb="7">
      <t>ブン</t>
    </rPh>
    <rPh sb="13" eb="15">
      <t>ジッシ</t>
    </rPh>
    <phoneticPr fontId="2"/>
  </si>
  <si>
    <t>CD(D&amp;I分_SVF) 精査依頼</t>
    <rPh sb="6" eb="7">
      <t>ブン</t>
    </rPh>
    <rPh sb="13" eb="15">
      <t>セイサ</t>
    </rPh>
    <rPh sb="15" eb="17">
      <t>イライ</t>
    </rPh>
    <phoneticPr fontId="2"/>
  </si>
  <si>
    <t>精査実施報告書　作成</t>
    <rPh sb="0" eb="2">
      <t>セイサ</t>
    </rPh>
    <rPh sb="2" eb="4">
      <t>ジッシ</t>
    </rPh>
    <rPh sb="4" eb="7">
      <t>ホウコクショ</t>
    </rPh>
    <rPh sb="8" eb="10">
      <t>サクセイ</t>
    </rPh>
    <phoneticPr fontId="2"/>
  </si>
  <si>
    <t>11/5～11/9</t>
    <phoneticPr fontId="2"/>
  </si>
  <si>
    <t>生産計画表(UT)　作成</t>
  </si>
  <si>
    <t>IT</t>
  </si>
  <si>
    <t>対応案検討＆見積り</t>
    <phoneticPr fontId="2"/>
  </si>
  <si>
    <t>事業報告書　精査依頼</t>
    <rPh sb="0" eb="2">
      <t>ジギョウ</t>
    </rPh>
    <rPh sb="2" eb="5">
      <t>ホウコクショ</t>
    </rPh>
    <rPh sb="6" eb="8">
      <t>セイサ</t>
    </rPh>
    <rPh sb="8" eb="10">
      <t>イライ</t>
    </rPh>
    <phoneticPr fontId="2"/>
  </si>
  <si>
    <t>フォルダ先</t>
    <rPh sb="4" eb="5">
      <t>サキ</t>
    </rPh>
    <phoneticPr fontId="6"/>
  </si>
  <si>
    <t>■</t>
    <phoneticPr fontId="2"/>
  </si>
  <si>
    <t>A00928_適年DB数理IFファイル作成_資格取得日以降のみなし日における期間算出対応</t>
  </si>
  <si>
    <t>A00943_指図書出力一覧画面表示時の受給権者番号ソート対応</t>
    <phoneticPr fontId="2"/>
  </si>
  <si>
    <t>A00928_適年DB数理IFファイル作成_資格取得日以降のみなし日における期間算出対応</t>
    <phoneticPr fontId="2"/>
  </si>
  <si>
    <t>A00928_適年DB数理IFファイル作成_資格取得日以降のみなし日における期間算出対応</t>
    <phoneticPr fontId="2"/>
  </si>
  <si>
    <t>CD精査指摘対応(D&amp;I分)</t>
    <rPh sb="4" eb="6">
      <t>シテキ</t>
    </rPh>
    <rPh sb="6" eb="8">
      <t>タイオウ</t>
    </rPh>
    <rPh sb="12" eb="13">
      <t>ブン</t>
    </rPh>
    <phoneticPr fontId="2"/>
  </si>
  <si>
    <t>CD精査(GDC分)</t>
    <rPh sb="2" eb="4">
      <t>セイサ</t>
    </rPh>
    <rPh sb="8" eb="9">
      <t>ブン</t>
    </rPh>
    <phoneticPr fontId="2"/>
  </si>
  <si>
    <t>外部設計の修正</t>
    <rPh sb="5" eb="7">
      <t>シュウセイ</t>
    </rPh>
    <phoneticPr fontId="2"/>
  </si>
  <si>
    <t>外部設計の精査依頼</t>
    <rPh sb="5" eb="7">
      <t>セイサ</t>
    </rPh>
    <rPh sb="7" eb="9">
      <t>イライ</t>
    </rPh>
    <phoneticPr fontId="2"/>
  </si>
  <si>
    <t>水際環境構築_11月分</t>
    <rPh sb="0" eb="2">
      <t>ミズギワ</t>
    </rPh>
    <rPh sb="2" eb="4">
      <t>カンキョウ</t>
    </rPh>
    <rPh sb="4" eb="6">
      <t>コウチク</t>
    </rPh>
    <rPh sb="9" eb="11">
      <t>ガツブン</t>
    </rPh>
    <phoneticPr fontId="2"/>
  </si>
  <si>
    <t>岡田さんユーザーID作成考慮</t>
    <rPh sb="0" eb="2">
      <t>オカダ</t>
    </rPh>
    <rPh sb="10" eb="12">
      <t>サクセイ</t>
    </rPh>
    <rPh sb="12" eb="14">
      <t>コウリョ</t>
    </rPh>
    <phoneticPr fontId="2"/>
  </si>
  <si>
    <t>構築</t>
    <rPh sb="0" eb="2">
      <t>コウチク</t>
    </rPh>
    <phoneticPr fontId="2"/>
  </si>
  <si>
    <t>(岡田さん分)給付(年金記録照会)の精査</t>
    <rPh sb="1" eb="3">
      <t>オカダ</t>
    </rPh>
    <rPh sb="5" eb="6">
      <t>ブン</t>
    </rPh>
    <phoneticPr fontId="2"/>
  </si>
  <si>
    <t>外部設計書借出</t>
  </si>
  <si>
    <t>15面環境構築依頼（ＩＴビルド依頼）</t>
  </si>
  <si>
    <t>・外部設計修正不要(国さん相談済)</t>
    <rPh sb="1" eb="3">
      <t>ガイブ</t>
    </rPh>
    <rPh sb="3" eb="5">
      <t>セッケイ</t>
    </rPh>
    <rPh sb="5" eb="7">
      <t>シュウセイ</t>
    </rPh>
    <rPh sb="7" eb="9">
      <t>フヨウ</t>
    </rPh>
    <rPh sb="10" eb="11">
      <t>クニ</t>
    </rPh>
    <rPh sb="13" eb="15">
      <t>ソウダン</t>
    </rPh>
    <rPh sb="15" eb="16">
      <t>ス</t>
    </rPh>
    <phoneticPr fontId="2"/>
  </si>
  <si>
    <t>・国さんより指摘無しで回答受領</t>
    <rPh sb="1" eb="2">
      <t>クニ</t>
    </rPh>
    <rPh sb="6" eb="8">
      <t>シテキ</t>
    </rPh>
    <rPh sb="8" eb="9">
      <t>ナ</t>
    </rPh>
    <rPh sb="11" eb="13">
      <t>カイトウ</t>
    </rPh>
    <rPh sb="13" eb="15">
      <t>ズリョウ</t>
    </rPh>
    <phoneticPr fontId="2"/>
  </si>
  <si>
    <t>A00922_脱退一時金相当額の移換対象者の拡大(DC法改正)対応</t>
    <phoneticPr fontId="2"/>
  </si>
  <si>
    <t>変更申請起票</t>
    <rPh sb="0" eb="2">
      <t>ヘンコウ</t>
    </rPh>
    <rPh sb="2" eb="4">
      <t>シンセイ</t>
    </rPh>
    <rPh sb="4" eb="6">
      <t>キヒョウ</t>
    </rPh>
    <phoneticPr fontId="2"/>
  </si>
  <si>
    <t>A00928_適年DB数理IFファイル作成_資格取得日以降のみなし日における期間算出対応</t>
    <phoneticPr fontId="2"/>
  </si>
  <si>
    <t>A00943_指図書出力一覧画面表示時の受給権者番号ソート対応</t>
    <phoneticPr fontId="2"/>
  </si>
  <si>
    <t>A00943_指図書出力一覧画面表示時の受給権者番号ソート対応</t>
    <rPh sb="7" eb="9">
      <t>サシズ</t>
    </rPh>
    <rPh sb="9" eb="10">
      <t>ショ</t>
    </rPh>
    <rPh sb="10" eb="12">
      <t>シュツリョク</t>
    </rPh>
    <rPh sb="12" eb="14">
      <t>イチラン</t>
    </rPh>
    <rPh sb="14" eb="16">
      <t>ガメン</t>
    </rPh>
    <rPh sb="16" eb="18">
      <t>ヒョウジ</t>
    </rPh>
    <rPh sb="18" eb="19">
      <t>ジ</t>
    </rPh>
    <rPh sb="20" eb="23">
      <t>ジュキュウケン</t>
    </rPh>
    <rPh sb="23" eb="24">
      <t>シャ</t>
    </rPh>
    <rPh sb="24" eb="26">
      <t>バンゴウ</t>
    </rPh>
    <rPh sb="29" eb="31">
      <t>タイオウ</t>
    </rPh>
    <phoneticPr fontId="2"/>
  </si>
  <si>
    <t/>
  </si>
  <si>
    <t>11/12～11/16</t>
    <phoneticPr fontId="2"/>
  </si>
  <si>
    <t>事業報告書　「４．年金通算状況」共同委託の件、検討</t>
    <rPh sb="0" eb="2">
      <t>ジギョウ</t>
    </rPh>
    <rPh sb="2" eb="5">
      <t>ホウコクショ</t>
    </rPh>
    <rPh sb="9" eb="11">
      <t>ネンキン</t>
    </rPh>
    <rPh sb="11" eb="13">
      <t>ツウサン</t>
    </rPh>
    <rPh sb="13" eb="15">
      <t>ジョウキョウ</t>
    </rPh>
    <rPh sb="16" eb="18">
      <t>キョウドウ</t>
    </rPh>
    <rPh sb="18" eb="20">
      <t>イタク</t>
    </rPh>
    <rPh sb="21" eb="22">
      <t>ケン</t>
    </rPh>
    <rPh sb="23" eb="25">
      <t>ケントウ</t>
    </rPh>
    <phoneticPr fontId="2"/>
  </si>
  <si>
    <t>事業報告書　精査指摘対応</t>
    <rPh sb="0" eb="2">
      <t>ジギョウ</t>
    </rPh>
    <rPh sb="2" eb="5">
      <t>ホウコクショ</t>
    </rPh>
    <rPh sb="6" eb="8">
      <t>セイサ</t>
    </rPh>
    <rPh sb="8" eb="10">
      <t>シテキ</t>
    </rPh>
    <rPh sb="10" eb="12">
      <t>タイオウ</t>
    </rPh>
    <phoneticPr fontId="2"/>
  </si>
  <si>
    <t>UT精査(GDC分)</t>
    <rPh sb="2" eb="4">
      <t>セイサ</t>
    </rPh>
    <rPh sb="8" eb="9">
      <t>ブン</t>
    </rPh>
    <phoneticPr fontId="2"/>
  </si>
  <si>
    <t>UT精査指摘対応(D&amp;I分)</t>
    <rPh sb="4" eb="6">
      <t>シテキ</t>
    </rPh>
    <rPh sb="6" eb="8">
      <t>タイオウ</t>
    </rPh>
    <rPh sb="12" eb="13">
      <t>ブン</t>
    </rPh>
    <phoneticPr fontId="2"/>
  </si>
  <si>
    <t>ITテストケース検討</t>
    <rPh sb="8" eb="10">
      <t>ケントウ</t>
    </rPh>
    <phoneticPr fontId="2"/>
  </si>
  <si>
    <t>15面環境構築</t>
    <rPh sb="2" eb="3">
      <t>メン</t>
    </rPh>
    <rPh sb="3" eb="5">
      <t>カンキョウ</t>
    </rPh>
    <rPh sb="5" eb="7">
      <t>コウチク</t>
    </rPh>
    <phoneticPr fontId="2"/>
  </si>
  <si>
    <t>15面現新比較実施</t>
    <rPh sb="2" eb="3">
      <t>メン</t>
    </rPh>
    <rPh sb="3" eb="5">
      <t>ゲンシン</t>
    </rPh>
    <rPh sb="5" eb="7">
      <t>ヒカク</t>
    </rPh>
    <rPh sb="7" eb="9">
      <t>ジッシ</t>
    </rPh>
    <phoneticPr fontId="2"/>
  </si>
  <si>
    <t>CD精査</t>
    <rPh sb="2" eb="4">
      <t>セイサ</t>
    </rPh>
    <phoneticPr fontId="2"/>
  </si>
  <si>
    <t>11/19～11/22</t>
    <phoneticPr fontId="2"/>
  </si>
  <si>
    <t>・柿原様からの回答受領待ち</t>
    <rPh sb="1" eb="4">
      <t>カキハラサマ</t>
    </rPh>
    <rPh sb="7" eb="9">
      <t>カイトウ</t>
    </rPh>
    <rPh sb="9" eb="11">
      <t>ズリョウ</t>
    </rPh>
    <rPh sb="11" eb="12">
      <t>マ</t>
    </rPh>
    <phoneticPr fontId="2"/>
  </si>
  <si>
    <t>(改善タスク)本番作業実施手順書の押印箇所について</t>
    <rPh sb="1" eb="3">
      <t>カイゼン</t>
    </rPh>
    <phoneticPr fontId="2"/>
  </si>
  <si>
    <t>手順書たたき台用意</t>
    <rPh sb="0" eb="2">
      <t>テジュン</t>
    </rPh>
    <rPh sb="2" eb="3">
      <t>ショ</t>
    </rPh>
    <rPh sb="6" eb="7">
      <t>ダイ</t>
    </rPh>
    <rPh sb="7" eb="9">
      <t>ヨウイ</t>
    </rPh>
    <phoneticPr fontId="2"/>
  </si>
  <si>
    <t>手順書たたき台を展開</t>
    <rPh sb="0" eb="2">
      <t>テジュン</t>
    </rPh>
    <rPh sb="2" eb="3">
      <t>ショ</t>
    </rPh>
    <rPh sb="6" eb="7">
      <t>ダイ</t>
    </rPh>
    <rPh sb="8" eb="10">
      <t>テンカイ</t>
    </rPh>
    <phoneticPr fontId="2"/>
  </si>
  <si>
    <t>準備</t>
    <rPh sb="0" eb="2">
      <t>ジュンビ</t>
    </rPh>
    <phoneticPr fontId="2"/>
  </si>
  <si>
    <t>IT面環境構築依頼</t>
    <rPh sb="2" eb="3">
      <t>メン</t>
    </rPh>
    <rPh sb="3" eb="5">
      <t>カンキョウ</t>
    </rPh>
    <rPh sb="5" eb="7">
      <t>コウチク</t>
    </rPh>
    <rPh sb="7" eb="9">
      <t>イライ</t>
    </rPh>
    <phoneticPr fontId="2"/>
  </si>
  <si>
    <t>A00928_適年DB数理IFファイル作成_資格取得日以降のみなし日における期間算出対応</t>
    <phoneticPr fontId="2"/>
  </si>
  <si>
    <t>・11/13陳さんに依頼</t>
    <rPh sb="6" eb="7">
      <t>チン</t>
    </rPh>
    <rPh sb="10" eb="12">
      <t>イライ</t>
    </rPh>
    <phoneticPr fontId="2"/>
  </si>
  <si>
    <t>15面現新比較実施（修正版実施）</t>
    <rPh sb="2" eb="3">
      <t>メン</t>
    </rPh>
    <rPh sb="3" eb="5">
      <t>ゲンシン</t>
    </rPh>
    <rPh sb="5" eb="7">
      <t>ヒカク</t>
    </rPh>
    <rPh sb="7" eb="9">
      <t>ジッシ</t>
    </rPh>
    <rPh sb="10" eb="12">
      <t>シュウセイ</t>
    </rPh>
    <rPh sb="12" eb="13">
      <t>バン</t>
    </rPh>
    <rPh sb="13" eb="15">
      <t>ジッシ</t>
    </rPh>
    <phoneticPr fontId="2"/>
  </si>
  <si>
    <t>15面現新比較実施（検証）</t>
    <rPh sb="10" eb="12">
      <t>ケンショウ</t>
    </rPh>
    <phoneticPr fontId="2"/>
  </si>
  <si>
    <t>生産計画表作成(CD)</t>
    <rPh sb="0" eb="2">
      <t>セイサン</t>
    </rPh>
    <rPh sb="2" eb="4">
      <t>ケイカク</t>
    </rPh>
    <rPh sb="4" eb="5">
      <t>ヒョウ</t>
    </rPh>
    <rPh sb="5" eb="7">
      <t>サクセイ</t>
    </rPh>
    <phoneticPr fontId="2"/>
  </si>
  <si>
    <t>生産計画表作成(UT)</t>
    <rPh sb="0" eb="2">
      <t>セイサン</t>
    </rPh>
    <rPh sb="2" eb="4">
      <t>ケイカク</t>
    </rPh>
    <rPh sb="4" eb="5">
      <t>ヒョウ</t>
    </rPh>
    <rPh sb="5" eb="7">
      <t>サクセイ</t>
    </rPh>
    <phoneticPr fontId="2"/>
  </si>
  <si>
    <t>・11/14陳さんに依頼</t>
    <phoneticPr fontId="2"/>
  </si>
  <si>
    <t>A00921_(法改正)リスク分担型企業年金制度の対応</t>
    <phoneticPr fontId="2"/>
  </si>
  <si>
    <t>A00922_脱退一時金相当額の移換対象者の拡大(DC法改正)対応</t>
    <phoneticPr fontId="2"/>
  </si>
  <si>
    <t>A00928_適年DB数理IFファイル作成_資格取得日以降のみなし日における期間算出対応</t>
    <phoneticPr fontId="2"/>
  </si>
  <si>
    <t>S/IRv資料作成</t>
    <rPh sb="5" eb="7">
      <t>シリョウ</t>
    </rPh>
    <rPh sb="7" eb="9">
      <t>サクセイ</t>
    </rPh>
    <phoneticPr fontId="2"/>
  </si>
  <si>
    <t>A00943_指図書出力一覧画面表示時の受給権者番号ソート対応</t>
    <phoneticPr fontId="2"/>
  </si>
  <si>
    <t>(改善タスク)本番作業実施手順書の押印箇所について</t>
  </si>
  <si>
    <t>手順書たたき台展開後のフォローアップ</t>
    <rPh sb="0" eb="2">
      <t>テジュン</t>
    </rPh>
    <rPh sb="2" eb="3">
      <t>ショ</t>
    </rPh>
    <rPh sb="6" eb="7">
      <t>ダイ</t>
    </rPh>
    <rPh sb="7" eb="9">
      <t>テンカイ</t>
    </rPh>
    <rPh sb="9" eb="10">
      <t>ゴ</t>
    </rPh>
    <phoneticPr fontId="2"/>
  </si>
  <si>
    <t>変更管理</t>
    <rPh sb="0" eb="2">
      <t>ヘンコウ</t>
    </rPh>
    <rPh sb="2" eb="4">
      <t>カンリ</t>
    </rPh>
    <phoneticPr fontId="2"/>
  </si>
  <si>
    <t>ユーザーRvフォロー対応</t>
    <rPh sb="10" eb="12">
      <t>タイオウ</t>
    </rPh>
    <phoneticPr fontId="2"/>
  </si>
  <si>
    <t>照会連絡票送付(IT結果ユーザー確認依頼)</t>
    <rPh sb="0" eb="2">
      <t>ショウカイ</t>
    </rPh>
    <rPh sb="2" eb="4">
      <t>レンラク</t>
    </rPh>
    <rPh sb="4" eb="5">
      <t>ヒョウ</t>
    </rPh>
    <rPh sb="5" eb="7">
      <t>ソウフ</t>
    </rPh>
    <rPh sb="10" eb="12">
      <t>ケッカ</t>
    </rPh>
    <rPh sb="16" eb="18">
      <t>カクニン</t>
    </rPh>
    <rPh sb="18" eb="20">
      <t>イライ</t>
    </rPh>
    <phoneticPr fontId="2"/>
  </si>
  <si>
    <t>IT面環境構築（現行）</t>
    <rPh sb="2" eb="3">
      <t>メン</t>
    </rPh>
    <rPh sb="3" eb="5">
      <t>カンキョウ</t>
    </rPh>
    <rPh sb="5" eb="7">
      <t>コウチク</t>
    </rPh>
    <rPh sb="8" eb="10">
      <t>ゲンコウ</t>
    </rPh>
    <phoneticPr fontId="2"/>
  </si>
  <si>
    <t>IT面環境構築（新）</t>
    <rPh sb="2" eb="3">
      <t>メン</t>
    </rPh>
    <rPh sb="3" eb="5">
      <t>カンキョウ</t>
    </rPh>
    <rPh sb="5" eb="7">
      <t>コウチク</t>
    </rPh>
    <rPh sb="8" eb="9">
      <t>シン</t>
    </rPh>
    <phoneticPr fontId="2"/>
  </si>
  <si>
    <t>変更管理分、要件定義・外部設計-問合せ管理表で送付</t>
    <rPh sb="0" eb="2">
      <t>ヘンコウ</t>
    </rPh>
    <rPh sb="2" eb="4">
      <t>カンリ</t>
    </rPh>
    <rPh sb="4" eb="5">
      <t>ブン</t>
    </rPh>
    <rPh sb="6" eb="8">
      <t>ヨウケン</t>
    </rPh>
    <rPh sb="8" eb="10">
      <t>テイギ</t>
    </rPh>
    <rPh sb="11" eb="13">
      <t>ガイブ</t>
    </rPh>
    <rPh sb="13" eb="15">
      <t>セッケイ</t>
    </rPh>
    <rPh sb="16" eb="18">
      <t>トイアワ</t>
    </rPh>
    <rPh sb="19" eb="21">
      <t>カンリ</t>
    </rPh>
    <rPh sb="21" eb="22">
      <t>ヒョウ</t>
    </rPh>
    <rPh sb="23" eb="25">
      <t>ソウフ</t>
    </rPh>
    <phoneticPr fontId="2"/>
  </si>
  <si>
    <t>変更管理分、要件定義・外部設計-システム開発連絡票送付</t>
    <rPh sb="0" eb="2">
      <t>ヘンコウ</t>
    </rPh>
    <rPh sb="2" eb="4">
      <t>カンリ</t>
    </rPh>
    <rPh sb="4" eb="5">
      <t>ブン</t>
    </rPh>
    <rPh sb="6" eb="8">
      <t>ヨウケン</t>
    </rPh>
    <rPh sb="8" eb="10">
      <t>テイギ</t>
    </rPh>
    <rPh sb="11" eb="13">
      <t>ガイブ</t>
    </rPh>
    <rPh sb="13" eb="15">
      <t>セッケイ</t>
    </rPh>
    <rPh sb="20" eb="22">
      <t>カイハツ</t>
    </rPh>
    <rPh sb="22" eb="24">
      <t>レンラク</t>
    </rPh>
    <rPh sb="24" eb="25">
      <t>ヒョウ</t>
    </rPh>
    <rPh sb="25" eb="27">
      <t>ソウフ</t>
    </rPh>
    <phoneticPr fontId="2"/>
  </si>
  <si>
    <t>ITテスト仕様書作成計画表作成</t>
    <rPh sb="5" eb="8">
      <t>シヨウショ</t>
    </rPh>
    <rPh sb="8" eb="10">
      <t>サクセイ</t>
    </rPh>
    <rPh sb="10" eb="12">
      <t>ケイカク</t>
    </rPh>
    <rPh sb="12" eb="13">
      <t>ヒョウ</t>
    </rPh>
    <rPh sb="13" eb="15">
      <t>サクセイ</t>
    </rPh>
    <phoneticPr fontId="2"/>
  </si>
  <si>
    <t>・11/21 川口さんに実施頂いている</t>
    <rPh sb="7" eb="9">
      <t>カワグチ</t>
    </rPh>
    <rPh sb="12" eb="14">
      <t>ジッシ</t>
    </rPh>
    <rPh sb="14" eb="15">
      <t>イタダ</t>
    </rPh>
    <phoneticPr fontId="2"/>
  </si>
  <si>
    <t>ITテスト仕様書作成実施(D&amp;I分)</t>
    <rPh sb="5" eb="8">
      <t>シヨウショ</t>
    </rPh>
    <rPh sb="8" eb="10">
      <t>サクセイ</t>
    </rPh>
    <rPh sb="10" eb="12">
      <t>ジッシ</t>
    </rPh>
    <rPh sb="16" eb="17">
      <t>ブン</t>
    </rPh>
    <phoneticPr fontId="2"/>
  </si>
  <si>
    <t>ITテスト仕様書精査(GDC分)</t>
    <rPh sb="8" eb="10">
      <t>セイサ</t>
    </rPh>
    <rPh sb="14" eb="15">
      <t>ブン</t>
    </rPh>
    <phoneticPr fontId="2"/>
  </si>
  <si>
    <t>・11/21 300へのCi権限付与まで実施。</t>
    <rPh sb="14" eb="16">
      <t>ケンゲン</t>
    </rPh>
    <rPh sb="16" eb="18">
      <t>フヨ</t>
    </rPh>
    <rPh sb="20" eb="22">
      <t>ジッシ</t>
    </rPh>
    <phoneticPr fontId="2"/>
  </si>
  <si>
    <t>11/26～11/30</t>
    <phoneticPr fontId="2"/>
  </si>
  <si>
    <t>IT実施（問合せ対応）</t>
    <rPh sb="2" eb="4">
      <t>ジッシ</t>
    </rPh>
    <rPh sb="5" eb="7">
      <t>トイアワ</t>
    </rPh>
    <rPh sb="8" eb="10">
      <t>タイオウ</t>
    </rPh>
    <phoneticPr fontId="2"/>
  </si>
  <si>
    <t>共通資源の整理</t>
    <rPh sb="0" eb="2">
      <t>キョウツウ</t>
    </rPh>
    <rPh sb="2" eb="4">
      <t>シゲン</t>
    </rPh>
    <rPh sb="5" eb="7">
      <t>セイリ</t>
    </rPh>
    <phoneticPr fontId="2"/>
  </si>
  <si>
    <t>仲川さん分タスク</t>
    <rPh sb="0" eb="2">
      <t>ナカガワ</t>
    </rPh>
    <rPh sb="4" eb="5">
      <t>ブン</t>
    </rPh>
    <phoneticPr fontId="2"/>
  </si>
  <si>
    <t>口頭レベルで確認する</t>
    <rPh sb="0" eb="2">
      <t>コウトウ</t>
    </rPh>
    <rPh sb="6" eb="8">
      <t>カクニン</t>
    </rPh>
    <phoneticPr fontId="2"/>
  </si>
  <si>
    <t>・11/21 300へのCi権限付与まで実施。
・11/26 UT完了が11/28予定、それ以降になる</t>
    <rPh sb="14" eb="16">
      <t>ケンゲン</t>
    </rPh>
    <rPh sb="16" eb="18">
      <t>フヨ</t>
    </rPh>
    <rPh sb="20" eb="22">
      <t>ジッシ</t>
    </rPh>
    <rPh sb="33" eb="35">
      <t>カンリョウ</t>
    </rPh>
    <rPh sb="41" eb="43">
      <t>ヨテイ</t>
    </rPh>
    <rPh sb="46" eb="48">
      <t>イコウ</t>
    </rPh>
    <phoneticPr fontId="2"/>
  </si>
  <si>
    <t>ITテストケースユーザー問合せ</t>
    <rPh sb="12" eb="14">
      <t>トイアワ</t>
    </rPh>
    <phoneticPr fontId="2"/>
  </si>
  <si>
    <t>・11/26 堀様12/3まで休みとのこと。。</t>
    <rPh sb="7" eb="8">
      <t>ホリ</t>
    </rPh>
    <rPh sb="8" eb="9">
      <t>サマ</t>
    </rPh>
    <rPh sb="15" eb="16">
      <t>ヤス</t>
    </rPh>
    <phoneticPr fontId="2"/>
  </si>
  <si>
    <t>本番稼働準備(初回稼働確認、本番作業一覧、基本行動チェックリスト）</t>
    <rPh sb="0" eb="2">
      <t>ホンバン</t>
    </rPh>
    <rPh sb="2" eb="4">
      <t>カドウ</t>
    </rPh>
    <rPh sb="4" eb="6">
      <t>ジュンビ</t>
    </rPh>
    <rPh sb="7" eb="9">
      <t>ショカイ</t>
    </rPh>
    <rPh sb="9" eb="11">
      <t>カドウ</t>
    </rPh>
    <rPh sb="11" eb="13">
      <t>カクニン</t>
    </rPh>
    <rPh sb="14" eb="16">
      <t>ホンバン</t>
    </rPh>
    <rPh sb="16" eb="18">
      <t>サギョウ</t>
    </rPh>
    <rPh sb="18" eb="20">
      <t>イチラン</t>
    </rPh>
    <rPh sb="21" eb="23">
      <t>キホン</t>
    </rPh>
    <rPh sb="23" eb="25">
      <t>コウドウ</t>
    </rPh>
    <phoneticPr fontId="2"/>
  </si>
  <si>
    <t>・11/26 UT完了が11/28予定、
それ以降になる
・11/26 ITﾘﾘｰｽ11/29のライブラリを用いたい</t>
    <rPh sb="54" eb="55">
      <t>モチ</t>
    </rPh>
    <phoneticPr fontId="2"/>
  </si>
  <si>
    <t>DPPC</t>
  </si>
  <si>
    <t>JMASさんからの依頼</t>
    <rPh sb="9" eb="11">
      <t>イライ</t>
    </rPh>
    <phoneticPr fontId="2"/>
  </si>
  <si>
    <t>AcrobatDC/AcrobatDCProのメディア調達</t>
    <rPh sb="27" eb="29">
      <t>チョウタツ</t>
    </rPh>
    <phoneticPr fontId="2"/>
  </si>
  <si>
    <t>AcrobatProのメディア返却してもらう</t>
    <rPh sb="15" eb="17">
      <t>ヘンキャク</t>
    </rPh>
    <phoneticPr fontId="2"/>
  </si>
  <si>
    <t>・11/27 西村さんに貸出、
西村さんからの返却を待つ</t>
    <rPh sb="7" eb="9">
      <t>ニシムラ</t>
    </rPh>
    <rPh sb="12" eb="14">
      <t>カシダシ</t>
    </rPh>
    <rPh sb="16" eb="18">
      <t>ニシムラ</t>
    </rPh>
    <rPh sb="23" eb="25">
      <t>ヘンキャク</t>
    </rPh>
    <rPh sb="26" eb="27">
      <t>マ</t>
    </rPh>
    <phoneticPr fontId="2"/>
  </si>
  <si>
    <t>(立川さんより)本番ダイレクトプリンタ対処に対する手順化検討</t>
    <rPh sb="1" eb="3">
      <t>タツカワ</t>
    </rPh>
    <rPh sb="8" eb="10">
      <t>ホンバン</t>
    </rPh>
    <rPh sb="19" eb="21">
      <t>タイショ</t>
    </rPh>
    <rPh sb="22" eb="23">
      <t>タイ</t>
    </rPh>
    <rPh sb="25" eb="28">
      <t>テジュンカ</t>
    </rPh>
    <rPh sb="28" eb="30">
      <t>ケントウ</t>
    </rPh>
    <phoneticPr fontId="2"/>
  </si>
  <si>
    <t>・11/27 精査指摘分を残すのみ。</t>
    <rPh sb="7" eb="9">
      <t>セイサ</t>
    </rPh>
    <rPh sb="9" eb="11">
      <t>シテキ</t>
    </rPh>
    <rPh sb="11" eb="12">
      <t>ブン</t>
    </rPh>
    <rPh sb="13" eb="14">
      <t>ノコ</t>
    </rPh>
    <phoneticPr fontId="2"/>
  </si>
  <si>
    <t>精査実施報告書作成（開発(CD/UT)）</t>
    <rPh sb="0" eb="2">
      <t>セイサ</t>
    </rPh>
    <rPh sb="2" eb="4">
      <t>ジッシ</t>
    </rPh>
    <rPh sb="4" eb="7">
      <t>ホウコクショ</t>
    </rPh>
    <rPh sb="7" eb="9">
      <t>サクセイ</t>
    </rPh>
    <rPh sb="10" eb="12">
      <t>カイハツ</t>
    </rPh>
    <phoneticPr fontId="2"/>
  </si>
  <si>
    <t>国さんに相談する</t>
    <rPh sb="0" eb="1">
      <t>クニ</t>
    </rPh>
    <rPh sb="4" eb="6">
      <t>ソウダン</t>
    </rPh>
    <phoneticPr fontId="2"/>
  </si>
  <si>
    <t>・11/26 問合せ管理表の結果確認するまで未着手
・11/28 問合せ管理表回答受領</t>
    <rPh sb="7" eb="9">
      <t>トイアワ</t>
    </rPh>
    <rPh sb="10" eb="12">
      <t>カンリ</t>
    </rPh>
    <rPh sb="12" eb="13">
      <t>ヒョウ</t>
    </rPh>
    <rPh sb="14" eb="16">
      <t>ケッカ</t>
    </rPh>
    <rPh sb="16" eb="18">
      <t>カクニン</t>
    </rPh>
    <rPh sb="22" eb="25">
      <t>ミチャクシュ</t>
    </rPh>
    <rPh sb="33" eb="35">
      <t>トイアワ</t>
    </rPh>
    <rPh sb="36" eb="38">
      <t>カンリ</t>
    </rPh>
    <rPh sb="38" eb="39">
      <t>ヒョウ</t>
    </rPh>
    <rPh sb="39" eb="41">
      <t>カイトウ</t>
    </rPh>
    <rPh sb="41" eb="43">
      <t>ズリョウ</t>
    </rPh>
    <phoneticPr fontId="2"/>
  </si>
  <si>
    <t>IT実施生産計画表作成</t>
    <rPh sb="2" eb="4">
      <t>ジッシ</t>
    </rPh>
    <rPh sb="4" eb="6">
      <t>セイサン</t>
    </rPh>
    <rPh sb="6" eb="8">
      <t>ケイカク</t>
    </rPh>
    <rPh sb="8" eb="9">
      <t>ヒョウ</t>
    </rPh>
    <rPh sb="9" eb="11">
      <t>サクセイ</t>
    </rPh>
    <phoneticPr fontId="2"/>
  </si>
  <si>
    <t>(国さんより)【SEP12更改】端末のSCEP/Defender/SEP14への移行について</t>
    <phoneticPr fontId="2"/>
  </si>
  <si>
    <t>内容確認</t>
    <rPh sb="0" eb="2">
      <t>ナイヨウ</t>
    </rPh>
    <rPh sb="2" eb="4">
      <t>カクニン</t>
    </rPh>
    <phoneticPr fontId="2"/>
  </si>
  <si>
    <t>チームへ導入指示展開</t>
    <rPh sb="4" eb="6">
      <t>ドウニュウ</t>
    </rPh>
    <rPh sb="6" eb="8">
      <t>シジ</t>
    </rPh>
    <rPh sb="8" eb="10">
      <t>テンカイ</t>
    </rPh>
    <phoneticPr fontId="2"/>
  </si>
  <si>
    <t>12/3～12/7</t>
    <phoneticPr fontId="2"/>
  </si>
  <si>
    <t>・11/27 諏訪さんより報告済み</t>
    <rPh sb="7" eb="9">
      <t>スワ</t>
    </rPh>
    <rPh sb="13" eb="15">
      <t>ホウコク</t>
    </rPh>
    <rPh sb="15" eb="16">
      <t>ズ</t>
    </rPh>
    <phoneticPr fontId="2"/>
  </si>
  <si>
    <t>現新環境にデータインポート</t>
    <rPh sb="0" eb="2">
      <t>ゲンシン</t>
    </rPh>
    <rPh sb="2" eb="4">
      <t>カンキョウ</t>
    </rPh>
    <phoneticPr fontId="2"/>
  </si>
  <si>
    <t>TM見直し</t>
    <rPh sb="2" eb="4">
      <t>ミナオ</t>
    </rPh>
    <phoneticPr fontId="2"/>
  </si>
  <si>
    <t>(照会連絡2363起因)外部設計書(加入員連動)の修正</t>
    <rPh sb="1" eb="3">
      <t>ショウカイ</t>
    </rPh>
    <rPh sb="3" eb="5">
      <t>レンラク</t>
    </rPh>
    <rPh sb="9" eb="11">
      <t>キイン</t>
    </rPh>
    <rPh sb="12" eb="14">
      <t>ガイブ</t>
    </rPh>
    <rPh sb="14" eb="17">
      <t>セッケイショ</t>
    </rPh>
    <rPh sb="18" eb="21">
      <t>カニュウイン</t>
    </rPh>
    <rPh sb="21" eb="23">
      <t>レンドウ</t>
    </rPh>
    <rPh sb="25" eb="27">
      <t>シュウセイ</t>
    </rPh>
    <phoneticPr fontId="2"/>
  </si>
  <si>
    <t>案件採番</t>
    <rPh sb="0" eb="2">
      <t>アンケン</t>
    </rPh>
    <rPh sb="2" eb="4">
      <t>サイバン</t>
    </rPh>
    <phoneticPr fontId="2"/>
  </si>
  <si>
    <t>設計書修正</t>
    <rPh sb="0" eb="3">
      <t>セッケイショ</t>
    </rPh>
    <rPh sb="3" eb="5">
      <t>シュウセイ</t>
    </rPh>
    <phoneticPr fontId="2"/>
  </si>
  <si>
    <t>・11/27 諏訪さんより報告済み
・12/3 業務システム連絡会(昼)にて、立川さより川瀬さんに、川瀬さん不在でも回る対策を確認済み。業務Tでも、基盤Tで人の手が足りない時は精査でも対応する旨、連携済み。</t>
    <rPh sb="7" eb="9">
      <t>スワ</t>
    </rPh>
    <rPh sb="13" eb="15">
      <t>ホウコク</t>
    </rPh>
    <rPh sb="15" eb="16">
      <t>ズ</t>
    </rPh>
    <rPh sb="24" eb="26">
      <t>ギョウム</t>
    </rPh>
    <rPh sb="30" eb="33">
      <t>レンラクカイ</t>
    </rPh>
    <rPh sb="34" eb="35">
      <t>ヒル</t>
    </rPh>
    <rPh sb="39" eb="41">
      <t>タツカワ</t>
    </rPh>
    <rPh sb="44" eb="46">
      <t>カワセ</t>
    </rPh>
    <rPh sb="50" eb="52">
      <t>カワセ</t>
    </rPh>
    <rPh sb="54" eb="56">
      <t>フザイ</t>
    </rPh>
    <rPh sb="58" eb="59">
      <t>マワ</t>
    </rPh>
    <rPh sb="60" eb="62">
      <t>タイサク</t>
    </rPh>
    <rPh sb="63" eb="65">
      <t>カクニン</t>
    </rPh>
    <rPh sb="65" eb="66">
      <t>ズ</t>
    </rPh>
    <rPh sb="68" eb="70">
      <t>ギョウム</t>
    </rPh>
    <rPh sb="74" eb="76">
      <t>キバン</t>
    </rPh>
    <rPh sb="78" eb="79">
      <t>ヒト</t>
    </rPh>
    <rPh sb="80" eb="81">
      <t>テ</t>
    </rPh>
    <rPh sb="82" eb="83">
      <t>タ</t>
    </rPh>
    <rPh sb="86" eb="87">
      <t>トキ</t>
    </rPh>
    <rPh sb="88" eb="90">
      <t>セイサ</t>
    </rPh>
    <rPh sb="92" eb="94">
      <t>タイオウ</t>
    </rPh>
    <rPh sb="96" eb="97">
      <t>ムネ</t>
    </rPh>
    <rPh sb="98" eb="100">
      <t>レンケイ</t>
    </rPh>
    <rPh sb="100" eb="101">
      <t>ズ</t>
    </rPh>
    <phoneticPr fontId="2"/>
  </si>
  <si>
    <t>対応方針検討</t>
    <rPh sb="0" eb="2">
      <t>タイオウ</t>
    </rPh>
    <rPh sb="2" eb="4">
      <t>ホウシン</t>
    </rPh>
    <rPh sb="4" eb="6">
      <t>ケントウ</t>
    </rPh>
    <phoneticPr fontId="2"/>
  </si>
  <si>
    <t>・12/3 業務システム連絡会(昼)にて、連携された資料はサンプリングで端末を挙げていることを、川瀬さんより連携。
よって、あとは試験的に手順書に基づいて実施する。</t>
    <rPh sb="21" eb="23">
      <t>レンケイ</t>
    </rPh>
    <rPh sb="26" eb="28">
      <t>シリョウ</t>
    </rPh>
    <rPh sb="36" eb="38">
      <t>タンマツ</t>
    </rPh>
    <rPh sb="39" eb="40">
      <t>ア</t>
    </rPh>
    <rPh sb="54" eb="56">
      <t>レンケイ</t>
    </rPh>
    <rPh sb="65" eb="68">
      <t>シケンテキ</t>
    </rPh>
    <rPh sb="69" eb="71">
      <t>テジュン</t>
    </rPh>
    <rPh sb="71" eb="72">
      <t>ショ</t>
    </rPh>
    <rPh sb="73" eb="74">
      <t>モト</t>
    </rPh>
    <rPh sb="77" eb="79">
      <t>ジッシ</t>
    </rPh>
    <phoneticPr fontId="2"/>
  </si>
  <si>
    <t>資料上、4台のみ計上されている件について確認する</t>
    <rPh sb="0" eb="2">
      <t>シリョウ</t>
    </rPh>
    <rPh sb="2" eb="3">
      <t>ジョウ</t>
    </rPh>
    <rPh sb="5" eb="6">
      <t>ダイ</t>
    </rPh>
    <rPh sb="8" eb="10">
      <t>ケイジョウ</t>
    </rPh>
    <rPh sb="15" eb="16">
      <t>ケン</t>
    </rPh>
    <rPh sb="20" eb="22">
      <t>カクニン</t>
    </rPh>
    <phoneticPr fontId="2"/>
  </si>
  <si>
    <t>A00938_加入者番号前ゼロ登録者対応</t>
    <phoneticPr fontId="2"/>
  </si>
  <si>
    <t>関西みらい企業年金基金対応</t>
    <phoneticPr fontId="2"/>
  </si>
  <si>
    <t>銀行要件確認会_フォロー</t>
    <rPh sb="0" eb="2">
      <t>ギンコウ</t>
    </rPh>
    <phoneticPr fontId="2"/>
  </si>
  <si>
    <t>マスキングされる個人情報について松本さんに連携</t>
    <rPh sb="16" eb="18">
      <t>マツモト</t>
    </rPh>
    <rPh sb="21" eb="23">
      <t>レンケイ</t>
    </rPh>
    <phoneticPr fontId="2"/>
  </si>
  <si>
    <t>上申起票（A00943と併せて1本）</t>
    <rPh sb="0" eb="2">
      <t>ジョウシン</t>
    </rPh>
    <rPh sb="2" eb="4">
      <t>キヒョウ</t>
    </rPh>
    <rPh sb="12" eb="13">
      <t>アワ</t>
    </rPh>
    <rPh sb="16" eb="17">
      <t>ポン</t>
    </rPh>
    <phoneticPr fontId="2"/>
  </si>
  <si>
    <t>本番稼働準備(S/I Rv資料作成）</t>
    <rPh sb="0" eb="2">
      <t>ホンバン</t>
    </rPh>
    <rPh sb="2" eb="4">
      <t>カドウ</t>
    </rPh>
    <rPh sb="4" eb="6">
      <t>ジュンビ</t>
    </rPh>
    <rPh sb="13" eb="15">
      <t>シリョウ</t>
    </rPh>
    <rPh sb="15" eb="17">
      <t>サクセイ</t>
    </rPh>
    <phoneticPr fontId="2"/>
  </si>
  <si>
    <t>・12/5 変更管理申請日付残すのみ。</t>
    <rPh sb="6" eb="8">
      <t>ヘンコウ</t>
    </rPh>
    <rPh sb="8" eb="10">
      <t>カンリ</t>
    </rPh>
    <rPh sb="10" eb="12">
      <t>シンセイ</t>
    </rPh>
    <rPh sb="12" eb="14">
      <t>ヒヅケ</t>
    </rPh>
    <rPh sb="14" eb="15">
      <t>ノコ</t>
    </rPh>
    <phoneticPr fontId="2"/>
  </si>
  <si>
    <t>・12/5 ユーザー検証状況と、変更管理申請日付残すのみ。</t>
    <rPh sb="10" eb="12">
      <t>ケンショウ</t>
    </rPh>
    <rPh sb="12" eb="14">
      <t>ジョウキョウ</t>
    </rPh>
    <rPh sb="16" eb="18">
      <t>ヘンコウ</t>
    </rPh>
    <rPh sb="18" eb="20">
      <t>カンリ</t>
    </rPh>
    <rPh sb="20" eb="22">
      <t>シンセイ</t>
    </rPh>
    <rPh sb="22" eb="24">
      <t>ヒヅケ</t>
    </rPh>
    <rPh sb="24" eb="25">
      <t>ノコ</t>
    </rPh>
    <phoneticPr fontId="2"/>
  </si>
  <si>
    <t>(糟谷さんより)Windows10化</t>
    <rPh sb="1" eb="3">
      <t>カスヤ</t>
    </rPh>
    <rPh sb="17" eb="18">
      <t>カ</t>
    </rPh>
    <phoneticPr fontId="2"/>
  </si>
  <si>
    <t>メディアを返却してもらう</t>
    <rPh sb="5" eb="7">
      <t>ヘンキャク</t>
    </rPh>
    <phoneticPr fontId="2"/>
  </si>
  <si>
    <t>JMASへ保守BPで12月に依頼してよいか確認する</t>
    <rPh sb="5" eb="7">
      <t>ホシュ</t>
    </rPh>
    <rPh sb="12" eb="13">
      <t>ガツ</t>
    </rPh>
    <rPh sb="14" eb="16">
      <t>イライ</t>
    </rPh>
    <rPh sb="21" eb="23">
      <t>カクニン</t>
    </rPh>
    <phoneticPr fontId="2"/>
  </si>
  <si>
    <t>岡田さんのPGM確認</t>
    <rPh sb="0" eb="2">
      <t>オカダ</t>
    </rPh>
    <rPh sb="8" eb="10">
      <t>カクニン</t>
    </rPh>
    <phoneticPr fontId="2"/>
  </si>
  <si>
    <t>試験導入(Win10）</t>
    <rPh sb="0" eb="2">
      <t>シケン</t>
    </rPh>
    <rPh sb="2" eb="4">
      <t>ドウニュウ</t>
    </rPh>
    <phoneticPr fontId="2"/>
  </si>
  <si>
    <t>設計書修正 精査指摘対応</t>
    <rPh sb="0" eb="3">
      <t>セッケイショ</t>
    </rPh>
    <rPh sb="3" eb="5">
      <t>シュウセイ</t>
    </rPh>
    <rPh sb="6" eb="8">
      <t>セイサ</t>
    </rPh>
    <rPh sb="8" eb="10">
      <t>シテキ</t>
    </rPh>
    <rPh sb="10" eb="12">
      <t>タイオウ</t>
    </rPh>
    <phoneticPr fontId="2"/>
  </si>
  <si>
    <t>情報管理者認識共有</t>
    <rPh sb="0" eb="2">
      <t>ジョウホウ</t>
    </rPh>
    <rPh sb="2" eb="5">
      <t>カンリシャ</t>
    </rPh>
    <rPh sb="5" eb="7">
      <t>ニンシキ</t>
    </rPh>
    <rPh sb="7" eb="9">
      <t>キョウユウ</t>
    </rPh>
    <phoneticPr fontId="2"/>
  </si>
  <si>
    <t>(国さんより)【SEP12更改】端末のSCEP/Defender/SEP14への移行について</t>
    <phoneticPr fontId="2"/>
  </si>
  <si>
    <t>テスト実施（D&amp;I分）</t>
    <rPh sb="3" eb="5">
      <t>ジッシ</t>
    </rPh>
    <rPh sb="9" eb="10">
      <t>ブン</t>
    </rPh>
    <phoneticPr fontId="2"/>
  </si>
  <si>
    <t>担当割当分について作業実施</t>
    <rPh sb="0" eb="2">
      <t>タントウ</t>
    </rPh>
    <rPh sb="2" eb="4">
      <t>ワリアテ</t>
    </rPh>
    <rPh sb="4" eb="5">
      <t>ブン</t>
    </rPh>
    <rPh sb="9" eb="11">
      <t>サギョウ</t>
    </rPh>
    <rPh sb="11" eb="13">
      <t>ジッシ</t>
    </rPh>
    <phoneticPr fontId="2"/>
  </si>
  <si>
    <t>12/10～12/14</t>
    <phoneticPr fontId="2"/>
  </si>
  <si>
    <t>12/20までに更新する</t>
    <rPh sb="8" eb="10">
      <t>コウシン</t>
    </rPh>
    <phoneticPr fontId="2"/>
  </si>
  <si>
    <t>(国さんより)元号調査</t>
    <rPh sb="7" eb="9">
      <t>ゲンゴウ</t>
    </rPh>
    <rPh sb="9" eb="11">
      <t>チョウサ</t>
    </rPh>
    <phoneticPr fontId="2"/>
  </si>
  <si>
    <t>数理/MinVの他シスファイル</t>
    <rPh sb="0" eb="2">
      <t>スウリ</t>
    </rPh>
    <rPh sb="8" eb="9">
      <t>タ</t>
    </rPh>
    <phoneticPr fontId="2"/>
  </si>
  <si>
    <t>元号、又は邦暦あるか確認する</t>
    <rPh sb="0" eb="2">
      <t>ゲンゴウ</t>
    </rPh>
    <rPh sb="3" eb="4">
      <t>マタ</t>
    </rPh>
    <rPh sb="5" eb="7">
      <t>ホウレキ</t>
    </rPh>
    <rPh sb="10" eb="12">
      <t>カクニン</t>
    </rPh>
    <phoneticPr fontId="2"/>
  </si>
  <si>
    <t>マスクツールについて数理決算環境で使用可能とする場合の検討</t>
    <rPh sb="10" eb="12">
      <t>スウリ</t>
    </rPh>
    <rPh sb="12" eb="14">
      <t>ケッサン</t>
    </rPh>
    <rPh sb="14" eb="16">
      <t>カンキョウ</t>
    </rPh>
    <rPh sb="17" eb="19">
      <t>シヨウ</t>
    </rPh>
    <rPh sb="19" eb="21">
      <t>カノウ</t>
    </rPh>
    <rPh sb="24" eb="26">
      <t>バアイ</t>
    </rPh>
    <rPh sb="27" eb="29">
      <t>ケントウ</t>
    </rPh>
    <phoneticPr fontId="2"/>
  </si>
  <si>
    <t>本番稼働準備(S/I Rv資料 連携)</t>
    <rPh sb="0" eb="2">
      <t>ホンバン</t>
    </rPh>
    <rPh sb="2" eb="4">
      <t>カドウ</t>
    </rPh>
    <rPh sb="4" eb="6">
      <t>ジュンビ</t>
    </rPh>
    <rPh sb="13" eb="15">
      <t>シリョウ</t>
    </rPh>
    <rPh sb="16" eb="18">
      <t>レンケイ</t>
    </rPh>
    <phoneticPr fontId="2"/>
  </si>
  <si>
    <t>ユーザーRv日程調整</t>
    <phoneticPr fontId="2"/>
  </si>
  <si>
    <t>ビルド</t>
    <phoneticPr fontId="2"/>
  </si>
  <si>
    <t>タスク</t>
    <phoneticPr fontId="2"/>
  </si>
  <si>
    <t>タスク詳細</t>
    <rPh sb="3" eb="5">
      <t>ショウサイ</t>
    </rPh>
    <phoneticPr fontId="2"/>
  </si>
  <si>
    <t>ユーザーRv日程調整</t>
    <phoneticPr fontId="2"/>
  </si>
  <si>
    <t>熊丸さまに確認</t>
    <phoneticPr fontId="2"/>
  </si>
  <si>
    <t>ED</t>
    <phoneticPr fontId="2"/>
  </si>
  <si>
    <t>CD</t>
    <phoneticPr fontId="2"/>
  </si>
  <si>
    <t>ブラッシュアップする</t>
    <phoneticPr fontId="2"/>
  </si>
  <si>
    <t>UT</t>
    <phoneticPr fontId="2"/>
  </si>
  <si>
    <t>対応案検討＆見積り</t>
    <phoneticPr fontId="2"/>
  </si>
  <si>
    <t>生産計画表(UT)　作成</t>
    <phoneticPr fontId="2"/>
  </si>
  <si>
    <t>UT</t>
    <phoneticPr fontId="2"/>
  </si>
  <si>
    <t>ED</t>
    <phoneticPr fontId="2"/>
  </si>
  <si>
    <t>生産計画表(UT)　作成</t>
    <phoneticPr fontId="2"/>
  </si>
  <si>
    <t>IT</t>
    <phoneticPr fontId="2"/>
  </si>
  <si>
    <t>15面環境構築依頼（ＩＴビルド依頼）</t>
    <phoneticPr fontId="2"/>
  </si>
  <si>
    <t>外部設計書借出</t>
    <phoneticPr fontId="2"/>
  </si>
  <si>
    <t>事業報告書　「４．年金通算状況」共同委託の件、検討</t>
    <phoneticPr fontId="2"/>
  </si>
  <si>
    <t>15面現新比較実施（現行実施）</t>
    <phoneticPr fontId="2"/>
  </si>
  <si>
    <t>15面環境構築</t>
    <phoneticPr fontId="2"/>
  </si>
  <si>
    <t>開発</t>
    <phoneticPr fontId="2"/>
  </si>
  <si>
    <t>全体</t>
    <phoneticPr fontId="2"/>
  </si>
  <si>
    <t>ITテストケース検討</t>
    <phoneticPr fontId="2"/>
  </si>
  <si>
    <t>タスク</t>
    <phoneticPr fontId="2"/>
  </si>
  <si>
    <t>UT精査(GDC分)</t>
    <phoneticPr fontId="2"/>
  </si>
  <si>
    <t>IT</t>
    <phoneticPr fontId="2"/>
  </si>
  <si>
    <t>(石川さんより精査依頼)DBA</t>
    <rPh sb="1" eb="3">
      <t>イシカワ</t>
    </rPh>
    <rPh sb="7" eb="9">
      <t>セイサ</t>
    </rPh>
    <rPh sb="9" eb="11">
      <t>イライ</t>
    </rPh>
    <phoneticPr fontId="2"/>
  </si>
  <si>
    <t>S/IRv資料作成</t>
    <phoneticPr fontId="2"/>
  </si>
  <si>
    <t>(立川さんより)CheckPoint更新</t>
    <rPh sb="1" eb="3">
      <t>タツカワ</t>
    </rPh>
    <rPh sb="18" eb="20">
      <t>コウシン</t>
    </rPh>
    <phoneticPr fontId="2"/>
  </si>
  <si>
    <t>(立川さんより)副社長歓送迎会について</t>
    <rPh sb="1" eb="3">
      <t>タツカワ</t>
    </rPh>
    <rPh sb="8" eb="11">
      <t>フクシャチョウ</t>
    </rPh>
    <rPh sb="11" eb="15">
      <t>カンソウゲイカイ</t>
    </rPh>
    <phoneticPr fontId="2"/>
  </si>
  <si>
    <t>期限：12月21日（金）</t>
    <phoneticPr fontId="2"/>
  </si>
  <si>
    <t>出欠確認</t>
    <rPh sb="0" eb="2">
      <t>シュッケツ</t>
    </rPh>
    <rPh sb="2" eb="4">
      <t>カクニン</t>
    </rPh>
    <phoneticPr fontId="2"/>
  </si>
  <si>
    <t>初回稼働確認 作成</t>
    <rPh sb="7" eb="9">
      <t>サクセイ</t>
    </rPh>
    <phoneticPr fontId="2"/>
  </si>
  <si>
    <t>本番作業一覧 作成</t>
    <rPh sb="7" eb="9">
      <t>サクセイ</t>
    </rPh>
    <phoneticPr fontId="2"/>
  </si>
  <si>
    <t>基本行動チェックリストの作成</t>
    <rPh sb="0" eb="2">
      <t>キホン</t>
    </rPh>
    <rPh sb="2" eb="4">
      <t>コウドウ</t>
    </rPh>
    <rPh sb="12" eb="14">
      <t>サクセイ</t>
    </rPh>
    <phoneticPr fontId="2"/>
  </si>
  <si>
    <t>IT精査実施報告書、変更一覧、本番チェックリスト</t>
    <rPh sb="2" eb="4">
      <t>セイサ</t>
    </rPh>
    <rPh sb="4" eb="6">
      <t>ジッシ</t>
    </rPh>
    <rPh sb="6" eb="9">
      <t>ホウコクショ</t>
    </rPh>
    <rPh sb="10" eb="12">
      <t>ヘンコウ</t>
    </rPh>
    <rPh sb="12" eb="14">
      <t>イチラン</t>
    </rPh>
    <rPh sb="15" eb="17">
      <t>ホンバン</t>
    </rPh>
    <phoneticPr fontId="2"/>
  </si>
  <si>
    <t>(柿原さんより）加入2-2Excelで、脱退一時金相当額の1行目ブランクはエラーとなる事を確認して連携。</t>
    <rPh sb="1" eb="3">
      <t>カキハラ</t>
    </rPh>
    <rPh sb="8" eb="10">
      <t>カニュウ</t>
    </rPh>
    <rPh sb="30" eb="32">
      <t>ギョウメ</t>
    </rPh>
    <rPh sb="43" eb="44">
      <t>コト</t>
    </rPh>
    <rPh sb="45" eb="47">
      <t>カクニン</t>
    </rPh>
    <rPh sb="49" eb="51">
      <t>レンケイ</t>
    </rPh>
    <phoneticPr fontId="2"/>
  </si>
  <si>
    <t>(柿原さんより）加入3-2Excelで、処理区分'1'で移換先種類："6"・移換先基金番号：入力有で「K238」のエラーが表示されることを確認の上、連携。</t>
    <rPh sb="1" eb="3">
      <t>カキハラ</t>
    </rPh>
    <rPh sb="8" eb="10">
      <t>カニュウ</t>
    </rPh>
    <rPh sb="20" eb="22">
      <t>ショリ</t>
    </rPh>
    <rPh sb="22" eb="24">
      <t>クブン</t>
    </rPh>
    <rPh sb="69" eb="71">
      <t>カクニン</t>
    </rPh>
    <rPh sb="72" eb="73">
      <t>ウエ</t>
    </rPh>
    <rPh sb="74" eb="76">
      <t>レンケイ</t>
    </rPh>
    <phoneticPr fontId="2"/>
  </si>
  <si>
    <t>（西村さんより）番号変更処理で変更前・変更後の番号チェックのイメージを整理、ユーザーと確認する</t>
    <rPh sb="1" eb="3">
      <t>ニシムラ</t>
    </rPh>
    <rPh sb="15" eb="17">
      <t>ヘンコウ</t>
    </rPh>
    <rPh sb="17" eb="18">
      <t>マエ</t>
    </rPh>
    <rPh sb="19" eb="21">
      <t>ヘンコウ</t>
    </rPh>
    <rPh sb="21" eb="22">
      <t>ゴ</t>
    </rPh>
    <rPh sb="23" eb="25">
      <t>バンゴウ</t>
    </rPh>
    <rPh sb="35" eb="37">
      <t>セイリ</t>
    </rPh>
    <rPh sb="43" eb="45">
      <t>カクニン</t>
    </rPh>
    <phoneticPr fontId="2"/>
  </si>
  <si>
    <t>(柿原さんより）加入6で移換完了通知書の「記」の位置がおかしい指摘あり。</t>
    <rPh sb="1" eb="3">
      <t>カキハラ</t>
    </rPh>
    <rPh sb="8" eb="10">
      <t>カニュウ</t>
    </rPh>
    <rPh sb="12" eb="14">
      <t>イカン</t>
    </rPh>
    <rPh sb="14" eb="16">
      <t>カンリョウ</t>
    </rPh>
    <rPh sb="16" eb="19">
      <t>ツウチショ</t>
    </rPh>
    <rPh sb="21" eb="22">
      <t>キ</t>
    </rPh>
    <rPh sb="24" eb="26">
      <t>イチ</t>
    </rPh>
    <rPh sb="31" eb="33">
      <t>シテキ</t>
    </rPh>
    <phoneticPr fontId="2"/>
  </si>
  <si>
    <t>水際環境で検証する</t>
    <rPh sb="0" eb="2">
      <t>ミズギワ</t>
    </rPh>
    <rPh sb="2" eb="4">
      <t>カンキョウ</t>
    </rPh>
    <rPh sb="5" eb="7">
      <t>ケンショウ</t>
    </rPh>
    <phoneticPr fontId="2"/>
  </si>
  <si>
    <t>12/25～12/28</t>
    <phoneticPr fontId="2"/>
  </si>
  <si>
    <t>(柿原さん待ち）事業報告書-規約型_共同委託のテストデータどうするか？</t>
    <rPh sb="1" eb="3">
      <t>カキハラ</t>
    </rPh>
    <rPh sb="5" eb="6">
      <t>マ</t>
    </rPh>
    <rPh sb="8" eb="10">
      <t>ジギョウ</t>
    </rPh>
    <rPh sb="10" eb="13">
      <t>ホウコクショ</t>
    </rPh>
    <rPh sb="14" eb="16">
      <t>キヤク</t>
    </rPh>
    <rPh sb="16" eb="17">
      <t>ガタ</t>
    </rPh>
    <rPh sb="18" eb="20">
      <t>キョウドウ</t>
    </rPh>
    <rPh sb="20" eb="22">
      <t>イタク</t>
    </rPh>
    <phoneticPr fontId="2"/>
  </si>
  <si>
    <t>・12/21 ユーザーの回答待ち</t>
    <rPh sb="12" eb="14">
      <t>カイトウ</t>
    </rPh>
    <rPh sb="14" eb="15">
      <t>マ</t>
    </rPh>
    <phoneticPr fontId="2"/>
  </si>
  <si>
    <t>ユーザーとセッション日程を調整する</t>
    <rPh sb="10" eb="12">
      <t>ニッテイ</t>
    </rPh>
    <rPh sb="13" eb="15">
      <t>チョウセイ</t>
    </rPh>
    <phoneticPr fontId="2"/>
  </si>
  <si>
    <t>・12/25 (残)移換完了通知書、数理IFファイル</t>
    <rPh sb="8" eb="9">
      <t>ザン</t>
    </rPh>
    <rPh sb="10" eb="12">
      <t>イカン</t>
    </rPh>
    <rPh sb="12" eb="14">
      <t>カンリョウ</t>
    </rPh>
    <rPh sb="14" eb="17">
      <t>ツウチショ</t>
    </rPh>
    <rPh sb="18" eb="20">
      <t>スウリ</t>
    </rPh>
    <phoneticPr fontId="2"/>
  </si>
  <si>
    <t>本番準備</t>
    <rPh sb="0" eb="2">
      <t>ホンバン</t>
    </rPh>
    <rPh sb="2" eb="4">
      <t>ジュンビ</t>
    </rPh>
    <phoneticPr fontId="2"/>
  </si>
  <si>
    <t>本番作業手順について承認もらう</t>
    <rPh sb="0" eb="2">
      <t>ホンバン</t>
    </rPh>
    <rPh sb="2" eb="4">
      <t>サギョウ</t>
    </rPh>
    <rPh sb="4" eb="6">
      <t>テジュン</t>
    </rPh>
    <rPh sb="10" eb="12">
      <t>ショウニン</t>
    </rPh>
    <phoneticPr fontId="2"/>
  </si>
  <si>
    <t>A00938_加入者番号前ゼロ登録者対応</t>
    <phoneticPr fontId="2"/>
  </si>
  <si>
    <t>入力一覧の修正分を外部設計のシス開票送付時に添付する</t>
    <rPh sb="0" eb="2">
      <t>ニュウリョク</t>
    </rPh>
    <rPh sb="2" eb="4">
      <t>イチラン</t>
    </rPh>
    <rPh sb="5" eb="7">
      <t>シュウセイ</t>
    </rPh>
    <rPh sb="7" eb="8">
      <t>ブン</t>
    </rPh>
    <rPh sb="9" eb="11">
      <t>ガイブ</t>
    </rPh>
    <rPh sb="11" eb="13">
      <t>セッケイ</t>
    </rPh>
    <rPh sb="16" eb="18">
      <t>カイヒョウ</t>
    </rPh>
    <rPh sb="18" eb="20">
      <t>ソウフ</t>
    </rPh>
    <rPh sb="20" eb="21">
      <t>ジ</t>
    </rPh>
    <rPh sb="22" eb="24">
      <t>テンプ</t>
    </rPh>
    <phoneticPr fontId="2"/>
  </si>
  <si>
    <t>案件報告作成(2018年12月度)</t>
    <rPh sb="0" eb="2">
      <t>アンケン</t>
    </rPh>
    <rPh sb="2" eb="4">
      <t>ホウコク</t>
    </rPh>
    <rPh sb="4" eb="6">
      <t>サクセイ</t>
    </rPh>
    <rPh sb="11" eb="12">
      <t>ネン</t>
    </rPh>
    <rPh sb="14" eb="15">
      <t>ガツ</t>
    </rPh>
    <rPh sb="15" eb="16">
      <t>ド</t>
    </rPh>
    <phoneticPr fontId="2"/>
  </si>
  <si>
    <t>・12/26 国さんより。28日期限</t>
    <rPh sb="7" eb="8">
      <t>クニ</t>
    </rPh>
    <rPh sb="15" eb="16">
      <t>ニチ</t>
    </rPh>
    <rPh sb="16" eb="18">
      <t>キゲン</t>
    </rPh>
    <phoneticPr fontId="2"/>
  </si>
  <si>
    <t>外部設計書の精査依頼分の確認</t>
    <rPh sb="0" eb="2">
      <t>ガイブ</t>
    </rPh>
    <rPh sb="2" eb="5">
      <t>セッケイショ</t>
    </rPh>
    <rPh sb="6" eb="8">
      <t>セイサ</t>
    </rPh>
    <rPh sb="8" eb="10">
      <t>イライ</t>
    </rPh>
    <rPh sb="10" eb="11">
      <t>ブン</t>
    </rPh>
    <rPh sb="12" eb="14">
      <t>カクニン</t>
    </rPh>
    <phoneticPr fontId="2"/>
  </si>
  <si>
    <t>品質トラッキングシート（EDの品質）</t>
    <phoneticPr fontId="2"/>
  </si>
  <si>
    <t>WBS</t>
  </si>
  <si>
    <t>生産計画表（1月の作業予定が分かるよう詳細化されていることが望ましい）</t>
    <phoneticPr fontId="2"/>
  </si>
  <si>
    <t>リスクトラッキングシート</t>
    <phoneticPr fontId="2"/>
  </si>
  <si>
    <t>（あれば）課題管理／問題管理／変更管理／ペンディング</t>
    <phoneticPr fontId="2"/>
  </si>
  <si>
    <t>（あれば）マイルストン／依存関係（ディペンデンシー）</t>
    <phoneticPr fontId="2"/>
  </si>
  <si>
    <t>2018年度 セキュリティ研修（一斉受講）</t>
    <phoneticPr fontId="2"/>
  </si>
  <si>
    <t>立川さんより</t>
    <rPh sb="0" eb="2">
      <t>タツカワ</t>
    </rPh>
    <phoneticPr fontId="2"/>
  </si>
  <si>
    <t>・期限 2019年 1月25日（金）</t>
    <rPh sb="1" eb="3">
      <t>キゲン</t>
    </rPh>
    <phoneticPr fontId="2"/>
  </si>
  <si>
    <t>JMASさん貸出ている端末の故障について</t>
    <rPh sb="6" eb="8">
      <t>カシダシ</t>
    </rPh>
    <rPh sb="11" eb="13">
      <t>タンマツ</t>
    </rPh>
    <rPh sb="14" eb="16">
      <t>コショウ</t>
    </rPh>
    <phoneticPr fontId="2"/>
  </si>
  <si>
    <t>端末修理 or 新端末貸出の方針出す</t>
    <rPh sb="0" eb="2">
      <t>タンマツ</t>
    </rPh>
    <rPh sb="2" eb="4">
      <t>シュウリ</t>
    </rPh>
    <rPh sb="8" eb="9">
      <t>シン</t>
    </rPh>
    <rPh sb="9" eb="11">
      <t>タンマツ</t>
    </rPh>
    <rPh sb="11" eb="13">
      <t>カシダシ</t>
    </rPh>
    <rPh sb="14" eb="16">
      <t>ホウシン</t>
    </rPh>
    <rPh sb="16" eb="17">
      <t>ダ</t>
    </rPh>
    <phoneticPr fontId="2"/>
  </si>
  <si>
    <t>・12/27 精査指摘D101をJMAS整理中
・12/28 西村さんより共通メソッド内に同一加入員番号はバイパスする方針で確定</t>
    <rPh sb="7" eb="9">
      <t>セイサ</t>
    </rPh>
    <rPh sb="9" eb="11">
      <t>シテキ</t>
    </rPh>
    <rPh sb="20" eb="23">
      <t>セイリチュウ</t>
    </rPh>
    <rPh sb="31" eb="33">
      <t>ニシムラ</t>
    </rPh>
    <rPh sb="37" eb="39">
      <t>キョウツウ</t>
    </rPh>
    <rPh sb="43" eb="44">
      <t>ナイ</t>
    </rPh>
    <rPh sb="45" eb="47">
      <t>ドウイツ</t>
    </rPh>
    <rPh sb="47" eb="50">
      <t>カニュウイン</t>
    </rPh>
    <rPh sb="50" eb="52">
      <t>バンゴウ</t>
    </rPh>
    <rPh sb="59" eb="61">
      <t>ホウシン</t>
    </rPh>
    <rPh sb="62" eb="64">
      <t>カクテイ</t>
    </rPh>
    <phoneticPr fontId="2"/>
  </si>
  <si>
    <t>・1/4 陳さんからの完了報告待ち</t>
    <rPh sb="5" eb="6">
      <t>チン</t>
    </rPh>
    <rPh sb="11" eb="13">
      <t>カンリョウ</t>
    </rPh>
    <rPh sb="13" eb="15">
      <t>ホウコク</t>
    </rPh>
    <rPh sb="15" eb="16">
      <t>マ</t>
    </rPh>
    <phoneticPr fontId="2"/>
  </si>
  <si>
    <t>1/4～1/4</t>
    <phoneticPr fontId="2"/>
  </si>
  <si>
    <t>1/7～1/11</t>
    <phoneticPr fontId="2"/>
  </si>
  <si>
    <t>照会連絡票を受領する</t>
    <rPh sb="0" eb="2">
      <t>ショウカイ</t>
    </rPh>
    <rPh sb="2" eb="4">
      <t>レンラク</t>
    </rPh>
    <rPh sb="4" eb="5">
      <t>ヒョウ</t>
    </rPh>
    <rPh sb="6" eb="8">
      <t>ズリョウ</t>
    </rPh>
    <phoneticPr fontId="2"/>
  </si>
  <si>
    <t>・1/4 (石川さんより)新端末にER導入する際のライセンス調達は問題ない。また、7FのDBA端末にER導入可能となったので、10FJMASさんは、7Fにリモート接続しても問題ない。
(ER以外に必要な作業があって、端末が必要になるか？)
１．同端末修理する
２．別端末用意して、ER導入
３．端末用意せずに7Fリモート接続</t>
    <rPh sb="6" eb="8">
      <t>イシカワ</t>
    </rPh>
    <rPh sb="13" eb="14">
      <t>シン</t>
    </rPh>
    <rPh sb="14" eb="16">
      <t>タンマツ</t>
    </rPh>
    <rPh sb="19" eb="21">
      <t>ドウニュウ</t>
    </rPh>
    <rPh sb="23" eb="24">
      <t>サイ</t>
    </rPh>
    <rPh sb="30" eb="32">
      <t>チョウタツ</t>
    </rPh>
    <rPh sb="33" eb="35">
      <t>モンダイ</t>
    </rPh>
    <rPh sb="47" eb="49">
      <t>タンマツ</t>
    </rPh>
    <rPh sb="52" eb="54">
      <t>ドウニュウ</t>
    </rPh>
    <rPh sb="54" eb="56">
      <t>カノウ</t>
    </rPh>
    <rPh sb="81" eb="83">
      <t>セツゾク</t>
    </rPh>
    <rPh sb="86" eb="88">
      <t>モンダイ</t>
    </rPh>
    <rPh sb="95" eb="97">
      <t>イガイ</t>
    </rPh>
    <rPh sb="98" eb="100">
      <t>ヒツヨウ</t>
    </rPh>
    <rPh sb="101" eb="103">
      <t>サギョウ</t>
    </rPh>
    <rPh sb="108" eb="110">
      <t>タンマツ</t>
    </rPh>
    <rPh sb="111" eb="113">
      <t>ヒツヨウ</t>
    </rPh>
    <rPh sb="147" eb="149">
      <t>タンマツ</t>
    </rPh>
    <rPh sb="149" eb="151">
      <t>ヨウイ</t>
    </rPh>
    <rPh sb="160" eb="162">
      <t>セツゾク</t>
    </rPh>
    <phoneticPr fontId="2"/>
  </si>
  <si>
    <t>DBA(ERStudioの再導入、その為にライセンス調達から行う必要ある？）
→石川さんに確認済み。（右記参照）
→JMASに端末1台分が必要かヒアリング。（右記参照）
→端末修理って可能？</t>
    <rPh sb="13" eb="16">
      <t>サイドウニュウ</t>
    </rPh>
    <rPh sb="19" eb="20">
      <t>タメ</t>
    </rPh>
    <rPh sb="26" eb="28">
      <t>チョウタツ</t>
    </rPh>
    <rPh sb="30" eb="31">
      <t>オコナ</t>
    </rPh>
    <rPh sb="32" eb="34">
      <t>ヒツヨウ</t>
    </rPh>
    <rPh sb="40" eb="42">
      <t>イシカワ</t>
    </rPh>
    <rPh sb="45" eb="47">
      <t>カクニン</t>
    </rPh>
    <rPh sb="47" eb="48">
      <t>ズ</t>
    </rPh>
    <rPh sb="51" eb="53">
      <t>ウキ</t>
    </rPh>
    <rPh sb="53" eb="55">
      <t>サンショウ</t>
    </rPh>
    <rPh sb="63" eb="65">
      <t>タンマツ</t>
    </rPh>
    <rPh sb="66" eb="67">
      <t>ダイ</t>
    </rPh>
    <rPh sb="67" eb="68">
      <t>ブン</t>
    </rPh>
    <rPh sb="69" eb="71">
      <t>ヒツヨウ</t>
    </rPh>
    <rPh sb="86" eb="88">
      <t>タンマツ</t>
    </rPh>
    <rPh sb="88" eb="90">
      <t>シュウリ</t>
    </rPh>
    <rPh sb="92" eb="94">
      <t>カノウ</t>
    </rPh>
    <phoneticPr fontId="2"/>
  </si>
  <si>
    <t>外部設計書の返却</t>
    <rPh sb="0" eb="2">
      <t>ガイブ</t>
    </rPh>
    <rPh sb="2" eb="5">
      <t>セッケイショ</t>
    </rPh>
    <rPh sb="6" eb="8">
      <t>ヘンキャク</t>
    </rPh>
    <phoneticPr fontId="2"/>
  </si>
  <si>
    <t>・12/21 ユーザーの回答待ち
・1/7 柿原様に状況確認メール済み
・1/7 柿原様より回答受領、陳さんへ連携済み</t>
    <rPh sb="12" eb="14">
      <t>カイトウ</t>
    </rPh>
    <rPh sb="14" eb="15">
      <t>マ</t>
    </rPh>
    <rPh sb="22" eb="25">
      <t>カキハラサマ</t>
    </rPh>
    <rPh sb="26" eb="28">
      <t>ジョウキョウ</t>
    </rPh>
    <rPh sb="28" eb="30">
      <t>カクニン</t>
    </rPh>
    <rPh sb="33" eb="34">
      <t>ス</t>
    </rPh>
    <rPh sb="46" eb="48">
      <t>カイトウ</t>
    </rPh>
    <rPh sb="48" eb="50">
      <t>ズリョウ</t>
    </rPh>
    <rPh sb="51" eb="52">
      <t>チン</t>
    </rPh>
    <rPh sb="55" eb="57">
      <t>レンケイ</t>
    </rPh>
    <rPh sb="57" eb="58">
      <t>ズ</t>
    </rPh>
    <phoneticPr fontId="2"/>
  </si>
  <si>
    <t>事業報告書-規約型_共同委託のテスト精査</t>
    <rPh sb="0" eb="2">
      <t>ジギョウ</t>
    </rPh>
    <rPh sb="2" eb="5">
      <t>ホウコクショ</t>
    </rPh>
    <rPh sb="6" eb="8">
      <t>キヤク</t>
    </rPh>
    <rPh sb="8" eb="9">
      <t>ガタ</t>
    </rPh>
    <rPh sb="10" eb="12">
      <t>キョウドウ</t>
    </rPh>
    <rPh sb="12" eb="14">
      <t>イタク</t>
    </rPh>
    <rPh sb="18" eb="20">
      <t>セイサ</t>
    </rPh>
    <phoneticPr fontId="2"/>
  </si>
  <si>
    <t>・1/8 Ci申請中</t>
    <rPh sb="7" eb="10">
      <t>シンセイチュウ</t>
    </rPh>
    <phoneticPr fontId="2"/>
  </si>
  <si>
    <t>・1/8 Co取消申請、削除申請、Ci申請実施中</t>
    <rPh sb="7" eb="9">
      <t>トリケシ</t>
    </rPh>
    <rPh sb="9" eb="11">
      <t>シンセイ</t>
    </rPh>
    <rPh sb="12" eb="14">
      <t>サクジョ</t>
    </rPh>
    <rPh sb="14" eb="16">
      <t>シンセイ</t>
    </rPh>
    <rPh sb="19" eb="21">
      <t>シンセイ</t>
    </rPh>
    <rPh sb="21" eb="23">
      <t>ジッシ</t>
    </rPh>
    <rPh sb="23" eb="24">
      <t>チュウ</t>
    </rPh>
    <phoneticPr fontId="2"/>
  </si>
  <si>
    <t>試験用バッチ週次再起動ジョブの調査</t>
    <rPh sb="6" eb="8">
      <t>シュウジ</t>
    </rPh>
    <rPh sb="8" eb="11">
      <t>サイキドウ</t>
    </rPh>
    <rPh sb="15" eb="17">
      <t>チョウサ</t>
    </rPh>
    <phoneticPr fontId="2"/>
  </si>
  <si>
    <t>来馬さんに水際環境を使う時間について確認する</t>
    <rPh sb="0" eb="2">
      <t>クルバ</t>
    </rPh>
    <rPh sb="5" eb="7">
      <t>ミズギワ</t>
    </rPh>
    <rPh sb="7" eb="9">
      <t>カンキョウ</t>
    </rPh>
    <rPh sb="10" eb="11">
      <t>ツカ</t>
    </rPh>
    <rPh sb="12" eb="14">
      <t>ジカン</t>
    </rPh>
    <rPh sb="18" eb="20">
      <t>カクニン</t>
    </rPh>
    <phoneticPr fontId="2"/>
  </si>
  <si>
    <t>・1/8 1/9から暫く使用可能とのこと</t>
    <rPh sb="10" eb="11">
      <t>シバラ</t>
    </rPh>
    <rPh sb="12" eb="14">
      <t>シヨウ</t>
    </rPh>
    <rPh sb="14" eb="16">
      <t>カノウ</t>
    </rPh>
    <phoneticPr fontId="2"/>
  </si>
  <si>
    <t>A00930_年号表示と臨時休日に関する対応（2018年度）</t>
    <phoneticPr fontId="2"/>
  </si>
  <si>
    <t>ED</t>
    <phoneticPr fontId="2"/>
  </si>
  <si>
    <t>ED</t>
    <phoneticPr fontId="2"/>
  </si>
  <si>
    <t>外部設計書の借り出し</t>
    <rPh sb="0" eb="2">
      <t>ガイブ</t>
    </rPh>
    <rPh sb="2" eb="4">
      <t>セッケイ</t>
    </rPh>
    <rPh sb="4" eb="5">
      <t>ショ</t>
    </rPh>
    <rPh sb="6" eb="7">
      <t>カ</t>
    </rPh>
    <rPh sb="8" eb="9">
      <t>ダ</t>
    </rPh>
    <phoneticPr fontId="2"/>
  </si>
  <si>
    <t>リソースの借出</t>
    <rPh sb="5" eb="7">
      <t>カリダシ</t>
    </rPh>
    <phoneticPr fontId="2"/>
  </si>
  <si>
    <t>CD</t>
    <phoneticPr fontId="2"/>
  </si>
  <si>
    <t>2．祝日情報ファイルの変更</t>
    <phoneticPr fontId="2"/>
  </si>
  <si>
    <t>2-3.本番作業の上申(上申)</t>
    <rPh sb="12" eb="14">
      <t>ジョウシン</t>
    </rPh>
    <phoneticPr fontId="2"/>
  </si>
  <si>
    <t>2-3.本番作業の上申(本番作業申請)</t>
    <rPh sb="12" eb="14">
      <t>ホンバン</t>
    </rPh>
    <rPh sb="14" eb="16">
      <t>サギョウ</t>
    </rPh>
    <rPh sb="16" eb="18">
      <t>シンセイ</t>
    </rPh>
    <phoneticPr fontId="2"/>
  </si>
  <si>
    <t>2-3.本番作業の上申(本番作業時のID申請(要整理))</t>
    <rPh sb="23" eb="24">
      <t>ヨウ</t>
    </rPh>
    <rPh sb="24" eb="26">
      <t>セイリ</t>
    </rPh>
    <phoneticPr fontId="2"/>
  </si>
  <si>
    <t>2-1.本番作業手順書の整備</t>
    <phoneticPr fontId="2"/>
  </si>
  <si>
    <t>1/15～1/18</t>
    <phoneticPr fontId="2"/>
  </si>
  <si>
    <t>1/15 Excelバージョン番号取得のbatログが出力されていない。。</t>
    <rPh sb="15" eb="17">
      <t>バンゴウ</t>
    </rPh>
    <rPh sb="17" eb="19">
      <t>シュトク</t>
    </rPh>
    <rPh sb="26" eb="28">
      <t>シュツリョク</t>
    </rPh>
    <phoneticPr fontId="2"/>
  </si>
  <si>
    <t>・1/4 陳さんからの完了報告待ち
・1/15 UT精査済み、指摘対応結果待ち</t>
    <rPh sb="5" eb="6">
      <t>チン</t>
    </rPh>
    <rPh sb="11" eb="13">
      <t>カンリョウ</t>
    </rPh>
    <rPh sb="13" eb="15">
      <t>ホウコク</t>
    </rPh>
    <rPh sb="15" eb="16">
      <t>マ</t>
    </rPh>
    <rPh sb="26" eb="28">
      <t>セイサ</t>
    </rPh>
    <rPh sb="28" eb="29">
      <t>ス</t>
    </rPh>
    <rPh sb="31" eb="33">
      <t>シテキ</t>
    </rPh>
    <rPh sb="33" eb="35">
      <t>タイオウ</t>
    </rPh>
    <rPh sb="35" eb="37">
      <t>ケッカ</t>
    </rPh>
    <rPh sb="37" eb="38">
      <t>マ</t>
    </rPh>
    <phoneticPr fontId="2"/>
  </si>
  <si>
    <t>(1)元号情報ファイルの変更</t>
  </si>
  <si>
    <t>各種エントリー情報TBL.取引本文の使用先Grep調査</t>
    <rPh sb="0" eb="2">
      <t>カクシュ</t>
    </rPh>
    <rPh sb="7" eb="9">
      <t>ジョウホウ</t>
    </rPh>
    <rPh sb="13" eb="15">
      <t>トリヒキ</t>
    </rPh>
    <rPh sb="15" eb="17">
      <t>ホンブン</t>
    </rPh>
    <rPh sb="18" eb="20">
      <t>シヨウ</t>
    </rPh>
    <rPh sb="20" eb="21">
      <t>サキ</t>
    </rPh>
    <rPh sb="25" eb="27">
      <t>チョウサ</t>
    </rPh>
    <phoneticPr fontId="2"/>
  </si>
  <si>
    <t>・1/11 A00922のCi申請中の1設計書が重複している。A00922Ci完了してから借出す。
・1/16 Co依頼中</t>
    <rPh sb="15" eb="18">
      <t>シンセイチュウ</t>
    </rPh>
    <rPh sb="20" eb="22">
      <t>セッケイ</t>
    </rPh>
    <rPh sb="22" eb="23">
      <t>ショ</t>
    </rPh>
    <rPh sb="24" eb="26">
      <t>チョウフク</t>
    </rPh>
    <rPh sb="39" eb="41">
      <t>カンリョウ</t>
    </rPh>
    <rPh sb="45" eb="47">
      <t>カリダ</t>
    </rPh>
    <rPh sb="58" eb="61">
      <t>イライチュウ</t>
    </rPh>
    <phoneticPr fontId="2"/>
  </si>
  <si>
    <t>共通資源(JP1)精査</t>
    <rPh sb="0" eb="2">
      <t>キョウツウ</t>
    </rPh>
    <rPh sb="2" eb="4">
      <t>シゲン</t>
    </rPh>
    <rPh sb="9" eb="11">
      <t>セイサ</t>
    </rPh>
    <phoneticPr fontId="2"/>
  </si>
  <si>
    <t>IT仕様書  精査</t>
    <rPh sb="2" eb="5">
      <t>シヨウショ</t>
    </rPh>
    <rPh sb="7" eb="9">
      <t>セイサ</t>
    </rPh>
    <phoneticPr fontId="2"/>
  </si>
  <si>
    <t>(立川さんより)DCプロジェクト見直し会</t>
    <rPh sb="1" eb="3">
      <t>タツカワ</t>
    </rPh>
    <phoneticPr fontId="2"/>
  </si>
  <si>
    <t>品質向上</t>
    <rPh sb="0" eb="2">
      <t>ヒンシツ</t>
    </rPh>
    <rPh sb="2" eb="4">
      <t>コウジョウ</t>
    </rPh>
    <phoneticPr fontId="2"/>
  </si>
  <si>
    <t>DCチームの過去3年程のトラブルを収集、分析する</t>
    <rPh sb="6" eb="8">
      <t>カコ</t>
    </rPh>
    <rPh sb="9" eb="10">
      <t>ネン</t>
    </rPh>
    <rPh sb="10" eb="11">
      <t>ホド</t>
    </rPh>
    <rPh sb="17" eb="19">
      <t>シュウシュウ</t>
    </rPh>
    <rPh sb="20" eb="22">
      <t>ブンセキ</t>
    </rPh>
    <phoneticPr fontId="2"/>
  </si>
  <si>
    <t>Reppyチームの開発の流れで品質向上に寄与できる仕組みがあるか整理する</t>
    <rPh sb="9" eb="11">
      <t>カイハツ</t>
    </rPh>
    <rPh sb="12" eb="13">
      <t>ナガ</t>
    </rPh>
    <rPh sb="15" eb="17">
      <t>ヒンシツ</t>
    </rPh>
    <rPh sb="17" eb="19">
      <t>コウジョウ</t>
    </rPh>
    <rPh sb="20" eb="22">
      <t>キヨ</t>
    </rPh>
    <rPh sb="25" eb="27">
      <t>シク</t>
    </rPh>
    <rPh sb="32" eb="34">
      <t>セイリ</t>
    </rPh>
    <phoneticPr fontId="2"/>
  </si>
  <si>
    <t>江さんと会話する機会を設ける</t>
    <rPh sb="0" eb="1">
      <t>コウ</t>
    </rPh>
    <rPh sb="4" eb="6">
      <t>カイワ</t>
    </rPh>
    <rPh sb="8" eb="10">
      <t>キカイ</t>
    </rPh>
    <rPh sb="11" eb="12">
      <t>モウ</t>
    </rPh>
    <phoneticPr fontId="2"/>
  </si>
  <si>
    <t>No.</t>
    <phoneticPr fontId="2"/>
  </si>
  <si>
    <t>内容</t>
    <rPh sb="0" eb="2">
      <t>ナイヨウ</t>
    </rPh>
    <phoneticPr fontId="2"/>
  </si>
  <si>
    <t>優先度</t>
    <rPh sb="0" eb="3">
      <t>ユウセンド</t>
    </rPh>
    <phoneticPr fontId="2"/>
  </si>
  <si>
    <t>中</t>
    <rPh sb="0" eb="1">
      <t>チュウ</t>
    </rPh>
    <phoneticPr fontId="2"/>
  </si>
  <si>
    <t>状況</t>
    <rPh sb="0" eb="2">
      <t>ジョウキョウ</t>
    </rPh>
    <phoneticPr fontId="2"/>
  </si>
  <si>
    <t>A00930_年号表示と臨時休日に関する対応（2018年度）</t>
    <phoneticPr fontId="2"/>
  </si>
  <si>
    <t>1/21～1/25</t>
    <phoneticPr fontId="2"/>
  </si>
  <si>
    <t>・一旦、クローズ</t>
    <rPh sb="1" eb="3">
      <t>イッタン</t>
    </rPh>
    <phoneticPr fontId="2"/>
  </si>
  <si>
    <t>外部設計書の精査依頼分の確認</t>
    <phoneticPr fontId="2"/>
  </si>
  <si>
    <t>1/15 Excelバージョン番号取得のbatログが出力されていない。。
1/21 即時実行なら正しく動いた。。実行ユーザーの権限の問題？</t>
    <rPh sb="15" eb="17">
      <t>バンゴウ</t>
    </rPh>
    <rPh sb="17" eb="19">
      <t>シュトク</t>
    </rPh>
    <rPh sb="26" eb="28">
      <t>シュツリョク</t>
    </rPh>
    <rPh sb="42" eb="44">
      <t>ソクジ</t>
    </rPh>
    <rPh sb="44" eb="46">
      <t>ジッコウ</t>
    </rPh>
    <rPh sb="48" eb="49">
      <t>タダ</t>
    </rPh>
    <rPh sb="51" eb="52">
      <t>ウゴ</t>
    </rPh>
    <rPh sb="56" eb="58">
      <t>ジッコウ</t>
    </rPh>
    <rPh sb="63" eb="65">
      <t>ケンゲン</t>
    </rPh>
    <rPh sb="66" eb="68">
      <t>モンダイ</t>
    </rPh>
    <phoneticPr fontId="2"/>
  </si>
  <si>
    <t>ITテストケースの検討 with ユーザー</t>
    <rPh sb="9" eb="11">
      <t>ケントウ</t>
    </rPh>
    <phoneticPr fontId="2"/>
  </si>
  <si>
    <t>2019年 ビジネス・コンダクト・ガイドライン</t>
    <phoneticPr fontId="2"/>
  </si>
  <si>
    <t>オンライン受講</t>
    <phoneticPr fontId="2"/>
  </si>
  <si>
    <t>IT環境準備</t>
    <phoneticPr fontId="2"/>
  </si>
  <si>
    <t>2-1.本番作業手順書のウォークスルー</t>
    <phoneticPr fontId="2"/>
  </si>
  <si>
    <t>2-1.本番作業手順書の8F事前検証_ユーザーID借出</t>
    <rPh sb="14" eb="16">
      <t>ジゼン</t>
    </rPh>
    <rPh sb="16" eb="18">
      <t>ケンショウ</t>
    </rPh>
    <rPh sb="25" eb="27">
      <t>カリダシ</t>
    </rPh>
    <phoneticPr fontId="2"/>
  </si>
  <si>
    <t>個別面環境の構築（現）</t>
    <rPh sb="3" eb="5">
      <t>カンキョウ</t>
    </rPh>
    <rPh sb="6" eb="8">
      <t>コウチク</t>
    </rPh>
    <rPh sb="9" eb="10">
      <t>ゲン</t>
    </rPh>
    <phoneticPr fontId="2"/>
  </si>
  <si>
    <t>個別面環境の構築（新）依頼</t>
    <rPh sb="3" eb="5">
      <t>カンキョウ</t>
    </rPh>
    <rPh sb="6" eb="8">
      <t>コウチク</t>
    </rPh>
    <rPh sb="9" eb="10">
      <t>シン</t>
    </rPh>
    <rPh sb="11" eb="13">
      <t>イライ</t>
    </rPh>
    <phoneticPr fontId="2"/>
  </si>
  <si>
    <t>・1/23 ユーザーより検討資料受領。
　144ケース→JMASと会話して50ケース程に絞り込んでもらう事をユーザー連携済み。</t>
    <rPh sb="12" eb="14">
      <t>ケントウ</t>
    </rPh>
    <rPh sb="14" eb="16">
      <t>シリョウ</t>
    </rPh>
    <rPh sb="16" eb="18">
      <t>ズリョウ</t>
    </rPh>
    <rPh sb="33" eb="35">
      <t>カイワ</t>
    </rPh>
    <rPh sb="42" eb="43">
      <t>ホド</t>
    </rPh>
    <rPh sb="44" eb="45">
      <t>シボ</t>
    </rPh>
    <rPh sb="46" eb="47">
      <t>コ</t>
    </rPh>
    <rPh sb="52" eb="53">
      <t>コト</t>
    </rPh>
    <rPh sb="58" eb="60">
      <t>レンケイ</t>
    </rPh>
    <rPh sb="60" eb="61">
      <t>ズ</t>
    </rPh>
    <phoneticPr fontId="2"/>
  </si>
  <si>
    <t>・1/23 川瀬さん出席出来ないので、事前に資料連携済み。確認してもらっている状況。</t>
    <rPh sb="6" eb="8">
      <t>カワセ</t>
    </rPh>
    <rPh sb="10" eb="12">
      <t>シュッセキ</t>
    </rPh>
    <rPh sb="12" eb="14">
      <t>デキ</t>
    </rPh>
    <rPh sb="19" eb="21">
      <t>ジゼン</t>
    </rPh>
    <rPh sb="22" eb="24">
      <t>シリョウ</t>
    </rPh>
    <rPh sb="24" eb="26">
      <t>レンケイ</t>
    </rPh>
    <rPh sb="26" eb="27">
      <t>ズ</t>
    </rPh>
    <rPh sb="29" eb="31">
      <t>カクニン</t>
    </rPh>
    <rPh sb="39" eb="41">
      <t>ジョウキョウ</t>
    </rPh>
    <phoneticPr fontId="2"/>
  </si>
  <si>
    <t>個別ライブラリビルドの実施（依頼）</t>
    <rPh sb="11" eb="13">
      <t>ジッシ</t>
    </rPh>
    <rPh sb="14" eb="16">
      <t>イライ</t>
    </rPh>
    <phoneticPr fontId="2"/>
  </si>
  <si>
    <t>・1/23 個別面環境の構築（新）依頼の中で実質、依頼済み。</t>
    <rPh sb="20" eb="21">
      <t>ナカ</t>
    </rPh>
    <rPh sb="22" eb="24">
      <t>ジッシツ</t>
    </rPh>
    <rPh sb="25" eb="27">
      <t>イライ</t>
    </rPh>
    <rPh sb="27" eb="28">
      <t>ズ</t>
    </rPh>
    <phoneticPr fontId="2"/>
  </si>
  <si>
    <t>UT</t>
    <phoneticPr fontId="2"/>
  </si>
  <si>
    <t>・1/25 Co実施、ユーザーへの照会連絡票起票。</t>
    <rPh sb="8" eb="10">
      <t>ジッシ</t>
    </rPh>
    <rPh sb="17" eb="19">
      <t>ショウカイ</t>
    </rPh>
    <rPh sb="19" eb="21">
      <t>レンラク</t>
    </rPh>
    <rPh sb="21" eb="22">
      <t>ヒョウ</t>
    </rPh>
    <rPh sb="22" eb="24">
      <t>キヒョウ</t>
    </rPh>
    <phoneticPr fontId="2"/>
  </si>
  <si>
    <t>(立川さんより)2Q研修申請</t>
    <rPh sb="1" eb="3">
      <t>タツカワ</t>
    </rPh>
    <rPh sb="10" eb="12">
      <t>ケンシュウ</t>
    </rPh>
    <rPh sb="12" eb="14">
      <t>シンセイ</t>
    </rPh>
    <phoneticPr fontId="2"/>
  </si>
  <si>
    <t>研修確認して申請</t>
    <rPh sb="0" eb="2">
      <t>ケンシュウ</t>
    </rPh>
    <rPh sb="2" eb="4">
      <t>カクニン</t>
    </rPh>
    <rPh sb="6" eb="8">
      <t>シンセイ</t>
    </rPh>
    <phoneticPr fontId="2"/>
  </si>
  <si>
    <t>1/28～2/1</t>
    <phoneticPr fontId="2"/>
  </si>
  <si>
    <t>・1/23 ユーザーより検討資料受領。
　144ケース→JMASと会話して50ケース程に絞り込んでもらう事をユーザー連携済み。
・1/28 谷本様よりケース数ありきではなく品質重視するようメール指摘あり。</t>
    <rPh sb="12" eb="14">
      <t>ケントウ</t>
    </rPh>
    <rPh sb="14" eb="16">
      <t>シリョウ</t>
    </rPh>
    <rPh sb="16" eb="18">
      <t>ズリョウ</t>
    </rPh>
    <rPh sb="33" eb="35">
      <t>カイワ</t>
    </rPh>
    <rPh sb="42" eb="43">
      <t>ホド</t>
    </rPh>
    <rPh sb="44" eb="45">
      <t>シボ</t>
    </rPh>
    <rPh sb="46" eb="47">
      <t>コ</t>
    </rPh>
    <rPh sb="52" eb="53">
      <t>コト</t>
    </rPh>
    <rPh sb="58" eb="60">
      <t>レンケイ</t>
    </rPh>
    <rPh sb="60" eb="61">
      <t>ズ</t>
    </rPh>
    <rPh sb="70" eb="73">
      <t>タニモトサマ</t>
    </rPh>
    <rPh sb="78" eb="79">
      <t>スウ</t>
    </rPh>
    <rPh sb="86" eb="88">
      <t>ヒンシツ</t>
    </rPh>
    <rPh sb="88" eb="90">
      <t>ジュウシ</t>
    </rPh>
    <rPh sb="97" eb="99">
      <t>シテキ</t>
    </rPh>
    <phoneticPr fontId="2"/>
  </si>
  <si>
    <t>本番作業レビュー資料作成</t>
    <rPh sb="0" eb="2">
      <t>ホンバン</t>
    </rPh>
    <rPh sb="2" eb="4">
      <t>サギョウ</t>
    </rPh>
    <rPh sb="8" eb="10">
      <t>シリョウ</t>
    </rPh>
    <rPh sb="10" eb="12">
      <t>サクセイ</t>
    </rPh>
    <phoneticPr fontId="2"/>
  </si>
  <si>
    <t>フォールバック手順書作成</t>
    <rPh sb="7" eb="9">
      <t>テジュン</t>
    </rPh>
    <rPh sb="9" eb="10">
      <t>ショ</t>
    </rPh>
    <rPh sb="10" eb="12">
      <t>サクセイ</t>
    </rPh>
    <phoneticPr fontId="2"/>
  </si>
  <si>
    <t>タイムチャート作成</t>
    <rPh sb="7" eb="9">
      <t>サクセイ</t>
    </rPh>
    <phoneticPr fontId="2"/>
  </si>
  <si>
    <t>本番作業レビュー資料にフォールバック・タイムチャート反映</t>
    <rPh sb="26" eb="28">
      <t>ハンエイ</t>
    </rPh>
    <phoneticPr fontId="2"/>
  </si>
  <si>
    <t>関西みらい幹事交代</t>
    <phoneticPr fontId="2"/>
  </si>
  <si>
    <t>ツール開発</t>
    <rPh sb="3" eb="5">
      <t>カイハツ</t>
    </rPh>
    <phoneticPr fontId="2"/>
  </si>
  <si>
    <t>マスクツールの修正箇所調査</t>
    <rPh sb="7" eb="9">
      <t>シュウセイ</t>
    </rPh>
    <rPh sb="9" eb="11">
      <t>カショ</t>
    </rPh>
    <rPh sb="11" eb="13">
      <t>チョウサ</t>
    </rPh>
    <phoneticPr fontId="2"/>
  </si>
  <si>
    <t>・1/29 mASK_DB_List.txt（数理決算機DBサーバー(H031S3237)）に更新する</t>
    <rPh sb="23" eb="25">
      <t>スウリ</t>
    </rPh>
    <rPh sb="25" eb="27">
      <t>ケッサン</t>
    </rPh>
    <rPh sb="27" eb="28">
      <t>キ</t>
    </rPh>
    <rPh sb="47" eb="49">
      <t>コウシン</t>
    </rPh>
    <phoneticPr fontId="2"/>
  </si>
  <si>
    <t>2/4～2/8</t>
    <phoneticPr fontId="2"/>
  </si>
  <si>
    <t>本番作業レビュー後の本番作業申請DB承認依頼</t>
    <rPh sb="8" eb="9">
      <t>ゴ</t>
    </rPh>
    <rPh sb="10" eb="12">
      <t>ホンバン</t>
    </rPh>
    <rPh sb="12" eb="14">
      <t>サギョウ</t>
    </rPh>
    <rPh sb="14" eb="16">
      <t>シンセイ</t>
    </rPh>
    <rPh sb="18" eb="20">
      <t>ショウニン</t>
    </rPh>
    <rPh sb="20" eb="22">
      <t>イライ</t>
    </rPh>
    <phoneticPr fontId="2"/>
  </si>
  <si>
    <t>本番作業レビュー後の議事録DB作成</t>
    <rPh sb="8" eb="9">
      <t>ゴ</t>
    </rPh>
    <rPh sb="10" eb="13">
      <t>ギジロク</t>
    </rPh>
    <rPh sb="15" eb="17">
      <t>サクセイ</t>
    </rPh>
    <phoneticPr fontId="2"/>
  </si>
  <si>
    <t>1/30 案件レビューDBに記載 or IBmNotes-開発四部レビュー資料DBに記載？</t>
    <rPh sb="5" eb="7">
      <t>アンケン</t>
    </rPh>
    <rPh sb="14" eb="16">
      <t>キサイ</t>
    </rPh>
    <rPh sb="29" eb="31">
      <t>カイハツ</t>
    </rPh>
    <rPh sb="31" eb="33">
      <t>ヨンブ</t>
    </rPh>
    <rPh sb="37" eb="39">
      <t>シリョウ</t>
    </rPh>
    <rPh sb="42" eb="44">
      <t>キサイ</t>
    </rPh>
    <phoneticPr fontId="2"/>
  </si>
  <si>
    <t>マスクツール開発</t>
    <rPh sb="6" eb="8">
      <t>カイハツ</t>
    </rPh>
    <phoneticPr fontId="2"/>
  </si>
  <si>
    <t>マスクツールの変更</t>
    <rPh sb="7" eb="9">
      <t>ヘンコウ</t>
    </rPh>
    <phoneticPr fontId="2"/>
  </si>
  <si>
    <t>マスクツールのテスト環境構築</t>
    <rPh sb="10" eb="12">
      <t>カンキョウ</t>
    </rPh>
    <rPh sb="12" eb="14">
      <t>コウチク</t>
    </rPh>
    <phoneticPr fontId="2"/>
  </si>
  <si>
    <t>マスクツールのテスト</t>
    <phoneticPr fontId="2"/>
  </si>
  <si>
    <t>精査チェックツール開発</t>
    <rPh sb="9" eb="11">
      <t>カイハツ</t>
    </rPh>
    <phoneticPr fontId="2"/>
  </si>
  <si>
    <t>規約初期データ登録ツール開発</t>
    <rPh sb="12" eb="14">
      <t>カイハツ</t>
    </rPh>
    <phoneticPr fontId="2"/>
  </si>
  <si>
    <t>データ受入れ検証環境構築</t>
    <rPh sb="3" eb="5">
      <t>ウケイ</t>
    </rPh>
    <rPh sb="6" eb="8">
      <t>ケンショウ</t>
    </rPh>
    <rPh sb="8" eb="10">
      <t>カンキョウ</t>
    </rPh>
    <rPh sb="10" eb="12">
      <t>コウチク</t>
    </rPh>
    <phoneticPr fontId="2"/>
  </si>
  <si>
    <t>JP1設定準備</t>
    <phoneticPr fontId="2"/>
  </si>
  <si>
    <t>ライブラリ準備</t>
    <phoneticPr fontId="2"/>
  </si>
  <si>
    <t>面環境構築</t>
    <phoneticPr fontId="2"/>
  </si>
  <si>
    <t>本番作業準備(ID申請)</t>
    <rPh sb="0" eb="2">
      <t>ホンバン</t>
    </rPh>
    <rPh sb="2" eb="4">
      <t>サギョウ</t>
    </rPh>
    <rPh sb="4" eb="6">
      <t>ジュンビ</t>
    </rPh>
    <rPh sb="9" eb="11">
      <t>シンセイ</t>
    </rPh>
    <phoneticPr fontId="2"/>
  </si>
  <si>
    <t>本番作業準備(変則勤務申請)</t>
    <rPh sb="0" eb="2">
      <t>ホンバン</t>
    </rPh>
    <rPh sb="2" eb="4">
      <t>サギョウ</t>
    </rPh>
    <rPh sb="4" eb="6">
      <t>ジュンビ</t>
    </rPh>
    <rPh sb="7" eb="9">
      <t>ヘンソク</t>
    </rPh>
    <rPh sb="9" eb="11">
      <t>キンム</t>
    </rPh>
    <rPh sb="11" eb="13">
      <t>シンセイ</t>
    </rPh>
    <phoneticPr fontId="2"/>
  </si>
  <si>
    <t>本番作業準備(休日出勤申請)</t>
    <rPh sb="0" eb="2">
      <t>ホンバン</t>
    </rPh>
    <rPh sb="2" eb="4">
      <t>サギョウ</t>
    </rPh>
    <rPh sb="4" eb="6">
      <t>ジュンビ</t>
    </rPh>
    <rPh sb="7" eb="9">
      <t>キュウジツ</t>
    </rPh>
    <rPh sb="9" eb="11">
      <t>シュッキン</t>
    </rPh>
    <rPh sb="11" eb="13">
      <t>シンセイ</t>
    </rPh>
    <phoneticPr fontId="2"/>
  </si>
  <si>
    <t>成果物チェックリスト（small2 開発)</t>
    <rPh sb="0" eb="3">
      <t>セイカブツ</t>
    </rPh>
    <rPh sb="18" eb="20">
      <t>カイハツ</t>
    </rPh>
    <phoneticPr fontId="2"/>
  </si>
  <si>
    <t>精査実施報告書 - 再発防止一覧 入力</t>
    <rPh sb="0" eb="2">
      <t>セイサ</t>
    </rPh>
    <rPh sb="2" eb="4">
      <t>ジッシ</t>
    </rPh>
    <rPh sb="4" eb="7">
      <t>ホウコクショ</t>
    </rPh>
    <rPh sb="10" eb="12">
      <t>サイハツ</t>
    </rPh>
    <rPh sb="12" eb="14">
      <t>ボウシ</t>
    </rPh>
    <rPh sb="14" eb="16">
      <t>イチラン</t>
    </rPh>
    <rPh sb="17" eb="19">
      <t>ニュウリョク</t>
    </rPh>
    <phoneticPr fontId="2"/>
  </si>
  <si>
    <t>08面(新)の環境構築</t>
    <rPh sb="2" eb="3">
      <t>メン</t>
    </rPh>
    <rPh sb="4" eb="5">
      <t>シン</t>
    </rPh>
    <rPh sb="7" eb="9">
      <t>カンキョウ</t>
    </rPh>
    <rPh sb="9" eb="11">
      <t>コウチク</t>
    </rPh>
    <phoneticPr fontId="2"/>
  </si>
  <si>
    <t>・1/31 ライブラリリリース済み。DBリストアまだ。</t>
    <rPh sb="15" eb="16">
      <t>ズ</t>
    </rPh>
    <phoneticPr fontId="2"/>
  </si>
  <si>
    <t>ユーザー打鍵用端末準備</t>
    <rPh sb="4" eb="6">
      <t>ダケン</t>
    </rPh>
    <rPh sb="6" eb="7">
      <t>ヨウ</t>
    </rPh>
    <rPh sb="7" eb="9">
      <t>タンマツ</t>
    </rPh>
    <rPh sb="9" eb="11">
      <t>ジュンビ</t>
    </rPh>
    <phoneticPr fontId="2"/>
  </si>
  <si>
    <t>ユーザー打鍵用環境構築</t>
    <rPh sb="4" eb="6">
      <t>ダケン</t>
    </rPh>
    <rPh sb="6" eb="7">
      <t>ヨウ</t>
    </rPh>
    <rPh sb="7" eb="9">
      <t>カンキョウ</t>
    </rPh>
    <rPh sb="9" eb="11">
      <t>コウチク</t>
    </rPh>
    <phoneticPr fontId="2"/>
  </si>
  <si>
    <t>・2/6 テストの為には環境構築必要。そもそもテストは(JP1)69Abatch_TDE01「DB_MASK_随時」全部流す？
また、従来のマスク作業について要確認。(本番環境上で、DB69Axバックアップ→M0269Axリストア→マスクの流れでよい？）その場合、テストとしてはK5169Axをバックアップ→M0269Axリストア→マスクとする想定。</t>
    <rPh sb="9" eb="10">
      <t>タメ</t>
    </rPh>
    <rPh sb="12" eb="14">
      <t>カンキョウ</t>
    </rPh>
    <rPh sb="14" eb="16">
      <t>コウチク</t>
    </rPh>
    <rPh sb="16" eb="18">
      <t>ヒツヨウ</t>
    </rPh>
    <rPh sb="58" eb="60">
      <t>ゼンブ</t>
    </rPh>
    <rPh sb="60" eb="61">
      <t>ナガ</t>
    </rPh>
    <rPh sb="67" eb="69">
      <t>ジュウライ</t>
    </rPh>
    <rPh sb="73" eb="75">
      <t>サギョウ</t>
    </rPh>
    <rPh sb="79" eb="80">
      <t>ヨウ</t>
    </rPh>
    <rPh sb="80" eb="82">
      <t>カクニン</t>
    </rPh>
    <rPh sb="84" eb="86">
      <t>ホンバン</t>
    </rPh>
    <rPh sb="129" eb="131">
      <t>バアイ</t>
    </rPh>
    <rPh sb="172" eb="174">
      <t>ソウテイ</t>
    </rPh>
    <phoneticPr fontId="2"/>
  </si>
  <si>
    <t>A00921_(法改正)リスク分担型企業年金制度の対応</t>
    <phoneticPr fontId="2"/>
  </si>
  <si>
    <t>Ita</t>
    <phoneticPr fontId="2"/>
  </si>
  <si>
    <t>テストデータ準備</t>
    <rPh sb="6" eb="8">
      <t>ジュンビ</t>
    </rPh>
    <phoneticPr fontId="2"/>
  </si>
  <si>
    <t>A00944_未裁定者管理（加入員連動）_完結表示更新条件の設計書記述改善</t>
    <phoneticPr fontId="2"/>
  </si>
  <si>
    <t>外部設計</t>
    <rPh sb="0" eb="2">
      <t>ガイブ</t>
    </rPh>
    <rPh sb="2" eb="4">
      <t>セッケイ</t>
    </rPh>
    <phoneticPr fontId="2"/>
  </si>
  <si>
    <t>Ci作業</t>
    <rPh sb="2" eb="4">
      <t>サギョウ</t>
    </rPh>
    <phoneticPr fontId="2"/>
  </si>
  <si>
    <t>・2/7 樋口さんより連絡有り。2/15(金) 9:30～2名で来訪。端末2台と環境1面用意。</t>
    <rPh sb="5" eb="7">
      <t>ヒグチ</t>
    </rPh>
    <rPh sb="11" eb="13">
      <t>レンラク</t>
    </rPh>
    <rPh sb="13" eb="14">
      <t>アリ</t>
    </rPh>
    <rPh sb="21" eb="22">
      <t>キン</t>
    </rPh>
    <rPh sb="30" eb="31">
      <t>メイ</t>
    </rPh>
    <rPh sb="32" eb="34">
      <t>ライホウ</t>
    </rPh>
    <rPh sb="35" eb="37">
      <t>タンマツ</t>
    </rPh>
    <rPh sb="38" eb="39">
      <t>ダイ</t>
    </rPh>
    <rPh sb="40" eb="42">
      <t>カンキョウ</t>
    </rPh>
    <rPh sb="43" eb="44">
      <t>メン</t>
    </rPh>
    <rPh sb="44" eb="46">
      <t>ヨウイ</t>
    </rPh>
    <phoneticPr fontId="2"/>
  </si>
  <si>
    <t>I列に対して保護をかける。</t>
    <rPh sb="1" eb="2">
      <t>レツ</t>
    </rPh>
    <rPh sb="3" eb="4">
      <t>タイ</t>
    </rPh>
    <rPh sb="6" eb="8">
      <t>ホゴ</t>
    </rPh>
    <phoneticPr fontId="2"/>
  </si>
  <si>
    <t>済</t>
    <rPh sb="0" eb="1">
      <t>スミ</t>
    </rPh>
    <phoneticPr fontId="2"/>
  </si>
  <si>
    <t>日付</t>
    <rPh sb="0" eb="2">
      <t>ヒヅケ</t>
    </rPh>
    <phoneticPr fontId="2"/>
  </si>
  <si>
    <t>A列に対して月曜始まりの1週間を示す文字を自動入力させる</t>
    <rPh sb="1" eb="2">
      <t>レツ</t>
    </rPh>
    <rPh sb="3" eb="4">
      <t>タイ</t>
    </rPh>
    <rPh sb="6" eb="8">
      <t>ゲツヨウ</t>
    </rPh>
    <rPh sb="8" eb="9">
      <t>ハジ</t>
    </rPh>
    <rPh sb="13" eb="15">
      <t>シュウカン</t>
    </rPh>
    <rPh sb="16" eb="17">
      <t>シメ</t>
    </rPh>
    <rPh sb="18" eb="20">
      <t>モジ</t>
    </rPh>
    <rPh sb="21" eb="23">
      <t>ジドウ</t>
    </rPh>
    <rPh sb="23" eb="25">
      <t>ニュウリョク</t>
    </rPh>
    <phoneticPr fontId="2"/>
  </si>
  <si>
    <t>低</t>
    <rPh sb="0" eb="1">
      <t>テイ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</si>
</sst>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name val="ＭＳ Ｐゴシック"/>
      <family val="3"/>
      <charset val="128"/>
    </font>
    <font>
      <sz val="11"/>
      <color theme="1"/>
      <name val="ＭＳ Ｐゴシック"/>
      <family val="2"/>
      <charset val="128"/>
    </font>
    <font>
      <sz val="6"/>
      <name val="ＭＳ Ｐゴシック"/>
      <family val="3"/>
      <charset val="128"/>
    </font>
    <font>
      <sz val="10"/>
      <name val="ＭＳ Ｐゴシック"/>
      <family val="3"/>
      <charset val="128"/>
    </font>
    <font>
      <sz val="11"/>
      <name val="ＭＳ Ｐゴシック"/>
      <family val="3"/>
      <charset val="128"/>
    </font>
    <font>
      <sz val="11"/>
      <color theme="1"/>
      <name val="ＭＳ Ｐゴシック"/>
      <family val="2"/>
      <scheme val="minor"/>
    </font>
    <font>
      <sz val="6"/>
      <name val="ＭＳ Ｐゴシック"/>
      <family val="3"/>
      <charset val="128"/>
      <scheme val="minor"/>
    </font>
    <font>
      <sz val="9"/>
      <color theme="1"/>
      <name val="Meiryo UI"/>
      <family val="3"/>
      <charset val="128"/>
    </font>
    <font>
      <sz val="9"/>
      <name val="Meiryo UI"/>
      <family val="3"/>
      <charset val="128"/>
    </font>
    <font>
      <sz val="11"/>
      <name val="Meiryo UI"/>
      <family val="3"/>
      <charset val="128"/>
    </font>
    <font>
      <u/>
      <sz val="11"/>
      <color theme="10"/>
      <name val="ＭＳ Ｐゴシック"/>
      <family val="3"/>
      <charset val="128"/>
    </font>
    <font>
      <b/>
      <sz val="10"/>
      <color theme="1"/>
      <name val="Meiryo UI"/>
      <family val="3"/>
      <charset val="128"/>
    </font>
    <font>
      <sz val="10"/>
      <name val="Meiryo UI"/>
      <family val="3"/>
      <charset val="128"/>
    </font>
    <font>
      <b/>
      <sz val="9"/>
      <color indexed="81"/>
      <name val="ＭＳ Ｐゴシック"/>
      <family val="3"/>
      <charset val="128"/>
    </font>
  </fonts>
  <fills count="6">
    <fill>
      <patternFill patternType="none"/>
    </fill>
    <fill>
      <patternFill patternType="gray125"/>
    </fill>
    <fill>
      <patternFill patternType="solid">
        <fgColor rgb="FFCCFFCC"/>
        <bgColor indexed="64"/>
      </patternFill>
    </fill>
    <fill>
      <patternFill patternType="solid">
        <fgColor rgb="FFFFFFCC"/>
        <bgColor indexed="64"/>
      </patternFill>
    </fill>
    <fill>
      <patternFill patternType="solid">
        <fgColor theme="0" tint="-0.249977111117893"/>
        <bgColor indexed="64"/>
      </patternFill>
    </fill>
    <fill>
      <patternFill patternType="solid">
        <fgColor rgb="FF99FF66"/>
        <bgColor indexed="64"/>
      </patternFill>
    </fill>
  </fills>
  <borders count="20">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thin">
        <color indexed="64"/>
      </top>
      <bottom/>
      <diagonal/>
    </border>
    <border>
      <left style="thin">
        <color indexed="64"/>
      </left>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bottom style="thin">
        <color indexed="64"/>
      </bottom>
      <diagonal/>
    </border>
    <border>
      <left style="thin">
        <color theme="5"/>
      </left>
      <right/>
      <top style="thin">
        <color indexed="64"/>
      </top>
      <bottom/>
      <diagonal/>
    </border>
  </borders>
  <cellStyleXfs count="8">
    <xf numFmtId="0" fontId="0" fillId="0" borderId="0">
      <alignment vertical="center"/>
    </xf>
    <xf numFmtId="0" fontId="4" fillId="0" borderId="0"/>
    <xf numFmtId="0" fontId="4" fillId="0" borderId="0"/>
    <xf numFmtId="0" fontId="4" fillId="0" borderId="0"/>
    <xf numFmtId="0" fontId="5" fillId="0" borderId="0"/>
    <xf numFmtId="0" fontId="10" fillId="0" borderId="0" applyNumberFormat="0" applyFill="0" applyBorder="0" applyAlignment="0" applyProtection="0">
      <alignment vertical="center"/>
    </xf>
    <xf numFmtId="0" fontId="1" fillId="0" borderId="0">
      <alignment vertical="center"/>
    </xf>
    <xf numFmtId="0" fontId="4" fillId="0" borderId="0">
      <alignment vertical="center"/>
    </xf>
  </cellStyleXfs>
  <cellXfs count="77">
    <xf numFmtId="0" fontId="0" fillId="0" borderId="0" xfId="0">
      <alignment vertical="center"/>
    </xf>
    <xf numFmtId="0" fontId="3" fillId="0" borderId="7" xfId="0" applyFont="1" applyBorder="1">
      <alignment vertical="center"/>
    </xf>
    <xf numFmtId="0" fontId="3" fillId="0" borderId="8" xfId="0" applyFont="1" applyBorder="1">
      <alignment vertical="center"/>
    </xf>
    <xf numFmtId="0" fontId="3" fillId="0" borderId="6" xfId="0" applyFont="1" applyBorder="1">
      <alignment vertical="center"/>
    </xf>
    <xf numFmtId="0" fontId="3" fillId="0" borderId="9" xfId="0" applyFont="1" applyBorder="1">
      <alignment vertical="center"/>
    </xf>
    <xf numFmtId="0" fontId="3" fillId="0" borderId="5" xfId="0" applyFont="1" applyBorder="1">
      <alignment vertical="center"/>
    </xf>
    <xf numFmtId="0" fontId="3" fillId="2" borderId="2"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11" xfId="0" applyFont="1" applyFill="1" applyBorder="1" applyAlignment="1">
      <alignment horizontal="center" vertical="center"/>
    </xf>
    <xf numFmtId="0" fontId="3" fillId="0" borderId="14" xfId="0" applyFont="1" applyBorder="1">
      <alignment vertical="center"/>
    </xf>
    <xf numFmtId="0" fontId="3" fillId="0" borderId="15" xfId="0" applyFont="1" applyBorder="1">
      <alignment vertical="center"/>
    </xf>
    <xf numFmtId="0" fontId="3" fillId="0" borderId="10" xfId="0" applyFont="1" applyBorder="1">
      <alignment vertical="center"/>
    </xf>
    <xf numFmtId="0" fontId="3" fillId="0" borderId="16" xfId="0" applyFont="1" applyBorder="1">
      <alignment vertical="center"/>
    </xf>
    <xf numFmtId="0" fontId="3" fillId="0" borderId="17" xfId="0" applyFont="1" applyBorder="1">
      <alignment vertical="center"/>
    </xf>
    <xf numFmtId="0" fontId="8" fillId="0" borderId="0" xfId="0" applyFont="1">
      <alignment vertical="center"/>
    </xf>
    <xf numFmtId="0" fontId="8" fillId="0" borderId="6" xfId="0" applyFont="1" applyBorder="1">
      <alignment vertical="center"/>
    </xf>
    <xf numFmtId="0" fontId="8" fillId="0" borderId="7" xfId="0" applyFont="1" applyBorder="1">
      <alignment vertical="center"/>
    </xf>
    <xf numFmtId="0" fontId="8" fillId="0" borderId="2" xfId="0" applyFont="1" applyBorder="1">
      <alignment vertical="center"/>
    </xf>
    <xf numFmtId="0" fontId="8" fillId="0" borderId="11" xfId="0" applyFont="1" applyBorder="1">
      <alignment vertical="center"/>
    </xf>
    <xf numFmtId="0" fontId="7" fillId="2" borderId="1" xfId="0" applyFont="1" applyFill="1" applyBorder="1">
      <alignment vertical="center"/>
    </xf>
    <xf numFmtId="0" fontId="7" fillId="2" borderId="18" xfId="0" applyFont="1" applyFill="1" applyBorder="1">
      <alignment vertical="center"/>
    </xf>
    <xf numFmtId="0" fontId="8" fillId="0" borderId="0" xfId="0" applyFont="1" applyAlignment="1">
      <alignment horizontal="center" vertical="center"/>
    </xf>
    <xf numFmtId="0" fontId="7" fillId="2" borderId="4" xfId="0" applyFont="1" applyFill="1" applyBorder="1" applyAlignment="1">
      <alignment horizontal="center" vertical="center"/>
    </xf>
    <xf numFmtId="0" fontId="8" fillId="0" borderId="5" xfId="0" applyFont="1" applyBorder="1" applyAlignment="1">
      <alignment horizontal="center" vertical="center"/>
    </xf>
    <xf numFmtId="0" fontId="7" fillId="2" borderId="1" xfId="0" applyFont="1" applyFill="1" applyBorder="1" applyAlignment="1">
      <alignment horizontal="center" vertical="center"/>
    </xf>
    <xf numFmtId="0" fontId="8" fillId="0" borderId="6" xfId="0" applyFont="1" applyBorder="1" applyAlignment="1">
      <alignment horizontal="center" vertical="center"/>
    </xf>
    <xf numFmtId="0" fontId="8" fillId="0" borderId="2" xfId="0" applyFont="1" applyBorder="1" applyAlignment="1">
      <alignment horizontal="center" vertical="center"/>
    </xf>
    <xf numFmtId="0" fontId="9" fillId="0" borderId="0" xfId="0" applyFont="1">
      <alignment vertical="center"/>
    </xf>
    <xf numFmtId="0" fontId="11" fillId="2" borderId="6" xfId="0" applyFont="1" applyFill="1" applyBorder="1">
      <alignment vertical="center"/>
    </xf>
    <xf numFmtId="0" fontId="12" fillId="0" borderId="6" xfId="0" applyFont="1" applyBorder="1">
      <alignment vertical="center"/>
    </xf>
    <xf numFmtId="0" fontId="8" fillId="0" borderId="3" xfId="0" applyFont="1" applyBorder="1" applyAlignment="1">
      <alignment horizontal="center" vertical="center"/>
    </xf>
    <xf numFmtId="0" fontId="8" fillId="0" borderId="6" xfId="7" applyFont="1" applyBorder="1">
      <alignment vertical="center"/>
    </xf>
    <xf numFmtId="0" fontId="8" fillId="0" borderId="6" xfId="7" applyFont="1" applyBorder="1" applyAlignment="1">
      <alignment horizontal="center" vertical="center"/>
    </xf>
    <xf numFmtId="0" fontId="8" fillId="0" borderId="1" xfId="0" applyFont="1" applyBorder="1">
      <alignment vertical="center"/>
    </xf>
    <xf numFmtId="0" fontId="7" fillId="0" borderId="6" xfId="0" applyFont="1" applyBorder="1">
      <alignment vertical="center"/>
    </xf>
    <xf numFmtId="56" fontId="8" fillId="0" borderId="7" xfId="0" applyNumberFormat="1" applyFont="1" applyBorder="1">
      <alignment vertical="center"/>
    </xf>
    <xf numFmtId="0" fontId="8" fillId="0" borderId="7" xfId="0" applyFont="1" applyBorder="1" applyAlignment="1">
      <alignment vertical="center" wrapText="1"/>
    </xf>
    <xf numFmtId="56" fontId="8" fillId="0" borderId="7" xfId="0" applyNumberFormat="1" applyFont="1" applyBorder="1" applyAlignment="1">
      <alignment vertical="center" wrapText="1"/>
    </xf>
    <xf numFmtId="0" fontId="11" fillId="2" borderId="6" xfId="0" applyFont="1" applyFill="1" applyBorder="1" applyAlignment="1">
      <alignment horizontal="center" vertical="center"/>
    </xf>
    <xf numFmtId="0" fontId="9" fillId="0" borderId="0" xfId="0" applyFont="1" applyAlignment="1">
      <alignment horizontal="center" vertical="center"/>
    </xf>
    <xf numFmtId="0" fontId="10" fillId="0" borderId="6" xfId="5" applyBorder="1" applyAlignment="1">
      <alignment horizontal="center" vertical="center"/>
    </xf>
    <xf numFmtId="0" fontId="12" fillId="4" borderId="6" xfId="0" applyFont="1" applyFill="1" applyBorder="1">
      <alignment vertical="center"/>
    </xf>
    <xf numFmtId="0" fontId="10" fillId="4" borderId="6" xfId="5" applyFill="1" applyBorder="1" applyAlignment="1">
      <alignment horizontal="center" vertical="center"/>
    </xf>
    <xf numFmtId="0" fontId="0" fillId="0" borderId="6" xfId="0" applyBorder="1">
      <alignment vertical="center"/>
    </xf>
    <xf numFmtId="0" fontId="0" fillId="5" borderId="6" xfId="0" applyFill="1" applyBorder="1">
      <alignment vertical="center"/>
    </xf>
    <xf numFmtId="0" fontId="0" fillId="5" borderId="6" xfId="0" applyFill="1"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xf>
    <xf numFmtId="0" fontId="0" fillId="0" borderId="6" xfId="0" applyBorder="1" applyAlignment="1">
      <alignment vertical="center" wrapText="1"/>
    </xf>
    <xf numFmtId="0" fontId="3" fillId="2" borderId="5" xfId="0" applyFont="1" applyFill="1" applyBorder="1" applyAlignment="1">
      <alignment horizontal="center" vertical="center"/>
    </xf>
    <xf numFmtId="0" fontId="3" fillId="2" borderId="6"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8" xfId="0" applyFont="1" applyFill="1" applyBorder="1" applyAlignment="1">
      <alignment horizontal="center" vertical="center"/>
    </xf>
    <xf numFmtId="0" fontId="3" fillId="2" borderId="9"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7"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11" xfId="0" applyFont="1" applyFill="1" applyBorder="1" applyAlignment="1">
      <alignment horizontal="center" vertical="center"/>
    </xf>
    <xf numFmtId="0" fontId="8" fillId="0" borderId="0" xfId="0" applyFont="1" applyFill="1">
      <alignment vertical="center"/>
    </xf>
    <xf numFmtId="0" fontId="8" fillId="0" borderId="0" xfId="0" applyFont="1" applyFill="1" applyProtection="1">
      <alignment vertical="center"/>
      <protection locked="0"/>
    </xf>
    <xf numFmtId="0" fontId="7" fillId="0" borderId="2" xfId="0" applyFont="1" applyFill="1" applyBorder="1" applyProtection="1">
      <alignment vertical="center"/>
    </xf>
    <xf numFmtId="0" fontId="7" fillId="0" borderId="6" xfId="0" applyFont="1" applyFill="1" applyBorder="1" applyProtection="1">
      <alignment vertical="center"/>
    </xf>
    <xf numFmtId="0" fontId="8" fillId="0" borderId="0" xfId="0" applyFont="1" applyFill="1" applyProtection="1">
      <alignment vertical="center"/>
    </xf>
    <xf numFmtId="0" fontId="8" fillId="0" borderId="6" xfId="0" applyFont="1" applyFill="1" applyBorder="1" applyProtection="1">
      <alignment vertical="center"/>
      <protection locked="0"/>
    </xf>
    <xf numFmtId="0" fontId="7" fillId="0" borderId="19" xfId="0" applyFont="1" applyFill="1" applyBorder="1" applyAlignment="1" applyProtection="1">
      <alignment horizontal="center" vertical="center"/>
      <protection locked="0"/>
    </xf>
    <xf numFmtId="0" fontId="7" fillId="0" borderId="11" xfId="0" applyFont="1" applyFill="1" applyBorder="1" applyProtection="1">
      <alignment vertical="center"/>
      <protection locked="0"/>
    </xf>
    <xf numFmtId="0" fontId="7" fillId="0" borderId="11" xfId="0" applyFont="1" applyFill="1" applyBorder="1" applyAlignment="1" applyProtection="1">
      <alignment horizontal="center" vertical="center"/>
      <protection locked="0"/>
    </xf>
    <xf numFmtId="0" fontId="7" fillId="0" borderId="11" xfId="0" applyFont="1" applyFill="1" applyBorder="1" applyAlignment="1" applyProtection="1">
      <alignment vertical="center" wrapText="1"/>
      <protection locked="0"/>
    </xf>
    <xf numFmtId="0" fontId="7" fillId="0" borderId="7" xfId="0" applyFont="1" applyFill="1" applyBorder="1" applyProtection="1">
      <alignment vertical="center"/>
      <protection locked="0"/>
    </xf>
    <xf numFmtId="0" fontId="7" fillId="0" borderId="6" xfId="0" applyFont="1" applyFill="1" applyBorder="1" applyAlignment="1" applyProtection="1">
      <alignment horizontal="center" vertical="center"/>
      <protection locked="0"/>
    </xf>
    <xf numFmtId="0" fontId="7" fillId="0" borderId="7" xfId="0" applyFont="1" applyFill="1" applyBorder="1" applyAlignment="1" applyProtection="1">
      <alignment vertical="center" wrapText="1"/>
      <protection locked="0"/>
    </xf>
    <xf numFmtId="0" fontId="7" fillId="0" borderId="7" xfId="0" applyFont="1" applyFill="1" applyBorder="1" applyAlignment="1" applyProtection="1">
      <alignment horizontal="center" vertical="center"/>
      <protection locked="0"/>
    </xf>
    <xf numFmtId="14" fontId="8" fillId="0" borderId="0" xfId="0" applyNumberFormat="1" applyFont="1" applyFill="1" applyProtection="1">
      <alignment vertical="center"/>
      <protection locked="0"/>
    </xf>
    <xf numFmtId="0" fontId="8" fillId="0" borderId="0" xfId="0" applyFont="1" applyFill="1" applyAlignment="1" applyProtection="1">
      <alignment horizontal="center" vertical="center"/>
      <protection locked="0"/>
    </xf>
    <xf numFmtId="0" fontId="8" fillId="0" borderId="0" xfId="0" applyFont="1" applyFill="1" applyAlignment="1" applyProtection="1">
      <alignment vertical="center" wrapText="1"/>
      <protection locked="0"/>
    </xf>
    <xf numFmtId="14" fontId="8" fillId="0" borderId="6" xfId="0" applyNumberFormat="1" applyFont="1" applyFill="1" applyBorder="1" applyProtection="1">
      <alignment vertical="center"/>
      <protection locked="0"/>
    </xf>
    <xf numFmtId="14" fontId="0" fillId="0" borderId="6" xfId="0" applyNumberFormat="1" applyBorder="1" applyAlignment="1">
      <alignment horizontal="center" vertical="center"/>
    </xf>
  </cellXfs>
  <cellStyles count="8">
    <cellStyle name="ハイパーリンク" xfId="5" builtinId="8"/>
    <cellStyle name="標準" xfId="0" builtinId="0"/>
    <cellStyle name="標準 2" xfId="1" xr:uid="{00000000-0005-0000-0000-000002000000}"/>
    <cellStyle name="標準 3" xfId="2" xr:uid="{00000000-0005-0000-0000-000003000000}"/>
    <cellStyle name="標準 4" xfId="3" xr:uid="{00000000-0005-0000-0000-000004000000}"/>
    <cellStyle name="標準 5" xfId="4" xr:uid="{00000000-0005-0000-0000-000005000000}"/>
    <cellStyle name="標準 6" xfId="7" xr:uid="{00000000-0005-0000-0000-000006000000}"/>
    <cellStyle name="標準 7" xfId="6" xr:uid="{00000000-0005-0000-0000-000007000000}"/>
  </cellStyles>
  <dxfs count="312">
    <dxf>
      <fill>
        <patternFill>
          <bgColor rgb="FFFAF0E6"/>
        </patternFill>
      </fill>
    </dxf>
    <dxf>
      <fill>
        <patternFill>
          <bgColor rgb="FF66FFAA"/>
        </patternFill>
      </fill>
    </dxf>
    <dxf>
      <fill>
        <patternFill>
          <bgColor rgb="FFD3D3D3"/>
        </patternFill>
      </fill>
    </dxf>
    <dxf>
      <fill>
        <patternFill>
          <bgColor rgb="FFD3D3D3"/>
        </patternFill>
      </fill>
    </dxf>
    <dxf>
      <fill>
        <patternFill>
          <bgColor rgb="FFFAF0E6"/>
        </patternFill>
      </fill>
    </dxf>
    <dxf>
      <fill>
        <patternFill>
          <bgColor rgb="FF66FFAA"/>
        </patternFill>
      </fill>
    </dxf>
    <dxf>
      <fill>
        <patternFill>
          <bgColor rgb="FFD3D3D3"/>
        </patternFill>
      </fill>
    </dxf>
    <dxf>
      <fill>
        <patternFill>
          <bgColor rgb="FFD3D3D3"/>
        </patternFill>
      </fill>
    </dxf>
    <dxf>
      <fill>
        <patternFill>
          <bgColor rgb="FFFAF0E6"/>
        </patternFill>
      </fill>
    </dxf>
    <dxf>
      <fill>
        <patternFill>
          <bgColor rgb="FF66FFAA"/>
        </patternFill>
      </fill>
    </dxf>
    <dxf>
      <fill>
        <patternFill>
          <bgColor rgb="FFD3D3D3"/>
        </patternFill>
      </fill>
    </dxf>
    <dxf>
      <fill>
        <patternFill>
          <bgColor rgb="FFD3D3D3"/>
        </patternFill>
      </fill>
    </dxf>
    <dxf>
      <fill>
        <patternFill>
          <bgColor rgb="FFFAF0E6"/>
        </patternFill>
      </fill>
    </dxf>
    <dxf>
      <fill>
        <patternFill>
          <bgColor rgb="FF66FFAA"/>
        </patternFill>
      </fill>
    </dxf>
    <dxf>
      <fill>
        <patternFill>
          <bgColor rgb="FFD3D3D3"/>
        </patternFill>
      </fill>
    </dxf>
    <dxf>
      <fill>
        <patternFill>
          <bgColor rgb="FFD3D3D3"/>
        </patternFill>
      </fill>
    </dxf>
    <dxf>
      <fill>
        <patternFill>
          <bgColor rgb="FFFAF0E6"/>
        </patternFill>
      </fill>
    </dxf>
    <dxf>
      <fill>
        <patternFill>
          <bgColor rgb="FF66FFAA"/>
        </patternFill>
      </fill>
    </dxf>
    <dxf>
      <fill>
        <patternFill>
          <bgColor rgb="FFD3D3D3"/>
        </patternFill>
      </fill>
    </dxf>
    <dxf>
      <fill>
        <patternFill>
          <bgColor rgb="FFD3D3D3"/>
        </patternFill>
      </fill>
    </dxf>
    <dxf>
      <fill>
        <patternFill>
          <bgColor rgb="FFFAF0E6"/>
        </patternFill>
      </fill>
    </dxf>
    <dxf>
      <fill>
        <patternFill>
          <bgColor rgb="FF66FFAA"/>
        </patternFill>
      </fill>
    </dxf>
    <dxf>
      <fill>
        <patternFill>
          <bgColor rgb="FFD3D3D3"/>
        </patternFill>
      </fill>
    </dxf>
    <dxf>
      <fill>
        <patternFill>
          <bgColor rgb="FFD3D3D3"/>
        </patternFill>
      </fill>
    </dxf>
    <dxf>
      <font>
        <b val="0"/>
        <i val="0"/>
        <strike val="0"/>
        <condense val="0"/>
        <extend val="0"/>
        <outline val="0"/>
        <shadow val="0"/>
        <u val="none"/>
        <vertAlign val="baseline"/>
        <sz val="9"/>
        <color auto="1"/>
        <name val="Meiryo UI"/>
        <scheme val="none"/>
      </font>
      <numFmt numFmtId="0" formatCode="Genera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right style="thin">
          <color rgb="FF000000"/>
        </right>
        <bottom style="thin">
          <color rgb="FF000000"/>
        </bottom>
      </border>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Meiryo UI"/>
        <scheme val="none"/>
      </font>
      <numFmt numFmtId="0" formatCode="Genera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right style="thin">
          <color rgb="FF000000"/>
        </right>
        <bottom style="thin">
          <color rgb="FF000000"/>
        </bottom>
      </border>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Meiryo UI"/>
        <scheme val="none"/>
      </font>
      <numFmt numFmtId="0" formatCode="Genera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right style="thin">
          <color rgb="FF000000"/>
        </right>
        <bottom style="thin">
          <color rgb="FF000000"/>
        </bottom>
      </border>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Meiryo UI"/>
        <scheme val="none"/>
      </font>
      <numFmt numFmtId="0" formatCode="Genera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right style="thin">
          <color rgb="FF000000"/>
        </right>
        <bottom style="thin">
          <color rgb="FF000000"/>
        </bottom>
      </border>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Meiryo UI"/>
        <scheme val="none"/>
      </font>
      <numFmt numFmtId="0" formatCode="Genera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right style="thin">
          <color rgb="FF000000"/>
        </right>
        <bottom style="thin">
          <color rgb="FF000000"/>
        </bottom>
      </border>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right style="thin">
          <color rgb="FF000000"/>
        </right>
        <bottom style="thin">
          <color rgb="FF000000"/>
        </bottom>
      </border>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right style="thin">
          <color rgb="FF000000"/>
        </right>
        <bottom style="thin">
          <color rgb="FF000000"/>
        </bottom>
      </border>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right style="thin">
          <color rgb="FF000000"/>
        </right>
        <bottom style="thin">
          <color rgb="FF000000"/>
        </bottom>
      </border>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right style="thin">
          <color rgb="FF000000"/>
        </right>
        <bottom style="thin">
          <color rgb="FF000000"/>
        </bottom>
      </border>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right style="thin">
          <color rgb="FF000000"/>
        </right>
        <bottom style="thin">
          <color rgb="FF000000"/>
        </bottom>
      </border>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right style="thin">
          <color rgb="FF000000"/>
        </right>
        <bottom style="thin">
          <color rgb="FF000000"/>
        </bottom>
      </border>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auto="1"/>
        <name val="Meiryo UI"/>
        <scheme val="none"/>
      </font>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auto="1"/>
        <name val="Meiryo UI"/>
        <scheme val="none"/>
      </font>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auto="1"/>
        <name val="Meiryo UI"/>
        <scheme val="none"/>
      </font>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auto="1"/>
        <name val="Meiryo UI"/>
        <scheme val="none"/>
      </font>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auto="1"/>
        <name val="Meiryo UI"/>
        <scheme val="none"/>
      </font>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auto="1"/>
        <name val="Meiryo UI"/>
        <scheme val="none"/>
      </font>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auto="1"/>
        <name val="Meiryo UI"/>
        <scheme val="none"/>
      </font>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auto="1"/>
        <name val="Meiryo UI"/>
        <scheme val="none"/>
      </font>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auto="1"/>
        <name val="Meiryo UI"/>
        <scheme val="none"/>
      </font>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auto="1"/>
        <name val="Meiryo UI"/>
        <scheme val="none"/>
      </font>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auto="1"/>
        <name val="Meiryo UI"/>
        <scheme val="none"/>
      </font>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Meiryo UI"/>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auto="1"/>
        <name val="Meiryo UI"/>
        <scheme val="none"/>
      </font>
    </dxf>
    <dxf>
      <border outline="0">
        <bottom style="thin">
          <color rgb="FF000000"/>
        </bottom>
      </border>
    </dxf>
    <dxf>
      <font>
        <b val="0"/>
        <i val="0"/>
        <strike val="0"/>
        <condense val="0"/>
        <extend val="0"/>
        <outline val="0"/>
        <shadow val="0"/>
        <u val="none"/>
        <vertAlign val="baseline"/>
        <sz val="9"/>
        <color theme="1"/>
        <name val="Meiryo UI"/>
        <scheme val="none"/>
      </font>
      <fill>
        <patternFill patternType="solid">
          <fgColor indexed="64"/>
          <bgColor rgb="FFCCFFCC"/>
        </patternFill>
      </fill>
      <alignment horizontal="general"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99FF99"/>
      <color rgb="FF99FF66"/>
      <color rgb="FFCCFF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0000000}" name="テーブル1025" displayName="テーブル1025" ref="B2:I20" totalsRowShown="0" headerRowDxfId="311" dataDxfId="309" headerRowBorderDxfId="310" tableBorderDxfId="308" totalsRowBorderDxfId="307">
  <autoFilter ref="B2:I20" xr:uid="{00000000-0009-0000-0100-000018000000}"/>
  <tableColumns count="8">
    <tableColumn id="1" xr3:uid="{00000000-0010-0000-0000-000001000000}" name="No" dataDxfId="306"/>
    <tableColumn id="2" xr3:uid="{00000000-0010-0000-0000-000002000000}" name="案件" dataDxfId="305"/>
    <tableColumn id="3" xr3:uid="{00000000-0010-0000-0000-000003000000}" name="タスク" dataDxfId="304"/>
    <tableColumn id="4" xr3:uid="{00000000-0010-0000-0000-000004000000}" name="タスク詳細" dataDxfId="303"/>
    <tableColumn id="7" xr3:uid="{00000000-0010-0000-0000-000007000000}" name="WBS番号" dataDxfId="302"/>
    <tableColumn id="5" xr3:uid="{00000000-0010-0000-0000-000005000000}" name="状況" dataDxfId="301"/>
    <tableColumn id="6" xr3:uid="{00000000-0010-0000-0000-000006000000}" name="備考" dataDxfId="300"/>
    <tableColumn id="8" xr3:uid="{00000000-0010-0000-0000-000008000000}" name="(遡及)済" dataDxfId="29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テーブル101226" displayName="テーブル101226" ref="B24:I35" totalsRowShown="0" headerRowDxfId="298" dataDxfId="296" headerRowBorderDxfId="297" tableBorderDxfId="295" totalsRowBorderDxfId="294">
  <autoFilter ref="B24:I35" xr:uid="{00000000-0009-0000-0100-000019000000}"/>
  <tableColumns count="8">
    <tableColumn id="1" xr3:uid="{00000000-0010-0000-0100-000001000000}" name="No" dataDxfId="293"/>
    <tableColumn id="2" xr3:uid="{00000000-0010-0000-0100-000002000000}" name="案件" dataDxfId="292"/>
    <tableColumn id="3" xr3:uid="{00000000-0010-0000-0100-000003000000}" name="タスク" dataDxfId="291"/>
    <tableColumn id="4" xr3:uid="{00000000-0010-0000-0100-000004000000}" name="タスク詳細" dataDxfId="290"/>
    <tableColumn id="7" xr3:uid="{00000000-0010-0000-0100-000007000000}" name="WBS番号" dataDxfId="289"/>
    <tableColumn id="5" xr3:uid="{00000000-0010-0000-0100-000005000000}" name="状況" dataDxfId="288"/>
    <tableColumn id="6" xr3:uid="{00000000-0010-0000-0100-000006000000}" name="備考" dataDxfId="287"/>
    <tableColumn id="8" xr3:uid="{00000000-0010-0000-0100-000008000000}" name="(遡及)済" dataDxfId="286"/>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テーブル10121327" displayName="テーブル10121327" ref="B39:I58" totalsRowShown="0" headerRowDxfId="285" dataDxfId="283" headerRowBorderDxfId="284" tableBorderDxfId="282" totalsRowBorderDxfId="281">
  <autoFilter ref="B39:I58" xr:uid="{00000000-0009-0000-0100-00001A000000}"/>
  <tableColumns count="8">
    <tableColumn id="1" xr3:uid="{00000000-0010-0000-0200-000001000000}" name="No" dataDxfId="280"/>
    <tableColumn id="2" xr3:uid="{00000000-0010-0000-0200-000002000000}" name="案件" dataDxfId="279"/>
    <tableColumn id="3" xr3:uid="{00000000-0010-0000-0200-000003000000}" name="タスク" dataDxfId="278"/>
    <tableColumn id="4" xr3:uid="{00000000-0010-0000-0200-000004000000}" name="タスク詳細" dataDxfId="277"/>
    <tableColumn id="7" xr3:uid="{00000000-0010-0000-0200-000007000000}" name="WBS番号" dataDxfId="276"/>
    <tableColumn id="5" xr3:uid="{00000000-0010-0000-0200-000005000000}" name="状況" dataDxfId="275"/>
    <tableColumn id="6" xr3:uid="{00000000-0010-0000-0200-000006000000}" name="備考" dataDxfId="274"/>
    <tableColumn id="8" xr3:uid="{00000000-0010-0000-0200-000008000000}" name="(遡及)済" dataDxfId="273"/>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3000000}" name="テーブル1012131428" displayName="テーブル1012131428" ref="B62:I73" totalsRowShown="0" headerRowDxfId="272" dataDxfId="270" headerRowBorderDxfId="271" tableBorderDxfId="269" totalsRowBorderDxfId="268">
  <autoFilter ref="B62:I73" xr:uid="{00000000-0009-0000-0100-00001B000000}"/>
  <tableColumns count="8">
    <tableColumn id="1" xr3:uid="{00000000-0010-0000-0300-000001000000}" name="No" dataDxfId="267"/>
    <tableColumn id="2" xr3:uid="{00000000-0010-0000-0300-000002000000}" name="案件" dataDxfId="266"/>
    <tableColumn id="3" xr3:uid="{00000000-0010-0000-0300-000003000000}" name="タスク" dataDxfId="265"/>
    <tableColumn id="4" xr3:uid="{00000000-0010-0000-0300-000004000000}" name="タスク詳細" dataDxfId="264"/>
    <tableColumn id="7" xr3:uid="{00000000-0010-0000-0300-000007000000}" name="WBS番号" dataDxfId="263"/>
    <tableColumn id="5" xr3:uid="{00000000-0010-0000-0300-000005000000}" name="状況" dataDxfId="262"/>
    <tableColumn id="6" xr3:uid="{00000000-0010-0000-0300-000006000000}" name="備考" dataDxfId="261"/>
    <tableColumn id="8" xr3:uid="{00000000-0010-0000-0300-000008000000}" name="(遡及)済" dataDxfId="260"/>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4000000}" name="テーブル101213141529" displayName="テーブル101213141529" ref="B77:I84" totalsRowShown="0" headerRowDxfId="259" dataDxfId="257" headerRowBorderDxfId="258" tableBorderDxfId="256" totalsRowBorderDxfId="255">
  <autoFilter ref="B77:I84" xr:uid="{00000000-0009-0000-0100-00001C000000}"/>
  <tableColumns count="8">
    <tableColumn id="1" xr3:uid="{00000000-0010-0000-0400-000001000000}" name="No" dataDxfId="254"/>
    <tableColumn id="2" xr3:uid="{00000000-0010-0000-0400-000002000000}" name="案件" dataDxfId="253"/>
    <tableColumn id="3" xr3:uid="{00000000-0010-0000-0400-000003000000}" name="タスク" dataDxfId="252"/>
    <tableColumn id="4" xr3:uid="{00000000-0010-0000-0400-000004000000}" name="タスク詳細" dataDxfId="251"/>
    <tableColumn id="7" xr3:uid="{00000000-0010-0000-0400-000007000000}" name="WBS番号" dataDxfId="250"/>
    <tableColumn id="5" xr3:uid="{00000000-0010-0000-0400-000005000000}" name="状況" dataDxfId="249"/>
    <tableColumn id="6" xr3:uid="{00000000-0010-0000-0400-000006000000}" name="備考" dataDxfId="248"/>
    <tableColumn id="8" xr3:uid="{00000000-0010-0000-0400-000008000000}" name="(遡及)済" dataDxfId="247"/>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5000000}" name="テーブル1012131415230" displayName="テーブル1012131415230" ref="B87:I94" totalsRowShown="0" headerRowDxfId="246" dataDxfId="244" headerRowBorderDxfId="245" tableBorderDxfId="243" totalsRowBorderDxfId="242">
  <autoFilter ref="B87:I94" xr:uid="{00000000-0009-0000-0100-00001D000000}"/>
  <tableColumns count="8">
    <tableColumn id="1" xr3:uid="{00000000-0010-0000-0500-000001000000}" name="No" dataDxfId="241"/>
    <tableColumn id="2" xr3:uid="{00000000-0010-0000-0500-000002000000}" name="案件" dataDxfId="240"/>
    <tableColumn id="3" xr3:uid="{00000000-0010-0000-0500-000003000000}" name="タスク" dataDxfId="239"/>
    <tableColumn id="4" xr3:uid="{00000000-0010-0000-0500-000004000000}" name="タスク詳細" dataDxfId="238"/>
    <tableColumn id="7" xr3:uid="{00000000-0010-0000-0500-000007000000}" name="WBS番号" dataDxfId="237"/>
    <tableColumn id="5" xr3:uid="{00000000-0010-0000-0500-000005000000}" name="状況" dataDxfId="236"/>
    <tableColumn id="6" xr3:uid="{00000000-0010-0000-0500-000006000000}" name="備考" dataDxfId="235"/>
    <tableColumn id="8" xr3:uid="{00000000-0010-0000-0500-000008000000}" name="(遡及)済" dataDxfId="234"/>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6000000}" name="テーブル10121314152331" displayName="テーブル10121314152331" ref="B97:I108" totalsRowShown="0" headerRowDxfId="233" dataDxfId="231" headerRowBorderDxfId="232" tableBorderDxfId="230" totalsRowBorderDxfId="229">
  <autoFilter ref="B97:I108" xr:uid="{00000000-0009-0000-0100-00001E000000}"/>
  <tableColumns count="8">
    <tableColumn id="1" xr3:uid="{00000000-0010-0000-0600-000001000000}" name="No" dataDxfId="228"/>
    <tableColumn id="2" xr3:uid="{00000000-0010-0000-0600-000002000000}" name="案件" dataDxfId="227"/>
    <tableColumn id="3" xr3:uid="{00000000-0010-0000-0600-000003000000}" name="タスク" dataDxfId="226"/>
    <tableColumn id="4" xr3:uid="{00000000-0010-0000-0600-000004000000}" name="タスク詳細" dataDxfId="225"/>
    <tableColumn id="7" xr3:uid="{00000000-0010-0000-0600-000007000000}" name="WBS番号" dataDxfId="224"/>
    <tableColumn id="5" xr3:uid="{00000000-0010-0000-0600-000005000000}" name="状況" dataDxfId="223"/>
    <tableColumn id="6" xr3:uid="{00000000-0010-0000-0600-000006000000}" name="備考" dataDxfId="222"/>
    <tableColumn id="8" xr3:uid="{00000000-0010-0000-0600-000008000000}" name="(遡及)済" dataDxfId="221"/>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7000000}" name="テーブル101213141523432" displayName="テーブル101213141523432" ref="B112:I124" totalsRowShown="0" headerRowDxfId="220" dataDxfId="218" headerRowBorderDxfId="219" tableBorderDxfId="217" totalsRowBorderDxfId="216">
  <autoFilter ref="B112:I124" xr:uid="{00000000-0009-0000-0100-00001F000000}"/>
  <tableColumns count="8">
    <tableColumn id="1" xr3:uid="{00000000-0010-0000-0700-000001000000}" name="No" dataDxfId="215"/>
    <tableColumn id="2" xr3:uid="{00000000-0010-0000-0700-000002000000}" name="案件" dataDxfId="214"/>
    <tableColumn id="3" xr3:uid="{00000000-0010-0000-0700-000003000000}" name="タスク" dataDxfId="213"/>
    <tableColumn id="4" xr3:uid="{00000000-0010-0000-0700-000004000000}" name="タスク詳細" dataDxfId="212"/>
    <tableColumn id="7" xr3:uid="{00000000-0010-0000-0700-000007000000}" name="WBS番号" dataDxfId="211"/>
    <tableColumn id="5" xr3:uid="{00000000-0010-0000-0700-000005000000}" name="状況" dataDxfId="210"/>
    <tableColumn id="6" xr3:uid="{00000000-0010-0000-0700-000006000000}" name="備考" dataDxfId="209"/>
    <tableColumn id="8" xr3:uid="{00000000-0010-0000-0700-000008000000}" name="(遡及)済" dataDxfId="208"/>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8000000}" name="テーブル1012131415234533" displayName="テーブル1012131415234533" ref="B127:I145" totalsRowShown="0" headerRowDxfId="207" dataDxfId="205" headerRowBorderDxfId="206" tableBorderDxfId="204" totalsRowBorderDxfId="203">
  <autoFilter ref="B127:I145" xr:uid="{00000000-0009-0000-0100-000020000000}"/>
  <tableColumns count="8">
    <tableColumn id="1" xr3:uid="{00000000-0010-0000-0800-000001000000}" name="No" dataDxfId="202"/>
    <tableColumn id="2" xr3:uid="{00000000-0010-0000-0800-000002000000}" name="案件" dataDxfId="201"/>
    <tableColumn id="3" xr3:uid="{00000000-0010-0000-0800-000003000000}" name="タスク" dataDxfId="200"/>
    <tableColumn id="4" xr3:uid="{00000000-0010-0000-0800-000004000000}" name="タスク詳細" dataDxfId="199"/>
    <tableColumn id="7" xr3:uid="{00000000-0010-0000-0800-000007000000}" name="WBS番号" dataDxfId="198"/>
    <tableColumn id="5" xr3:uid="{00000000-0010-0000-0800-000005000000}" name="状況" dataDxfId="197"/>
    <tableColumn id="6" xr3:uid="{00000000-0010-0000-0800-000006000000}" name="備考" dataDxfId="196"/>
    <tableColumn id="8" xr3:uid="{00000000-0010-0000-0800-000008000000}" name="(遡及)済" dataDxfId="195"/>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9000000}" name="テーブル10121314152345634" displayName="テーブル10121314152345634" ref="B148:I185" totalsRowShown="0" headerRowDxfId="194" dataDxfId="192" headerRowBorderDxfId="193" tableBorderDxfId="191" totalsRowBorderDxfId="190">
  <autoFilter ref="B148:I185" xr:uid="{00000000-0009-0000-0100-000021000000}"/>
  <tableColumns count="8">
    <tableColumn id="1" xr3:uid="{00000000-0010-0000-0900-000001000000}" name="No" dataDxfId="189"/>
    <tableColumn id="2" xr3:uid="{00000000-0010-0000-0900-000002000000}" name="案件" dataDxfId="188"/>
    <tableColumn id="3" xr3:uid="{00000000-0010-0000-0900-000003000000}" name="タスク" dataDxfId="187"/>
    <tableColumn id="4" xr3:uid="{00000000-0010-0000-0900-000004000000}" name="タスク詳細" dataDxfId="186"/>
    <tableColumn id="7" xr3:uid="{00000000-0010-0000-0900-000007000000}" name="WBS番号" dataDxfId="185"/>
    <tableColumn id="5" xr3:uid="{00000000-0010-0000-0900-000005000000}" name="状況" dataDxfId="184"/>
    <tableColumn id="6" xr3:uid="{00000000-0010-0000-0900-000006000000}" name="備考" dataDxfId="183"/>
    <tableColumn id="8" xr3:uid="{00000000-0010-0000-0900-000008000000}" name="(遡及)済" dataDxfId="182"/>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A000000}" name="テーブル101213141523456735" displayName="テーブル101213141523456735" ref="B190:I199" totalsRowShown="0" headerRowDxfId="181" dataDxfId="179" headerRowBorderDxfId="180" tableBorderDxfId="178" totalsRowBorderDxfId="177">
  <autoFilter ref="B190:I199" xr:uid="{00000000-0009-0000-0100-000022000000}"/>
  <tableColumns count="8">
    <tableColumn id="1" xr3:uid="{00000000-0010-0000-0A00-000001000000}" name="No" dataDxfId="176"/>
    <tableColumn id="2" xr3:uid="{00000000-0010-0000-0A00-000002000000}" name="案件" dataDxfId="175"/>
    <tableColumn id="3" xr3:uid="{00000000-0010-0000-0A00-000003000000}" name="タスク" dataDxfId="174"/>
    <tableColumn id="4" xr3:uid="{00000000-0010-0000-0A00-000004000000}" name="タスク詳細" dataDxfId="173"/>
    <tableColumn id="7" xr3:uid="{00000000-0010-0000-0A00-000007000000}" name="WBS番号" dataDxfId="172"/>
    <tableColumn id="5" xr3:uid="{00000000-0010-0000-0A00-000005000000}" name="状況" dataDxfId="171"/>
    <tableColumn id="6" xr3:uid="{00000000-0010-0000-0A00-000006000000}" name="備考" dataDxfId="170"/>
    <tableColumn id="8" xr3:uid="{00000000-0010-0000-0A00-000008000000}" name="(遡及)済" dataDxfId="169"/>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B000000}" name="テーブル1012131415234567836" displayName="テーブル1012131415234567836" ref="B204:I222" totalsRowShown="0" headerRowDxfId="168" dataDxfId="166" headerRowBorderDxfId="167" tableBorderDxfId="165" totalsRowBorderDxfId="164">
  <autoFilter ref="B204:I222" xr:uid="{00000000-0009-0000-0100-000023000000}"/>
  <tableColumns count="8">
    <tableColumn id="1" xr3:uid="{00000000-0010-0000-0B00-000001000000}" name="No" dataDxfId="163"/>
    <tableColumn id="2" xr3:uid="{00000000-0010-0000-0B00-000002000000}" name="案件" dataDxfId="162"/>
    <tableColumn id="3" xr3:uid="{00000000-0010-0000-0B00-000003000000}" name="タスク" dataDxfId="161"/>
    <tableColumn id="4" xr3:uid="{00000000-0010-0000-0B00-000004000000}" name="タスク詳細" dataDxfId="160"/>
    <tableColumn id="7" xr3:uid="{00000000-0010-0000-0B00-000007000000}" name="WBS番号" dataDxfId="159"/>
    <tableColumn id="5" xr3:uid="{00000000-0010-0000-0B00-000005000000}" name="状況" dataDxfId="158"/>
    <tableColumn id="6" xr3:uid="{00000000-0010-0000-0B00-000006000000}" name="備考" dataDxfId="157"/>
    <tableColumn id="8" xr3:uid="{00000000-0010-0000-0B00-000008000000}" name="(遡及)済" dataDxfId="156"/>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C000000}" name="テーブル837" displayName="テーブル837" ref="B227:I238" totalsRowShown="0" headerRowDxfId="155" headerRowBorderDxfId="154" tableBorderDxfId="153" totalsRowBorderDxfId="152">
  <autoFilter ref="B227:I238" xr:uid="{00000000-0009-0000-0100-000024000000}"/>
  <tableColumns count="8">
    <tableColumn id="1" xr3:uid="{00000000-0010-0000-0C00-000001000000}" name="No" dataDxfId="151">
      <calculatedColumnFormula>B227+1</calculatedColumnFormula>
    </tableColumn>
    <tableColumn id="2" xr3:uid="{00000000-0010-0000-0C00-000002000000}" name="案件" dataDxfId="150"/>
    <tableColumn id="3" xr3:uid="{00000000-0010-0000-0C00-000003000000}" name="タスク" dataDxfId="149"/>
    <tableColumn id="4" xr3:uid="{00000000-0010-0000-0C00-000004000000}" name="タスク詳細" dataDxfId="148"/>
    <tableColumn id="5" xr3:uid="{00000000-0010-0000-0C00-000005000000}" name="WBS番号" dataDxfId="147"/>
    <tableColumn id="6" xr3:uid="{00000000-0010-0000-0C00-000006000000}" name="状況" dataDxfId="146"/>
    <tableColumn id="7" xr3:uid="{00000000-0010-0000-0C00-000007000000}" name="備考" dataDxfId="145"/>
    <tableColumn id="8" xr3:uid="{00000000-0010-0000-0C00-000008000000}" name="(遡及)済" dataDxfId="144"/>
  </tableColumns>
  <tableStyleInfo name="TableStyleLight1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D000000}" name="テーブル81038" displayName="テーブル81038" ref="B242:I253" totalsRowShown="0" headerRowDxfId="143" headerRowBorderDxfId="142" tableBorderDxfId="141" totalsRowBorderDxfId="140">
  <autoFilter ref="B242:I253" xr:uid="{00000000-0009-0000-0100-000025000000}"/>
  <tableColumns count="8">
    <tableColumn id="1" xr3:uid="{00000000-0010-0000-0D00-000001000000}" name="No" dataDxfId="139">
      <calculatedColumnFormula>B242+1</calculatedColumnFormula>
    </tableColumn>
    <tableColumn id="2" xr3:uid="{00000000-0010-0000-0D00-000002000000}" name="案件" dataDxfId="138"/>
    <tableColumn id="3" xr3:uid="{00000000-0010-0000-0D00-000003000000}" name="タスク" dataDxfId="137"/>
    <tableColumn id="4" xr3:uid="{00000000-0010-0000-0D00-000004000000}" name="タスク詳細" dataDxfId="136"/>
    <tableColumn id="5" xr3:uid="{00000000-0010-0000-0D00-000005000000}" name="WBS番号" dataDxfId="135"/>
    <tableColumn id="6" xr3:uid="{00000000-0010-0000-0D00-000006000000}" name="状況" dataDxfId="134"/>
    <tableColumn id="7" xr3:uid="{00000000-0010-0000-0D00-000007000000}" name="備考" dataDxfId="133"/>
    <tableColumn id="8" xr3:uid="{00000000-0010-0000-0D00-000008000000}" name="(遡及)済" dataDxfId="132"/>
  </tableColumns>
  <tableStyleInfo name="TableStyleLight1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E000000}" name="テーブル8101639" displayName="テーブル8101639" ref="B257:I268" totalsRowShown="0" headerRowDxfId="131" headerRowBorderDxfId="130" tableBorderDxfId="129" totalsRowBorderDxfId="128">
  <autoFilter ref="B257:I268" xr:uid="{00000000-0009-0000-0100-000026000000}"/>
  <tableColumns count="8">
    <tableColumn id="1" xr3:uid="{00000000-0010-0000-0E00-000001000000}" name="No" dataDxfId="127"/>
    <tableColumn id="2" xr3:uid="{00000000-0010-0000-0E00-000002000000}" name="案件" dataDxfId="126"/>
    <tableColumn id="3" xr3:uid="{00000000-0010-0000-0E00-000003000000}" name="タスク" dataDxfId="125"/>
    <tableColumn id="4" xr3:uid="{00000000-0010-0000-0E00-000004000000}" name="タスク詳細" dataDxfId="124"/>
    <tableColumn id="5" xr3:uid="{00000000-0010-0000-0E00-000005000000}" name="WBS番号" dataDxfId="123"/>
    <tableColumn id="6" xr3:uid="{00000000-0010-0000-0E00-000006000000}" name="状況" dataDxfId="122"/>
    <tableColumn id="7" xr3:uid="{00000000-0010-0000-0E00-000007000000}" name="備考" dataDxfId="121"/>
    <tableColumn id="8" xr3:uid="{00000000-0010-0000-0E00-000008000000}" name="(遡及)済" dataDxfId="120"/>
  </tableColumns>
  <tableStyleInfo name="TableStyleLight1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F000000}" name="テーブル810161740" displayName="テーブル810161740" ref="B272:I283" totalsRowShown="0" headerRowDxfId="119" headerRowBorderDxfId="118" tableBorderDxfId="117" totalsRowBorderDxfId="116">
  <autoFilter ref="B272:I283" xr:uid="{00000000-0009-0000-0100-000027000000}"/>
  <tableColumns count="8">
    <tableColumn id="1" xr3:uid="{00000000-0010-0000-0F00-000001000000}" name="No" dataDxfId="115"/>
    <tableColumn id="2" xr3:uid="{00000000-0010-0000-0F00-000002000000}" name="案件" dataDxfId="114"/>
    <tableColumn id="3" xr3:uid="{00000000-0010-0000-0F00-000003000000}" name="タスク" dataDxfId="113"/>
    <tableColumn id="4" xr3:uid="{00000000-0010-0000-0F00-000004000000}" name="タスク詳細" dataDxfId="112"/>
    <tableColumn id="5" xr3:uid="{00000000-0010-0000-0F00-000005000000}" name="WBS番号" dataDxfId="111"/>
    <tableColumn id="6" xr3:uid="{00000000-0010-0000-0F00-000006000000}" name="状況" dataDxfId="110"/>
    <tableColumn id="7" xr3:uid="{00000000-0010-0000-0F00-000007000000}" name="備考" dataDxfId="109"/>
    <tableColumn id="8" xr3:uid="{00000000-0010-0000-0F00-000008000000}" name="(遡及)済" dataDxfId="108"/>
  </tableColumns>
  <tableStyleInfo name="TableStyleLight1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0000000}" name="テーブル81016171841" displayName="テーブル81016171841" ref="B287:I298" totalsRowShown="0" headerRowDxfId="107" headerRowBorderDxfId="106" tableBorderDxfId="105" totalsRowBorderDxfId="104">
  <autoFilter ref="B287:I298" xr:uid="{00000000-0009-0000-0100-000028000000}"/>
  <tableColumns count="8">
    <tableColumn id="1" xr3:uid="{00000000-0010-0000-1000-000001000000}" name="No" dataDxfId="103"/>
    <tableColumn id="2" xr3:uid="{00000000-0010-0000-1000-000002000000}" name="案件" dataDxfId="102"/>
    <tableColumn id="3" xr3:uid="{00000000-0010-0000-1000-000003000000}" name="タスク" dataDxfId="101"/>
    <tableColumn id="4" xr3:uid="{00000000-0010-0000-1000-000004000000}" name="タスク詳細" dataDxfId="100"/>
    <tableColumn id="5" xr3:uid="{00000000-0010-0000-1000-000005000000}" name="WBS番号" dataDxfId="99"/>
    <tableColumn id="6" xr3:uid="{00000000-0010-0000-1000-000006000000}" name="状況" dataDxfId="98"/>
    <tableColumn id="7" xr3:uid="{00000000-0010-0000-1000-000007000000}" name="備考" dataDxfId="97"/>
    <tableColumn id="8" xr3:uid="{00000000-0010-0000-1000-000008000000}" name="(遡及)済" dataDxfId="96"/>
  </tableColumns>
  <tableStyleInfo name="TableStyleLight1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1000000}" name="テーブル8101617181942" displayName="テーブル8101617181942" ref="B302:I314" totalsRowShown="0" headerRowDxfId="95" headerRowBorderDxfId="94" tableBorderDxfId="93" totalsRowBorderDxfId="92">
  <autoFilter ref="B302:I314" xr:uid="{00000000-0009-0000-0100-000029000000}"/>
  <tableColumns count="8">
    <tableColumn id="1" xr3:uid="{00000000-0010-0000-1100-000001000000}" name="No" dataDxfId="91"/>
    <tableColumn id="2" xr3:uid="{00000000-0010-0000-1100-000002000000}" name="案件" dataDxfId="90"/>
    <tableColumn id="3" xr3:uid="{00000000-0010-0000-1100-000003000000}" name="タスク" dataDxfId="89"/>
    <tableColumn id="4" xr3:uid="{00000000-0010-0000-1100-000004000000}" name="タスク詳細" dataDxfId="88"/>
    <tableColumn id="5" xr3:uid="{00000000-0010-0000-1100-000005000000}" name="WBS番号" dataDxfId="87"/>
    <tableColumn id="6" xr3:uid="{00000000-0010-0000-1100-000006000000}" name="状況" dataDxfId="86"/>
    <tableColumn id="7" xr3:uid="{00000000-0010-0000-1100-000007000000}" name="備考" dataDxfId="85"/>
    <tableColumn id="8" xr3:uid="{00000000-0010-0000-1100-000008000000}" name="(遡及)済" dataDxfId="84"/>
  </tableColumns>
  <tableStyleInfo name="TableStyleLight1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2000000}" name="テーブル810161718192043" displayName="テーブル810161718192043" ref="B318:I336" totalsRowShown="0" headerRowDxfId="83" headerRowBorderDxfId="82" tableBorderDxfId="81" totalsRowBorderDxfId="80">
  <autoFilter ref="B318:I336" xr:uid="{00000000-0009-0000-0100-00002A000000}"/>
  <tableColumns count="8">
    <tableColumn id="1" xr3:uid="{00000000-0010-0000-1200-000001000000}" name="No" dataDxfId="79"/>
    <tableColumn id="2" xr3:uid="{00000000-0010-0000-1200-000002000000}" name="案件" dataDxfId="78"/>
    <tableColumn id="3" xr3:uid="{00000000-0010-0000-1200-000003000000}" name="タスク" dataDxfId="77"/>
    <tableColumn id="4" xr3:uid="{00000000-0010-0000-1200-000004000000}" name="タスク詳細" dataDxfId="76"/>
    <tableColumn id="5" xr3:uid="{00000000-0010-0000-1200-000005000000}" name="WBS番号" dataDxfId="75"/>
    <tableColumn id="6" xr3:uid="{00000000-0010-0000-1200-000006000000}" name="状況" dataDxfId="74"/>
    <tableColumn id="7" xr3:uid="{00000000-0010-0000-1200-000007000000}" name="備考" dataDxfId="73"/>
    <tableColumn id="8" xr3:uid="{00000000-0010-0000-1200-000008000000}" name="(遡及)済" dataDxfId="72">
      <calculatedColumnFormula>IF(テーブル810161718192043[[#This Row],[状況]]="完了","",IF(SUMPRODUCT((テーブル810161718192043[[#This Row],[タスク詳細]]=E:E)*(テーブル810161718192043[[#This Row],[タスク]]=D:D)*(テーブル810161718192043[[#This Row],[案件]]=C:C)*("完了"=G:G))=1,"完了",""))</calculatedColumnFormula>
    </tableColumn>
  </tableColumns>
  <tableStyleInfo name="TableStyleLight1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3000000}" name="テーブル81016171819202144" displayName="テーブル81016171819202144" ref="B340:I359" totalsRowShown="0" headerRowDxfId="71" headerRowBorderDxfId="70" tableBorderDxfId="69" totalsRowBorderDxfId="68">
  <autoFilter ref="B340:I359" xr:uid="{00000000-0009-0000-0100-00002B000000}"/>
  <tableColumns count="8">
    <tableColumn id="1" xr3:uid="{00000000-0010-0000-1300-000001000000}" name="No" dataDxfId="67"/>
    <tableColumn id="2" xr3:uid="{00000000-0010-0000-1300-000002000000}" name="案件" dataDxfId="66"/>
    <tableColumn id="3" xr3:uid="{00000000-0010-0000-1300-000003000000}" name="タスク" dataDxfId="65"/>
    <tableColumn id="4" xr3:uid="{00000000-0010-0000-1300-000004000000}" name="タスク詳細" dataDxfId="64"/>
    <tableColumn id="5" xr3:uid="{00000000-0010-0000-1300-000005000000}" name="WBS番号" dataDxfId="63"/>
    <tableColumn id="6" xr3:uid="{00000000-0010-0000-1300-000006000000}" name="状況" dataDxfId="62"/>
    <tableColumn id="7" xr3:uid="{00000000-0010-0000-1300-000007000000}" name="備考" dataDxfId="61"/>
    <tableColumn id="8" xr3:uid="{00000000-0010-0000-1300-000008000000}" name="(遡及)済" dataDxfId="60">
      <calculatedColumnFormula>IF(テーブル81016171819202144[[#This Row],[状況]]="完了","",IF(SUMPRODUCT((テーブル81016171819202144[[#This Row],[タスク詳細]]=E:E)*(テーブル81016171819202144[[#This Row],[タスク]]=D:D)*(テーブル81016171819202144[[#This Row],[案件]]=C:C)*("完了"=G:G))=1,"完了",""))</calculatedColumnFormula>
    </tableColumn>
  </tableColumns>
  <tableStyleInfo name="TableStyleLight1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4000000}" name="テーブル8101617181920212245" displayName="テーブル8101617181920212245" ref="B363:I382" totalsRowShown="0" headerRowDxfId="59" headerRowBorderDxfId="58" tableBorderDxfId="57" totalsRowBorderDxfId="56">
  <autoFilter ref="B363:I382" xr:uid="{00000000-0009-0000-0100-00002C000000}"/>
  <tableColumns count="8">
    <tableColumn id="1" xr3:uid="{00000000-0010-0000-1400-000001000000}" name="No" dataDxfId="55"/>
    <tableColumn id="2" xr3:uid="{00000000-0010-0000-1400-000002000000}" name="案件" dataDxfId="54"/>
    <tableColumn id="3" xr3:uid="{00000000-0010-0000-1400-000003000000}" name="タスク" dataDxfId="53"/>
    <tableColumn id="4" xr3:uid="{00000000-0010-0000-1400-000004000000}" name="タスク詳細" dataDxfId="52"/>
    <tableColumn id="5" xr3:uid="{00000000-0010-0000-1400-000005000000}" name="WBS番号" dataDxfId="51"/>
    <tableColumn id="6" xr3:uid="{00000000-0010-0000-1400-000006000000}" name="状況" dataDxfId="50"/>
    <tableColumn id="7" xr3:uid="{00000000-0010-0000-1400-000007000000}" name="備考" dataDxfId="49"/>
    <tableColumn id="8" xr3:uid="{00000000-0010-0000-1400-000008000000}" name="(遡及)済" dataDxfId="48">
      <calculatedColumnFormula>IF(テーブル8101617181920212245[[#This Row],[状況]]="完了","",IF(SUMPRODUCT((テーブル8101617181920212245[[#This Row],[タスク詳細]]=E:E)*(テーブル8101617181920212245[[#This Row],[タスク]]=D:D)*(テーブル8101617181920212245[[#This Row],[案件]]=C:C)*("完了"=G:G))=1,"完了",""))</calculatedColumnFormula>
    </tableColumn>
  </tableColumns>
  <tableStyleInfo name="TableStyleLight1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5000000}" name="テーブル810161718192021222346" displayName="テーブル810161718192021222346" ref="B387:I404" totalsRowShown="0" headerRowDxfId="47" headerRowBorderDxfId="46" tableBorderDxfId="45" totalsRowBorderDxfId="44">
  <autoFilter ref="B387:I404" xr:uid="{00000000-0009-0000-0100-00002D000000}"/>
  <tableColumns count="8">
    <tableColumn id="1" xr3:uid="{00000000-0010-0000-1500-000001000000}" name="No" dataDxfId="43"/>
    <tableColumn id="2" xr3:uid="{00000000-0010-0000-1500-000002000000}" name="案件" dataDxfId="42"/>
    <tableColumn id="3" xr3:uid="{00000000-0010-0000-1500-000003000000}" name="タスク" dataDxfId="41"/>
    <tableColumn id="4" xr3:uid="{00000000-0010-0000-1500-000004000000}" name="タスク詳細" dataDxfId="40"/>
    <tableColumn id="5" xr3:uid="{00000000-0010-0000-1500-000005000000}" name="WBS番号" dataDxfId="39"/>
    <tableColumn id="6" xr3:uid="{00000000-0010-0000-1500-000006000000}" name="状況" dataDxfId="38"/>
    <tableColumn id="7" xr3:uid="{00000000-0010-0000-1500-000007000000}" name="備考" dataDxfId="37"/>
    <tableColumn id="8" xr3:uid="{00000000-0010-0000-1500-000008000000}" name="(遡及)済" dataDxfId="36">
      <calculatedColumnFormula>IF(テーブル810161718192021222346[[#This Row],[状況]]="完了","",IF(SUMPRODUCT((テーブル810161718192021222346[[#This Row],[タスク詳細]]=E:E)*(テーブル810161718192021222346[[#This Row],[タスク]]=D:D)*(テーブル810161718192021222346[[#This Row],[案件]]=C:C)*("完了"=G:G))=1,"完了",""))</calculatedColumnFormula>
    </tableColumn>
  </tableColumns>
  <tableStyleInfo name="TableStyleLight1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6000000}" name="テーブル81016171819202122232447" displayName="テーブル81016171819202122232447" ref="B409:I426" totalsRowShown="0" headerRowDxfId="35" headerRowBorderDxfId="34" tableBorderDxfId="33" totalsRowBorderDxfId="32">
  <autoFilter ref="B409:I426" xr:uid="{00000000-0009-0000-0100-00002E000000}"/>
  <tableColumns count="8">
    <tableColumn id="1" xr3:uid="{00000000-0010-0000-1600-000001000000}" name="No" dataDxfId="31"/>
    <tableColumn id="2" xr3:uid="{00000000-0010-0000-1600-000002000000}" name="案件" dataDxfId="30"/>
    <tableColumn id="3" xr3:uid="{00000000-0010-0000-1600-000003000000}" name="タスク" dataDxfId="29"/>
    <tableColumn id="4" xr3:uid="{00000000-0010-0000-1600-000004000000}" name="タスク詳細" dataDxfId="28"/>
    <tableColumn id="5" xr3:uid="{00000000-0010-0000-1600-000005000000}" name="WBS番号" dataDxfId="27"/>
    <tableColumn id="6" xr3:uid="{00000000-0010-0000-1600-000006000000}" name="状況" dataDxfId="26"/>
    <tableColumn id="7" xr3:uid="{00000000-0010-0000-1600-000007000000}" name="備考" dataDxfId="25"/>
    <tableColumn id="8" xr3:uid="{00000000-0010-0000-1600-000008000000}" name="(遡及)済" dataDxfId="24">
      <calculatedColumnFormula>IF(テーブル81016171819202122232447[[#This Row],[状況]]="完了","",IF(SUMPRODUCT((テーブル81016171819202122232447[[#This Row],[タスク詳細]]=E:E)*(テーブル81016171819202122232447[[#This Row],[タスク]]=D:D)*(テーブル81016171819202122232447[[#This Row],[案件]]=C:C)*("完了"=G:G))=1,"完了",""))</calculatedColumnFormula>
    </tableColumn>
  </tableColumns>
  <tableStyleInfo name="TableStyleLight1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hyperlink" Target="../../../AppData/00_&#26696;&#20214;/10_&#26989;&#21209;/20_&#26696;&#20214;&#31649;&#29702;/00_&#26696;&#20214;&#36039;&#26009;/A00922_&#33073;&#36864;&#19968;&#26178;&#37329;&#30456;&#24403;&#38989;&#12398;&#31227;&#25563;&#23550;&#35937;&#32773;&#12398;&#25313;&#22823;(DC&#27861;&#25913;&#27491;)&#23550;&#24540;" TargetMode="External"/><Relationship Id="rId7" Type="http://schemas.openxmlformats.org/officeDocument/2006/relationships/printerSettings" Target="../printerSettings/printerSettings2.bin"/><Relationship Id="rId2" Type="http://schemas.openxmlformats.org/officeDocument/2006/relationships/hyperlink" Target="../../../AppData/00_&#26696;&#20214;/10_&#26989;&#21209;/20_&#26696;&#20214;&#31649;&#29702;/00_&#26696;&#20214;&#36039;&#26009;/A00921_(&#27861;&#25913;&#27491;)&#12522;&#12473;&#12463;&#20998;&#25285;&#22411;&#20225;&#26989;&#24180;&#37329;&#21046;&#24230;&#12398;&#23550;&#24540;/10_&#35201;&#20214;&#23450;&#32681;/&#20107;&#26989;&#22577;&#21578;&#26360;/01_&#31649;&#29702;/WBS(&#12522;&#12473;&#12463;&#20998;&#25285;&#22411;&#20225;&#26989;&#24180;&#37329;&#21046;&#24230;&#12398;&#23550;&#24540;-&#20107;&#26989;&#22577;&#21578;&#26360;).xls" TargetMode="External"/><Relationship Id="rId1" Type="http://schemas.openxmlformats.org/officeDocument/2006/relationships/hyperlink" Target="../../../AppData/00_&#26696;&#20214;/10_&#26989;&#21209;/20_&#26696;&#20214;&#31649;&#29702;/00_&#26696;&#20214;&#36039;&#26009;/A00924_&#36969;&#24180;DB&#25968;&#29702;IF&#12501;&#12449;&#12452;&#12523;&#20316;&#25104;_&#21463;&#32102;&#27177;&#32773;&#22522;&#21152;&#21029;TBL&#21462;&#24471;&#19981;&#21487;&#35299;&#28040;&#23550;&#24540;" TargetMode="External"/><Relationship Id="rId6" Type="http://schemas.openxmlformats.org/officeDocument/2006/relationships/hyperlink" Target="../../../AppData/00_&#26696;&#20214;/10_&#26989;&#21209;/20_&#26696;&#20214;&#31649;&#29702;/00_&#26696;&#20214;&#36039;&#26009;/A00943_&#25351;&#22259;&#26360;&#20986;&#21147;&#19968;&#35239;&#30011;&#38754;&#34920;&#31034;&#26178;&#12398;&#21463;&#32102;&#27177;&#32773;&#30058;&#21495;&#12477;&#12540;&#12488;&#23550;&#24540;" TargetMode="External"/><Relationship Id="rId5" Type="http://schemas.openxmlformats.org/officeDocument/2006/relationships/hyperlink" Target="../../../AppData/00_&#26696;&#20214;/10_&#26989;&#21209;/20_&#26696;&#20214;&#31649;&#29702;/00_&#26696;&#20214;&#36039;&#26009;/A00928_&#36969;&#24180;DB&#25968;&#29702;IF&#12501;&#12449;&#12452;&#12523;&#20316;&#25104;_&#36039;&#26684;&#21462;&#24471;&#26085;&#20197;&#38477;&#12398;&#12415;&#12394;&#12375;&#26085;&#12395;&#12362;&#12369;&#12427;&#26399;&#38291;&#31639;&#20986;&#23550;&#24540;" TargetMode="External"/><Relationship Id="rId4" Type="http://schemas.openxmlformats.org/officeDocument/2006/relationships/hyperlink" Target="../../../AppData/00_&#26696;&#20214;/10_&#26989;&#21209;/20_&#26696;&#20214;&#31649;&#29702;/00_&#26696;&#20214;&#36039;&#26009;/A00923_&#19968;&#26178;&#37329;&#32102;&#20184;&#36890;&#30693;&#26360;&#65288;&#36861;&#21152;&#32102;&#20184;&#20998;&#65289;&#24046;&#20986;&#20154;&#20303;&#25152;&#20986;&#21147;&#19981;&#20633;&#23550;&#24540;" TargetMode="External"/></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B3:F18"/>
  <sheetViews>
    <sheetView showGridLines="0" tabSelected="1" zoomScaleNormal="100" workbookViewId="0">
      <selection activeCell="F5" sqref="F5"/>
    </sheetView>
  </sheetViews>
  <sheetFormatPr defaultRowHeight="13" x14ac:dyDescent="0.2"/>
  <cols>
    <col min="1" max="1" width="1.6328125" customWidth="1"/>
    <col min="2" max="2" width="9" style="47"/>
    <col min="3" max="3" width="10.26953125" style="47" bestFit="1" customWidth="1"/>
    <col min="4" max="4" width="49.90625" customWidth="1"/>
    <col min="5" max="6" width="9" style="47"/>
  </cols>
  <sheetData>
    <row r="3" spans="2:6" x14ac:dyDescent="0.2">
      <c r="B3" s="45" t="s">
        <v>550</v>
      </c>
      <c r="C3" s="45" t="s">
        <v>619</v>
      </c>
      <c r="D3" s="44" t="s">
        <v>551</v>
      </c>
      <c r="E3" s="45" t="s">
        <v>552</v>
      </c>
      <c r="F3" s="45" t="s">
        <v>554</v>
      </c>
    </row>
    <row r="4" spans="2:6" x14ac:dyDescent="0.2">
      <c r="B4" s="46">
        <v>1</v>
      </c>
      <c r="C4" s="76">
        <v>43566</v>
      </c>
      <c r="D4" s="48" t="s">
        <v>617</v>
      </c>
      <c r="E4" s="46" t="s">
        <v>553</v>
      </c>
      <c r="F4" s="46" t="s">
        <v>618</v>
      </c>
    </row>
    <row r="5" spans="2:6" x14ac:dyDescent="0.2">
      <c r="B5" s="46">
        <v>2</v>
      </c>
      <c r="C5" s="76">
        <v>43566</v>
      </c>
      <c r="D5" s="43" t="s">
        <v>620</v>
      </c>
      <c r="E5" s="46" t="s">
        <v>621</v>
      </c>
      <c r="F5" s="46"/>
    </row>
    <row r="6" spans="2:6" x14ac:dyDescent="0.2">
      <c r="B6" s="46"/>
      <c r="C6" s="46"/>
      <c r="D6" s="43"/>
      <c r="E6" s="46"/>
      <c r="F6" s="46"/>
    </row>
    <row r="7" spans="2:6" x14ac:dyDescent="0.2">
      <c r="B7" s="46"/>
      <c r="C7" s="46"/>
      <c r="D7" s="43"/>
      <c r="E7" s="46"/>
      <c r="F7" s="46"/>
    </row>
    <row r="8" spans="2:6" x14ac:dyDescent="0.2">
      <c r="B8" s="46"/>
      <c r="C8" s="46"/>
      <c r="D8" s="43"/>
      <c r="E8" s="46"/>
      <c r="F8" s="46"/>
    </row>
    <row r="9" spans="2:6" x14ac:dyDescent="0.2">
      <c r="B9" s="46"/>
      <c r="C9" s="46"/>
      <c r="D9" s="43"/>
      <c r="E9" s="46"/>
      <c r="F9" s="46"/>
    </row>
    <row r="10" spans="2:6" x14ac:dyDescent="0.2">
      <c r="B10" s="46"/>
      <c r="C10" s="46"/>
      <c r="D10" s="43"/>
      <c r="E10" s="46"/>
      <c r="F10" s="46"/>
    </row>
    <row r="11" spans="2:6" x14ac:dyDescent="0.2">
      <c r="B11" s="46"/>
      <c r="C11" s="46"/>
      <c r="D11" s="43"/>
      <c r="E11" s="46"/>
      <c r="F11" s="46"/>
    </row>
    <row r="12" spans="2:6" x14ac:dyDescent="0.2">
      <c r="B12" s="46"/>
      <c r="C12" s="46"/>
      <c r="D12" s="43"/>
      <c r="E12" s="46"/>
      <c r="F12" s="46"/>
    </row>
    <row r="13" spans="2:6" x14ac:dyDescent="0.2">
      <c r="B13" s="46"/>
      <c r="C13" s="46"/>
      <c r="D13" s="43"/>
      <c r="E13" s="46"/>
      <c r="F13" s="46"/>
    </row>
    <row r="14" spans="2:6" x14ac:dyDescent="0.2">
      <c r="B14" s="46"/>
      <c r="C14" s="46"/>
      <c r="D14" s="43"/>
      <c r="E14" s="46"/>
      <c r="F14" s="46"/>
    </row>
    <row r="15" spans="2:6" x14ac:dyDescent="0.2">
      <c r="B15" s="46"/>
      <c r="C15" s="46"/>
      <c r="D15" s="43"/>
      <c r="E15" s="46"/>
      <c r="F15" s="46"/>
    </row>
    <row r="16" spans="2:6" x14ac:dyDescent="0.2">
      <c r="B16" s="46"/>
      <c r="C16" s="46"/>
      <c r="D16" s="43"/>
      <c r="E16" s="46"/>
      <c r="F16" s="46"/>
    </row>
    <row r="17" spans="2:6" x14ac:dyDescent="0.2">
      <c r="B17" s="46"/>
      <c r="C17" s="46"/>
      <c r="D17" s="43"/>
      <c r="E17" s="46"/>
      <c r="F17" s="46"/>
    </row>
    <row r="18" spans="2:6" x14ac:dyDescent="0.2">
      <c r="B18" s="46"/>
      <c r="C18" s="46"/>
      <c r="D18" s="43"/>
      <c r="E18" s="46"/>
      <c r="F18" s="46"/>
    </row>
  </sheetData>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I723"/>
  <sheetViews>
    <sheetView topLeftCell="A706" zoomScaleNormal="100" workbookViewId="0">
      <selection activeCell="I688" sqref="I688"/>
    </sheetView>
  </sheetViews>
  <sheetFormatPr defaultColWidth="9" defaultRowHeight="12.5" x14ac:dyDescent="0.2"/>
  <cols>
    <col min="1" max="1" width="10.7265625" style="59" customWidth="1"/>
    <col min="2" max="2" width="9" style="73"/>
    <col min="3" max="3" width="26.90625" style="59" bestFit="1" customWidth="1"/>
    <col min="4" max="4" width="17.453125" style="59" customWidth="1"/>
    <col min="5" max="5" width="30.26953125" style="59" customWidth="1"/>
    <col min="6" max="6" width="12.26953125" style="73" bestFit="1" customWidth="1"/>
    <col min="7" max="7" width="9" style="59"/>
    <col min="8" max="8" width="25.6328125" style="74" customWidth="1"/>
    <col min="9" max="9" width="9" style="62"/>
    <col min="10" max="16384" width="9" style="58"/>
  </cols>
  <sheetData>
    <row r="2" spans="1:9" x14ac:dyDescent="0.2">
      <c r="A2" s="63" t="s">
        <v>244</v>
      </c>
      <c r="B2" s="64" t="s">
        <v>17</v>
      </c>
      <c r="C2" s="65" t="s">
        <v>18</v>
      </c>
      <c r="D2" s="65" t="s">
        <v>448</v>
      </c>
      <c r="E2" s="65" t="s">
        <v>449</v>
      </c>
      <c r="F2" s="66" t="s">
        <v>27</v>
      </c>
      <c r="G2" s="65" t="s">
        <v>20</v>
      </c>
      <c r="H2" s="67" t="s">
        <v>15</v>
      </c>
      <c r="I2" s="60" t="s">
        <v>132</v>
      </c>
    </row>
    <row r="3" spans="1:9" x14ac:dyDescent="0.2">
      <c r="B3" s="64">
        <v>1</v>
      </c>
      <c r="C3" s="65" t="s">
        <v>217</v>
      </c>
      <c r="D3" s="65" t="s">
        <v>241</v>
      </c>
      <c r="E3" s="65" t="s">
        <v>242</v>
      </c>
      <c r="F3" s="66"/>
      <c r="G3" s="65" t="s">
        <v>24</v>
      </c>
      <c r="H3" s="67"/>
      <c r="I3" s="60" t="str">
        <f>IF($G3="完了","",IF(SUMPRODUCT(($E3=$E$3:E100)*($D3=$D$3:D100)*($C3=$C$3:C100)*("完了"=$G$3:G100))=1,"完了",""))</f>
        <v/>
      </c>
    </row>
    <row r="4" spans="1:9" x14ac:dyDescent="0.2">
      <c r="B4" s="64">
        <f t="shared" ref="B4:B10" si="0">B3+1</f>
        <v>2</v>
      </c>
      <c r="C4" s="65"/>
      <c r="D4" s="65"/>
      <c r="E4" s="65" t="s">
        <v>243</v>
      </c>
      <c r="F4" s="66"/>
      <c r="G4" s="65" t="s">
        <v>24</v>
      </c>
      <c r="H4" s="67"/>
      <c r="I4" s="60" t="str">
        <f>IF($G4="完了","",IF(SUMPRODUCT(($E4=$E$3:E101)*($D4=$D$3:D101)*($C4=$C$3:C101)*("完了"=$G$3:G101))=1,"完了",""))</f>
        <v/>
      </c>
    </row>
    <row r="5" spans="1:9" x14ac:dyDescent="0.2">
      <c r="B5" s="64">
        <f t="shared" si="0"/>
        <v>3</v>
      </c>
      <c r="C5" s="65" t="s">
        <v>122</v>
      </c>
      <c r="D5" s="65" t="s">
        <v>236</v>
      </c>
      <c r="E5" s="65" t="s">
        <v>264</v>
      </c>
      <c r="F5" s="66"/>
      <c r="G5" s="65" t="s">
        <v>114</v>
      </c>
      <c r="H5" s="67"/>
      <c r="I5" s="60" t="str">
        <f>IF($G5="完了","",IF(SUMPRODUCT(($E5=$E$3:E102)*($D5=$D$3:D102)*($C5=$C$3:C102)*("完了"=$G$3:G102))=1,"完了",""))</f>
        <v>完了</v>
      </c>
    </row>
    <row r="6" spans="1:9" x14ac:dyDescent="0.2">
      <c r="B6" s="64">
        <f t="shared" si="0"/>
        <v>4</v>
      </c>
      <c r="C6" s="65"/>
      <c r="D6" s="65"/>
      <c r="E6" s="65" t="s">
        <v>247</v>
      </c>
      <c r="F6" s="66"/>
      <c r="G6" s="65" t="s">
        <v>25</v>
      </c>
      <c r="H6" s="67"/>
      <c r="I6" s="60" t="str">
        <f>IF($G6="完了","",IF(SUMPRODUCT(($E6=$E$3:E103)*($D6=$D$3:D103)*($C6=$C$3:C103)*("完了"=$G$3:G103))=1,"完了",""))</f>
        <v>完了</v>
      </c>
    </row>
    <row r="7" spans="1:9" x14ac:dyDescent="0.2">
      <c r="B7" s="64">
        <f t="shared" si="0"/>
        <v>5</v>
      </c>
      <c r="C7" s="65"/>
      <c r="D7" s="65"/>
      <c r="E7" s="65" t="s">
        <v>446</v>
      </c>
      <c r="F7" s="66"/>
      <c r="G7" s="65" t="s">
        <v>25</v>
      </c>
      <c r="H7" s="67"/>
      <c r="I7" s="60" t="str">
        <f>IF($G7="完了","",IF(SUMPRODUCT(($E7=$E$3:E104)*($D7=$D$3:D104)*($C7=$C$3:C104)*("完了"=$G$3:G104))=1,"完了",""))</f>
        <v>完了</v>
      </c>
    </row>
    <row r="8" spans="1:9" x14ac:dyDescent="0.2">
      <c r="B8" s="64">
        <f t="shared" si="0"/>
        <v>6</v>
      </c>
      <c r="C8" s="65" t="s">
        <v>245</v>
      </c>
      <c r="D8" s="65" t="s">
        <v>248</v>
      </c>
      <c r="E8" s="65" t="s">
        <v>447</v>
      </c>
      <c r="F8" s="66"/>
      <c r="G8" s="65" t="s">
        <v>24</v>
      </c>
      <c r="H8" s="67"/>
      <c r="I8" s="60" t="str">
        <f>IF($G8="完了","",IF(SUMPRODUCT(($E8=$E$3:E105)*($D8=$D$3:D105)*($C8=$C$3:C105)*("完了"=$G$3:G105))=1,"完了",""))</f>
        <v/>
      </c>
    </row>
    <row r="9" spans="1:9" x14ac:dyDescent="0.2">
      <c r="B9" s="64">
        <f t="shared" si="0"/>
        <v>7</v>
      </c>
      <c r="C9" s="65"/>
      <c r="D9" s="65"/>
      <c r="E9" s="65" t="s">
        <v>250</v>
      </c>
      <c r="F9" s="66"/>
      <c r="G9" s="65" t="s">
        <v>24</v>
      </c>
      <c r="H9" s="67"/>
      <c r="I9" s="60" t="str">
        <f>IF($G9="完了","",IF(SUMPRODUCT(($E9=$E$3:E106)*($D9=$D$3:D106)*($C9=$C$3:C106)*("完了"=$G$3:G106))=1,"完了",""))</f>
        <v/>
      </c>
    </row>
    <row r="10" spans="1:9" x14ac:dyDescent="0.2">
      <c r="B10" s="64">
        <f t="shared" si="0"/>
        <v>8</v>
      </c>
      <c r="C10" s="65"/>
      <c r="D10" s="65" t="s">
        <v>251</v>
      </c>
      <c r="E10" s="65" t="s">
        <v>252</v>
      </c>
      <c r="F10" s="66"/>
      <c r="G10" s="65" t="s">
        <v>114</v>
      </c>
      <c r="H10" s="67"/>
      <c r="I10" s="60" t="str">
        <f>IF($G10="完了","",IF(SUMPRODUCT(($E10=$E$3:E107)*($D10=$D$3:D107)*($C10=$C$3:C107)*("完了"=$G$3:G107))=1,"完了",""))</f>
        <v/>
      </c>
    </row>
    <row r="11" spans="1:9" x14ac:dyDescent="0.2">
      <c r="B11" s="64">
        <f>B7+1</f>
        <v>6</v>
      </c>
      <c r="C11" s="65"/>
      <c r="D11" s="65"/>
      <c r="E11" s="65" t="s">
        <v>253</v>
      </c>
      <c r="F11" s="66"/>
      <c r="G11" s="65" t="s">
        <v>114</v>
      </c>
      <c r="H11" s="67"/>
      <c r="I11" s="60" t="str">
        <f>IF($G11="完了","",IF(SUMPRODUCT(($E11=$E$3:E108)*($D11=$D$3:D108)*($C11=$C$3:C108)*("完了"=$G$3:G108))=1,"完了",""))</f>
        <v>完了</v>
      </c>
    </row>
    <row r="12" spans="1:9" x14ac:dyDescent="0.2">
      <c r="B12" s="64">
        <f>B11+1</f>
        <v>7</v>
      </c>
      <c r="C12" s="65"/>
      <c r="D12" s="65"/>
      <c r="E12" s="65"/>
      <c r="F12" s="66"/>
      <c r="G12" s="65"/>
      <c r="H12" s="67"/>
      <c r="I12" s="60" t="str">
        <f>IF($G12="完了","",IF(SUMPRODUCT(($E12=$E$3:E109)*($D12=$D$3:D109)*($C12=$C$3:C109)*("完了"=$G$3:G109))=1,"完了",""))</f>
        <v>完了</v>
      </c>
    </row>
    <row r="13" spans="1:9" x14ac:dyDescent="0.2">
      <c r="B13" s="64">
        <f>B12+1</f>
        <v>8</v>
      </c>
      <c r="C13" s="65"/>
      <c r="D13" s="65"/>
      <c r="E13" s="65"/>
      <c r="F13" s="66"/>
      <c r="G13" s="65" t="s">
        <v>24</v>
      </c>
      <c r="H13" s="67"/>
      <c r="I13" s="60" t="str">
        <f>IF($G13="完了","",IF(SUMPRODUCT(($E13=$E$3:E110)*($D13=$D$3:D110)*($C13=$C$3:C110)*("完了"=$G$3:G110))=1,"完了",""))</f>
        <v/>
      </c>
    </row>
    <row r="14" spans="1:9" x14ac:dyDescent="0.2">
      <c r="B14" s="64">
        <v>9</v>
      </c>
      <c r="C14" s="65"/>
      <c r="D14" s="65"/>
      <c r="E14" s="65"/>
      <c r="F14" s="66"/>
      <c r="G14" s="65"/>
      <c r="H14" s="67"/>
      <c r="I14" s="60" t="str">
        <f>IF($G14="完了","",IF(SUMPRODUCT(($E14=$E$3:E111)*($D14=$D$3:D111)*($C14=$C$3:C111)*("完了"=$G$3:G111))=1,"完了",""))</f>
        <v>完了</v>
      </c>
    </row>
    <row r="15" spans="1:9" x14ac:dyDescent="0.2">
      <c r="B15" s="64">
        <v>10</v>
      </c>
      <c r="C15" s="65"/>
      <c r="D15" s="65"/>
      <c r="E15" s="65"/>
      <c r="F15" s="66"/>
      <c r="G15" s="65"/>
      <c r="H15" s="67"/>
      <c r="I15" s="60" t="str">
        <f>IF($G15="完了","",IF(SUMPRODUCT(($E15=$E$3:E112)*($D15=$D$3:D112)*($C15=$C$3:C112)*("完了"=$G$3:G112))=1,"完了",""))</f>
        <v>完了</v>
      </c>
    </row>
    <row r="16" spans="1:9" x14ac:dyDescent="0.2">
      <c r="B16" s="64"/>
      <c r="C16" s="65"/>
      <c r="D16" s="65"/>
      <c r="E16" s="65"/>
      <c r="F16" s="66"/>
      <c r="G16" s="65"/>
      <c r="H16" s="67"/>
      <c r="I16" s="60"/>
    </row>
    <row r="17" spans="1:9" x14ac:dyDescent="0.2">
      <c r="B17" s="64"/>
      <c r="C17" s="65"/>
      <c r="D17" s="65"/>
      <c r="E17" s="65"/>
      <c r="F17" s="66"/>
      <c r="G17" s="65"/>
      <c r="H17" s="67"/>
      <c r="I17" s="60"/>
    </row>
    <row r="18" spans="1:9" x14ac:dyDescent="0.2">
      <c r="A18" s="63" t="s">
        <v>254</v>
      </c>
      <c r="B18" s="64"/>
      <c r="C18" s="65"/>
      <c r="D18" s="65"/>
      <c r="E18" s="65"/>
      <c r="F18" s="66"/>
      <c r="G18" s="65"/>
      <c r="H18" s="67"/>
      <c r="I18" s="60"/>
    </row>
    <row r="19" spans="1:9" x14ac:dyDescent="0.2">
      <c r="B19" s="64" t="s">
        <v>17</v>
      </c>
      <c r="C19" s="65" t="s">
        <v>18</v>
      </c>
      <c r="D19" s="65" t="s">
        <v>448</v>
      </c>
      <c r="E19" s="65" t="s">
        <v>449</v>
      </c>
      <c r="F19" s="66" t="s">
        <v>27</v>
      </c>
      <c r="G19" s="65" t="s">
        <v>20</v>
      </c>
      <c r="H19" s="67" t="s">
        <v>15</v>
      </c>
      <c r="I19" s="60" t="s">
        <v>132</v>
      </c>
    </row>
    <row r="20" spans="1:9" x14ac:dyDescent="0.2">
      <c r="B20" s="64">
        <v>1</v>
      </c>
      <c r="C20" s="65" t="s">
        <v>217</v>
      </c>
      <c r="D20" s="65" t="s">
        <v>255</v>
      </c>
      <c r="E20" s="65" t="s">
        <v>256</v>
      </c>
      <c r="F20" s="66"/>
      <c r="G20" s="65" t="s">
        <v>25</v>
      </c>
      <c r="H20" s="67"/>
      <c r="I20" s="60" t="str">
        <f>IF($G20="完了","",IF(SUMPRODUCT(($E20=$E$3:E117)*($D20=$D$3:D117)*($C20=$C$3:C117)*("完了"=$G$3:G117))=1,"完了",""))</f>
        <v>完了</v>
      </c>
    </row>
    <row r="21" spans="1:9" x14ac:dyDescent="0.2">
      <c r="B21" s="64">
        <f>B20+1</f>
        <v>2</v>
      </c>
      <c r="C21" s="65" t="s">
        <v>122</v>
      </c>
      <c r="D21" s="65" t="s">
        <v>236</v>
      </c>
      <c r="E21" s="65" t="s">
        <v>264</v>
      </c>
      <c r="F21" s="66"/>
      <c r="G21" s="65" t="s">
        <v>114</v>
      </c>
      <c r="H21" s="67"/>
      <c r="I21" s="60" t="str">
        <f>IF($G21="完了","",IF(SUMPRODUCT(($E21=$E$3:E118)*($D21=$D$3:D118)*($C21=$C$3:C118)*("完了"=$G$3:G118))=1,"完了",""))</f>
        <v>完了</v>
      </c>
    </row>
    <row r="22" spans="1:9" x14ac:dyDescent="0.2">
      <c r="B22" s="64">
        <f t="shared" ref="B22:B36" si="1">B21+1</f>
        <v>3</v>
      </c>
      <c r="C22" s="65"/>
      <c r="D22" s="65"/>
      <c r="E22" s="65" t="s">
        <v>247</v>
      </c>
      <c r="F22" s="66"/>
      <c r="G22" s="65" t="s">
        <v>24</v>
      </c>
      <c r="H22" s="67"/>
      <c r="I22" s="60" t="str">
        <f>IF($G22="完了","",IF(SUMPRODUCT(($E22=$E$3:E119)*($D22=$D$3:D119)*($C22=$C$3:C119)*("完了"=$G$3:G119))=1,"完了",""))</f>
        <v/>
      </c>
    </row>
    <row r="23" spans="1:9" x14ac:dyDescent="0.2">
      <c r="B23" s="64">
        <f>B22+1</f>
        <v>4</v>
      </c>
      <c r="C23" s="65"/>
      <c r="D23" s="65"/>
      <c r="E23" s="65" t="s">
        <v>450</v>
      </c>
      <c r="F23" s="66"/>
      <c r="G23" s="65" t="s">
        <v>24</v>
      </c>
      <c r="H23" s="67"/>
      <c r="I23" s="60" t="str">
        <f>IF($G23="完了","",IF(SUMPRODUCT(($E23=$E$3:E120)*($D23=$D$3:D120)*($C23=$C$3:C120)*("完了"=$G$3:G120))=1,"完了",""))</f>
        <v/>
      </c>
    </row>
    <row r="24" spans="1:9" x14ac:dyDescent="0.2">
      <c r="B24" s="64">
        <f>B23+1</f>
        <v>5</v>
      </c>
      <c r="C24" s="65" t="s">
        <v>258</v>
      </c>
      <c r="D24" s="65" t="s">
        <v>251</v>
      </c>
      <c r="E24" s="65" t="s">
        <v>252</v>
      </c>
      <c r="F24" s="66"/>
      <c r="G24" s="65" t="s">
        <v>24</v>
      </c>
      <c r="H24" s="67"/>
      <c r="I24" s="60" t="str">
        <f>IF($G24="完了","",IF(SUMPRODUCT(($E24=$E$3:E121)*($D24=$D$3:D121)*($C24=$C$3:C121)*("完了"=$G$3:G121))=1,"完了",""))</f>
        <v/>
      </c>
    </row>
    <row r="25" spans="1:9" x14ac:dyDescent="0.2">
      <c r="B25" s="64">
        <f>B24+1</f>
        <v>6</v>
      </c>
      <c r="C25" s="65"/>
      <c r="D25" s="65"/>
      <c r="E25" s="65" t="s">
        <v>253</v>
      </c>
      <c r="F25" s="66"/>
      <c r="G25" s="65" t="s">
        <v>24</v>
      </c>
      <c r="H25" s="67"/>
      <c r="I25" s="60" t="str">
        <f>IF($G25="完了","",IF(SUMPRODUCT(($E25=$E$3:E122)*($D25=$D$3:D122)*($C25=$C$3:C122)*("完了"=$G$3:G122))=1,"完了",""))</f>
        <v/>
      </c>
    </row>
    <row r="26" spans="1:9" x14ac:dyDescent="0.2">
      <c r="B26" s="64">
        <f>B25+1</f>
        <v>7</v>
      </c>
      <c r="C26" s="65"/>
      <c r="D26" s="65" t="s">
        <v>259</v>
      </c>
      <c r="E26" s="65" t="s">
        <v>451</v>
      </c>
      <c r="F26" s="66"/>
      <c r="G26" s="65" t="s">
        <v>24</v>
      </c>
      <c r="H26" s="67"/>
      <c r="I26" s="60" t="str">
        <f>IF($G26="完了","",IF(SUMPRODUCT(($E26=$E$3:E123)*($D26=$D$3:D123)*($C26=$C$3:C123)*("完了"=$G$3:G123))=1,"完了",""))</f>
        <v/>
      </c>
    </row>
    <row r="27" spans="1:9" x14ac:dyDescent="0.2">
      <c r="B27" s="64">
        <f>B26+1</f>
        <v>8</v>
      </c>
      <c r="C27" s="65"/>
      <c r="D27" s="65"/>
      <c r="E27" s="65" t="s">
        <v>261</v>
      </c>
      <c r="F27" s="66"/>
      <c r="G27" s="65" t="s">
        <v>24</v>
      </c>
      <c r="H27" s="67"/>
      <c r="I27" s="60" t="str">
        <f>IF($G27="完了","",IF(SUMPRODUCT(($E27=$E$3:E124)*($D27=$D$3:D124)*($C27=$C$3:C124)*("完了"=$G$3:G124))=1,"完了",""))</f>
        <v/>
      </c>
    </row>
    <row r="28" spans="1:9" x14ac:dyDescent="0.2">
      <c r="B28" s="64">
        <f>B24+1</f>
        <v>6</v>
      </c>
      <c r="C28" s="65"/>
      <c r="D28" s="65" t="s">
        <v>262</v>
      </c>
      <c r="E28" s="65" t="s">
        <v>263</v>
      </c>
      <c r="F28" s="66"/>
      <c r="G28" s="65" t="s">
        <v>24</v>
      </c>
      <c r="H28" s="67"/>
      <c r="I28" s="60" t="str">
        <f>IF($G28="完了","",IF(SUMPRODUCT(($E28=$E$3:E125)*($D28=$D$3:D125)*($C28=$C$3:C125)*("完了"=$G$3:G125))=1,"完了",""))</f>
        <v/>
      </c>
    </row>
    <row r="29" spans="1:9" x14ac:dyDescent="0.2">
      <c r="B29" s="64">
        <f t="shared" si="1"/>
        <v>7</v>
      </c>
      <c r="C29" s="65"/>
      <c r="D29" s="65" t="s">
        <v>452</v>
      </c>
      <c r="E29" s="65" t="s">
        <v>268</v>
      </c>
      <c r="F29" s="66"/>
      <c r="G29" s="65" t="s">
        <v>24</v>
      </c>
      <c r="H29" s="67"/>
      <c r="I29" s="60" t="str">
        <f>IF($G29="完了","",IF(SUMPRODUCT(($E29=$E$3:E126)*($D29=$D$3:D126)*($C29=$C$3:C126)*("完了"=$G$3:G126))=1,"完了",""))</f>
        <v/>
      </c>
    </row>
    <row r="30" spans="1:9" x14ac:dyDescent="0.2">
      <c r="B30" s="64">
        <f t="shared" si="1"/>
        <v>8</v>
      </c>
      <c r="C30" s="65"/>
      <c r="D30" s="65"/>
      <c r="E30" s="65" t="s">
        <v>271</v>
      </c>
      <c r="F30" s="66"/>
      <c r="G30" s="65" t="s">
        <v>24</v>
      </c>
      <c r="H30" s="67"/>
      <c r="I30" s="60" t="str">
        <f>IF($G30="完了","",IF(SUMPRODUCT(($E30=$E$3:E127)*($D30=$D$3:D127)*($C30=$C$3:C127)*("完了"=$G$3:G127))=1,"完了",""))</f>
        <v/>
      </c>
    </row>
    <row r="31" spans="1:9" x14ac:dyDescent="0.2">
      <c r="B31" s="64">
        <f t="shared" si="1"/>
        <v>9</v>
      </c>
      <c r="C31" s="65"/>
      <c r="D31" s="65"/>
      <c r="E31" s="65" t="s">
        <v>272</v>
      </c>
      <c r="F31" s="66"/>
      <c r="G31" s="65" t="s">
        <v>24</v>
      </c>
      <c r="H31" s="67"/>
      <c r="I31" s="60" t="str">
        <f>IF($G31="完了","",IF(SUMPRODUCT(($E31=$E$3:E128)*($D31=$D$3:D128)*($C31=$C$3:C128)*("完了"=$G$3:G128))=1,"完了",""))</f>
        <v/>
      </c>
    </row>
    <row r="32" spans="1:9" x14ac:dyDescent="0.2">
      <c r="B32" s="64">
        <f t="shared" si="1"/>
        <v>10</v>
      </c>
      <c r="C32" s="65"/>
      <c r="D32" s="65"/>
      <c r="E32" s="65" t="s">
        <v>273</v>
      </c>
      <c r="F32" s="66"/>
      <c r="G32" s="65" t="s">
        <v>24</v>
      </c>
      <c r="H32" s="67"/>
      <c r="I32" s="60" t="str">
        <f>IF($G32="完了","",IF(SUMPRODUCT(($E32=$E$3:E129)*($D32=$D$3:D129)*($C32=$C$3:C129)*("完了"=$G$3:G129))=1,"完了",""))</f>
        <v/>
      </c>
    </row>
    <row r="33" spans="1:9" x14ac:dyDescent="0.2">
      <c r="B33" s="64">
        <f t="shared" si="1"/>
        <v>11</v>
      </c>
      <c r="C33" s="65"/>
      <c r="D33" s="65" t="s">
        <v>453</v>
      </c>
      <c r="E33" s="65" t="s">
        <v>270</v>
      </c>
      <c r="F33" s="66"/>
      <c r="G33" s="65" t="s">
        <v>24</v>
      </c>
      <c r="H33" s="67"/>
      <c r="I33" s="60" t="str">
        <f>IF($G33="完了","",IF(SUMPRODUCT(($E33=$E$3:E130)*($D33=$D$3:D130)*($C33=$C$3:C130)*("完了"=$G$3:G130))=1,"完了",""))</f>
        <v/>
      </c>
    </row>
    <row r="34" spans="1:9" x14ac:dyDescent="0.2">
      <c r="B34" s="64">
        <f t="shared" si="1"/>
        <v>12</v>
      </c>
      <c r="C34" s="65" t="s">
        <v>266</v>
      </c>
      <c r="D34" s="65" t="s">
        <v>265</v>
      </c>
      <c r="E34" s="65" t="s">
        <v>305</v>
      </c>
      <c r="F34" s="66"/>
      <c r="G34" s="65" t="s">
        <v>25</v>
      </c>
      <c r="H34" s="67"/>
      <c r="I34" s="60" t="str">
        <f>IF($G34="完了","",IF(SUMPRODUCT(($E34=$E$3:E131)*($D34=$D$3:D131)*($C34=$C$3:C131)*("完了"=$G$3:G131))=1,"完了",""))</f>
        <v>完了</v>
      </c>
    </row>
    <row r="35" spans="1:9" x14ac:dyDescent="0.2">
      <c r="B35" s="64">
        <f t="shared" si="1"/>
        <v>13</v>
      </c>
      <c r="C35" s="65" t="s">
        <v>275</v>
      </c>
      <c r="D35" s="65" t="s">
        <v>452</v>
      </c>
      <c r="E35" s="65" t="s">
        <v>277</v>
      </c>
      <c r="F35" s="66"/>
      <c r="G35" s="65" t="s">
        <v>114</v>
      </c>
      <c r="H35" s="67"/>
      <c r="I35" s="60" t="str">
        <f>IF($G35="完了","",IF(SUMPRODUCT(($E35=$E$3:E132)*($D35=$D$3:D132)*($C35=$C$3:C132)*("完了"=$G$3:G132))=1,"完了",""))</f>
        <v>完了</v>
      </c>
    </row>
    <row r="36" spans="1:9" x14ac:dyDescent="0.2">
      <c r="B36" s="64">
        <f t="shared" si="1"/>
        <v>14</v>
      </c>
      <c r="C36" s="65"/>
      <c r="D36" s="65"/>
      <c r="E36" s="65"/>
      <c r="F36" s="66"/>
      <c r="G36" s="65"/>
      <c r="H36" s="67"/>
      <c r="I36" s="60" t="str">
        <f>IF($G36="完了","",IF(SUMPRODUCT(($E36=$E$3:E133)*($D36=$D$3:D133)*($C36=$C$3:C133)*("完了"=$G$3:G133))=1,"完了",""))</f>
        <v>完了</v>
      </c>
    </row>
    <row r="37" spans="1:9" x14ac:dyDescent="0.2">
      <c r="B37" s="64"/>
      <c r="C37" s="65"/>
      <c r="D37" s="65"/>
      <c r="E37" s="65"/>
      <c r="F37" s="66"/>
      <c r="G37" s="65"/>
      <c r="H37" s="67"/>
      <c r="I37" s="60" t="str">
        <f>IF($G37="完了","",IF(SUMPRODUCT(($E37=$E$3:E134)*($D37=$D$3:D134)*($C37=$C$3:C134)*("完了"=$G$3:G134))=1,"完了",""))</f>
        <v>完了</v>
      </c>
    </row>
    <row r="38" spans="1:9" x14ac:dyDescent="0.2">
      <c r="B38" s="64"/>
      <c r="C38" s="65"/>
      <c r="D38" s="65"/>
      <c r="E38" s="65"/>
      <c r="F38" s="66"/>
      <c r="G38" s="65"/>
      <c r="H38" s="67"/>
      <c r="I38" s="60"/>
    </row>
    <row r="39" spans="1:9" x14ac:dyDescent="0.2">
      <c r="B39" s="64"/>
      <c r="C39" s="65"/>
      <c r="D39" s="65"/>
      <c r="E39" s="65"/>
      <c r="F39" s="66"/>
      <c r="G39" s="65"/>
      <c r="H39" s="67"/>
      <c r="I39" s="60"/>
    </row>
    <row r="40" spans="1:9" x14ac:dyDescent="0.2">
      <c r="A40" s="63" t="s">
        <v>278</v>
      </c>
      <c r="B40" s="64"/>
      <c r="C40" s="65"/>
      <c r="D40" s="65"/>
      <c r="E40" s="65"/>
      <c r="F40" s="66"/>
      <c r="G40" s="65"/>
      <c r="H40" s="67"/>
      <c r="I40" s="60"/>
    </row>
    <row r="41" spans="1:9" x14ac:dyDescent="0.2">
      <c r="B41" s="64" t="s">
        <v>17</v>
      </c>
      <c r="C41" s="65" t="s">
        <v>18</v>
      </c>
      <c r="D41" s="65" t="s">
        <v>448</v>
      </c>
      <c r="E41" s="65" t="s">
        <v>449</v>
      </c>
      <c r="F41" s="66" t="s">
        <v>27</v>
      </c>
      <c r="G41" s="65" t="s">
        <v>20</v>
      </c>
      <c r="H41" s="67" t="s">
        <v>15</v>
      </c>
      <c r="I41" s="60" t="s">
        <v>132</v>
      </c>
    </row>
    <row r="42" spans="1:9" x14ac:dyDescent="0.2">
      <c r="B42" s="64">
        <v>1</v>
      </c>
      <c r="C42" s="65" t="s">
        <v>217</v>
      </c>
      <c r="D42" s="65" t="s">
        <v>255</v>
      </c>
      <c r="E42" s="65" t="s">
        <v>256</v>
      </c>
      <c r="F42" s="66"/>
      <c r="G42" s="65" t="s">
        <v>24</v>
      </c>
      <c r="H42" s="67"/>
      <c r="I42" s="60" t="str">
        <f>IF($G42="完了","",IF(SUMPRODUCT(($E42=$E$3:E139)*($D42=$D$3:D139)*($C42=$C$3:C139)*("完了"=$G$3:G139))=1,"完了",""))</f>
        <v/>
      </c>
    </row>
    <row r="43" spans="1:9" x14ac:dyDescent="0.2">
      <c r="B43" s="64">
        <f>B42+1</f>
        <v>2</v>
      </c>
      <c r="C43" s="65" t="s">
        <v>217</v>
      </c>
      <c r="D43" s="65" t="s">
        <v>291</v>
      </c>
      <c r="E43" s="65" t="s">
        <v>290</v>
      </c>
      <c r="F43" s="66"/>
      <c r="G43" s="65" t="s">
        <v>25</v>
      </c>
      <c r="H43" s="67"/>
      <c r="I43" s="60" t="str">
        <f>IF($G43="完了","",IF(SUMPRODUCT(($E43=$E$3:E140)*($D43=$D$3:D140)*($C43=$C$3:C140)*("完了"=$G$3:G140))=1,"完了",""))</f>
        <v>完了</v>
      </c>
    </row>
    <row r="44" spans="1:9" ht="37.5" x14ac:dyDescent="0.2">
      <c r="B44" s="64">
        <f t="shared" ref="B44:B58" si="2">B43+1</f>
        <v>3</v>
      </c>
      <c r="C44" s="65" t="s">
        <v>217</v>
      </c>
      <c r="D44" s="65" t="s">
        <v>291</v>
      </c>
      <c r="E44" s="65" t="s">
        <v>454</v>
      </c>
      <c r="F44" s="66"/>
      <c r="G44" s="65" t="s">
        <v>25</v>
      </c>
      <c r="H44" s="67" t="s">
        <v>292</v>
      </c>
      <c r="I44" s="60" t="str">
        <f>IF($G44="完了","",IF(SUMPRODUCT(($E44=$E$3:E141)*($D44=$D$3:D141)*($C44=$C$3:C141)*("完了"=$G$3:G141))=1,"完了",""))</f>
        <v>完了</v>
      </c>
    </row>
    <row r="45" spans="1:9" x14ac:dyDescent="0.2">
      <c r="B45" s="64">
        <f>B44+1</f>
        <v>4</v>
      </c>
      <c r="C45" s="65" t="s">
        <v>122</v>
      </c>
      <c r="D45" s="65" t="s">
        <v>236</v>
      </c>
      <c r="E45" s="65" t="s">
        <v>264</v>
      </c>
      <c r="F45" s="66"/>
      <c r="G45" s="65" t="s">
        <v>24</v>
      </c>
      <c r="H45" s="67"/>
      <c r="I45" s="60" t="str">
        <f>IF($G45="完了","",IF(SUMPRODUCT(($E45=$E$3:E142)*($D45=$D$3:D142)*($C45=$C$3:C142)*("完了"=$G$3:G142))=1,"完了",""))</f>
        <v/>
      </c>
    </row>
    <row r="46" spans="1:9" x14ac:dyDescent="0.2">
      <c r="B46" s="64">
        <f>B45+1</f>
        <v>5</v>
      </c>
      <c r="C46" s="65" t="s">
        <v>122</v>
      </c>
      <c r="D46" s="65" t="s">
        <v>236</v>
      </c>
      <c r="E46" s="65" t="s">
        <v>279</v>
      </c>
      <c r="F46" s="66"/>
      <c r="G46" s="65" t="s">
        <v>24</v>
      </c>
      <c r="H46" s="67"/>
      <c r="I46" s="60" t="str">
        <f>IF($G46="完了","",IF(SUMPRODUCT(($E46=$E$3:E143)*($D46=$D$3:D143)*($C46=$C$3:C143)*("完了"=$G$3:G143))=1,"完了",""))</f>
        <v/>
      </c>
    </row>
    <row r="47" spans="1:9" x14ac:dyDescent="0.2">
      <c r="B47" s="64">
        <f>B46+1</f>
        <v>6</v>
      </c>
      <c r="C47" s="65" t="s">
        <v>122</v>
      </c>
      <c r="D47" s="65" t="s">
        <v>236</v>
      </c>
      <c r="E47" s="65" t="s">
        <v>286</v>
      </c>
      <c r="F47" s="66"/>
      <c r="G47" s="65" t="s">
        <v>24</v>
      </c>
      <c r="H47" s="67"/>
      <c r="I47" s="60" t="str">
        <f>IF($G47="完了","",IF(SUMPRODUCT(($E47=$E$3:E144)*($D47=$D$3:D144)*($C47=$C$3:C144)*("完了"=$G$3:G144))=1,"完了",""))</f>
        <v/>
      </c>
    </row>
    <row r="48" spans="1:9" x14ac:dyDescent="0.2">
      <c r="B48" s="64">
        <f>B47+1</f>
        <v>7</v>
      </c>
      <c r="C48" s="65" t="s">
        <v>122</v>
      </c>
      <c r="D48" s="65" t="s">
        <v>236</v>
      </c>
      <c r="E48" s="65" t="s">
        <v>298</v>
      </c>
      <c r="F48" s="66"/>
      <c r="G48" s="65" t="s">
        <v>114</v>
      </c>
      <c r="H48" s="67" t="s">
        <v>297</v>
      </c>
      <c r="I48" s="60" t="str">
        <f>IF($G48="完了","",IF(SUMPRODUCT(($E48=$E$3:E145)*($D48=$D$3:D145)*($C48=$C$3:C145)*("完了"=$G$3:G145))=1,"完了",""))</f>
        <v>完了</v>
      </c>
    </row>
    <row r="49" spans="1:9" x14ac:dyDescent="0.2">
      <c r="B49" s="64">
        <f>B48+1</f>
        <v>8</v>
      </c>
      <c r="C49" s="65" t="s">
        <v>122</v>
      </c>
      <c r="D49" s="65" t="s">
        <v>236</v>
      </c>
      <c r="E49" s="65" t="s">
        <v>294</v>
      </c>
      <c r="F49" s="66"/>
      <c r="G49" s="65" t="s">
        <v>24</v>
      </c>
      <c r="H49" s="67"/>
      <c r="I49" s="60" t="str">
        <f>IF($G49="完了","",IF(SUMPRODUCT(($E49=$E$3:E146)*($D49=$D$3:D146)*($C49=$C$3:C146)*("完了"=$G$3:G146))=1,"完了",""))</f>
        <v/>
      </c>
    </row>
    <row r="50" spans="1:9" x14ac:dyDescent="0.2">
      <c r="B50" s="64">
        <f>B46+1</f>
        <v>6</v>
      </c>
      <c r="C50" s="65" t="s">
        <v>122</v>
      </c>
      <c r="D50" s="65" t="s">
        <v>236</v>
      </c>
      <c r="E50" s="65" t="s">
        <v>270</v>
      </c>
      <c r="F50" s="66"/>
      <c r="G50" s="65" t="s">
        <v>24</v>
      </c>
      <c r="H50" s="67"/>
      <c r="I50" s="60" t="str">
        <f>IF($G50="完了","",IF(SUMPRODUCT(($E50=$E$3:E147)*($D50=$D$3:D147)*($C50=$C$3:C147)*("完了"=$G$3:G147))=1,"完了",""))</f>
        <v/>
      </c>
    </row>
    <row r="51" spans="1:9" x14ac:dyDescent="0.2">
      <c r="B51" s="64">
        <f t="shared" si="2"/>
        <v>7</v>
      </c>
      <c r="C51" s="65" t="s">
        <v>258</v>
      </c>
      <c r="D51" s="65" t="s">
        <v>259</v>
      </c>
      <c r="E51" s="65" t="s">
        <v>280</v>
      </c>
      <c r="F51" s="66"/>
      <c r="G51" s="65" t="s">
        <v>24</v>
      </c>
      <c r="H51" s="67"/>
      <c r="I51" s="60" t="str">
        <f>IF($G51="完了","",IF(SUMPRODUCT(($E51=$E$3:E148)*($D51=$D$3:D148)*($C51=$C$3:C148)*("完了"=$G$3:G148))=1,"完了",""))</f>
        <v/>
      </c>
    </row>
    <row r="52" spans="1:9" x14ac:dyDescent="0.2">
      <c r="B52" s="64">
        <f t="shared" si="2"/>
        <v>8</v>
      </c>
      <c r="C52" s="65" t="s">
        <v>258</v>
      </c>
      <c r="D52" s="65" t="s">
        <v>455</v>
      </c>
      <c r="E52" s="65" t="s">
        <v>282</v>
      </c>
      <c r="F52" s="66"/>
      <c r="G52" s="65" t="s">
        <v>24</v>
      </c>
      <c r="H52" s="67"/>
      <c r="I52" s="60" t="str">
        <f>IF($G52="完了","",IF(SUMPRODUCT(($E52=$E$3:E149)*($D52=$D$3:D149)*($C52=$C$3:C149)*("完了"=$G$3:G149))=1,"完了",""))</f>
        <v/>
      </c>
    </row>
    <row r="53" spans="1:9" x14ac:dyDescent="0.2">
      <c r="B53" s="64">
        <f t="shared" si="2"/>
        <v>9</v>
      </c>
      <c r="C53" s="65" t="s">
        <v>258</v>
      </c>
      <c r="D53" s="65" t="s">
        <v>455</v>
      </c>
      <c r="E53" s="65" t="s">
        <v>283</v>
      </c>
      <c r="F53" s="66"/>
      <c r="G53" s="65" t="s">
        <v>25</v>
      </c>
      <c r="H53" s="67"/>
      <c r="I53" s="60" t="str">
        <f>IF($G53="完了","",IF(SUMPRODUCT(($E53=$E$3:E150)*($D53=$D$3:D150)*($C53=$C$3:C150)*("完了"=$G$3:G150))=1,"完了",""))</f>
        <v>完了</v>
      </c>
    </row>
    <row r="54" spans="1:9" x14ac:dyDescent="0.2">
      <c r="B54" s="64">
        <f t="shared" si="2"/>
        <v>10</v>
      </c>
      <c r="C54" s="65" t="s">
        <v>266</v>
      </c>
      <c r="D54" s="65" t="s">
        <v>265</v>
      </c>
      <c r="E54" s="65" t="s">
        <v>305</v>
      </c>
      <c r="F54" s="66"/>
      <c r="G54" s="65" t="s">
        <v>25</v>
      </c>
      <c r="H54" s="67"/>
      <c r="I54" s="60" t="str">
        <f>IF($G54="完了","",IF(SUMPRODUCT(($E54=$E$3:E151)*($D54=$D$3:D151)*($C54=$C$3:C151)*("完了"=$G$3:G151))=1,"完了",""))</f>
        <v>完了</v>
      </c>
    </row>
    <row r="55" spans="1:9" x14ac:dyDescent="0.2">
      <c r="B55" s="64">
        <f t="shared" si="2"/>
        <v>11</v>
      </c>
      <c r="C55" s="65" t="s">
        <v>284</v>
      </c>
      <c r="D55" s="65" t="s">
        <v>452</v>
      </c>
      <c r="E55" s="65" t="s">
        <v>277</v>
      </c>
      <c r="F55" s="66"/>
      <c r="G55" s="65" t="s">
        <v>114</v>
      </c>
      <c r="H55" s="67"/>
      <c r="I55" s="60" t="str">
        <f>IF($G55="完了","",IF(SUMPRODUCT(($E55=$E$3:E152)*($D55=$D$3:D152)*($C55=$C$3:C152)*("完了"=$G$3:G152))=1,"完了",""))</f>
        <v>完了</v>
      </c>
    </row>
    <row r="56" spans="1:9" x14ac:dyDescent="0.2">
      <c r="B56" s="64">
        <f t="shared" si="2"/>
        <v>12</v>
      </c>
      <c r="C56" s="65" t="s">
        <v>287</v>
      </c>
      <c r="D56" s="65"/>
      <c r="E56" s="65" t="s">
        <v>87</v>
      </c>
      <c r="F56" s="66"/>
      <c r="G56" s="65" t="s">
        <v>24</v>
      </c>
      <c r="H56" s="67"/>
      <c r="I56" s="60" t="str">
        <f>IF($G56="完了","",IF(SUMPRODUCT(($E56=$E$3:E153)*($D56=$D$3:D153)*($C56=$C$3:C153)*("完了"=$G$3:G153))=1,"完了",""))</f>
        <v/>
      </c>
    </row>
    <row r="57" spans="1:9" x14ac:dyDescent="0.2">
      <c r="B57" s="64">
        <f t="shared" si="2"/>
        <v>13</v>
      </c>
      <c r="C57" s="65" t="s">
        <v>287</v>
      </c>
      <c r="D57" s="65"/>
      <c r="E57" s="65" t="s">
        <v>456</v>
      </c>
      <c r="F57" s="66"/>
      <c r="G57" s="65" t="s">
        <v>25</v>
      </c>
      <c r="H57" s="67"/>
      <c r="I57" s="60" t="str">
        <f>IF($G57="完了","",IF(SUMPRODUCT(($E57=$E$3:E154)*($D57=$D$3:D154)*($C57=$C$3:C154)*("完了"=$G$3:G154))=1,"完了",""))</f>
        <v>完了</v>
      </c>
    </row>
    <row r="58" spans="1:9" x14ac:dyDescent="0.2">
      <c r="B58" s="64">
        <f t="shared" si="2"/>
        <v>14</v>
      </c>
      <c r="C58" s="65" t="s">
        <v>287</v>
      </c>
      <c r="D58" s="65"/>
      <c r="E58" s="65" t="s">
        <v>288</v>
      </c>
      <c r="F58" s="66"/>
      <c r="G58" s="65" t="s">
        <v>24</v>
      </c>
      <c r="H58" s="67"/>
      <c r="I58" s="60" t="str">
        <f>IF($G58="完了","",IF(SUMPRODUCT(($E58=$E$3:E155)*($D58=$D$3:D155)*($C58=$C$3:C155)*("完了"=$G$3:G155))=1,"完了",""))</f>
        <v/>
      </c>
    </row>
    <row r="59" spans="1:9" x14ac:dyDescent="0.2">
      <c r="B59" s="64"/>
      <c r="C59" s="65"/>
      <c r="D59" s="65"/>
      <c r="E59" s="65"/>
      <c r="F59" s="66"/>
      <c r="G59" s="65"/>
      <c r="H59" s="67"/>
      <c r="I59" s="60" t="str">
        <f>IF($G59="完了","",IF(SUMPRODUCT(($E59=$E$3:E156)*($D59=$D$3:D156)*($C59=$C$3:C156)*("完了"=$G$3:G156))=1,"完了",""))</f>
        <v>完了</v>
      </c>
    </row>
    <row r="60" spans="1:9" x14ac:dyDescent="0.2">
      <c r="B60" s="64"/>
      <c r="C60" s="65"/>
      <c r="D60" s="65"/>
      <c r="E60" s="65"/>
      <c r="F60" s="66"/>
      <c r="G60" s="65"/>
      <c r="H60" s="67"/>
      <c r="I60" s="60" t="str">
        <f>IF($G60="完了","",IF(SUMPRODUCT(($E60=$E$3:E157)*($D60=$D$3:D157)*($C60=$C$3:C157)*("完了"=$G$3:G157))=1,"完了",""))</f>
        <v>完了</v>
      </c>
    </row>
    <row r="61" spans="1:9" x14ac:dyDescent="0.2">
      <c r="B61" s="64"/>
      <c r="C61" s="65"/>
      <c r="D61" s="65"/>
      <c r="E61" s="65"/>
      <c r="F61" s="66"/>
      <c r="G61" s="65"/>
      <c r="H61" s="67"/>
      <c r="I61" s="60"/>
    </row>
    <row r="62" spans="1:9" x14ac:dyDescent="0.2">
      <c r="B62" s="64"/>
      <c r="C62" s="65"/>
      <c r="D62" s="65"/>
      <c r="E62" s="65"/>
      <c r="F62" s="66"/>
      <c r="G62" s="65"/>
      <c r="H62" s="67"/>
      <c r="I62" s="60"/>
    </row>
    <row r="63" spans="1:9" x14ac:dyDescent="0.2">
      <c r="A63" s="63" t="s">
        <v>295</v>
      </c>
      <c r="B63" s="64"/>
      <c r="C63" s="65"/>
      <c r="D63" s="65"/>
      <c r="E63" s="65"/>
      <c r="F63" s="66"/>
      <c r="G63" s="65"/>
      <c r="H63" s="67"/>
      <c r="I63" s="60"/>
    </row>
    <row r="64" spans="1:9" x14ac:dyDescent="0.2">
      <c r="B64" s="64" t="s">
        <v>17</v>
      </c>
      <c r="C64" s="65" t="s">
        <v>18</v>
      </c>
      <c r="D64" s="65" t="s">
        <v>448</v>
      </c>
      <c r="E64" s="65" t="s">
        <v>449</v>
      </c>
      <c r="F64" s="66" t="s">
        <v>27</v>
      </c>
      <c r="G64" s="65" t="s">
        <v>20</v>
      </c>
      <c r="H64" s="67" t="s">
        <v>15</v>
      </c>
      <c r="I64" s="60" t="s">
        <v>132</v>
      </c>
    </row>
    <row r="65" spans="2:9" x14ac:dyDescent="0.2">
      <c r="B65" s="64">
        <v>1</v>
      </c>
      <c r="C65" s="65" t="s">
        <v>217</v>
      </c>
      <c r="D65" s="65" t="s">
        <v>291</v>
      </c>
      <c r="E65" s="65" t="s">
        <v>290</v>
      </c>
      <c r="F65" s="66"/>
      <c r="G65" s="65" t="s">
        <v>24</v>
      </c>
      <c r="H65" s="67"/>
      <c r="I65" s="60" t="str">
        <f>IF($G65="完了","",IF(SUMPRODUCT(($E65=$E$3:E162)*($D65=$D$3:D162)*($C65=$C$3:C162)*("完了"=$G$3:G162))=1,"完了",""))</f>
        <v/>
      </c>
    </row>
    <row r="66" spans="2:9" ht="37.5" x14ac:dyDescent="0.2">
      <c r="B66" s="64">
        <f>B65+1</f>
        <v>2</v>
      </c>
      <c r="C66" s="65" t="s">
        <v>217</v>
      </c>
      <c r="D66" s="65" t="s">
        <v>291</v>
      </c>
      <c r="E66" s="65" t="s">
        <v>454</v>
      </c>
      <c r="F66" s="66"/>
      <c r="G66" s="65" t="s">
        <v>24</v>
      </c>
      <c r="H66" s="67" t="s">
        <v>300</v>
      </c>
      <c r="I66" s="60" t="str">
        <f>IF($G66="完了","",IF(SUMPRODUCT(($E66=$E$3:E163)*($D66=$D$3:D163)*($C66=$C$3:C163)*("完了"=$G$3:G163))=1,"完了",""))</f>
        <v/>
      </c>
    </row>
    <row r="67" spans="2:9" x14ac:dyDescent="0.2">
      <c r="B67" s="64">
        <f t="shared" ref="B67:B81" si="3">B66+1</f>
        <v>3</v>
      </c>
      <c r="C67" s="65" t="s">
        <v>122</v>
      </c>
      <c r="D67" s="65" t="s">
        <v>236</v>
      </c>
      <c r="E67" s="65" t="s">
        <v>298</v>
      </c>
      <c r="F67" s="66"/>
      <c r="G67" s="65" t="s">
        <v>24</v>
      </c>
      <c r="H67" s="67"/>
      <c r="I67" s="60" t="str">
        <f>IF($G67="完了","",IF(SUMPRODUCT(($E67=$E$3:E164)*($D67=$D$3:D164)*($C67=$C$3:C164)*("完了"=$G$3:G164))=1,"完了",""))</f>
        <v/>
      </c>
    </row>
    <row r="68" spans="2:9" x14ac:dyDescent="0.2">
      <c r="B68" s="64">
        <f>B67+1</f>
        <v>4</v>
      </c>
      <c r="C68" s="65" t="s">
        <v>122</v>
      </c>
      <c r="D68" s="65" t="s">
        <v>85</v>
      </c>
      <c r="E68" s="65" t="s">
        <v>457</v>
      </c>
      <c r="F68" s="66"/>
      <c r="G68" s="65" t="s">
        <v>114</v>
      </c>
      <c r="H68" s="67" t="s">
        <v>301</v>
      </c>
      <c r="I68" s="60" t="str">
        <f>IF($G68="完了","",IF(SUMPRODUCT(($E68=$E$3:E165)*($D68=$D$3:D165)*($C68=$C$3:C165)*("完了"=$G$3:G165))=1,"完了",""))</f>
        <v>完了</v>
      </c>
    </row>
    <row r="69" spans="2:9" x14ac:dyDescent="0.2">
      <c r="B69" s="64">
        <f>B68+1</f>
        <v>5</v>
      </c>
      <c r="C69" s="65" t="s">
        <v>122</v>
      </c>
      <c r="D69" s="65" t="s">
        <v>236</v>
      </c>
      <c r="E69" s="65" t="s">
        <v>312</v>
      </c>
      <c r="F69" s="66"/>
      <c r="G69" s="65" t="s">
        <v>24</v>
      </c>
      <c r="H69" s="67"/>
      <c r="I69" s="60" t="str">
        <f>IF($G69="完了","",IF(SUMPRODUCT(($E69=$E$3:E166)*($D69=$D$3:D166)*($C69=$C$3:C166)*("完了"=$G$3:G166))=1,"完了",""))</f>
        <v/>
      </c>
    </row>
    <row r="70" spans="2:9" x14ac:dyDescent="0.2">
      <c r="B70" s="64">
        <f>B69+1</f>
        <v>6</v>
      </c>
      <c r="C70" s="65" t="s">
        <v>122</v>
      </c>
      <c r="D70" s="65" t="s">
        <v>236</v>
      </c>
      <c r="E70" s="65" t="s">
        <v>313</v>
      </c>
      <c r="F70" s="66"/>
      <c r="G70" s="65" t="s">
        <v>24</v>
      </c>
      <c r="H70" s="67"/>
      <c r="I70" s="60" t="str">
        <f>IF($G70="完了","",IF(SUMPRODUCT(($E70=$E$3:E167)*($D70=$D$3:D167)*($C70=$C$3:C167)*("完了"=$G$3:G167))=1,"完了",""))</f>
        <v/>
      </c>
    </row>
    <row r="71" spans="2:9" x14ac:dyDescent="0.2">
      <c r="B71" s="64">
        <f>B70+1</f>
        <v>7</v>
      </c>
      <c r="C71" s="65" t="s">
        <v>122</v>
      </c>
      <c r="D71" s="65" t="s">
        <v>236</v>
      </c>
      <c r="E71" s="65" t="s">
        <v>302</v>
      </c>
      <c r="F71" s="66"/>
      <c r="G71" s="65" t="s">
        <v>24</v>
      </c>
      <c r="H71" s="67"/>
      <c r="I71" s="60" t="str">
        <f>IF($G71="完了","",IF(SUMPRODUCT(($E71=$E$3:E168)*($D71=$D$3:D168)*($C71=$C$3:C168)*("完了"=$G$3:G168))=1,"完了",""))</f>
        <v/>
      </c>
    </row>
    <row r="72" spans="2:9" x14ac:dyDescent="0.2">
      <c r="B72" s="64">
        <f>B71+1</f>
        <v>8</v>
      </c>
      <c r="C72" s="65" t="s">
        <v>122</v>
      </c>
      <c r="D72" s="65" t="s">
        <v>85</v>
      </c>
      <c r="E72" s="65" t="s">
        <v>314</v>
      </c>
      <c r="F72" s="66"/>
      <c r="G72" s="65" t="s">
        <v>24</v>
      </c>
      <c r="H72" s="67"/>
      <c r="I72" s="60" t="str">
        <f>IF($G72="完了","",IF(SUMPRODUCT(($E72=$E$3:E169)*($D72=$D$3:D169)*($C72=$C$3:C169)*("完了"=$G$3:G169))=1,"完了",""))</f>
        <v/>
      </c>
    </row>
    <row r="73" spans="2:9" x14ac:dyDescent="0.2">
      <c r="B73" s="64">
        <f>B69+1</f>
        <v>6</v>
      </c>
      <c r="C73" s="65" t="s">
        <v>258</v>
      </c>
      <c r="D73" s="65" t="s">
        <v>458</v>
      </c>
      <c r="E73" s="65" t="s">
        <v>283</v>
      </c>
      <c r="F73" s="66"/>
      <c r="G73" s="65" t="s">
        <v>24</v>
      </c>
      <c r="H73" s="67"/>
      <c r="I73" s="60" t="str">
        <f>IF($G73="完了","",IF(SUMPRODUCT(($E73=$E$3:E170)*($D73=$D$3:D170)*($C73=$C$3:C170)*("完了"=$G$3:G170))=1,"完了",""))</f>
        <v/>
      </c>
    </row>
    <row r="74" spans="2:9" ht="25" x14ac:dyDescent="0.2">
      <c r="B74" s="64">
        <f t="shared" si="3"/>
        <v>7</v>
      </c>
      <c r="C74" s="65" t="s">
        <v>325</v>
      </c>
      <c r="D74" s="65" t="s">
        <v>291</v>
      </c>
      <c r="E74" s="65" t="s">
        <v>308</v>
      </c>
      <c r="F74" s="66"/>
      <c r="G74" s="65" t="s">
        <v>25</v>
      </c>
      <c r="H74" s="67" t="s">
        <v>309</v>
      </c>
      <c r="I74" s="60" t="str">
        <f>IF($G74="完了","",IF(SUMPRODUCT(($E74=$E$3:E171)*($D74=$D$3:D171)*($C74=$C$3:C171)*("完了"=$G$3:G171))=1,"完了",""))</f>
        <v>完了</v>
      </c>
    </row>
    <row r="75" spans="2:9" x14ac:dyDescent="0.2">
      <c r="B75" s="64">
        <f t="shared" si="3"/>
        <v>8</v>
      </c>
      <c r="C75" s="65" t="s">
        <v>266</v>
      </c>
      <c r="D75" s="65" t="s">
        <v>265</v>
      </c>
      <c r="E75" s="65" t="s">
        <v>305</v>
      </c>
      <c r="F75" s="66"/>
      <c r="G75" s="65" t="s">
        <v>24</v>
      </c>
      <c r="H75" s="67"/>
      <c r="I75" s="60" t="str">
        <f>IF($G75="完了","",IF(SUMPRODUCT(($E75=$E$3:E172)*($D75=$D$3:D172)*($C75=$C$3:C172)*("完了"=$G$3:G172))=1,"完了",""))</f>
        <v/>
      </c>
    </row>
    <row r="76" spans="2:9" x14ac:dyDescent="0.2">
      <c r="B76" s="64">
        <f t="shared" si="3"/>
        <v>9</v>
      </c>
      <c r="C76" s="65" t="s">
        <v>284</v>
      </c>
      <c r="D76" s="65" t="s">
        <v>459</v>
      </c>
      <c r="E76" s="65" t="s">
        <v>277</v>
      </c>
      <c r="F76" s="66"/>
      <c r="G76" s="65" t="s">
        <v>114</v>
      </c>
      <c r="H76" s="67" t="s">
        <v>310</v>
      </c>
      <c r="I76" s="60" t="str">
        <f>IF($G76="完了","",IF(SUMPRODUCT(($E76=$E$3:E173)*($D76=$D$3:D173)*($C76=$C$3:C173)*("完了"=$G$3:G173))=1,"完了",""))</f>
        <v>完了</v>
      </c>
    </row>
    <row r="77" spans="2:9" x14ac:dyDescent="0.2">
      <c r="B77" s="64">
        <f t="shared" si="3"/>
        <v>10</v>
      </c>
      <c r="C77" s="65" t="s">
        <v>284</v>
      </c>
      <c r="D77" s="65" t="s">
        <v>459</v>
      </c>
      <c r="E77" s="65" t="s">
        <v>333</v>
      </c>
      <c r="F77" s="66"/>
      <c r="G77" s="65" t="s">
        <v>24</v>
      </c>
      <c r="H77" s="67"/>
      <c r="I77" s="60" t="str">
        <f>IF($G77="完了","",IF(SUMPRODUCT(($E77=$E$3:E174)*($D77=$D$3:D174)*($C77=$C$3:C174)*("完了"=$G$3:G174))=1,"完了",""))</f>
        <v/>
      </c>
    </row>
    <row r="78" spans="2:9" x14ac:dyDescent="0.2">
      <c r="B78" s="64">
        <f t="shared" si="3"/>
        <v>11</v>
      </c>
      <c r="C78" s="65" t="s">
        <v>287</v>
      </c>
      <c r="D78" s="65"/>
      <c r="E78" s="65" t="s">
        <v>289</v>
      </c>
      <c r="F78" s="66"/>
      <c r="G78" s="65" t="s">
        <v>24</v>
      </c>
      <c r="H78" s="67"/>
      <c r="I78" s="60" t="str">
        <f>IF($G78="完了","",IF(SUMPRODUCT(($E78=$E$3:E175)*($D78=$D$3:D175)*($C78=$C$3:C175)*("完了"=$G$3:G175))=1,"完了",""))</f>
        <v/>
      </c>
    </row>
    <row r="79" spans="2:9" x14ac:dyDescent="0.2">
      <c r="B79" s="64">
        <f t="shared" si="3"/>
        <v>12</v>
      </c>
      <c r="C79" s="65" t="s">
        <v>287</v>
      </c>
      <c r="D79" s="65"/>
      <c r="E79" s="65" t="s">
        <v>288</v>
      </c>
      <c r="F79" s="66"/>
      <c r="G79" s="65" t="s">
        <v>24</v>
      </c>
      <c r="H79" s="67"/>
      <c r="I79" s="60" t="str">
        <f>IF($G79="完了","",IF(SUMPRODUCT(($E79=$E$3:E176)*($D79=$D$3:D176)*($C79=$C$3:C176)*("完了"=$G$3:G176))=1,"完了",""))</f>
        <v/>
      </c>
    </row>
    <row r="80" spans="2:9" x14ac:dyDescent="0.2">
      <c r="B80" s="64">
        <f t="shared" si="3"/>
        <v>13</v>
      </c>
      <c r="C80" s="65" t="s">
        <v>307</v>
      </c>
      <c r="D80" s="65" t="s">
        <v>291</v>
      </c>
      <c r="E80" s="65" t="s">
        <v>303</v>
      </c>
      <c r="F80" s="66"/>
      <c r="G80" s="65" t="s">
        <v>24</v>
      </c>
      <c r="H80" s="67"/>
      <c r="I80" s="60" t="str">
        <f>IF($G80="完了","",IF(SUMPRODUCT(($E80=$E$3:E177)*($D80=$D$3:D177)*($C80=$C$3:C177)*("完了"=$G$3:G177))=1,"完了",""))</f>
        <v/>
      </c>
    </row>
    <row r="81" spans="1:9" x14ac:dyDescent="0.2">
      <c r="B81" s="64">
        <f t="shared" si="3"/>
        <v>14</v>
      </c>
      <c r="C81" s="65" t="s">
        <v>307</v>
      </c>
      <c r="D81" s="65" t="s">
        <v>291</v>
      </c>
      <c r="E81" s="65" t="s">
        <v>304</v>
      </c>
      <c r="F81" s="66"/>
      <c r="G81" s="65" t="s">
        <v>24</v>
      </c>
      <c r="H81" s="67"/>
      <c r="I81" s="60" t="str">
        <f>IF($G81="完了","",IF(SUMPRODUCT(($E81=$E$3:E178)*($D81=$D$3:D178)*($C81=$C$3:C178)*("完了"=$G$3:G178))=1,"完了",""))</f>
        <v/>
      </c>
    </row>
    <row r="82" spans="1:9" x14ac:dyDescent="0.2">
      <c r="B82" s="64">
        <v>15</v>
      </c>
      <c r="C82" s="65" t="s">
        <v>307</v>
      </c>
      <c r="D82" s="65" t="s">
        <v>291</v>
      </c>
      <c r="E82" s="65" t="s">
        <v>306</v>
      </c>
      <c r="F82" s="66"/>
      <c r="G82" s="65" t="s">
        <v>25</v>
      </c>
      <c r="H82" s="67" t="s">
        <v>311</v>
      </c>
      <c r="I82" s="60" t="str">
        <f>IF($G82="完了","",IF(SUMPRODUCT(($E82=$E$3:E179)*($D82=$D$3:D179)*($C82=$C$3:C179)*("完了"=$G$3:G179))=1,"完了",""))</f>
        <v>完了</v>
      </c>
    </row>
    <row r="83" spans="1:9" x14ac:dyDescent="0.2">
      <c r="B83" s="64"/>
      <c r="C83" s="65"/>
      <c r="D83" s="65"/>
      <c r="E83" s="65"/>
      <c r="F83" s="66"/>
      <c r="G83" s="65"/>
      <c r="H83" s="67"/>
      <c r="I83" s="60" t="str">
        <f>IF($G83="完了","",IF(SUMPRODUCT(($E83=$E$3:E180)*($D83=$D$3:D180)*($C83=$C$3:C180)*("完了"=$G$3:G180))=1,"完了",""))</f>
        <v>完了</v>
      </c>
    </row>
    <row r="84" spans="1:9" x14ac:dyDescent="0.2">
      <c r="B84" s="64"/>
      <c r="C84" s="65"/>
      <c r="D84" s="65"/>
      <c r="E84" s="65"/>
      <c r="F84" s="66"/>
      <c r="G84" s="65"/>
      <c r="H84" s="67"/>
      <c r="I84" s="60"/>
    </row>
    <row r="85" spans="1:9" x14ac:dyDescent="0.2">
      <c r="B85" s="64"/>
      <c r="C85" s="65"/>
      <c r="D85" s="65"/>
      <c r="E85" s="65"/>
      <c r="F85" s="66"/>
      <c r="G85" s="65"/>
      <c r="H85" s="67"/>
      <c r="I85" s="60"/>
    </row>
    <row r="86" spans="1:9" x14ac:dyDescent="0.2">
      <c r="B86" s="64"/>
      <c r="C86" s="65"/>
      <c r="D86" s="65"/>
      <c r="E86" s="65"/>
      <c r="F86" s="66"/>
      <c r="G86" s="65"/>
      <c r="H86" s="67"/>
      <c r="I86" s="60"/>
    </row>
    <row r="87" spans="1:9" x14ac:dyDescent="0.2">
      <c r="A87" s="63" t="s">
        <v>315</v>
      </c>
      <c r="B87" s="64"/>
      <c r="C87" s="65"/>
      <c r="D87" s="65"/>
      <c r="E87" s="65"/>
      <c r="F87" s="66"/>
      <c r="G87" s="65"/>
      <c r="H87" s="67"/>
      <c r="I87" s="60"/>
    </row>
    <row r="88" spans="1:9" x14ac:dyDescent="0.2">
      <c r="B88" s="64" t="s">
        <v>17</v>
      </c>
      <c r="C88" s="65" t="s">
        <v>18</v>
      </c>
      <c r="D88" s="65" t="s">
        <v>448</v>
      </c>
      <c r="E88" s="65" t="s">
        <v>449</v>
      </c>
      <c r="F88" s="66" t="s">
        <v>27</v>
      </c>
      <c r="G88" s="65" t="s">
        <v>20</v>
      </c>
      <c r="H88" s="67" t="s">
        <v>15</v>
      </c>
      <c r="I88" s="60" t="s">
        <v>132</v>
      </c>
    </row>
    <row r="89" spans="1:9" x14ac:dyDescent="0.2">
      <c r="B89" s="64">
        <v>1</v>
      </c>
      <c r="C89" s="65" t="s">
        <v>284</v>
      </c>
      <c r="D89" s="65" t="s">
        <v>459</v>
      </c>
      <c r="E89" s="65" t="s">
        <v>277</v>
      </c>
      <c r="F89" s="66"/>
      <c r="G89" s="65" t="s">
        <v>24</v>
      </c>
      <c r="H89" s="67" t="s">
        <v>310</v>
      </c>
      <c r="I89" s="60" t="str">
        <f>IF($G89="完了","",IF(SUMPRODUCT(($E89=$E$3:E186)*($D89=$D$3:D186)*($C89=$C$3:C186)*("完了"=$G$3:G186))=1,"完了",""))</f>
        <v/>
      </c>
    </row>
    <row r="90" spans="1:9" x14ac:dyDescent="0.2">
      <c r="B90" s="64">
        <f t="shared" ref="B90:B96" si="4">B89+1</f>
        <v>2</v>
      </c>
      <c r="C90" s="65" t="s">
        <v>284</v>
      </c>
      <c r="D90" s="65" t="s">
        <v>459</v>
      </c>
      <c r="E90" s="65" t="s">
        <v>319</v>
      </c>
      <c r="F90" s="66"/>
      <c r="G90" s="65" t="s">
        <v>24</v>
      </c>
      <c r="H90" s="67"/>
      <c r="I90" s="60" t="str">
        <f>IF($G90="完了","",IF(SUMPRODUCT(($E90=$E$3:E187)*($D90=$D$3:D187)*($C90=$C$3:C187)*("完了"=$G$3:G187))=1,"完了",""))</f>
        <v/>
      </c>
    </row>
    <row r="91" spans="1:9" x14ac:dyDescent="0.2">
      <c r="B91" s="64">
        <f t="shared" si="4"/>
        <v>3</v>
      </c>
      <c r="C91" s="65" t="s">
        <v>122</v>
      </c>
      <c r="D91" s="65" t="s">
        <v>85</v>
      </c>
      <c r="E91" s="65" t="s">
        <v>460</v>
      </c>
      <c r="F91" s="66"/>
      <c r="G91" s="65" t="s">
        <v>114</v>
      </c>
      <c r="H91" s="67" t="s">
        <v>301</v>
      </c>
      <c r="I91" s="60" t="str">
        <f>IF($G91="完了","",IF(SUMPRODUCT(($E91=$E$3:E188)*($D91=$D$3:D188)*($C91=$C$3:C188)*("完了"=$G$3:G188))=1,"完了",""))</f>
        <v>完了</v>
      </c>
    </row>
    <row r="92" spans="1:9" x14ac:dyDescent="0.2">
      <c r="B92" s="64">
        <f t="shared" si="4"/>
        <v>4</v>
      </c>
      <c r="C92" s="65" t="s">
        <v>122</v>
      </c>
      <c r="D92" s="65" t="s">
        <v>85</v>
      </c>
      <c r="E92" s="65" t="s">
        <v>327</v>
      </c>
      <c r="F92" s="66"/>
      <c r="G92" s="65" t="s">
        <v>24</v>
      </c>
      <c r="H92" s="67"/>
      <c r="I92" s="60" t="str">
        <f>IF($G92="完了","",IF(SUMPRODUCT(($E92=$E$3:E189)*($D92=$D$3:D189)*($C92=$C$3:C189)*("完了"=$G$3:G189))=1,"完了",""))</f>
        <v/>
      </c>
    </row>
    <row r="93" spans="1:9" x14ac:dyDescent="0.2">
      <c r="B93" s="64">
        <f t="shared" si="4"/>
        <v>5</v>
      </c>
      <c r="C93" s="65" t="s">
        <v>338</v>
      </c>
      <c r="D93" s="65" t="s">
        <v>85</v>
      </c>
      <c r="E93" s="65" t="s">
        <v>326</v>
      </c>
      <c r="F93" s="66"/>
      <c r="G93" s="65" t="s">
        <v>24</v>
      </c>
      <c r="H93" s="67" t="s">
        <v>337</v>
      </c>
      <c r="I93" s="60" t="str">
        <f>IF($G93="完了","",IF(SUMPRODUCT(($E93=$E$3:E190)*($D93=$D$3:D190)*($C93=$C$3:C190)*("完了"=$G$3:G190))=1,"完了",""))</f>
        <v/>
      </c>
    </row>
    <row r="94" spans="1:9" x14ac:dyDescent="0.2">
      <c r="B94" s="64">
        <f t="shared" si="4"/>
        <v>6</v>
      </c>
      <c r="C94" s="65" t="s">
        <v>338</v>
      </c>
      <c r="D94" s="65" t="s">
        <v>291</v>
      </c>
      <c r="E94" s="65" t="s">
        <v>339</v>
      </c>
      <c r="F94" s="66"/>
      <c r="G94" s="65" t="s">
        <v>24</v>
      </c>
      <c r="H94" s="67"/>
      <c r="I94" s="60" t="str">
        <f>IF($G94="完了","",IF(SUMPRODUCT(($E94=$E$3:E191)*($D94=$D$3:D191)*($C94=$C$3:C191)*("完了"=$G$3:G191))=1,"完了",""))</f>
        <v/>
      </c>
    </row>
    <row r="95" spans="1:9" ht="25" x14ac:dyDescent="0.2">
      <c r="B95" s="64">
        <f t="shared" si="4"/>
        <v>7</v>
      </c>
      <c r="C95" s="65" t="s">
        <v>322</v>
      </c>
      <c r="D95" s="65" t="s">
        <v>291</v>
      </c>
      <c r="E95" s="65" t="s">
        <v>308</v>
      </c>
      <c r="F95" s="66"/>
      <c r="G95" s="65" t="s">
        <v>25</v>
      </c>
      <c r="H95" s="67" t="s">
        <v>309</v>
      </c>
      <c r="I95" s="60" t="str">
        <f>IF($G95="完了","",IF(SUMPRODUCT(($E95=$E$3:E192)*($D95=$D$3:D192)*($C95=$C$3:C192)*("完了"=$G$3:G192))=1,"完了",""))</f>
        <v>完了</v>
      </c>
    </row>
    <row r="96" spans="1:9" x14ac:dyDescent="0.2">
      <c r="B96" s="64">
        <f t="shared" si="4"/>
        <v>8</v>
      </c>
      <c r="C96" s="65" t="s">
        <v>322</v>
      </c>
      <c r="D96" s="65" t="s">
        <v>461</v>
      </c>
      <c r="E96" s="65" t="s">
        <v>41</v>
      </c>
      <c r="F96" s="66"/>
      <c r="G96" s="65" t="s">
        <v>24</v>
      </c>
      <c r="H96" s="67"/>
      <c r="I96" s="60" t="str">
        <f>IF($G96="完了","",IF(SUMPRODUCT(($E96=$E$3:E193)*($D96=$D$3:D193)*($C96=$C$3:C193)*("完了"=$G$3:G193))=1,"完了",""))</f>
        <v/>
      </c>
    </row>
    <row r="97" spans="1:9" x14ac:dyDescent="0.2">
      <c r="B97" s="64">
        <f>B93+1</f>
        <v>6</v>
      </c>
      <c r="C97" s="65" t="s">
        <v>340</v>
      </c>
      <c r="D97" s="65" t="s">
        <v>461</v>
      </c>
      <c r="E97" s="65" t="s">
        <v>462</v>
      </c>
      <c r="F97" s="66"/>
      <c r="G97" s="65" t="s">
        <v>25</v>
      </c>
      <c r="H97" s="67"/>
      <c r="I97" s="60" t="str">
        <f>IF($G97="完了","",IF(SUMPRODUCT(($E97=$E$3:E194)*($D97=$D$3:D194)*($C97=$C$3:C194)*("完了"=$G$3:G194))=1,"完了",""))</f>
        <v>完了</v>
      </c>
    </row>
    <row r="98" spans="1:9" x14ac:dyDescent="0.2">
      <c r="B98" s="64">
        <f t="shared" ref="B98:B106" si="5">B97+1</f>
        <v>7</v>
      </c>
      <c r="C98" s="65" t="s">
        <v>340</v>
      </c>
      <c r="D98" s="65" t="s">
        <v>291</v>
      </c>
      <c r="E98" s="65" t="s">
        <v>339</v>
      </c>
      <c r="F98" s="66"/>
      <c r="G98" s="65" t="s">
        <v>24</v>
      </c>
      <c r="H98" s="67"/>
      <c r="I98" s="60" t="str">
        <f>IF($G98="完了","",IF(SUMPRODUCT(($E98=$E$3:E195)*($D98=$D$3:D195)*($C98=$C$3:C195)*("完了"=$G$3:G195))=1,"完了",""))</f>
        <v/>
      </c>
    </row>
    <row r="99" spans="1:9" x14ac:dyDescent="0.2">
      <c r="B99" s="64">
        <f t="shared" si="5"/>
        <v>8</v>
      </c>
      <c r="C99" s="65" t="s">
        <v>307</v>
      </c>
      <c r="D99" s="65" t="s">
        <v>291</v>
      </c>
      <c r="E99" s="65" t="s">
        <v>306</v>
      </c>
      <c r="F99" s="66"/>
      <c r="G99" s="65" t="s">
        <v>24</v>
      </c>
      <c r="H99" s="67" t="s">
        <v>311</v>
      </c>
      <c r="I99" s="60" t="str">
        <f>IF($G99="完了","",IF(SUMPRODUCT(($E99=$E$3:E196)*($D99=$D$3:D196)*($C99=$C$3:C196)*("完了"=$G$3:G196))=1,"完了",""))</f>
        <v/>
      </c>
    </row>
    <row r="100" spans="1:9" x14ac:dyDescent="0.2">
      <c r="B100" s="64">
        <f t="shared" si="5"/>
        <v>9</v>
      </c>
      <c r="C100" s="65" t="s">
        <v>307</v>
      </c>
      <c r="D100" s="65" t="s">
        <v>236</v>
      </c>
      <c r="E100" s="65" t="s">
        <v>463</v>
      </c>
      <c r="F100" s="66"/>
      <c r="G100" s="65" t="s">
        <v>24</v>
      </c>
      <c r="H100" s="67" t="s">
        <v>336</v>
      </c>
      <c r="I100" s="60" t="str">
        <f>IF($G100="完了","",IF(SUMPRODUCT(($E100=$E$3:E197)*($D100=$D$3:D197)*($C100=$C$3:C197)*("完了"=$G$3:G197))=1,"完了",""))</f>
        <v/>
      </c>
    </row>
    <row r="101" spans="1:9" x14ac:dyDescent="0.2">
      <c r="B101" s="64">
        <f t="shared" si="5"/>
        <v>10</v>
      </c>
      <c r="C101" s="65" t="s">
        <v>307</v>
      </c>
      <c r="D101" s="65" t="s">
        <v>236</v>
      </c>
      <c r="E101" s="65" t="s">
        <v>328</v>
      </c>
      <c r="F101" s="66"/>
      <c r="G101" s="65" t="s">
        <v>24</v>
      </c>
      <c r="H101" s="67" t="s">
        <v>336</v>
      </c>
      <c r="I101" s="60" t="str">
        <f>IF($G101="完了","",IF(SUMPRODUCT(($E101=$E$3:E198)*($D101=$D$3:D198)*($C101=$C$3:C198)*("完了"=$G$3:G198))=1,"完了",""))</f>
        <v/>
      </c>
    </row>
    <row r="102" spans="1:9" x14ac:dyDescent="0.2">
      <c r="B102" s="64">
        <f t="shared" si="5"/>
        <v>11</v>
      </c>
      <c r="C102" s="65" t="s">
        <v>341</v>
      </c>
      <c r="D102" s="65" t="s">
        <v>236</v>
      </c>
      <c r="E102" s="65" t="s">
        <v>329</v>
      </c>
      <c r="F102" s="66"/>
      <c r="G102" s="65" t="s">
        <v>24</v>
      </c>
      <c r="H102" s="67" t="s">
        <v>336</v>
      </c>
      <c r="I102" s="60" t="str">
        <f>IF($G102="完了","",IF(SUMPRODUCT(($E102=$E$3:E199)*($D102=$D$3:D199)*($C102=$C$3:C199)*("完了"=$G$3:G199))=1,"完了",""))</f>
        <v/>
      </c>
    </row>
    <row r="103" spans="1:9" x14ac:dyDescent="0.2">
      <c r="B103" s="64">
        <f t="shared" si="5"/>
        <v>12</v>
      </c>
      <c r="C103" s="65" t="s">
        <v>342</v>
      </c>
      <c r="D103" s="65" t="s">
        <v>291</v>
      </c>
      <c r="E103" s="65" t="s">
        <v>339</v>
      </c>
      <c r="F103" s="66"/>
      <c r="G103" s="65" t="s">
        <v>24</v>
      </c>
      <c r="H103" s="67"/>
      <c r="I103" s="60" t="str">
        <f>IF($G103="完了","",IF(SUMPRODUCT(($E103=$E$3:E200)*($D103=$D$3:D200)*($C103=$C$3:C200)*("完了"=$G$3:G200))=1,"完了",""))</f>
        <v/>
      </c>
    </row>
    <row r="104" spans="1:9" x14ac:dyDescent="0.2">
      <c r="B104" s="64">
        <f t="shared" si="5"/>
        <v>13</v>
      </c>
      <c r="C104" s="65" t="s">
        <v>342</v>
      </c>
      <c r="D104" s="65" t="s">
        <v>291</v>
      </c>
      <c r="E104" s="65" t="s">
        <v>270</v>
      </c>
      <c r="F104" s="66"/>
      <c r="G104" s="65" t="s">
        <v>24</v>
      </c>
      <c r="H104" s="67"/>
      <c r="I104" s="60" t="str">
        <f>IF($G104="完了","",IF(SUMPRODUCT(($E104=$E$3:E201)*($D104=$D$3:D201)*($C104=$C$3:C201)*("完了"=$G$3:G201))=1,"完了",""))</f>
        <v/>
      </c>
    </row>
    <row r="105" spans="1:9" x14ac:dyDescent="0.2">
      <c r="B105" s="64">
        <f t="shared" si="5"/>
        <v>14</v>
      </c>
      <c r="C105" s="65" t="s">
        <v>330</v>
      </c>
      <c r="D105" s="65" t="s">
        <v>332</v>
      </c>
      <c r="E105" s="65" t="s">
        <v>331</v>
      </c>
      <c r="F105" s="66"/>
      <c r="G105" s="65" t="s">
        <v>24</v>
      </c>
      <c r="H105" s="67"/>
      <c r="I105" s="60" t="str">
        <f>IF($G105="完了","",IF(SUMPRODUCT(($E105=$E$3:E202)*($D105=$D$3:D202)*($C105=$C$3:C202)*("完了"=$G$3:G202))=1,"完了",""))</f>
        <v/>
      </c>
    </row>
    <row r="106" spans="1:9" x14ac:dyDescent="0.2">
      <c r="B106" s="64">
        <f t="shared" si="5"/>
        <v>15</v>
      </c>
      <c r="C106" s="65" t="s">
        <v>330</v>
      </c>
      <c r="D106" s="65" t="s">
        <v>332</v>
      </c>
      <c r="E106" s="65" t="s">
        <v>331</v>
      </c>
      <c r="F106" s="66"/>
      <c r="G106" s="65" t="s">
        <v>24</v>
      </c>
      <c r="H106" s="67"/>
      <c r="I106" s="60" t="str">
        <f>IF($G106="完了","",IF(SUMPRODUCT(($E106=$E$3:E203)*($D106=$D$3:D203)*($C106=$C$3:C203)*("完了"=$G$3:G203))=1,"完了",""))</f>
        <v/>
      </c>
    </row>
    <row r="107" spans="1:9" x14ac:dyDescent="0.2">
      <c r="B107" s="64"/>
      <c r="C107" s="65"/>
      <c r="D107" s="65"/>
      <c r="E107" s="65"/>
      <c r="F107" s="66"/>
      <c r="G107" s="65"/>
      <c r="H107" s="67"/>
      <c r="I107" s="60"/>
    </row>
    <row r="108" spans="1:9" x14ac:dyDescent="0.2">
      <c r="B108" s="64"/>
      <c r="C108" s="65"/>
      <c r="D108" s="65"/>
      <c r="E108" s="65"/>
      <c r="F108" s="66"/>
      <c r="G108" s="65"/>
      <c r="H108" s="67"/>
      <c r="I108" s="60"/>
    </row>
    <row r="109" spans="1:9" x14ac:dyDescent="0.2">
      <c r="A109" s="63" t="s">
        <v>344</v>
      </c>
      <c r="B109" s="64"/>
      <c r="C109" s="65"/>
      <c r="D109" s="65"/>
      <c r="E109" s="65"/>
      <c r="F109" s="66"/>
      <c r="G109" s="65"/>
      <c r="H109" s="67"/>
      <c r="I109" s="60"/>
    </row>
    <row r="110" spans="1:9" x14ac:dyDescent="0.2">
      <c r="B110" s="64" t="s">
        <v>17</v>
      </c>
      <c r="C110" s="65" t="s">
        <v>18</v>
      </c>
      <c r="D110" s="65" t="s">
        <v>448</v>
      </c>
      <c r="E110" s="65" t="s">
        <v>449</v>
      </c>
      <c r="F110" s="66" t="s">
        <v>27</v>
      </c>
      <c r="G110" s="65" t="s">
        <v>20</v>
      </c>
      <c r="H110" s="67" t="s">
        <v>15</v>
      </c>
      <c r="I110" s="60" t="s">
        <v>132</v>
      </c>
    </row>
    <row r="111" spans="1:9" x14ac:dyDescent="0.2">
      <c r="B111" s="64">
        <v>1</v>
      </c>
      <c r="C111" s="65" t="s">
        <v>367</v>
      </c>
      <c r="D111" s="65" t="s">
        <v>452</v>
      </c>
      <c r="E111" s="65" t="s">
        <v>346</v>
      </c>
      <c r="F111" s="66"/>
      <c r="G111" s="65" t="s">
        <v>24</v>
      </c>
      <c r="H111" s="67"/>
      <c r="I111" s="60" t="str">
        <f>IF($G111="完了","",IF(SUMPRODUCT(($E111=$E$3:E208)*($D111=$D$3:D208)*($C111=$C$3:C208)*("完了"=$G$3:G208))=1,"完了",""))</f>
        <v/>
      </c>
    </row>
    <row r="112" spans="1:9" x14ac:dyDescent="0.2">
      <c r="B112" s="64">
        <f t="shared" ref="B112:B118" si="6">B111+1</f>
        <v>2</v>
      </c>
      <c r="C112" s="65" t="s">
        <v>122</v>
      </c>
      <c r="D112" s="65" t="s">
        <v>459</v>
      </c>
      <c r="E112" s="65" t="s">
        <v>464</v>
      </c>
      <c r="F112" s="66"/>
      <c r="G112" s="65" t="s">
        <v>24</v>
      </c>
      <c r="H112" s="67" t="s">
        <v>354</v>
      </c>
      <c r="I112" s="60" t="str">
        <f>IF($G112="完了","",IF(SUMPRODUCT(($E112=$E$3:E209)*($D112=$D$3:D209)*($C112=$C$3:C209)*("完了"=$G$3:G209))=1,"完了",""))</f>
        <v/>
      </c>
    </row>
    <row r="113" spans="2:9" x14ac:dyDescent="0.2">
      <c r="B113" s="64">
        <f t="shared" si="6"/>
        <v>3</v>
      </c>
      <c r="C113" s="65" t="s">
        <v>368</v>
      </c>
      <c r="D113" s="65" t="s">
        <v>85</v>
      </c>
      <c r="E113" s="65" t="s">
        <v>457</v>
      </c>
      <c r="F113" s="66"/>
      <c r="G113" s="65" t="s">
        <v>114</v>
      </c>
      <c r="H113" s="67"/>
      <c r="I113" s="60" t="str">
        <f>IF($G113="完了","",IF(SUMPRODUCT(($E113=$E$3:E210)*($D113=$D$3:D210)*($C113=$C$3:C210)*("完了"=$G$3:G210))=1,"完了",""))</f>
        <v>完了</v>
      </c>
    </row>
    <row r="114" spans="2:9" x14ac:dyDescent="0.2">
      <c r="B114" s="64">
        <f t="shared" si="6"/>
        <v>4</v>
      </c>
      <c r="C114" s="65" t="s">
        <v>122</v>
      </c>
      <c r="D114" s="65" t="s">
        <v>85</v>
      </c>
      <c r="E114" s="65" t="s">
        <v>347</v>
      </c>
      <c r="F114" s="66"/>
      <c r="G114" s="65" t="s">
        <v>114</v>
      </c>
      <c r="H114" s="67"/>
      <c r="I114" s="60" t="str">
        <f>IF($G114="完了","",IF(SUMPRODUCT(($E114=$E$3:E211)*($D114=$D$3:D211)*($C114=$C$3:C211)*("完了"=$G$3:G211))=1,"完了",""))</f>
        <v>完了</v>
      </c>
    </row>
    <row r="115" spans="2:9" x14ac:dyDescent="0.2">
      <c r="B115" s="64">
        <f t="shared" si="6"/>
        <v>5</v>
      </c>
      <c r="C115" s="65" t="s">
        <v>116</v>
      </c>
      <c r="D115" s="65" t="s">
        <v>85</v>
      </c>
      <c r="E115" s="65" t="s">
        <v>348</v>
      </c>
      <c r="F115" s="66"/>
      <c r="G115" s="65" t="s">
        <v>24</v>
      </c>
      <c r="H115" s="67"/>
      <c r="I115" s="60" t="str">
        <f>IF($G115="完了","",IF(SUMPRODUCT(($E115=$E$3:E212)*($D115=$D$3:D212)*($C115=$C$3:C212)*("完了"=$G$3:G212))=1,"完了",""))</f>
        <v/>
      </c>
    </row>
    <row r="116" spans="2:9" x14ac:dyDescent="0.2">
      <c r="B116" s="64">
        <f t="shared" si="6"/>
        <v>6</v>
      </c>
      <c r="C116" s="65" t="s">
        <v>116</v>
      </c>
      <c r="D116" s="65" t="s">
        <v>291</v>
      </c>
      <c r="E116" s="65" t="s">
        <v>381</v>
      </c>
      <c r="F116" s="66"/>
      <c r="G116" s="65" t="s">
        <v>25</v>
      </c>
      <c r="H116" s="67"/>
      <c r="I116" s="60" t="str">
        <f>IF($G116="完了","",IF(SUMPRODUCT(($E116=$E$3:E213)*($D116=$D$3:D213)*($C116=$C$3:C213)*("完了"=$G$3:G213))=1,"完了",""))</f>
        <v>完了</v>
      </c>
    </row>
    <row r="117" spans="2:9" x14ac:dyDescent="0.2">
      <c r="B117" s="64">
        <f t="shared" si="6"/>
        <v>7</v>
      </c>
      <c r="C117" s="65" t="s">
        <v>122</v>
      </c>
      <c r="D117" s="65" t="s">
        <v>291</v>
      </c>
      <c r="E117" s="65" t="s">
        <v>359</v>
      </c>
      <c r="F117" s="66"/>
      <c r="G117" s="65" t="s">
        <v>25</v>
      </c>
      <c r="H117" s="67"/>
      <c r="I117" s="60" t="str">
        <f>IF($G117="完了","",IF(SUMPRODUCT(($E117=$E$3:E214)*($D117=$D$3:D214)*($C117=$C$3:C214)*("完了"=$G$3:G214))=1,"完了",""))</f>
        <v>完了</v>
      </c>
    </row>
    <row r="118" spans="2:9" ht="25" x14ac:dyDescent="0.2">
      <c r="B118" s="64">
        <f t="shared" si="6"/>
        <v>8</v>
      </c>
      <c r="C118" s="65" t="s">
        <v>322</v>
      </c>
      <c r="D118" s="65" t="s">
        <v>291</v>
      </c>
      <c r="E118" s="65" t="s">
        <v>308</v>
      </c>
      <c r="F118" s="66"/>
      <c r="G118" s="65" t="s">
        <v>24</v>
      </c>
      <c r="H118" s="67" t="s">
        <v>309</v>
      </c>
      <c r="I118" s="60" t="str">
        <f>IF($G118="完了","",IF(SUMPRODUCT(($E118=$E$3:E215)*($D118=$D$3:D215)*($C118=$C$3:C215)*("完了"=$G$3:G215))=1,"完了",""))</f>
        <v/>
      </c>
    </row>
    <row r="119" spans="2:9" x14ac:dyDescent="0.2">
      <c r="B119" s="64">
        <f>B115+1</f>
        <v>6</v>
      </c>
      <c r="C119" s="65" t="s">
        <v>360</v>
      </c>
      <c r="D119" s="65" t="s">
        <v>461</v>
      </c>
      <c r="E119" s="65" t="s">
        <v>462</v>
      </c>
      <c r="F119" s="66"/>
      <c r="G119" s="65" t="s">
        <v>24</v>
      </c>
      <c r="H119" s="67"/>
      <c r="I119" s="60" t="str">
        <f>IF($G119="完了","",IF(SUMPRODUCT(($E119=$E$3:E216)*($D119=$D$3:D216)*($C119=$C$3:C216)*("完了"=$G$3:G216))=1,"完了",""))</f>
        <v/>
      </c>
    </row>
    <row r="120" spans="2:9" x14ac:dyDescent="0.2">
      <c r="B120" s="64">
        <f t="shared" ref="B120:B127" si="7">B119+1</f>
        <v>7</v>
      </c>
      <c r="C120" s="65" t="s">
        <v>369</v>
      </c>
      <c r="D120" s="65" t="s">
        <v>461</v>
      </c>
      <c r="E120" s="65" t="s">
        <v>465</v>
      </c>
      <c r="F120" s="66"/>
      <c r="G120" s="65" t="s">
        <v>24</v>
      </c>
      <c r="H120" s="67"/>
      <c r="I120" s="60" t="str">
        <f>IF($G120="完了","",IF(SUMPRODUCT(($E120=$E$3:E217)*($D120=$D$3:D217)*($C120=$C$3:C217)*("完了"=$G$3:G217))=1,"完了",""))</f>
        <v/>
      </c>
    </row>
    <row r="121" spans="2:9" x14ac:dyDescent="0.2">
      <c r="B121" s="64">
        <f t="shared" si="7"/>
        <v>8</v>
      </c>
      <c r="C121" s="65" t="s">
        <v>322</v>
      </c>
      <c r="D121" s="65" t="s">
        <v>461</v>
      </c>
      <c r="E121" s="65" t="s">
        <v>466</v>
      </c>
      <c r="F121" s="66"/>
      <c r="G121" s="65" t="s">
        <v>24</v>
      </c>
      <c r="H121" s="67"/>
      <c r="I121" s="60" t="str">
        <f>IF($G121="完了","",IF(SUMPRODUCT(($E121=$E$3:E218)*($D121=$D$3:D218)*($C121=$C$3:C218)*("完了"=$G$3:G218))=1,"完了",""))</f>
        <v/>
      </c>
    </row>
    <row r="122" spans="2:9" x14ac:dyDescent="0.2">
      <c r="B122" s="64">
        <f t="shared" si="7"/>
        <v>9</v>
      </c>
      <c r="C122" s="65" t="s">
        <v>322</v>
      </c>
      <c r="D122" s="65" t="s">
        <v>461</v>
      </c>
      <c r="E122" s="65" t="s">
        <v>362</v>
      </c>
      <c r="F122" s="66"/>
      <c r="G122" s="65" t="s">
        <v>24</v>
      </c>
      <c r="H122" s="67"/>
      <c r="I122" s="60" t="str">
        <f>IF($G122="完了","",IF(SUMPRODUCT(($E122=$E$3:E219)*($D122=$D$3:D219)*($C122=$C$3:C219)*("完了"=$G$3:G219))=1,"完了",""))</f>
        <v/>
      </c>
    </row>
    <row r="123" spans="2:9" x14ac:dyDescent="0.2">
      <c r="B123" s="64">
        <f t="shared" si="7"/>
        <v>10</v>
      </c>
      <c r="C123" s="65" t="s">
        <v>322</v>
      </c>
      <c r="D123" s="65" t="s">
        <v>461</v>
      </c>
      <c r="E123" s="65" t="s">
        <v>363</v>
      </c>
      <c r="F123" s="66"/>
      <c r="G123" s="65" t="s">
        <v>24</v>
      </c>
      <c r="H123" s="67"/>
      <c r="I123" s="60" t="str">
        <f>IF($G123="完了","",IF(SUMPRODUCT(($E123=$E$3:E220)*($D123=$D$3:D220)*($C123=$C$3:C220)*("完了"=$G$3:G220))=1,"完了",""))</f>
        <v/>
      </c>
    </row>
    <row r="124" spans="2:9" x14ac:dyDescent="0.2">
      <c r="B124" s="64">
        <f t="shared" si="7"/>
        <v>11</v>
      </c>
      <c r="C124" s="65" t="s">
        <v>371</v>
      </c>
      <c r="D124" s="65" t="s">
        <v>291</v>
      </c>
      <c r="E124" s="65" t="s">
        <v>364</v>
      </c>
      <c r="F124" s="66"/>
      <c r="G124" s="65" t="s">
        <v>24</v>
      </c>
      <c r="H124" s="67" t="s">
        <v>361</v>
      </c>
      <c r="I124" s="60" t="str">
        <f>IF($G124="完了","",IF(SUMPRODUCT(($E124=$E$3:E221)*($D124=$D$3:D221)*($C124=$C$3:C221)*("完了"=$G$3:G221))=1,"完了",""))</f>
        <v/>
      </c>
    </row>
    <row r="125" spans="2:9" x14ac:dyDescent="0.2">
      <c r="B125" s="64">
        <f t="shared" si="7"/>
        <v>12</v>
      </c>
      <c r="C125" s="65" t="s">
        <v>307</v>
      </c>
      <c r="D125" s="65" t="s">
        <v>85</v>
      </c>
      <c r="E125" s="65" t="s">
        <v>352</v>
      </c>
      <c r="F125" s="66"/>
      <c r="G125" s="65" t="s">
        <v>24</v>
      </c>
      <c r="H125" s="67"/>
      <c r="I125" s="60" t="str">
        <f>IF($G125="完了","",IF(SUMPRODUCT(($E125=$E$3:E222)*($D125=$D$3:D222)*($C125=$C$3:C222)*("完了"=$G$3:G222))=1,"完了",""))</f>
        <v/>
      </c>
    </row>
    <row r="126" spans="2:9" x14ac:dyDescent="0.2">
      <c r="B126" s="64">
        <f t="shared" si="7"/>
        <v>13</v>
      </c>
      <c r="C126" s="65" t="s">
        <v>307</v>
      </c>
      <c r="D126" s="65" t="s">
        <v>85</v>
      </c>
      <c r="E126" s="65" t="s">
        <v>365</v>
      </c>
      <c r="F126" s="66"/>
      <c r="G126" s="65" t="s">
        <v>114</v>
      </c>
      <c r="H126" s="67" t="s">
        <v>366</v>
      </c>
      <c r="I126" s="60" t="str">
        <f>IF($G126="完了","",IF(SUMPRODUCT(($E126=$E$3:E223)*($D126=$D$3:D223)*($C126=$C$3:C223)*("完了"=$G$3:G223))=1,"完了",""))</f>
        <v>完了</v>
      </c>
    </row>
    <row r="127" spans="2:9" x14ac:dyDescent="0.2">
      <c r="B127" s="64">
        <f t="shared" si="7"/>
        <v>14</v>
      </c>
      <c r="C127" s="65" t="s">
        <v>342</v>
      </c>
      <c r="D127" s="65" t="s">
        <v>461</v>
      </c>
      <c r="E127" s="65" t="s">
        <v>349</v>
      </c>
      <c r="F127" s="66"/>
      <c r="G127" s="65" t="s">
        <v>25</v>
      </c>
      <c r="H127" s="67"/>
      <c r="I127" s="60" t="str">
        <f>IF($G127="完了","",IF(SUMPRODUCT(($E127=$E$3:E224)*($D127=$D$3:D224)*($C127=$C$3:C224)*("完了"=$G$3:G224))=1,"完了",""))</f>
        <v>完了</v>
      </c>
    </row>
    <row r="128" spans="2:9" x14ac:dyDescent="0.2">
      <c r="B128" s="64">
        <f>B127+1</f>
        <v>15</v>
      </c>
      <c r="C128" s="65" t="s">
        <v>355</v>
      </c>
      <c r="D128" s="65" t="s">
        <v>358</v>
      </c>
      <c r="E128" s="65" t="s">
        <v>356</v>
      </c>
      <c r="F128" s="66"/>
      <c r="G128" s="65" t="s">
        <v>24</v>
      </c>
      <c r="H128" s="67"/>
      <c r="I128" s="60" t="str">
        <f>IF($G128="完了","",IF(SUMPRODUCT(($E128=$E$3:E225)*($D128=$D$3:D225)*($C128=$C$3:C225)*("完了"=$G$3:G225))=1,"完了",""))</f>
        <v/>
      </c>
    </row>
    <row r="129" spans="1:9" x14ac:dyDescent="0.2">
      <c r="B129" s="64">
        <f>B128+1</f>
        <v>16</v>
      </c>
      <c r="C129" s="65" t="s">
        <v>355</v>
      </c>
      <c r="D129" s="65" t="s">
        <v>243</v>
      </c>
      <c r="E129" s="65" t="s">
        <v>357</v>
      </c>
      <c r="F129" s="66"/>
      <c r="G129" s="65" t="s">
        <v>24</v>
      </c>
      <c r="H129" s="67"/>
      <c r="I129" s="60" t="str">
        <f>IF($G129="完了","",IF(SUMPRODUCT(($E129=$E$3:E226)*($D129=$D$3:D226)*($C129=$C$3:C226)*("完了"=$G$3:G226))=1,"完了",""))</f>
        <v/>
      </c>
    </row>
    <row r="130" spans="1:9" x14ac:dyDescent="0.2">
      <c r="B130" s="64"/>
      <c r="C130" s="65"/>
      <c r="D130" s="65"/>
      <c r="E130" s="65"/>
      <c r="F130" s="66"/>
      <c r="G130" s="65"/>
      <c r="H130" s="67"/>
      <c r="I130" s="60"/>
    </row>
    <row r="131" spans="1:9" x14ac:dyDescent="0.2">
      <c r="B131" s="64"/>
      <c r="C131" s="65"/>
      <c r="D131" s="65"/>
      <c r="E131" s="65"/>
      <c r="F131" s="66"/>
      <c r="G131" s="65"/>
      <c r="H131" s="67"/>
      <c r="I131" s="60"/>
    </row>
    <row r="132" spans="1:9" x14ac:dyDescent="0.2">
      <c r="A132" s="63" t="s">
        <v>353</v>
      </c>
      <c r="B132" s="64"/>
      <c r="C132" s="65"/>
      <c r="D132" s="65"/>
      <c r="E132" s="65"/>
      <c r="F132" s="66"/>
      <c r="G132" s="65"/>
      <c r="H132" s="67"/>
      <c r="I132" s="60"/>
    </row>
    <row r="133" spans="1:9" x14ac:dyDescent="0.2">
      <c r="B133" s="64" t="s">
        <v>17</v>
      </c>
      <c r="C133" s="65" t="s">
        <v>18</v>
      </c>
      <c r="D133" s="65" t="s">
        <v>448</v>
      </c>
      <c r="E133" s="65" t="s">
        <v>449</v>
      </c>
      <c r="F133" s="66" t="s">
        <v>27</v>
      </c>
      <c r="G133" s="65" t="s">
        <v>20</v>
      </c>
      <c r="H133" s="67" t="s">
        <v>15</v>
      </c>
      <c r="I133" s="60" t="s">
        <v>132</v>
      </c>
    </row>
    <row r="134" spans="1:9" x14ac:dyDescent="0.2">
      <c r="B134" s="64">
        <v>1</v>
      </c>
      <c r="C134" s="65" t="s">
        <v>284</v>
      </c>
      <c r="D134" s="65" t="s">
        <v>459</v>
      </c>
      <c r="E134" s="65" t="s">
        <v>375</v>
      </c>
      <c r="F134" s="66"/>
      <c r="G134" s="65" t="s">
        <v>24</v>
      </c>
      <c r="H134" s="67"/>
      <c r="I134" s="60" t="str">
        <f>IF($G134="完了","",IF(SUMPRODUCT(($E134=$E$3:E231)*($D134=$D$3:D231)*($C134=$C$3:C231)*("完了"=$G$3:G231))=1,"完了",""))</f>
        <v/>
      </c>
    </row>
    <row r="135" spans="1:9" x14ac:dyDescent="0.2">
      <c r="B135" s="64">
        <f t="shared" ref="B135:B141" si="8">B134+1</f>
        <v>2</v>
      </c>
      <c r="C135" s="65" t="s">
        <v>122</v>
      </c>
      <c r="D135" s="65" t="s">
        <v>374</v>
      </c>
      <c r="E135" s="65" t="s">
        <v>379</v>
      </c>
      <c r="F135" s="66"/>
      <c r="G135" s="65" t="s">
        <v>114</v>
      </c>
      <c r="H135" s="67"/>
      <c r="I135" s="60" t="str">
        <f>IF($G135="完了","",IF(SUMPRODUCT(($E135=$E$3:E232)*($D135=$D$3:D232)*($C135=$C$3:C232)*("完了"=$G$3:G232))=1,"完了",""))</f>
        <v>完了</v>
      </c>
    </row>
    <row r="136" spans="1:9" x14ac:dyDescent="0.2">
      <c r="B136" s="64">
        <f t="shared" si="8"/>
        <v>3</v>
      </c>
      <c r="C136" s="65" t="s">
        <v>122</v>
      </c>
      <c r="D136" s="65" t="s">
        <v>374</v>
      </c>
      <c r="E136" s="65" t="s">
        <v>380</v>
      </c>
      <c r="F136" s="66"/>
      <c r="G136" s="65" t="s">
        <v>25</v>
      </c>
      <c r="H136" s="67"/>
      <c r="I136" s="60" t="str">
        <f>IF($G136="完了","",IF(SUMPRODUCT(($E136=$E$3:E232)*($D136=$D$3:D232)*($C136=$C$3:C232)*("完了"=$G$3:G232))=1,"完了",""))</f>
        <v>完了</v>
      </c>
    </row>
    <row r="137" spans="1:9" x14ac:dyDescent="0.2">
      <c r="B137" s="64">
        <f t="shared" si="8"/>
        <v>4</v>
      </c>
      <c r="C137" s="65" t="s">
        <v>122</v>
      </c>
      <c r="D137" s="65" t="s">
        <v>467</v>
      </c>
      <c r="E137" s="65" t="s">
        <v>460</v>
      </c>
      <c r="F137" s="66"/>
      <c r="G137" s="65" t="s">
        <v>24</v>
      </c>
      <c r="H137" s="67"/>
      <c r="I137" s="60" t="str">
        <f>IF($G137="完了","",IF(SUMPRODUCT(($E137=$E$3:E232)*($D137=$D$3:D232)*($C137=$C$3:C232)*("完了"=$G$3:G232))=1,"完了",""))</f>
        <v/>
      </c>
    </row>
    <row r="138" spans="1:9" x14ac:dyDescent="0.2">
      <c r="B138" s="64">
        <f t="shared" si="8"/>
        <v>5</v>
      </c>
      <c r="C138" s="65" t="s">
        <v>122</v>
      </c>
      <c r="D138" s="65" t="s">
        <v>85</v>
      </c>
      <c r="E138" s="65" t="s">
        <v>347</v>
      </c>
      <c r="F138" s="66"/>
      <c r="G138" s="65" t="s">
        <v>114</v>
      </c>
      <c r="H138" s="67"/>
      <c r="I138" s="60" t="str">
        <f>IF($G138="完了","",IF(SUMPRODUCT(($E138=$E$3:E232)*($D138=$D$3:D232)*($C138=$C$3:C232)*("完了"=$G$3:G232))=1,"完了",""))</f>
        <v>完了</v>
      </c>
    </row>
    <row r="139" spans="1:9" x14ac:dyDescent="0.2">
      <c r="B139" s="64">
        <f t="shared" si="8"/>
        <v>6</v>
      </c>
      <c r="C139" s="65" t="s">
        <v>122</v>
      </c>
      <c r="D139" s="65" t="s">
        <v>291</v>
      </c>
      <c r="E139" s="65" t="s">
        <v>381</v>
      </c>
      <c r="F139" s="66"/>
      <c r="G139" s="65" t="s">
        <v>24</v>
      </c>
      <c r="H139" s="67"/>
      <c r="I139" s="60" t="str">
        <f>IF($G139="完了","",IF(SUMPRODUCT(($E139=$E$3:E232)*($D139=$D$3:D232)*($C139=$C$3:C232)*("完了"=$G$3:G232))=1,"完了",""))</f>
        <v/>
      </c>
    </row>
    <row r="140" spans="1:9" x14ac:dyDescent="0.2">
      <c r="B140" s="64">
        <f t="shared" si="8"/>
        <v>7</v>
      </c>
      <c r="C140" s="65" t="s">
        <v>122</v>
      </c>
      <c r="D140" s="65" t="s">
        <v>461</v>
      </c>
      <c r="E140" s="65" t="s">
        <v>383</v>
      </c>
      <c r="F140" s="66"/>
      <c r="G140" s="65" t="s">
        <v>25</v>
      </c>
      <c r="H140" s="67"/>
      <c r="I140" s="60" t="str">
        <f>IF($G140="完了","",IF(SUMPRODUCT(($E140=$E$3:E232)*($D140=$D$3:D232)*($C140=$C$3:C232)*("完了"=$G$3:G232))=1,"完了",""))</f>
        <v>完了</v>
      </c>
    </row>
    <row r="141" spans="1:9" x14ac:dyDescent="0.2">
      <c r="B141" s="64">
        <f t="shared" si="8"/>
        <v>8</v>
      </c>
      <c r="C141" s="65" t="s">
        <v>122</v>
      </c>
      <c r="D141" s="65" t="s">
        <v>461</v>
      </c>
      <c r="E141" s="65" t="s">
        <v>384</v>
      </c>
      <c r="F141" s="66"/>
      <c r="G141" s="65" t="s">
        <v>25</v>
      </c>
      <c r="H141" s="67"/>
      <c r="I141" s="60" t="str">
        <f>IF($G141="完了","",IF(SUMPRODUCT(($E141=$E$3:E232)*($D141=$D$3:D232)*($C141=$C$3:C232)*("完了"=$G$3:G232))=1,"完了",""))</f>
        <v>完了</v>
      </c>
    </row>
    <row r="142" spans="1:9" x14ac:dyDescent="0.2">
      <c r="B142" s="64">
        <f>B138+1</f>
        <v>6</v>
      </c>
      <c r="C142" s="65" t="s">
        <v>122</v>
      </c>
      <c r="D142" s="65" t="s">
        <v>291</v>
      </c>
      <c r="E142" s="65" t="s">
        <v>359</v>
      </c>
      <c r="F142" s="66"/>
      <c r="G142" s="65" t="s">
        <v>24</v>
      </c>
      <c r="H142" s="67"/>
      <c r="I142" s="60" t="str">
        <f>IF($G142="完了","",IF(SUMPRODUCT(($E142=$E$3:E232)*($D142=$D$3:D232)*($C142=$C$3:C232)*("完了"=$G$3:G232))=1,"完了",""))</f>
        <v/>
      </c>
    </row>
    <row r="143" spans="1:9" x14ac:dyDescent="0.2">
      <c r="B143" s="64">
        <f t="shared" ref="B143:B150" si="9">B142+1</f>
        <v>7</v>
      </c>
      <c r="C143" s="65" t="s">
        <v>122</v>
      </c>
      <c r="D143" s="65" t="s">
        <v>291</v>
      </c>
      <c r="E143" s="65" t="s">
        <v>377</v>
      </c>
      <c r="F143" s="66"/>
      <c r="G143" s="65" t="s">
        <v>114</v>
      </c>
      <c r="H143" s="67" t="s">
        <v>382</v>
      </c>
      <c r="I143" s="60" t="str">
        <f>IF($G143="完了","",IF(SUMPRODUCT(($E143=$E$3:E232)*($D143=$D$3:D232)*($C143=$C$3:C232)*("完了"=$G$3:G232))=1,"完了",""))</f>
        <v>完了</v>
      </c>
    </row>
    <row r="144" spans="1:9" x14ac:dyDescent="0.2">
      <c r="B144" s="64">
        <f t="shared" si="9"/>
        <v>8</v>
      </c>
      <c r="C144" s="65" t="s">
        <v>122</v>
      </c>
      <c r="D144" s="65" t="s">
        <v>291</v>
      </c>
      <c r="E144" s="65" t="s">
        <v>378</v>
      </c>
      <c r="F144" s="66"/>
      <c r="G144" s="65" t="s">
        <v>25</v>
      </c>
      <c r="H144" s="67"/>
      <c r="I144" s="60" t="str">
        <f>IF($G144="完了","",IF(SUMPRODUCT(($E144=$E$3:E232)*($D144=$D$3:D232)*($C144=$C$3:C232)*("完了"=$G$3:G232))=1,"完了",""))</f>
        <v>完了</v>
      </c>
    </row>
    <row r="145" spans="1:9" ht="25" x14ac:dyDescent="0.2">
      <c r="B145" s="64">
        <f t="shared" si="9"/>
        <v>9</v>
      </c>
      <c r="C145" s="65" t="s">
        <v>122</v>
      </c>
      <c r="D145" s="65" t="s">
        <v>291</v>
      </c>
      <c r="E145" s="65" t="s">
        <v>41</v>
      </c>
      <c r="F145" s="66"/>
      <c r="G145" s="65" t="s">
        <v>25</v>
      </c>
      <c r="H145" s="67" t="s">
        <v>385</v>
      </c>
      <c r="I145" s="60" t="str">
        <f>IF($G145="完了","",IF(SUMPRODUCT(($E145=$E$3:E232)*($D145=$D$3:D232)*($C145=$C$3:C232)*("完了"=$G$3:G232))=1,"完了",""))</f>
        <v>完了</v>
      </c>
    </row>
    <row r="146" spans="1:9" x14ac:dyDescent="0.2">
      <c r="B146" s="64">
        <f t="shared" si="9"/>
        <v>10</v>
      </c>
      <c r="C146" s="65" t="s">
        <v>322</v>
      </c>
      <c r="D146" s="65" t="s">
        <v>461</v>
      </c>
      <c r="E146" s="65" t="s">
        <v>376</v>
      </c>
      <c r="F146" s="66"/>
      <c r="G146" s="65" t="s">
        <v>24</v>
      </c>
      <c r="H146" s="67"/>
      <c r="I146" s="60" t="str">
        <f>IF($G146="完了","",IF(SUMPRODUCT(($E146=$E$3:E232)*($D146=$D$3:D232)*($C146=$C$3:C232)*("完了"=$G$3:G232))=1,"完了",""))</f>
        <v/>
      </c>
    </row>
    <row r="147" spans="1:9" x14ac:dyDescent="0.2">
      <c r="B147" s="64">
        <f t="shared" si="9"/>
        <v>11</v>
      </c>
      <c r="C147" s="65" t="s">
        <v>322</v>
      </c>
      <c r="D147" s="65" t="s">
        <v>468</v>
      </c>
      <c r="E147" s="65" t="s">
        <v>370</v>
      </c>
      <c r="F147" s="66"/>
      <c r="G147" s="65" t="s">
        <v>114</v>
      </c>
      <c r="H147" s="67"/>
      <c r="I147" s="60" t="str">
        <f>IF($G147="完了","",IF(SUMPRODUCT(($E147=$E$3:E232)*($D147=$D$3:D232)*($C147=$C$3:C232)*("完了"=$G$3:G232))=1,"完了",""))</f>
        <v>完了</v>
      </c>
    </row>
    <row r="148" spans="1:9" x14ac:dyDescent="0.2">
      <c r="B148" s="64">
        <f t="shared" si="9"/>
        <v>12</v>
      </c>
      <c r="C148" s="65" t="s">
        <v>322</v>
      </c>
      <c r="D148" s="65" t="s">
        <v>468</v>
      </c>
      <c r="E148" s="65" t="s">
        <v>100</v>
      </c>
      <c r="F148" s="66"/>
      <c r="G148" s="65" t="s">
        <v>24</v>
      </c>
      <c r="H148" s="67"/>
      <c r="I148" s="60" t="str">
        <f>IF($G148="完了","",IF(SUMPRODUCT(($E148=$E$3:E232)*($D148=$D$3:D232)*($C148=$C$3:C232)*("完了"=$G$3:G232))=1,"完了",""))</f>
        <v/>
      </c>
    </row>
    <row r="149" spans="1:9" x14ac:dyDescent="0.2">
      <c r="B149" s="64">
        <f t="shared" si="9"/>
        <v>13</v>
      </c>
      <c r="C149" s="65" t="s">
        <v>307</v>
      </c>
      <c r="D149" s="65" t="s">
        <v>467</v>
      </c>
      <c r="E149" s="65" t="s">
        <v>365</v>
      </c>
      <c r="F149" s="66"/>
      <c r="G149" s="65" t="s">
        <v>24</v>
      </c>
      <c r="H149" s="67"/>
      <c r="I149" s="60" t="str">
        <f>IF($G149="完了","",IF(SUMPRODUCT(($E149=$E$3:E232)*($D149=$D$3:D232)*($C149=$C$3:C232)*("完了"=$G$3:G232))=1,"完了",""))</f>
        <v/>
      </c>
    </row>
    <row r="150" spans="1:9" x14ac:dyDescent="0.2">
      <c r="B150" s="64">
        <f t="shared" si="9"/>
        <v>14</v>
      </c>
      <c r="C150" s="65" t="s">
        <v>307</v>
      </c>
      <c r="D150" s="65" t="s">
        <v>467</v>
      </c>
      <c r="E150" s="65" t="s">
        <v>283</v>
      </c>
      <c r="F150" s="66"/>
      <c r="G150" s="65" t="s">
        <v>24</v>
      </c>
      <c r="H150" s="67"/>
      <c r="I150" s="60" t="str">
        <f>IF($G150="完了","",IF(SUMPRODUCT(($E150=$E$3:E232)*($D150=$D$3:D232)*($C150=$C$3:C232)*("完了"=$G$3:G232))=1,"完了",""))</f>
        <v/>
      </c>
    </row>
    <row r="151" spans="1:9" x14ac:dyDescent="0.2">
      <c r="B151" s="64">
        <f>B150+1</f>
        <v>15</v>
      </c>
      <c r="C151" s="65" t="s">
        <v>307</v>
      </c>
      <c r="D151" s="65" t="s">
        <v>461</v>
      </c>
      <c r="E151" s="65" t="s">
        <v>469</v>
      </c>
      <c r="F151" s="66"/>
      <c r="G151" s="65" t="s">
        <v>24</v>
      </c>
      <c r="H151" s="67"/>
      <c r="I151" s="60" t="str">
        <f>IF($G151="完了","",IF(SUMPRODUCT(($E151=$E$3:E232)*($D151=$D$3:D232)*($C151=$C$3:C232)*("完了"=$G$3:G232))=1,"完了",""))</f>
        <v/>
      </c>
    </row>
    <row r="152" spans="1:9" x14ac:dyDescent="0.2">
      <c r="B152" s="64">
        <f>B151+1</f>
        <v>16</v>
      </c>
      <c r="C152" s="65" t="s">
        <v>307</v>
      </c>
      <c r="D152" s="65" t="s">
        <v>461</v>
      </c>
      <c r="E152" s="65" t="s">
        <v>41</v>
      </c>
      <c r="F152" s="66"/>
      <c r="G152" s="65" t="s">
        <v>24</v>
      </c>
      <c r="H152" s="67"/>
      <c r="I152" s="60" t="str">
        <f>IF($G152="完了","",IF(SUMPRODUCT(($E152=$E$3:E232)*($D152=$D$3:D232)*($C152=$C$3:C232)*("完了"=$G$3:G232))=1,"完了",""))</f>
        <v/>
      </c>
    </row>
    <row r="153" spans="1:9" x14ac:dyDescent="0.2">
      <c r="B153" s="64">
        <f>B152+1</f>
        <v>17</v>
      </c>
      <c r="C153" s="65" t="s">
        <v>372</v>
      </c>
      <c r="D153" s="65" t="s">
        <v>243</v>
      </c>
      <c r="E153" s="65" t="s">
        <v>373</v>
      </c>
      <c r="F153" s="66"/>
      <c r="G153" s="65" t="s">
        <v>24</v>
      </c>
      <c r="H153" s="67"/>
      <c r="I153" s="60" t="str">
        <f>IF($G153="完了","",IF(SUMPRODUCT(($E153=$E$3:E232)*($D153=$D$3:D232)*($C153=$C$3:C232)*("完了"=$G$3:G232))=1,"完了",""))</f>
        <v/>
      </c>
    </row>
    <row r="154" spans="1:9" x14ac:dyDescent="0.2">
      <c r="B154" s="64">
        <f>B153+1</f>
        <v>18</v>
      </c>
      <c r="C154" s="65"/>
      <c r="D154" s="65"/>
      <c r="E154" s="65"/>
      <c r="F154" s="66"/>
      <c r="G154" s="65"/>
      <c r="H154" s="67"/>
      <c r="I154" s="60" t="str">
        <f>IF($G154="完了","",IF(SUMPRODUCT(($E154=$E$3:E232)*($D154=$D$3:D232)*($C154=$C$3:C232)*("完了"=$G$3:G232))=1,"完了",""))</f>
        <v>完了</v>
      </c>
    </row>
    <row r="155" spans="1:9" x14ac:dyDescent="0.2">
      <c r="B155" s="64">
        <f>B154+1</f>
        <v>19</v>
      </c>
      <c r="C155" s="65"/>
      <c r="D155" s="65"/>
      <c r="E155" s="65"/>
      <c r="F155" s="66"/>
      <c r="G155" s="65"/>
      <c r="H155" s="67"/>
      <c r="I155" s="60" t="str">
        <f>IF($G155="完了","",IF(SUMPRODUCT(($E155=$E$3:E232)*($D155=$D$3:D232)*($C155=$C$3:C232)*("完了"=$G$3:G232))=1,"完了",""))</f>
        <v>完了</v>
      </c>
    </row>
    <row r="156" spans="1:9" x14ac:dyDescent="0.2">
      <c r="B156" s="64"/>
      <c r="C156" s="65"/>
      <c r="D156" s="65"/>
      <c r="E156" s="65"/>
      <c r="F156" s="66"/>
      <c r="G156" s="65"/>
      <c r="H156" s="67"/>
      <c r="I156" s="60"/>
    </row>
    <row r="157" spans="1:9" x14ac:dyDescent="0.2">
      <c r="B157" s="64"/>
      <c r="C157" s="65"/>
      <c r="D157" s="65"/>
      <c r="E157" s="65"/>
      <c r="F157" s="66"/>
      <c r="G157" s="65"/>
      <c r="H157" s="67"/>
      <c r="I157" s="60"/>
    </row>
    <row r="158" spans="1:9" x14ac:dyDescent="0.2">
      <c r="A158" s="63" t="s">
        <v>386</v>
      </c>
      <c r="B158" s="64"/>
      <c r="C158" s="65"/>
      <c r="D158" s="65"/>
      <c r="E158" s="65"/>
      <c r="F158" s="66"/>
      <c r="G158" s="65"/>
      <c r="H158" s="67"/>
      <c r="I158" s="60"/>
    </row>
    <row r="159" spans="1:9" x14ac:dyDescent="0.2">
      <c r="B159" s="64" t="s">
        <v>17</v>
      </c>
      <c r="C159" s="65" t="s">
        <v>18</v>
      </c>
      <c r="D159" s="65" t="s">
        <v>470</v>
      </c>
      <c r="E159" s="65" t="s">
        <v>449</v>
      </c>
      <c r="F159" s="66" t="s">
        <v>27</v>
      </c>
      <c r="G159" s="65" t="s">
        <v>20</v>
      </c>
      <c r="H159" s="67" t="s">
        <v>15</v>
      </c>
      <c r="I159" s="60" t="s">
        <v>132</v>
      </c>
    </row>
    <row r="160" spans="1:9" x14ac:dyDescent="0.2">
      <c r="B160" s="64">
        <v>1</v>
      </c>
      <c r="C160" s="65" t="s">
        <v>122</v>
      </c>
      <c r="D160" s="65" t="s">
        <v>374</v>
      </c>
      <c r="E160" s="65" t="s">
        <v>379</v>
      </c>
      <c r="F160" s="66"/>
      <c r="G160" s="65" t="s">
        <v>24</v>
      </c>
      <c r="H160" s="67"/>
      <c r="I160" s="60" t="str">
        <f>IF($G160="完了","",IF(SUMPRODUCT(($E160=$E$3:E232)*($D160=$D$3:D232)*($C160=$C$3:C232)*("完了"=$G$3:G232))=1,"完了",""))</f>
        <v/>
      </c>
    </row>
    <row r="161" spans="2:9" ht="37.5" x14ac:dyDescent="0.2">
      <c r="B161" s="64">
        <f t="shared" ref="B161:B168" si="10">B160+1</f>
        <v>2</v>
      </c>
      <c r="C161" s="65" t="s">
        <v>122</v>
      </c>
      <c r="D161" s="65" t="s">
        <v>374</v>
      </c>
      <c r="E161" s="65" t="s">
        <v>380</v>
      </c>
      <c r="F161" s="66"/>
      <c r="G161" s="65" t="s">
        <v>24</v>
      </c>
      <c r="H161" s="67" t="s">
        <v>405</v>
      </c>
      <c r="I161" s="60" t="str">
        <f>IF($G161="完了","",IF(SUMPRODUCT(($E161=$E$3:E232)*($D161=$D$3:D232)*($C161=$C$3:C232)*("完了"=$G$3:G232))=1,"完了",""))</f>
        <v/>
      </c>
    </row>
    <row r="162" spans="2:9" x14ac:dyDescent="0.2">
      <c r="B162" s="64">
        <f t="shared" si="10"/>
        <v>3</v>
      </c>
      <c r="C162" s="65" t="s">
        <v>122</v>
      </c>
      <c r="D162" s="65" t="s">
        <v>467</v>
      </c>
      <c r="E162" s="65" t="s">
        <v>471</v>
      </c>
      <c r="F162" s="66"/>
      <c r="G162" s="65" t="s">
        <v>24</v>
      </c>
      <c r="H162" s="67" t="s">
        <v>402</v>
      </c>
      <c r="I162" s="60" t="str">
        <f>IF($G162="完了","",IF(SUMPRODUCT(($E162=$E$3:E232)*($D162=$D$3:D232)*($C162=$C$3:C232)*("完了"=$G$3:G232))=1,"完了",""))</f>
        <v/>
      </c>
    </row>
    <row r="163" spans="2:9" x14ac:dyDescent="0.2">
      <c r="B163" s="64">
        <f t="shared" si="10"/>
        <v>4</v>
      </c>
      <c r="C163" s="65" t="s">
        <v>122</v>
      </c>
      <c r="D163" s="65" t="s">
        <v>467</v>
      </c>
      <c r="E163" s="65" t="s">
        <v>403</v>
      </c>
      <c r="F163" s="66"/>
      <c r="G163" s="65" t="s">
        <v>24</v>
      </c>
      <c r="H163" s="67"/>
      <c r="I163" s="60" t="str">
        <f>IF($G163="完了","",IF(SUMPRODUCT(($E163=$E$3:E232)*($D163=$D$3:D232)*($C163=$C$3:C232)*("完了"=$G$3:G232))=1,"完了",""))</f>
        <v/>
      </c>
    </row>
    <row r="164" spans="2:9" x14ac:dyDescent="0.2">
      <c r="B164" s="64">
        <f t="shared" si="10"/>
        <v>5</v>
      </c>
      <c r="C164" s="65" t="s">
        <v>122</v>
      </c>
      <c r="D164" s="65" t="s">
        <v>461</v>
      </c>
      <c r="E164" s="65" t="s">
        <v>383</v>
      </c>
      <c r="F164" s="66"/>
      <c r="G164" s="65" t="s">
        <v>24</v>
      </c>
      <c r="H164" s="67"/>
      <c r="I164" s="60" t="str">
        <f>IF($G164="完了","",IF(SUMPRODUCT(($E164=$E$3:E232)*($D164=$D$3:D232)*($C164=$C$3:C232)*("完了"=$G$3:G232))=1,"完了",""))</f>
        <v/>
      </c>
    </row>
    <row r="165" spans="2:9" x14ac:dyDescent="0.2">
      <c r="B165" s="64">
        <f t="shared" si="10"/>
        <v>6</v>
      </c>
      <c r="C165" s="65" t="s">
        <v>122</v>
      </c>
      <c r="D165" s="65" t="s">
        <v>461</v>
      </c>
      <c r="E165" s="65" t="s">
        <v>384</v>
      </c>
      <c r="F165" s="66"/>
      <c r="G165" s="65" t="s">
        <v>114</v>
      </c>
      <c r="H165" s="67"/>
      <c r="I165" s="60" t="str">
        <f>IF($G165="完了","",IF(SUMPRODUCT(($E165=$E$3:E232)*($D165=$D$3:D232)*($C165=$C$3:C232)*("完了"=$G$3:G232))=1,"完了",""))</f>
        <v>完了</v>
      </c>
    </row>
    <row r="166" spans="2:9" x14ac:dyDescent="0.2">
      <c r="B166" s="64">
        <f t="shared" si="10"/>
        <v>7</v>
      </c>
      <c r="C166" s="65" t="s">
        <v>122</v>
      </c>
      <c r="D166" s="65" t="s">
        <v>461</v>
      </c>
      <c r="E166" s="65" t="s">
        <v>406</v>
      </c>
      <c r="F166" s="66"/>
      <c r="G166" s="65" t="s">
        <v>25</v>
      </c>
      <c r="H166" s="67"/>
      <c r="I166" s="60" t="str">
        <f>IF($G166="完了","",IF(SUMPRODUCT(($E166=$E$3:E232)*($D166=$D$3:D232)*($C166=$C$3:C232)*("完了"=$G$3:G232))=1,"完了",""))</f>
        <v>完了</v>
      </c>
    </row>
    <row r="167" spans="2:9" ht="50" x14ac:dyDescent="0.2">
      <c r="B167" s="64">
        <f t="shared" si="10"/>
        <v>8</v>
      </c>
      <c r="C167" s="65" t="s">
        <v>122</v>
      </c>
      <c r="D167" s="65" t="s">
        <v>291</v>
      </c>
      <c r="E167" s="65" t="s">
        <v>41</v>
      </c>
      <c r="F167" s="66"/>
      <c r="G167" s="65" t="s">
        <v>24</v>
      </c>
      <c r="H167" s="67" t="s">
        <v>391</v>
      </c>
      <c r="I167" s="60" t="str">
        <f>IF($G167="完了","",IF(SUMPRODUCT(($E167=$E$3:E233)*($D167=$D$3:D233)*($C167=$C$3:C233)*("完了"=$G$3:G233))=1,"完了",""))</f>
        <v/>
      </c>
    </row>
    <row r="168" spans="2:9" x14ac:dyDescent="0.2">
      <c r="B168" s="64">
        <f t="shared" si="10"/>
        <v>9</v>
      </c>
      <c r="C168" s="65" t="s">
        <v>122</v>
      </c>
      <c r="D168" s="65" t="s">
        <v>291</v>
      </c>
      <c r="E168" s="65" t="s">
        <v>377</v>
      </c>
      <c r="F168" s="66"/>
      <c r="G168" s="65" t="s">
        <v>24</v>
      </c>
      <c r="H168" s="67" t="s">
        <v>382</v>
      </c>
      <c r="I168" s="60" t="str">
        <f>IF($G168="完了","",IF(SUMPRODUCT(($E168=$E$3:E234)*($D168=$D$3:D234)*($C168=$C$3:C234)*("完了"=$G$3:G234))=1,"完了",""))</f>
        <v/>
      </c>
    </row>
    <row r="169" spans="2:9" ht="50" x14ac:dyDescent="0.2">
      <c r="B169" s="64">
        <f>B165+1</f>
        <v>7</v>
      </c>
      <c r="C169" s="65" t="s">
        <v>122</v>
      </c>
      <c r="D169" s="65" t="s">
        <v>291</v>
      </c>
      <c r="E169" s="65" t="s">
        <v>378</v>
      </c>
      <c r="F169" s="66"/>
      <c r="G169" s="65" t="s">
        <v>24</v>
      </c>
      <c r="H169" s="67" t="s">
        <v>395</v>
      </c>
      <c r="I169" s="60" t="str">
        <f>IF($G169="完了","",IF(SUMPRODUCT(($E169=$E$3:E235)*($D169=$D$3:D235)*($C169=$C$3:C235)*("完了"=$G$3:G235))=1,"完了",""))</f>
        <v/>
      </c>
    </row>
    <row r="170" spans="2:9" x14ac:dyDescent="0.2">
      <c r="B170" s="64">
        <f t="shared" ref="B170:B177" si="11">B169+1</f>
        <v>8</v>
      </c>
      <c r="C170" s="65" t="s">
        <v>322</v>
      </c>
      <c r="D170" s="65" t="s">
        <v>468</v>
      </c>
      <c r="E170" s="65" t="s">
        <v>370</v>
      </c>
      <c r="F170" s="66"/>
      <c r="G170" s="65" t="s">
        <v>114</v>
      </c>
      <c r="H170" s="67"/>
      <c r="I170" s="60" t="str">
        <f>IF($G170="完了","",IF(SUMPRODUCT(($E170=$E$3:E236)*($D170=$D$3:D236)*($C170=$C$3:C236)*("完了"=$G$3:G236))=1,"完了",""))</f>
        <v>完了</v>
      </c>
    </row>
    <row r="171" spans="2:9" x14ac:dyDescent="0.2">
      <c r="B171" s="64">
        <f t="shared" si="11"/>
        <v>9</v>
      </c>
      <c r="C171" s="65" t="s">
        <v>322</v>
      </c>
      <c r="D171" s="65" t="s">
        <v>468</v>
      </c>
      <c r="E171" s="65" t="s">
        <v>394</v>
      </c>
      <c r="F171" s="66"/>
      <c r="G171" s="65" t="s">
        <v>24</v>
      </c>
      <c r="H171" s="67"/>
      <c r="I171" s="60" t="str">
        <f>IF($G171="完了","",IF(SUMPRODUCT(($E171=$E$3:E237)*($D171=$D$3:D237)*($C171=$C$3:C237)*("完了"=$G$3:G237))=1,"完了",""))</f>
        <v/>
      </c>
    </row>
    <row r="172" spans="2:9" ht="25" x14ac:dyDescent="0.2">
      <c r="B172" s="64">
        <f t="shared" si="11"/>
        <v>10</v>
      </c>
      <c r="C172" s="65" t="s">
        <v>307</v>
      </c>
      <c r="D172" s="65" t="s">
        <v>461</v>
      </c>
      <c r="E172" s="65" t="s">
        <v>392</v>
      </c>
      <c r="F172" s="66"/>
      <c r="G172" s="65" t="s">
        <v>114</v>
      </c>
      <c r="H172" s="67" t="s">
        <v>393</v>
      </c>
      <c r="I172" s="60" t="str">
        <f>IF($G172="完了","",IF(SUMPRODUCT(($E172=$E$3:E238)*($D172=$D$3:D238)*($C172=$C$3:C238)*("完了"=$G$3:G238))=1,"完了",""))</f>
        <v>完了</v>
      </c>
    </row>
    <row r="173" spans="2:9" x14ac:dyDescent="0.2">
      <c r="B173" s="64">
        <f t="shared" si="11"/>
        <v>11</v>
      </c>
      <c r="C173" s="65" t="s">
        <v>307</v>
      </c>
      <c r="D173" s="65" t="s">
        <v>461</v>
      </c>
      <c r="E173" s="65" t="s">
        <v>387</v>
      </c>
      <c r="F173" s="66"/>
      <c r="G173" s="65" t="s">
        <v>25</v>
      </c>
      <c r="H173" s="67"/>
      <c r="I173" s="60" t="str">
        <f>IF($G173="完了","",IF(SUMPRODUCT(($E173=$E$3:E239)*($D173=$D$3:D239)*($C173=$C$3:C239)*("完了"=$G$3:G239))=1,"完了",""))</f>
        <v>完了</v>
      </c>
    </row>
    <row r="174" spans="2:9" x14ac:dyDescent="0.2">
      <c r="B174" s="64">
        <f t="shared" si="11"/>
        <v>12</v>
      </c>
      <c r="C174" s="65" t="s">
        <v>307</v>
      </c>
      <c r="D174" s="65" t="s">
        <v>468</v>
      </c>
      <c r="E174" s="65" t="s">
        <v>394</v>
      </c>
      <c r="F174" s="66"/>
      <c r="G174" s="65" t="s">
        <v>25</v>
      </c>
      <c r="H174" s="67"/>
      <c r="I174" s="60" t="str">
        <f>IF($G174="完了","",IF(SUMPRODUCT(($E174=$E$3:E240)*($D174=$D$3:D240)*($C174=$C$3:C240)*("完了"=$G$3:G240))=1,"完了",""))</f>
        <v>完了</v>
      </c>
    </row>
    <row r="175" spans="2:9" x14ac:dyDescent="0.2">
      <c r="B175" s="64">
        <f t="shared" si="11"/>
        <v>13</v>
      </c>
      <c r="C175" s="65" t="s">
        <v>388</v>
      </c>
      <c r="D175" s="65" t="s">
        <v>389</v>
      </c>
      <c r="E175" s="65" t="s">
        <v>390</v>
      </c>
      <c r="F175" s="66"/>
      <c r="G175" s="65" t="s">
        <v>24</v>
      </c>
      <c r="H175" s="67"/>
      <c r="I175" s="60" t="str">
        <f>IF($G175="完了","",IF(SUMPRODUCT(($E175=$E$3:E241)*($D175=$D$3:D241)*($C175=$C$3:C241)*("完了"=$G$3:G241))=1,"完了",""))</f>
        <v/>
      </c>
    </row>
    <row r="176" spans="2:9" x14ac:dyDescent="0.2">
      <c r="B176" s="64">
        <f t="shared" si="11"/>
        <v>14</v>
      </c>
      <c r="C176" s="65" t="s">
        <v>396</v>
      </c>
      <c r="D176" s="65" t="s">
        <v>397</v>
      </c>
      <c r="E176" s="65" t="s">
        <v>398</v>
      </c>
      <c r="F176" s="66"/>
      <c r="G176" s="65" t="s">
        <v>24</v>
      </c>
      <c r="H176" s="67"/>
      <c r="I176" s="60" t="str">
        <f>IF($G176="完了","",IF(SUMPRODUCT(($E176=$E$3:E241)*($D176=$D$3:D241)*($C176=$C$3:C241)*("完了"=$G$3:G241))=1,"完了",""))</f>
        <v/>
      </c>
    </row>
    <row r="177" spans="1:9" ht="25" x14ac:dyDescent="0.2">
      <c r="B177" s="64">
        <f t="shared" si="11"/>
        <v>15</v>
      </c>
      <c r="C177" s="65" t="s">
        <v>396</v>
      </c>
      <c r="D177" s="65" t="s">
        <v>397</v>
      </c>
      <c r="E177" s="65" t="s">
        <v>399</v>
      </c>
      <c r="F177" s="66"/>
      <c r="G177" s="65" t="s">
        <v>24</v>
      </c>
      <c r="H177" s="67" t="s">
        <v>400</v>
      </c>
      <c r="I177" s="60" t="str">
        <f>IF($G177="完了","",IF(SUMPRODUCT(($E177=$E$3:E242)*($D177=$D$3:D242)*($C177=$C$3:C242)*("完了"=$G$3:G242))=1,"完了",""))</f>
        <v/>
      </c>
    </row>
    <row r="178" spans="1:9" x14ac:dyDescent="0.2">
      <c r="B178" s="64">
        <f>B177+1</f>
        <v>16</v>
      </c>
      <c r="C178" s="65" t="s">
        <v>401</v>
      </c>
      <c r="D178" s="65" t="s">
        <v>291</v>
      </c>
      <c r="E178" s="65" t="s">
        <v>404</v>
      </c>
      <c r="F178" s="66"/>
      <c r="G178" s="65" t="s">
        <v>24</v>
      </c>
      <c r="H178" s="67" t="s">
        <v>411</v>
      </c>
      <c r="I178" s="60" t="str">
        <f>IF($G178="完了","",IF(SUMPRODUCT(($E178=$E$3:E243)*($D178=$D$3:D243)*($C178=$C$3:C243)*("完了"=$G$3:G243))=1,"完了",""))</f>
        <v/>
      </c>
    </row>
    <row r="179" spans="1:9" x14ac:dyDescent="0.2">
      <c r="B179" s="64">
        <f>B178+1</f>
        <v>17</v>
      </c>
      <c r="C179" s="65" t="s">
        <v>407</v>
      </c>
      <c r="D179" s="65" t="s">
        <v>291</v>
      </c>
      <c r="E179" s="65" t="s">
        <v>408</v>
      </c>
      <c r="F179" s="66"/>
      <c r="G179" s="65" t="s">
        <v>24</v>
      </c>
      <c r="H179" s="67"/>
      <c r="I179" s="60" t="str">
        <f>IF($G179="完了","",IF(SUMPRODUCT(($E179=$E$3:E300)*($D179=$D$3:D300)*($C179=$C$3:C300)*("完了"=$G$3:G300))=1,"完了",""))</f>
        <v/>
      </c>
    </row>
    <row r="180" spans="1:9" x14ac:dyDescent="0.2">
      <c r="B180" s="64">
        <f>B179+1</f>
        <v>18</v>
      </c>
      <c r="C180" s="65" t="s">
        <v>407</v>
      </c>
      <c r="D180" s="65" t="s">
        <v>291</v>
      </c>
      <c r="E180" s="65" t="s">
        <v>409</v>
      </c>
      <c r="F180" s="66"/>
      <c r="G180" s="65" t="s">
        <v>25</v>
      </c>
      <c r="H180" s="67"/>
      <c r="I180" s="60" t="str">
        <f>IF($G180="完了","",IF(SUMPRODUCT(($E180=$E$3:E301)*($D180=$D$3:D301)*($C180=$C$3:C301)*("完了"=$G$3:G301))=1,"完了",""))</f>
        <v>完了</v>
      </c>
    </row>
    <row r="181" spans="1:9" x14ac:dyDescent="0.2">
      <c r="B181" s="64">
        <f>B180+1</f>
        <v>19</v>
      </c>
      <c r="C181" s="65"/>
      <c r="D181" s="65"/>
      <c r="E181" s="65"/>
      <c r="F181" s="66"/>
      <c r="G181" s="65"/>
      <c r="H181" s="67"/>
      <c r="I181" s="60" t="str">
        <f>IF($G181="完了","",IF(SUMPRODUCT(($E181=$E$3:E302)*($D181=$D$3:D302)*($C181=$C$3:C302)*("完了"=$G$3:G302))=1,"完了",""))</f>
        <v>完了</v>
      </c>
    </row>
    <row r="182" spans="1:9" x14ac:dyDescent="0.2">
      <c r="B182" s="64"/>
      <c r="C182" s="65"/>
      <c r="D182" s="65"/>
      <c r="E182" s="65"/>
      <c r="F182" s="66"/>
      <c r="G182" s="65"/>
      <c r="H182" s="67"/>
      <c r="I182" s="60" t="str">
        <f>IF($G182="完了","",IF(SUMPRODUCT(($E182=$E$3:E303)*($D182=$D$3:D303)*($C182=$C$3:C303)*("完了"=$G$3:G303))=1,"完了",""))</f>
        <v>完了</v>
      </c>
    </row>
    <row r="183" spans="1:9" x14ac:dyDescent="0.2">
      <c r="B183" s="64"/>
      <c r="C183" s="65"/>
      <c r="D183" s="65"/>
      <c r="E183" s="65"/>
      <c r="F183" s="66"/>
      <c r="G183" s="65"/>
      <c r="H183" s="67"/>
      <c r="I183" s="60" t="str">
        <f>IF($G183="完了","",IF(SUMPRODUCT(($E183=$E$3:E304)*($D183=$D$3:D304)*($C183=$C$3:C304)*("完了"=$G$3:G304))=1,"完了",""))</f>
        <v>完了</v>
      </c>
    </row>
    <row r="184" spans="1:9" x14ac:dyDescent="0.2">
      <c r="A184" s="63" t="s">
        <v>410</v>
      </c>
      <c r="B184" s="64"/>
      <c r="C184" s="65"/>
      <c r="D184" s="65"/>
      <c r="E184" s="65"/>
      <c r="F184" s="66"/>
      <c r="G184" s="65"/>
      <c r="H184" s="67"/>
      <c r="I184" s="60"/>
    </row>
    <row r="185" spans="1:9" x14ac:dyDescent="0.2">
      <c r="B185" s="64" t="s">
        <v>17</v>
      </c>
      <c r="C185" s="65" t="s">
        <v>18</v>
      </c>
      <c r="D185" s="65" t="s">
        <v>470</v>
      </c>
      <c r="E185" s="65" t="s">
        <v>449</v>
      </c>
      <c r="F185" s="66" t="s">
        <v>27</v>
      </c>
      <c r="G185" s="65" t="s">
        <v>20</v>
      </c>
      <c r="H185" s="67" t="s">
        <v>15</v>
      </c>
      <c r="I185" s="60" t="s">
        <v>132</v>
      </c>
    </row>
    <row r="186" spans="1:9" x14ac:dyDescent="0.2">
      <c r="B186" s="64">
        <v>1</v>
      </c>
      <c r="C186" s="65" t="s">
        <v>284</v>
      </c>
      <c r="D186" s="65" t="s">
        <v>459</v>
      </c>
      <c r="E186" s="65" t="s">
        <v>413</v>
      </c>
      <c r="F186" s="66"/>
      <c r="G186" s="65" t="s">
        <v>24</v>
      </c>
      <c r="H186" s="67"/>
      <c r="I186" s="60" t="str">
        <f>IF($G186="完了","",IF(SUMPRODUCT(($E186=$E$3:E307)*($D186=$D$3:D307)*($C186=$C$3:C307)*("完了"=$G$3:G307))=1,"完了",""))</f>
        <v/>
      </c>
    </row>
    <row r="187" spans="1:9" x14ac:dyDescent="0.2">
      <c r="B187" s="64">
        <f t="shared" ref="B187:B194" si="12">B186+1</f>
        <v>2</v>
      </c>
      <c r="C187" s="65" t="s">
        <v>284</v>
      </c>
      <c r="D187" s="65" t="s">
        <v>85</v>
      </c>
      <c r="E187" s="65" t="s">
        <v>432</v>
      </c>
      <c r="F187" s="66"/>
      <c r="G187" s="65" t="s">
        <v>114</v>
      </c>
      <c r="H187" s="67"/>
      <c r="I187" s="60" t="str">
        <f>IF($G187="完了","",IF(SUMPRODUCT(($E187=$E$3:E308)*($D187=$D$3:D308)*($C187=$C$3:C308)*("完了"=$G$3:G308))=1,"完了",""))</f>
        <v>完了</v>
      </c>
    </row>
    <row r="188" spans="1:9" x14ac:dyDescent="0.2">
      <c r="B188" s="64">
        <f t="shared" si="12"/>
        <v>3</v>
      </c>
      <c r="C188" s="65" t="s">
        <v>122</v>
      </c>
      <c r="D188" s="65" t="s">
        <v>461</v>
      </c>
      <c r="E188" s="65" t="s">
        <v>384</v>
      </c>
      <c r="F188" s="66"/>
      <c r="G188" s="65" t="s">
        <v>24</v>
      </c>
      <c r="H188" s="67"/>
      <c r="I188" s="60" t="str">
        <f>IF($G188="完了","",IF(SUMPRODUCT(($E188=$E$3:E309)*($D188=$D$3:D309)*($C188=$C$3:C309)*("完了"=$G$3:G309))=1,"完了",""))</f>
        <v/>
      </c>
    </row>
    <row r="189" spans="1:9" x14ac:dyDescent="0.2">
      <c r="B189" s="64">
        <f t="shared" si="12"/>
        <v>4</v>
      </c>
      <c r="C189" s="65" t="s">
        <v>122</v>
      </c>
      <c r="D189" s="65" t="s">
        <v>461</v>
      </c>
      <c r="E189" s="65" t="s">
        <v>406</v>
      </c>
      <c r="F189" s="66"/>
      <c r="G189" s="65" t="s">
        <v>24</v>
      </c>
      <c r="H189" s="67"/>
      <c r="I189" s="60" t="str">
        <f>IF($G189="完了","",IF(SUMPRODUCT(($E189=$E$3:E310)*($D189=$D$3:D310)*($C189=$C$3:C310)*("完了"=$G$3:G310))=1,"完了",""))</f>
        <v/>
      </c>
    </row>
    <row r="190" spans="1:9" x14ac:dyDescent="0.2">
      <c r="B190" s="64">
        <f t="shared" si="12"/>
        <v>5</v>
      </c>
      <c r="C190" s="65" t="s">
        <v>122</v>
      </c>
      <c r="D190" s="65" t="s">
        <v>461</v>
      </c>
      <c r="E190" s="65" t="s">
        <v>412</v>
      </c>
      <c r="F190" s="66"/>
      <c r="G190" s="65" t="s">
        <v>24</v>
      </c>
      <c r="H190" s="67"/>
      <c r="I190" s="60" t="str">
        <f>IF($G190="完了","",IF(SUMPRODUCT(($E190=$E$3:E311)*($D190=$D$3:D311)*($C190=$C$3:C311)*("完了"=$G$3:G311))=1,"完了",""))</f>
        <v/>
      </c>
    </row>
    <row r="191" spans="1:9" x14ac:dyDescent="0.2">
      <c r="B191" s="64">
        <f t="shared" si="12"/>
        <v>6</v>
      </c>
      <c r="C191" s="65" t="s">
        <v>122</v>
      </c>
      <c r="D191" s="65" t="s">
        <v>461</v>
      </c>
      <c r="E191" s="65" t="s">
        <v>437</v>
      </c>
      <c r="F191" s="66"/>
      <c r="G191" s="65" t="s">
        <v>25</v>
      </c>
      <c r="H191" s="67"/>
      <c r="I191" s="60" t="str">
        <f>IF($G191="完了","",IF(SUMPRODUCT(($E191=$E$3:E312)*($D191=$D$3:D312)*($C191=$C$3:C312)*("完了"=$G$3:G312))=1,"完了",""))</f>
        <v>完了</v>
      </c>
    </row>
    <row r="192" spans="1:9" x14ac:dyDescent="0.2">
      <c r="B192" s="64">
        <f t="shared" si="12"/>
        <v>7</v>
      </c>
      <c r="C192" s="65" t="s">
        <v>322</v>
      </c>
      <c r="D192" s="65" t="s">
        <v>468</v>
      </c>
      <c r="E192" s="65" t="s">
        <v>425</v>
      </c>
      <c r="F192" s="66"/>
      <c r="G192" s="65" t="s">
        <v>24</v>
      </c>
      <c r="H192" s="67"/>
      <c r="I192" s="60" t="str">
        <f>IF($G192="完了","",IF(SUMPRODUCT(($E192=$E$3:E313)*($D192=$D$3:D313)*($C192=$C$3:C313)*("完了"=$G$3:G313))=1,"完了",""))</f>
        <v/>
      </c>
    </row>
    <row r="193" spans="2:9" ht="25" x14ac:dyDescent="0.2">
      <c r="B193" s="64">
        <f t="shared" si="12"/>
        <v>8</v>
      </c>
      <c r="C193" s="65" t="s">
        <v>322</v>
      </c>
      <c r="D193" s="65" t="s">
        <v>468</v>
      </c>
      <c r="E193" s="65" t="s">
        <v>370</v>
      </c>
      <c r="F193" s="66"/>
      <c r="G193" s="65" t="s">
        <v>114</v>
      </c>
      <c r="H193" s="67" t="s">
        <v>427</v>
      </c>
      <c r="I193" s="60" t="str">
        <f>IF($G193="完了","",IF(SUMPRODUCT(($E193=$E$3:E314)*($D193=$D$3:D314)*($C193=$C$3:C314)*("完了"=$G$3:G314))=1,"完了",""))</f>
        <v>完了</v>
      </c>
    </row>
    <row r="194" spans="2:9" x14ac:dyDescent="0.2">
      <c r="B194" s="64">
        <f t="shared" si="12"/>
        <v>9</v>
      </c>
      <c r="C194" s="65" t="s">
        <v>322</v>
      </c>
      <c r="D194" s="65" t="s">
        <v>468</v>
      </c>
      <c r="E194" s="65" t="s">
        <v>103</v>
      </c>
      <c r="F194" s="66"/>
      <c r="G194" s="65" t="s">
        <v>24</v>
      </c>
      <c r="H194" s="67"/>
      <c r="I194" s="60" t="str">
        <f>IF($G194="完了","",IF(SUMPRODUCT(($E194=$E$3:E315)*($D194=$D$3:D315)*($C194=$C$3:C315)*("完了"=$G$3:G315))=1,"完了",""))</f>
        <v/>
      </c>
    </row>
    <row r="195" spans="2:9" ht="25" x14ac:dyDescent="0.2">
      <c r="B195" s="64">
        <f>B191+1</f>
        <v>7</v>
      </c>
      <c r="C195" s="65" t="s">
        <v>307</v>
      </c>
      <c r="D195" s="65" t="s">
        <v>461</v>
      </c>
      <c r="E195" s="65" t="s">
        <v>392</v>
      </c>
      <c r="F195" s="66"/>
      <c r="G195" s="65" t="s">
        <v>24</v>
      </c>
      <c r="H195" s="67" t="s">
        <v>393</v>
      </c>
      <c r="I195" s="60" t="str">
        <f>IF($G195="完了","",IF(SUMPRODUCT(($E195=$E$3:E316)*($D195=$D$3:D316)*($C195=$C$3:C316)*("完了"=$G$3:G316))=1,"完了",""))</f>
        <v/>
      </c>
    </row>
    <row r="196" spans="2:9" x14ac:dyDescent="0.2">
      <c r="B196" s="64">
        <f t="shared" ref="B196:B203" si="13">B195+1</f>
        <v>8</v>
      </c>
      <c r="C196" s="65" t="s">
        <v>307</v>
      </c>
      <c r="D196" s="65" t="s">
        <v>461</v>
      </c>
      <c r="E196" s="65" t="s">
        <v>387</v>
      </c>
      <c r="F196" s="66"/>
      <c r="G196" s="65" t="s">
        <v>25</v>
      </c>
      <c r="H196" s="67"/>
      <c r="I196" s="60" t="str">
        <f>IF($G196="完了","",IF(SUMPRODUCT(($E196=$E$3:E317)*($D196=$D$3:D317)*($C196=$C$3:C317)*("完了"=$G$3:G317))=1,"完了",""))</f>
        <v>完了</v>
      </c>
    </row>
    <row r="197" spans="2:9" x14ac:dyDescent="0.2">
      <c r="B197" s="64">
        <f t="shared" si="13"/>
        <v>9</v>
      </c>
      <c r="C197" s="65" t="s">
        <v>307</v>
      </c>
      <c r="D197" s="65" t="s">
        <v>468</v>
      </c>
      <c r="E197" s="65" t="s">
        <v>394</v>
      </c>
      <c r="F197" s="66"/>
      <c r="G197" s="65" t="s">
        <v>24</v>
      </c>
      <c r="H197" s="67"/>
      <c r="I197" s="60" t="str">
        <f>IF($G197="完了","",IF(SUMPRODUCT(($E197=$E$3:E318)*($D197=$D$3:D318)*($C197=$C$3:C318)*("完了"=$G$3:G318))=1,"完了",""))</f>
        <v/>
      </c>
    </row>
    <row r="198" spans="2:9" ht="25" x14ac:dyDescent="0.2">
      <c r="B198" s="64">
        <f t="shared" si="13"/>
        <v>10</v>
      </c>
      <c r="C198" s="65" t="s">
        <v>307</v>
      </c>
      <c r="D198" s="65" t="s">
        <v>468</v>
      </c>
      <c r="E198" s="65" t="s">
        <v>426</v>
      </c>
      <c r="F198" s="66"/>
      <c r="G198" s="65" t="s">
        <v>114</v>
      </c>
      <c r="H198" s="67" t="s">
        <v>428</v>
      </c>
      <c r="I198" s="60" t="str">
        <f>IF($G198="完了","",IF(SUMPRODUCT(($E198=$E$3:E319)*($D198=$D$3:D319)*($C198=$C$3:C319)*("完了"=$G$3:G319))=1,"完了",""))</f>
        <v>完了</v>
      </c>
    </row>
    <row r="199" spans="2:9" ht="75" x14ac:dyDescent="0.2">
      <c r="B199" s="64">
        <f t="shared" si="13"/>
        <v>11</v>
      </c>
      <c r="C199" s="65" t="s">
        <v>401</v>
      </c>
      <c r="D199" s="65" t="s">
        <v>291</v>
      </c>
      <c r="E199" s="65" t="s">
        <v>418</v>
      </c>
      <c r="F199" s="66"/>
      <c r="G199" s="65" t="s">
        <v>24</v>
      </c>
      <c r="H199" s="67" t="s">
        <v>417</v>
      </c>
      <c r="I199" s="60" t="str">
        <f>IF($G199="完了","",IF(SUMPRODUCT(($E199=$E$3:E320)*($D199=$D$3:D320)*($C199=$C$3:C320)*("完了"=$G$3:G320))=1,"完了",""))</f>
        <v/>
      </c>
    </row>
    <row r="200" spans="2:9" ht="75" x14ac:dyDescent="0.2">
      <c r="B200" s="64">
        <f t="shared" si="13"/>
        <v>12</v>
      </c>
      <c r="C200" s="65" t="s">
        <v>407</v>
      </c>
      <c r="D200" s="65" t="s">
        <v>291</v>
      </c>
      <c r="E200" s="65" t="s">
        <v>420</v>
      </c>
      <c r="F200" s="66"/>
      <c r="G200" s="65" t="s">
        <v>24</v>
      </c>
      <c r="H200" s="67" t="s">
        <v>419</v>
      </c>
      <c r="I200" s="60" t="str">
        <f>IF($G200="完了","",IF(SUMPRODUCT(($E200=$E$3:E321)*($D200=$D$3:D321)*($C200=$C$3:C321)*("完了"=$G$3:G321))=1,"完了",""))</f>
        <v/>
      </c>
    </row>
    <row r="201" spans="2:9" x14ac:dyDescent="0.2">
      <c r="B201" s="64">
        <f t="shared" si="13"/>
        <v>13</v>
      </c>
      <c r="C201" s="65" t="s">
        <v>407</v>
      </c>
      <c r="D201" s="65" t="s">
        <v>291</v>
      </c>
      <c r="E201" s="65" t="s">
        <v>433</v>
      </c>
      <c r="F201" s="66"/>
      <c r="G201" s="65" t="s">
        <v>24</v>
      </c>
      <c r="H201" s="67"/>
      <c r="I201" s="60" t="str">
        <f>IF($G201="完了","",IF(SUMPRODUCT(($E201=$E$3:E322)*($D201=$D$3:D322)*($C201=$C$3:C322)*("完了"=$G$3:G322))=1,"完了",""))</f>
        <v/>
      </c>
    </row>
    <row r="202" spans="2:9" x14ac:dyDescent="0.2">
      <c r="B202" s="64">
        <f t="shared" si="13"/>
        <v>14</v>
      </c>
      <c r="C202" s="65" t="s">
        <v>407</v>
      </c>
      <c r="D202" s="65" t="s">
        <v>291</v>
      </c>
      <c r="E202" s="65" t="s">
        <v>435</v>
      </c>
      <c r="F202" s="66"/>
      <c r="G202" s="65" t="s">
        <v>24</v>
      </c>
      <c r="H202" s="67"/>
      <c r="I202" s="60" t="str">
        <f>IF($G202="完了","",IF(SUMPRODUCT(($E202=$E$3:E323)*($D202=$D$3:D323)*($C202=$C$3:C323)*("完了"=$G$3:G323))=1,"完了",""))</f>
        <v/>
      </c>
    </row>
    <row r="203" spans="2:9" x14ac:dyDescent="0.2">
      <c r="B203" s="64">
        <f t="shared" si="13"/>
        <v>15</v>
      </c>
      <c r="C203" s="65" t="s">
        <v>436</v>
      </c>
      <c r="D203" s="65" t="s">
        <v>291</v>
      </c>
      <c r="E203" s="65" t="s">
        <v>409</v>
      </c>
      <c r="F203" s="66"/>
      <c r="G203" s="65" t="s">
        <v>24</v>
      </c>
      <c r="H203" s="67"/>
      <c r="I203" s="60" t="str">
        <f>IF($G203="完了","",IF(SUMPRODUCT(($E203=$E$3:E324)*($D203=$D$3:D324)*($C203=$C$3:C324)*("完了"=$G$3:G324))=1,"完了",""))</f>
        <v/>
      </c>
    </row>
    <row r="204" spans="2:9" x14ac:dyDescent="0.2">
      <c r="B204" s="64">
        <f>B203+1</f>
        <v>16</v>
      </c>
      <c r="C204" s="65" t="s">
        <v>436</v>
      </c>
      <c r="D204" s="65" t="s">
        <v>252</v>
      </c>
      <c r="E204" s="65" t="s">
        <v>438</v>
      </c>
      <c r="F204" s="66"/>
      <c r="G204" s="65" t="s">
        <v>25</v>
      </c>
      <c r="H204" s="67"/>
      <c r="I204" s="60" t="str">
        <f>IF($G204="完了","",IF(SUMPRODUCT(($E204=$E$3:E325)*($D204=$D$3:D325)*($C204=$C$3:C325)*("完了"=$G$3:G325))=1,"完了",""))</f>
        <v>完了</v>
      </c>
    </row>
    <row r="205" spans="2:9" x14ac:dyDescent="0.2">
      <c r="B205" s="64">
        <f>B204+1</f>
        <v>17</v>
      </c>
      <c r="C205" s="65" t="s">
        <v>414</v>
      </c>
      <c r="D205" s="65" t="s">
        <v>291</v>
      </c>
      <c r="E205" s="65" t="s">
        <v>415</v>
      </c>
      <c r="F205" s="66"/>
      <c r="G205" s="65" t="s">
        <v>24</v>
      </c>
      <c r="H205" s="67"/>
      <c r="I205" s="60" t="str">
        <f>IF($G205="完了","",IF(SUMPRODUCT(($E205=$E$3:E326)*($D205=$D$3:D326)*($C205=$C$3:C326)*("完了"=$G$3:G326))=1,"完了",""))</f>
        <v/>
      </c>
    </row>
    <row r="206" spans="2:9" x14ac:dyDescent="0.2">
      <c r="B206" s="64">
        <f t="shared" ref="B206:B214" si="14">B205+1</f>
        <v>18</v>
      </c>
      <c r="C206" s="65" t="s">
        <v>414</v>
      </c>
      <c r="D206" s="65" t="s">
        <v>452</v>
      </c>
      <c r="E206" s="65" t="s">
        <v>416</v>
      </c>
      <c r="F206" s="66"/>
      <c r="G206" s="65" t="s">
        <v>24</v>
      </c>
      <c r="H206" s="67"/>
      <c r="I206" s="60" t="str">
        <f>IF($G206="完了","",IF(SUMPRODUCT(($E206=$E$3:E327)*($D206=$D$3:D327)*($C206=$C$3:C327)*("完了"=$G$3:G327))=1,"完了",""))</f>
        <v/>
      </c>
    </row>
    <row r="207" spans="2:9" x14ac:dyDescent="0.2">
      <c r="B207" s="64">
        <f t="shared" si="14"/>
        <v>19</v>
      </c>
      <c r="C207" s="65" t="s">
        <v>414</v>
      </c>
      <c r="D207" s="65" t="s">
        <v>527</v>
      </c>
      <c r="E207" s="65" t="s">
        <v>499</v>
      </c>
      <c r="F207" s="66"/>
      <c r="G207" s="65" t="s">
        <v>25</v>
      </c>
      <c r="H207" s="67"/>
      <c r="I207" s="60" t="str">
        <f>IF($G207="完了","",IF(SUMPRODUCT(($E207=$E$3:E400)*($D207=$D$3:D400)*($C207=$C$3:C400)*("完了"=$G$3:G400))=1,"完了",""))</f>
        <v>完了</v>
      </c>
    </row>
    <row r="208" spans="2:9" x14ac:dyDescent="0.2">
      <c r="B208" s="64">
        <f t="shared" si="14"/>
        <v>20</v>
      </c>
      <c r="C208" s="65" t="s">
        <v>421</v>
      </c>
      <c r="D208" s="65" t="s">
        <v>528</v>
      </c>
      <c r="E208" s="65" t="s">
        <v>408</v>
      </c>
      <c r="F208" s="66"/>
      <c r="G208" s="65" t="s">
        <v>114</v>
      </c>
      <c r="H208" s="67"/>
      <c r="I208" s="60" t="str">
        <f>IF($G208="完了","",IF(SUMPRODUCT(($E208=$E$3:E401)*($D208=$D$3:D401)*($C208=$C$3:C401)*("完了"=$G$3:G401))=1,"完了",""))</f>
        <v>完了</v>
      </c>
    </row>
    <row r="209" spans="1:9" x14ac:dyDescent="0.2">
      <c r="B209" s="64">
        <f t="shared" si="14"/>
        <v>21</v>
      </c>
      <c r="C209" s="65" t="s">
        <v>421</v>
      </c>
      <c r="D209" s="65" t="s">
        <v>291</v>
      </c>
      <c r="E209" s="65" t="s">
        <v>431</v>
      </c>
      <c r="F209" s="66"/>
      <c r="G209" s="65" t="s">
        <v>24</v>
      </c>
      <c r="H209" s="67"/>
      <c r="I209" s="60" t="str">
        <f>IF($G209="完了","",IF(SUMPRODUCT(($E209=$E$3:E402)*($D209=$D$3:D402)*($C209=$C$3:C402)*("完了"=$G$3:G402))=1,"完了",""))</f>
        <v/>
      </c>
    </row>
    <row r="210" spans="1:9" x14ac:dyDescent="0.2">
      <c r="B210" s="64">
        <f t="shared" si="14"/>
        <v>22</v>
      </c>
      <c r="C210" s="65" t="s">
        <v>422</v>
      </c>
      <c r="D210" s="65" t="s">
        <v>423</v>
      </c>
      <c r="E210" s="65" t="s">
        <v>424</v>
      </c>
      <c r="F210" s="66"/>
      <c r="G210" s="65" t="s">
        <v>24</v>
      </c>
      <c r="H210" s="67"/>
      <c r="I210" s="60" t="str">
        <f>IF($G210="完了","",IF(SUMPRODUCT(($E210=$E$3:E403)*($D210=$D$3:D403)*($C210=$C$3:C403)*("完了"=$G$3:G403))=1,"完了",""))</f>
        <v/>
      </c>
    </row>
    <row r="211" spans="1:9" x14ac:dyDescent="0.2">
      <c r="B211" s="64">
        <f t="shared" si="14"/>
        <v>23</v>
      </c>
      <c r="C211" s="65" t="s">
        <v>422</v>
      </c>
      <c r="D211" s="65" t="s">
        <v>423</v>
      </c>
      <c r="E211" s="65" t="s">
        <v>444</v>
      </c>
      <c r="F211" s="66"/>
      <c r="G211" s="65" t="s">
        <v>25</v>
      </c>
      <c r="H211" s="67"/>
      <c r="I211" s="60" t="str">
        <f>IF($G211="完了","",IF(SUMPRODUCT(($E211=$E$3:E404)*($D211=$D$3:D404)*($C211=$C$3:C404)*("完了"=$G$3:G404))=1,"完了",""))</f>
        <v>完了</v>
      </c>
    </row>
    <row r="212" spans="1:9" x14ac:dyDescent="0.2">
      <c r="B212" s="64">
        <f t="shared" si="14"/>
        <v>24</v>
      </c>
      <c r="C212" s="65" t="s">
        <v>429</v>
      </c>
      <c r="D212" s="65" t="s">
        <v>291</v>
      </c>
      <c r="E212" s="65" t="s">
        <v>430</v>
      </c>
      <c r="F212" s="66"/>
      <c r="G212" s="65" t="s">
        <v>24</v>
      </c>
      <c r="H212" s="67"/>
      <c r="I212" s="60" t="str">
        <f>IF($G212="完了","",IF(SUMPRODUCT(($E212=$E$3:E405)*($D212=$D$3:D405)*($C212=$C$3:C405)*("完了"=$G$3:G405))=1,"完了",""))</f>
        <v/>
      </c>
    </row>
    <row r="213" spans="1:9" x14ac:dyDescent="0.2">
      <c r="B213" s="64">
        <f t="shared" si="14"/>
        <v>25</v>
      </c>
      <c r="C213" s="65" t="s">
        <v>475</v>
      </c>
      <c r="D213" s="65" t="s">
        <v>291</v>
      </c>
      <c r="E213" s="65" t="s">
        <v>440</v>
      </c>
      <c r="F213" s="66"/>
      <c r="G213" s="65" t="s">
        <v>25</v>
      </c>
      <c r="H213" s="67"/>
      <c r="I213" s="60" t="str">
        <f>IF($G213="完了","",IF(SUMPRODUCT(($E213=$E$3:E406)*($D213=$D$3:D406)*($C213=$C$3:C406)*("完了"=$G$3:G406))=1,"完了",""))</f>
        <v>完了</v>
      </c>
    </row>
    <row r="214" spans="1:9" x14ac:dyDescent="0.2">
      <c r="B214" s="64">
        <f t="shared" si="14"/>
        <v>26</v>
      </c>
      <c r="C214" s="65"/>
      <c r="D214" s="65"/>
      <c r="E214" s="65"/>
      <c r="F214" s="66"/>
      <c r="G214" s="65"/>
      <c r="H214" s="67"/>
      <c r="I214" s="60" t="str">
        <f>IF($G214="完了","",IF(SUMPRODUCT(($E214=$E$3:E407)*($D214=$D$3:D407)*($C214=$C$3:C407)*("完了"=$G$3:G407))=1,"完了",""))</f>
        <v>完了</v>
      </c>
    </row>
    <row r="215" spans="1:9" x14ac:dyDescent="0.2">
      <c r="B215" s="64"/>
      <c r="C215" s="65"/>
      <c r="D215" s="65"/>
      <c r="E215" s="65"/>
      <c r="F215" s="66"/>
      <c r="G215" s="65"/>
      <c r="H215" s="67"/>
      <c r="I215" s="60"/>
    </row>
    <row r="216" spans="1:9" x14ac:dyDescent="0.2">
      <c r="B216" s="64"/>
      <c r="C216" s="65"/>
      <c r="D216" s="65"/>
      <c r="E216" s="65"/>
      <c r="F216" s="66"/>
      <c r="G216" s="65"/>
      <c r="H216" s="67"/>
      <c r="I216" s="60"/>
    </row>
    <row r="217" spans="1:9" x14ac:dyDescent="0.2">
      <c r="A217" s="63" t="s">
        <v>439</v>
      </c>
      <c r="B217" s="64"/>
      <c r="C217" s="65"/>
      <c r="D217" s="65"/>
      <c r="E217" s="65"/>
      <c r="F217" s="66"/>
      <c r="G217" s="65"/>
      <c r="H217" s="67"/>
      <c r="I217" s="60"/>
    </row>
    <row r="218" spans="1:9" x14ac:dyDescent="0.2">
      <c r="B218" s="64" t="s">
        <v>17</v>
      </c>
      <c r="C218" s="65" t="s">
        <v>18</v>
      </c>
      <c r="D218" s="65" t="s">
        <v>448</v>
      </c>
      <c r="E218" s="65" t="s">
        <v>449</v>
      </c>
      <c r="F218" s="66" t="s">
        <v>27</v>
      </c>
      <c r="G218" s="65" t="s">
        <v>20</v>
      </c>
      <c r="H218" s="67" t="s">
        <v>15</v>
      </c>
      <c r="I218" s="60" t="s">
        <v>132</v>
      </c>
    </row>
    <row r="219" spans="1:9" x14ac:dyDescent="0.2">
      <c r="B219" s="64">
        <v>1</v>
      </c>
      <c r="C219" s="65" t="s">
        <v>284</v>
      </c>
      <c r="D219" s="65" t="s">
        <v>85</v>
      </c>
      <c r="E219" s="65" t="s">
        <v>432</v>
      </c>
      <c r="F219" s="66"/>
      <c r="G219" s="65" t="s">
        <v>24</v>
      </c>
      <c r="H219" s="67"/>
      <c r="I219" s="60" t="str">
        <f>IF($G219="完了","",IF(SUMPRODUCT(($E219=$E$3:E412)*($D219=$D$3:D412)*($C219=$C$3:C412)*("完了"=$G$3:G412))=1,"完了",""))</f>
        <v/>
      </c>
    </row>
    <row r="220" spans="1:9" x14ac:dyDescent="0.2">
      <c r="B220" s="64">
        <f t="shared" ref="B220:B242" si="15">B219+1</f>
        <v>2</v>
      </c>
      <c r="C220" s="65" t="s">
        <v>284</v>
      </c>
      <c r="D220" s="65" t="s">
        <v>85</v>
      </c>
      <c r="E220" s="65" t="s">
        <v>473</v>
      </c>
      <c r="F220" s="66"/>
      <c r="G220" s="65" t="s">
        <v>24</v>
      </c>
      <c r="H220" s="67"/>
      <c r="I220" s="60" t="str">
        <f>IF($G220="完了","",IF(SUMPRODUCT(($E220=$E$3:E413)*($D220=$D$3:D413)*($C220=$C$3:C413)*("完了"=$G$3:G413))=1,"完了",""))</f>
        <v/>
      </c>
    </row>
    <row r="221" spans="1:9" x14ac:dyDescent="0.2">
      <c r="B221" s="64">
        <f t="shared" si="15"/>
        <v>3</v>
      </c>
      <c r="C221" s="65" t="s">
        <v>122</v>
      </c>
      <c r="D221" s="65" t="s">
        <v>472</v>
      </c>
      <c r="E221" s="65" t="s">
        <v>437</v>
      </c>
      <c r="F221" s="66"/>
      <c r="G221" s="65" t="s">
        <v>24</v>
      </c>
      <c r="H221" s="67"/>
      <c r="I221" s="60" t="str">
        <f>IF($G221="完了","",IF(SUMPRODUCT(($E221=$E$3:E414)*($D221=$D$3:D414)*($C221=$C$3:C414)*("完了"=$G$3:G414))=1,"完了",""))</f>
        <v/>
      </c>
    </row>
    <row r="222" spans="1:9" x14ac:dyDescent="0.2">
      <c r="B222" s="64">
        <f t="shared" si="15"/>
        <v>4</v>
      </c>
      <c r="C222" s="65" t="s">
        <v>122</v>
      </c>
      <c r="D222" s="65" t="s">
        <v>100</v>
      </c>
      <c r="E222" s="65" t="s">
        <v>474</v>
      </c>
      <c r="F222" s="66"/>
      <c r="G222" s="65" t="s">
        <v>24</v>
      </c>
      <c r="H222" s="67"/>
      <c r="I222" s="60" t="str">
        <f>IF($G222="完了","",IF(SUMPRODUCT(($E222=$E$3:E415)*($D222=$D$3:D415)*($C222=$C$3:C415)*("完了"=$G$3:G415))=1,"完了",""))</f>
        <v/>
      </c>
    </row>
    <row r="223" spans="1:9" x14ac:dyDescent="0.2">
      <c r="B223" s="64">
        <f t="shared" si="15"/>
        <v>5</v>
      </c>
      <c r="C223" s="65" t="s">
        <v>122</v>
      </c>
      <c r="D223" s="65" t="s">
        <v>100</v>
      </c>
      <c r="E223" s="65" t="s">
        <v>481</v>
      </c>
      <c r="F223" s="66"/>
      <c r="G223" s="65" t="s">
        <v>24</v>
      </c>
      <c r="H223" s="67"/>
      <c r="I223" s="60" t="str">
        <f>IF($G223="完了","",IF(SUMPRODUCT(($E223=$E$3:E416)*($D223=$D$3:D416)*($C223=$C$3:C416)*("完了"=$G$3:G416))=1,"完了",""))</f>
        <v/>
      </c>
    </row>
    <row r="224" spans="1:9" x14ac:dyDescent="0.2">
      <c r="B224" s="64">
        <f t="shared" si="15"/>
        <v>6</v>
      </c>
      <c r="C224" s="65" t="s">
        <v>122</v>
      </c>
      <c r="D224" s="65" t="s">
        <v>100</v>
      </c>
      <c r="E224" s="65" t="s">
        <v>479</v>
      </c>
      <c r="F224" s="66"/>
      <c r="G224" s="65" t="s">
        <v>24</v>
      </c>
      <c r="H224" s="67"/>
      <c r="I224" s="60" t="str">
        <f>IF($G224="完了","",IF(SUMPRODUCT(($E224=$E$3:E417)*($D224=$D$3:D417)*($C224=$C$3:C417)*("完了"=$G$3:G417))=1,"完了",""))</f>
        <v/>
      </c>
    </row>
    <row r="225" spans="2:9" x14ac:dyDescent="0.2">
      <c r="B225" s="64">
        <f t="shared" si="15"/>
        <v>7</v>
      </c>
      <c r="C225" s="65" t="s">
        <v>122</v>
      </c>
      <c r="D225" s="65" t="s">
        <v>100</v>
      </c>
      <c r="E225" s="65" t="s">
        <v>480</v>
      </c>
      <c r="F225" s="66"/>
      <c r="G225" s="65" t="s">
        <v>24</v>
      </c>
      <c r="H225" s="67"/>
      <c r="I225" s="60" t="str">
        <f>IF($G225="完了","",IF(SUMPRODUCT(($E225=$E$3:E418)*($D225=$D$3:D418)*($C225=$C$3:C418)*("完了"=$G$3:G418))=1,"完了",""))</f>
        <v/>
      </c>
    </row>
    <row r="226" spans="2:9" x14ac:dyDescent="0.2">
      <c r="B226" s="64">
        <f t="shared" si="15"/>
        <v>8</v>
      </c>
      <c r="C226" s="65" t="s">
        <v>122</v>
      </c>
      <c r="D226" s="65" t="s">
        <v>90</v>
      </c>
      <c r="E226" s="65" t="s">
        <v>483</v>
      </c>
      <c r="F226" s="66"/>
      <c r="G226" s="65" t="s">
        <v>24</v>
      </c>
      <c r="H226" s="67"/>
      <c r="I226" s="60" t="str">
        <f>IF($G226="完了","",IF(SUMPRODUCT(($E226=$E$3:E419)*($D226=$D$3:D419)*($C226=$C$3:C419)*("完了"=$G$3:G419))=1,"完了",""))</f>
        <v/>
      </c>
    </row>
    <row r="227" spans="2:9" x14ac:dyDescent="0.2">
      <c r="B227" s="64">
        <f t="shared" si="15"/>
        <v>9</v>
      </c>
      <c r="C227" s="65" t="s">
        <v>122</v>
      </c>
      <c r="D227" s="65" t="s">
        <v>90</v>
      </c>
      <c r="E227" s="65" t="s">
        <v>484</v>
      </c>
      <c r="F227" s="66"/>
      <c r="G227" s="65" t="s">
        <v>24</v>
      </c>
      <c r="H227" s="67"/>
      <c r="I227" s="60" t="str">
        <f>IF($G227="完了","",IF(SUMPRODUCT(($E227=$E$3:E420)*($D227=$D$3:D420)*($C227=$C$3:C420)*("完了"=$G$3:G420))=1,"完了",""))</f>
        <v/>
      </c>
    </row>
    <row r="228" spans="2:9" x14ac:dyDescent="0.2">
      <c r="B228" s="64">
        <f t="shared" si="15"/>
        <v>10</v>
      </c>
      <c r="C228" s="65" t="s">
        <v>122</v>
      </c>
      <c r="D228" s="65" t="s">
        <v>90</v>
      </c>
      <c r="E228" s="65" t="s">
        <v>486</v>
      </c>
      <c r="F228" s="66"/>
      <c r="G228" s="65" t="s">
        <v>24</v>
      </c>
      <c r="H228" s="67"/>
      <c r="I228" s="60" t="str">
        <f>IF($G228="完了","",IF(SUMPRODUCT(($E228=$E$3:E421)*($D228=$D$3:D421)*($C228=$C$3:C421)*("完了"=$G$3:G421))=1,"完了",""))</f>
        <v/>
      </c>
    </row>
    <row r="229" spans="2:9" x14ac:dyDescent="0.2">
      <c r="B229" s="64">
        <f t="shared" si="15"/>
        <v>11</v>
      </c>
      <c r="C229" s="65" t="s">
        <v>122</v>
      </c>
      <c r="D229" s="65" t="s">
        <v>468</v>
      </c>
      <c r="E229" s="65" t="s">
        <v>487</v>
      </c>
      <c r="F229" s="66"/>
      <c r="G229" s="65" t="s">
        <v>25</v>
      </c>
      <c r="H229" s="67"/>
      <c r="I229" s="60" t="str">
        <f>IF($G229="完了","",IF(SUMPRODUCT(($E229=$E$3:E422)*($D229=$D$3:D422)*($C229=$C$3:C422)*("完了"=$G$3:G422))=1,"完了",""))</f>
        <v>完了</v>
      </c>
    </row>
    <row r="230" spans="2:9" x14ac:dyDescent="0.2">
      <c r="B230" s="64">
        <f t="shared" si="15"/>
        <v>12</v>
      </c>
      <c r="C230" s="65" t="s">
        <v>322</v>
      </c>
      <c r="D230" s="65" t="s">
        <v>468</v>
      </c>
      <c r="E230" s="65" t="s">
        <v>482</v>
      </c>
      <c r="F230" s="66"/>
      <c r="G230" s="65" t="s">
        <v>24</v>
      </c>
      <c r="H230" s="67"/>
      <c r="I230" s="60" t="str">
        <f>IF($G230="完了","",IF(SUMPRODUCT(($E230=$E$3:E423)*($D230=$D$3:D423)*($C230=$C$3:C423)*("完了"=$G$3:G423))=1,"完了",""))</f>
        <v/>
      </c>
    </row>
    <row r="231" spans="2:9" ht="25" x14ac:dyDescent="0.2">
      <c r="B231" s="64">
        <f t="shared" si="15"/>
        <v>13</v>
      </c>
      <c r="C231" s="65" t="s">
        <v>322</v>
      </c>
      <c r="D231" s="65" t="s">
        <v>468</v>
      </c>
      <c r="E231" s="65" t="s">
        <v>370</v>
      </c>
      <c r="F231" s="66"/>
      <c r="G231" s="65" t="s">
        <v>24</v>
      </c>
      <c r="H231" s="67" t="s">
        <v>427</v>
      </c>
      <c r="I231" s="60" t="str">
        <f>IF($G231="完了","",IF(SUMPRODUCT(($E231=$E$3:E424)*($D231=$D$3:D424)*($C231=$C$3:C424)*("完了"=$G$3:G424))=1,"完了",""))</f>
        <v/>
      </c>
    </row>
    <row r="232" spans="2:9" x14ac:dyDescent="0.2">
      <c r="B232" s="64">
        <f t="shared" si="15"/>
        <v>14</v>
      </c>
      <c r="C232" s="65" t="s">
        <v>307</v>
      </c>
      <c r="D232" s="65" t="s">
        <v>90</v>
      </c>
      <c r="E232" s="65" t="s">
        <v>387</v>
      </c>
      <c r="F232" s="66"/>
      <c r="G232" s="65" t="s">
        <v>24</v>
      </c>
      <c r="H232" s="67"/>
      <c r="I232" s="60" t="str">
        <f>IF($G232="完了","",IF(SUMPRODUCT(($E232=$E$3:E425)*($D232=$D$3:D425)*($C232=$C$3:C425)*("完了"=$G$3:G425))=1,"完了",""))</f>
        <v/>
      </c>
    </row>
    <row r="233" spans="2:9" ht="25" x14ac:dyDescent="0.2">
      <c r="B233" s="64">
        <f t="shared" si="15"/>
        <v>15</v>
      </c>
      <c r="C233" s="65" t="s">
        <v>307</v>
      </c>
      <c r="D233" s="65" t="s">
        <v>468</v>
      </c>
      <c r="E233" s="65" t="s">
        <v>426</v>
      </c>
      <c r="F233" s="66"/>
      <c r="G233" s="65" t="s">
        <v>24</v>
      </c>
      <c r="H233" s="67" t="s">
        <v>428</v>
      </c>
      <c r="I233" s="60" t="str">
        <f>IF($G233="完了","",IF(SUMPRODUCT(($E233=$E$3:E426)*($D233=$D$3:D426)*($C233=$C$3:C426)*("完了"=$G$3:G426))=1,"完了",""))</f>
        <v/>
      </c>
    </row>
    <row r="234" spans="2:9" x14ac:dyDescent="0.2">
      <c r="B234" s="64">
        <f t="shared" si="15"/>
        <v>16</v>
      </c>
      <c r="C234" s="65" t="s">
        <v>307</v>
      </c>
      <c r="D234" s="65" t="s">
        <v>468</v>
      </c>
      <c r="E234" s="65" t="s">
        <v>445</v>
      </c>
      <c r="F234" s="66"/>
      <c r="G234" s="65" t="s">
        <v>24</v>
      </c>
      <c r="H234" s="67"/>
      <c r="I234" s="60" t="str">
        <f>IF($G234="完了","",IF(SUMPRODUCT(($E234=$E$3:E427)*($D234=$D$3:D427)*($C234=$C$3:C427)*("完了"=$G$3:G427))=1,"完了",""))</f>
        <v/>
      </c>
    </row>
    <row r="235" spans="2:9" x14ac:dyDescent="0.2">
      <c r="B235" s="64">
        <f t="shared" si="15"/>
        <v>17</v>
      </c>
      <c r="C235" s="65" t="s">
        <v>407</v>
      </c>
      <c r="D235" s="65" t="s">
        <v>252</v>
      </c>
      <c r="E235" s="65" t="s">
        <v>438</v>
      </c>
      <c r="F235" s="66"/>
      <c r="G235" s="65" t="s">
        <v>25</v>
      </c>
      <c r="H235" s="67"/>
      <c r="I235" s="60" t="str">
        <f>IF($G235="完了","",IF(SUMPRODUCT(($E235=$E$3:E428)*($D235=$D$3:D428)*($C235=$C$3:C428)*("完了"=$G$3:G428))=1,"完了",""))</f>
        <v>完了</v>
      </c>
    </row>
    <row r="236" spans="2:9" x14ac:dyDescent="0.2">
      <c r="B236" s="64">
        <f t="shared" si="15"/>
        <v>18</v>
      </c>
      <c r="C236" s="65" t="s">
        <v>414</v>
      </c>
      <c r="D236" s="65" t="s">
        <v>267</v>
      </c>
      <c r="E236" s="65" t="s">
        <v>499</v>
      </c>
      <c r="F236" s="66"/>
      <c r="G236" s="65" t="s">
        <v>25</v>
      </c>
      <c r="H236" s="67"/>
      <c r="I236" s="60" t="str">
        <f>IF($G236="完了","",IF(SUMPRODUCT(($E236=$E$3:E429)*($D236=$D$3:D429)*($C236=$C$3:C429)*("完了"=$G$3:G429))=1,"完了",""))</f>
        <v>完了</v>
      </c>
    </row>
    <row r="237" spans="2:9" x14ac:dyDescent="0.2">
      <c r="B237" s="64">
        <f t="shared" si="15"/>
        <v>19</v>
      </c>
      <c r="C237" s="65" t="s">
        <v>421</v>
      </c>
      <c r="D237" s="65" t="s">
        <v>267</v>
      </c>
      <c r="E237" s="65" t="s">
        <v>408</v>
      </c>
      <c r="F237" s="66"/>
      <c r="G237" s="65" t="s">
        <v>24</v>
      </c>
      <c r="H237" s="67"/>
      <c r="I237" s="60" t="str">
        <f>IF($G237="完了","",IF(SUMPRODUCT(($E237=$E$3:E430)*($D237=$D$3:D430)*($C237=$C$3:C430)*("完了"=$G$3:G430))=1,"完了",""))</f>
        <v/>
      </c>
    </row>
    <row r="238" spans="2:9" x14ac:dyDescent="0.2">
      <c r="B238" s="64">
        <f t="shared" si="15"/>
        <v>20</v>
      </c>
      <c r="C238" s="65" t="s">
        <v>421</v>
      </c>
      <c r="D238" s="65" t="s">
        <v>267</v>
      </c>
      <c r="E238" s="65" t="s">
        <v>485</v>
      </c>
      <c r="F238" s="66"/>
      <c r="G238" s="65" t="s">
        <v>114</v>
      </c>
      <c r="H238" s="67"/>
      <c r="I238" s="60" t="str">
        <f>IF($G238="完了","",IF(SUMPRODUCT(($E238=$E$3:E431)*($D238=$D$3:D431)*($C238=$C$3:C431)*("完了"=$G$3:G431))=1,"完了",""))</f>
        <v>完了</v>
      </c>
    </row>
    <row r="239" spans="2:9" x14ac:dyDescent="0.2">
      <c r="B239" s="64">
        <f t="shared" si="15"/>
        <v>21</v>
      </c>
      <c r="C239" s="65" t="s">
        <v>422</v>
      </c>
      <c r="D239" s="65" t="s">
        <v>423</v>
      </c>
      <c r="E239" s="65" t="s">
        <v>444</v>
      </c>
      <c r="F239" s="66"/>
      <c r="G239" s="65" t="s">
        <v>25</v>
      </c>
      <c r="H239" s="67"/>
      <c r="I239" s="60" t="str">
        <f>IF($G239="完了","",IF(SUMPRODUCT(($E239=$E$3:E432)*($D239=$D$3:D432)*($C239=$C$3:C432)*("完了"=$G$3:G432))=1,"完了",""))</f>
        <v>完了</v>
      </c>
    </row>
    <row r="240" spans="2:9" x14ac:dyDescent="0.2">
      <c r="B240" s="64">
        <f t="shared" si="15"/>
        <v>22</v>
      </c>
      <c r="C240" s="65" t="s">
        <v>475</v>
      </c>
      <c r="D240" s="65" t="s">
        <v>291</v>
      </c>
      <c r="E240" s="65" t="s">
        <v>440</v>
      </c>
      <c r="F240" s="66"/>
      <c r="G240" s="65" t="s">
        <v>24</v>
      </c>
      <c r="H240" s="67"/>
      <c r="I240" s="60" t="str">
        <f>IF($G240="完了","",IF(SUMPRODUCT(($E240=$E$3:E433)*($D240=$D$3:D433)*($C240=$C$3:C433)*("完了"=$G$3:G433))=1,"完了",""))</f>
        <v/>
      </c>
    </row>
    <row r="241" spans="1:9" x14ac:dyDescent="0.2">
      <c r="B241" s="64">
        <f t="shared" si="15"/>
        <v>23</v>
      </c>
      <c r="C241" s="65" t="s">
        <v>441</v>
      </c>
      <c r="D241" s="65" t="s">
        <v>442</v>
      </c>
      <c r="E241" s="65" t="s">
        <v>443</v>
      </c>
      <c r="F241" s="66"/>
      <c r="G241" s="65" t="s">
        <v>24</v>
      </c>
      <c r="H241" s="67"/>
      <c r="I241" s="60" t="str">
        <f>IF($G241="完了","",IF(SUMPRODUCT(($E241=$E$3:E434)*($D241=$D$3:D434)*($C241=$C$3:C434)*("完了"=$G$3:G434))=1,"完了",""))</f>
        <v/>
      </c>
    </row>
    <row r="242" spans="1:9" x14ac:dyDescent="0.2">
      <c r="B242" s="64">
        <f t="shared" si="15"/>
        <v>24</v>
      </c>
      <c r="C242" s="68" t="s">
        <v>476</v>
      </c>
      <c r="D242" s="68" t="s">
        <v>291</v>
      </c>
      <c r="E242" s="68" t="s">
        <v>478</v>
      </c>
      <c r="F242" s="69"/>
      <c r="G242" s="68" t="s">
        <v>24</v>
      </c>
      <c r="H242" s="70" t="s">
        <v>477</v>
      </c>
      <c r="I242" s="60" t="str">
        <f>IF($G242="完了","",IF(SUMPRODUCT(($E242=$E$3:E435)*($D242=$D$3:D435)*($C242=$C$3:C435)*("完了"=$G$3:G435))=1,"完了",""))</f>
        <v/>
      </c>
    </row>
    <row r="245" spans="1:9" x14ac:dyDescent="0.2">
      <c r="A245" s="63" t="s">
        <v>488</v>
      </c>
      <c r="B245" s="64"/>
      <c r="C245" s="65"/>
      <c r="D245" s="65"/>
      <c r="E245" s="65"/>
      <c r="F245" s="66"/>
      <c r="G245" s="65"/>
      <c r="H245" s="67"/>
      <c r="I245" s="60"/>
    </row>
    <row r="246" spans="1:9" x14ac:dyDescent="0.2">
      <c r="B246" s="64" t="s">
        <v>17</v>
      </c>
      <c r="C246" s="65" t="s">
        <v>18</v>
      </c>
      <c r="D246" s="65" t="s">
        <v>448</v>
      </c>
      <c r="E246" s="65" t="s">
        <v>449</v>
      </c>
      <c r="F246" s="66" t="s">
        <v>27</v>
      </c>
      <c r="G246" s="65" t="s">
        <v>20</v>
      </c>
      <c r="H246" s="67" t="s">
        <v>15</v>
      </c>
      <c r="I246" s="60" t="s">
        <v>132</v>
      </c>
    </row>
    <row r="247" spans="1:9" x14ac:dyDescent="0.2">
      <c r="B247" s="64">
        <v>1</v>
      </c>
      <c r="C247" s="65" t="s">
        <v>284</v>
      </c>
      <c r="D247" s="65" t="s">
        <v>85</v>
      </c>
      <c r="E247" s="65" t="s">
        <v>352</v>
      </c>
      <c r="F247" s="66"/>
      <c r="G247" s="65" t="s">
        <v>24</v>
      </c>
      <c r="H247" s="67"/>
      <c r="I247" s="60" t="str">
        <f>IF($G247="完了","",IF(SUMPRODUCT(($E247=$E$3:E440)*($D247=$D$3:D440)*($C247=$C$3:C440)*("完了"=$G$3:G440))=1,"完了",""))</f>
        <v/>
      </c>
    </row>
    <row r="248" spans="1:9" ht="25" x14ac:dyDescent="0.2">
      <c r="B248" s="64">
        <f t="shared" ref="B248:B270" si="16">B247+1</f>
        <v>2</v>
      </c>
      <c r="C248" s="65" t="s">
        <v>122</v>
      </c>
      <c r="D248" s="65" t="s">
        <v>468</v>
      </c>
      <c r="E248" s="65" t="s">
        <v>487</v>
      </c>
      <c r="F248" s="66"/>
      <c r="G248" s="65" t="s">
        <v>24</v>
      </c>
      <c r="H248" s="67" t="s">
        <v>492</v>
      </c>
      <c r="I248" s="60" t="str">
        <f>IF($G248="完了","",IF(SUMPRODUCT(($E248=$E$3:E441)*($D248=$D$3:D441)*($C248=$C$3:C441)*("完了"=$G$3:G441))=1,"完了",""))</f>
        <v/>
      </c>
    </row>
    <row r="249" spans="1:9" x14ac:dyDescent="0.2">
      <c r="B249" s="64">
        <f t="shared" si="16"/>
        <v>3</v>
      </c>
      <c r="C249" s="65" t="s">
        <v>122</v>
      </c>
      <c r="D249" s="65" t="s">
        <v>472</v>
      </c>
      <c r="E249" s="65" t="s">
        <v>489</v>
      </c>
      <c r="F249" s="66"/>
      <c r="G249" s="65" t="s">
        <v>114</v>
      </c>
      <c r="H249" s="67" t="s">
        <v>490</v>
      </c>
      <c r="I249" s="60" t="str">
        <f>IF($G249="完了","",IF(SUMPRODUCT(($E249=$E$3:E442)*($D249=$D$3:D442)*($C249=$C$3:C442)*("完了"=$G$3:G442))=1,"完了",""))</f>
        <v>完了</v>
      </c>
    </row>
    <row r="250" spans="1:9" x14ac:dyDescent="0.2">
      <c r="B250" s="64">
        <f t="shared" si="16"/>
        <v>4</v>
      </c>
      <c r="C250" s="65" t="s">
        <v>122</v>
      </c>
      <c r="D250" s="65" t="s">
        <v>493</v>
      </c>
      <c r="E250" s="65" t="s">
        <v>494</v>
      </c>
      <c r="F250" s="66"/>
      <c r="G250" s="65" t="s">
        <v>24</v>
      </c>
      <c r="H250" s="67"/>
      <c r="I250" s="60" t="str">
        <f>IF($G250="完了","",IF(SUMPRODUCT(($E250=$E$3:E443)*($D250=$D$3:D443)*($C250=$C$3:C443)*("完了"=$G$3:G443))=1,"完了",""))</f>
        <v/>
      </c>
    </row>
    <row r="251" spans="1:9" x14ac:dyDescent="0.2">
      <c r="B251" s="64">
        <f t="shared" si="16"/>
        <v>5</v>
      </c>
      <c r="C251" s="65" t="s">
        <v>322</v>
      </c>
      <c r="D251" s="65" t="s">
        <v>468</v>
      </c>
      <c r="E251" s="65" t="s">
        <v>487</v>
      </c>
      <c r="F251" s="66"/>
      <c r="G251" s="65" t="s">
        <v>24</v>
      </c>
      <c r="H251" s="67"/>
      <c r="I251" s="60" t="str">
        <f>IF($G251="完了","",IF(SUMPRODUCT(($E251=$E$3:E444)*($D251=$D$3:D444)*($C251=$C$3:C444)*("完了"=$G$3:G444))=1,"完了",""))</f>
        <v/>
      </c>
    </row>
    <row r="252" spans="1:9" x14ac:dyDescent="0.2">
      <c r="B252" s="64">
        <f t="shared" si="16"/>
        <v>6</v>
      </c>
      <c r="C252" s="65" t="s">
        <v>307</v>
      </c>
      <c r="D252" s="65" t="s">
        <v>468</v>
      </c>
      <c r="E252" s="65" t="s">
        <v>487</v>
      </c>
      <c r="F252" s="66"/>
      <c r="G252" s="65" t="s">
        <v>24</v>
      </c>
      <c r="H252" s="67"/>
      <c r="I252" s="60" t="str">
        <f>IF($G252="完了","",IF(SUMPRODUCT(($E252=$E$3:E445)*($D252=$D$3:D445)*($C252=$C$3:C445)*("完了"=$G$3:G445))=1,"完了",""))</f>
        <v/>
      </c>
    </row>
    <row r="253" spans="1:9" x14ac:dyDescent="0.2">
      <c r="B253" s="64">
        <f t="shared" si="16"/>
        <v>7</v>
      </c>
      <c r="C253" s="65" t="s">
        <v>421</v>
      </c>
      <c r="D253" s="65" t="s">
        <v>267</v>
      </c>
      <c r="E253" s="65" t="s">
        <v>485</v>
      </c>
      <c r="F253" s="66"/>
      <c r="G253" s="65" t="s">
        <v>24</v>
      </c>
      <c r="H253" s="67"/>
      <c r="I253" s="60" t="str">
        <f>IF($G253="完了","",IF(SUMPRODUCT(($E253=$E$3:E446)*($D253=$D$3:D446)*($C253=$C$3:C446)*("完了"=$G$3:G446))=1,"完了",""))</f>
        <v/>
      </c>
    </row>
    <row r="254" spans="1:9" x14ac:dyDescent="0.2">
      <c r="B254" s="64">
        <f t="shared" si="16"/>
        <v>8</v>
      </c>
      <c r="C254" s="65" t="s">
        <v>495</v>
      </c>
      <c r="D254" s="65" t="s">
        <v>267</v>
      </c>
      <c r="E254" s="65" t="s">
        <v>491</v>
      </c>
      <c r="F254" s="66"/>
      <c r="G254" s="65" t="s">
        <v>24</v>
      </c>
      <c r="H254" s="67"/>
      <c r="I254" s="60" t="str">
        <f>IF($G254="完了","",IF(SUMPRODUCT(($E254=$E$3:E447)*($D254=$D$3:D447)*($C254=$C$3:C447)*("完了"=$G$3:G447))=1,"完了",""))</f>
        <v/>
      </c>
    </row>
    <row r="255" spans="1:9" x14ac:dyDescent="0.2">
      <c r="B255" s="64">
        <f t="shared" si="16"/>
        <v>9</v>
      </c>
      <c r="C255" s="65" t="s">
        <v>495</v>
      </c>
      <c r="D255" s="65" t="s">
        <v>117</v>
      </c>
      <c r="E255" s="65" t="s">
        <v>496</v>
      </c>
      <c r="F255" s="66"/>
      <c r="G255" s="65" t="s">
        <v>25</v>
      </c>
      <c r="H255" s="67"/>
      <c r="I255" s="60" t="str">
        <f>IF($G255="完了","",IF(SUMPRODUCT(($E255=$E$3:E448)*($D255=$D$3:D448)*($C255=$C$3:C448)*("完了"=$G$3:G448))=1,"完了",""))</f>
        <v>完了</v>
      </c>
    </row>
    <row r="256" spans="1:9" ht="71.25" customHeight="1" x14ac:dyDescent="0.2">
      <c r="B256" s="64">
        <f t="shared" si="16"/>
        <v>10</v>
      </c>
      <c r="C256" s="65" t="s">
        <v>495</v>
      </c>
      <c r="D256" s="65" t="s">
        <v>468</v>
      </c>
      <c r="E256" s="65" t="s">
        <v>434</v>
      </c>
      <c r="F256" s="66"/>
      <c r="G256" s="65" t="s">
        <v>114</v>
      </c>
      <c r="H256" s="67" t="s">
        <v>511</v>
      </c>
      <c r="I256" s="60" t="str">
        <f>IF($G256="完了","",IF(SUMPRODUCT(($E256=$E$3:E449)*($D256=$D$3:D449)*($C256=$C$3:C449)*("完了"=$G$3:G449))=1,"完了",""))</f>
        <v>完了</v>
      </c>
    </row>
    <row r="257" spans="2:9" x14ac:dyDescent="0.2">
      <c r="B257" s="64">
        <f t="shared" si="16"/>
        <v>11</v>
      </c>
      <c r="C257" s="65" t="s">
        <v>421</v>
      </c>
      <c r="D257" s="65" t="s">
        <v>497</v>
      </c>
      <c r="E257" s="65" t="s">
        <v>500</v>
      </c>
      <c r="F257" s="66"/>
      <c r="G257" s="65" t="s">
        <v>24</v>
      </c>
      <c r="H257" s="67" t="s">
        <v>498</v>
      </c>
      <c r="I257" s="60" t="str">
        <f>IF($G257="完了","",IF(SUMPRODUCT(($E257=$E$3:E450)*($D257=$D$3:D450)*($C257=$C$3:C450)*("完了"=$G$3:G450))=1,"完了",""))</f>
        <v/>
      </c>
    </row>
    <row r="258" spans="2:9" x14ac:dyDescent="0.2">
      <c r="B258" s="64">
        <f t="shared" si="16"/>
        <v>12</v>
      </c>
      <c r="C258" s="65" t="s">
        <v>421</v>
      </c>
      <c r="D258" s="65" t="s">
        <v>497</v>
      </c>
      <c r="E258" s="65" t="s">
        <v>501</v>
      </c>
      <c r="F258" s="66"/>
      <c r="G258" s="65" t="s">
        <v>24</v>
      </c>
      <c r="H258" s="67" t="s">
        <v>498</v>
      </c>
      <c r="I258" s="60" t="str">
        <f>IF($G258="完了","",IF(SUMPRODUCT(($E258=$E$3:E451)*($D258=$D$3:D451)*($C258=$C$3:C451)*("完了"=$G$3:G451))=1,"完了",""))</f>
        <v/>
      </c>
    </row>
    <row r="259" spans="2:9" x14ac:dyDescent="0.2">
      <c r="B259" s="64">
        <f t="shared" si="16"/>
        <v>13</v>
      </c>
      <c r="C259" s="65" t="s">
        <v>421</v>
      </c>
      <c r="D259" s="65" t="s">
        <v>497</v>
      </c>
      <c r="E259" s="65" t="s">
        <v>502</v>
      </c>
      <c r="F259" s="66"/>
      <c r="G259" s="65" t="s">
        <v>24</v>
      </c>
      <c r="H259" s="67" t="s">
        <v>498</v>
      </c>
      <c r="I259" s="60" t="str">
        <f>IF($G259="完了","",IF(SUMPRODUCT(($E259=$E$3:E452)*($D259=$D$3:D452)*($C259=$C$3:C452)*("完了"=$G$3:G452))=1,"完了",""))</f>
        <v/>
      </c>
    </row>
    <row r="260" spans="2:9" x14ac:dyDescent="0.2">
      <c r="B260" s="64">
        <f t="shared" si="16"/>
        <v>14</v>
      </c>
      <c r="C260" s="65" t="s">
        <v>421</v>
      </c>
      <c r="D260" s="65" t="s">
        <v>497</v>
      </c>
      <c r="E260" s="65" t="s">
        <v>503</v>
      </c>
      <c r="F260" s="66"/>
      <c r="G260" s="65" t="s">
        <v>24</v>
      </c>
      <c r="H260" s="67" t="s">
        <v>498</v>
      </c>
      <c r="I260" s="60" t="str">
        <f>IF($G260="完了","",IF(SUMPRODUCT(($E260=$E$3:E452)*($D260=$D$3:D452)*($C260=$C$3:C452)*("完了"=$G$3:G452))=1,"完了",""))</f>
        <v/>
      </c>
    </row>
    <row r="261" spans="2:9" x14ac:dyDescent="0.2">
      <c r="B261" s="64">
        <f t="shared" si="16"/>
        <v>15</v>
      </c>
      <c r="C261" s="65" t="s">
        <v>421</v>
      </c>
      <c r="D261" s="65" t="s">
        <v>497</v>
      </c>
      <c r="E261" s="65" t="s">
        <v>504</v>
      </c>
      <c r="F261" s="66"/>
      <c r="G261" s="65" t="s">
        <v>24</v>
      </c>
      <c r="H261" s="67" t="s">
        <v>498</v>
      </c>
      <c r="I261" s="60" t="str">
        <f>IF($G261="完了","",IF(SUMPRODUCT(($E261=$E$3:E452)*($D261=$D$3:D452)*($C261=$C$3:C452)*("完了"=$G$3:G452))=1,"完了",""))</f>
        <v/>
      </c>
    </row>
    <row r="262" spans="2:9" x14ac:dyDescent="0.2">
      <c r="B262" s="64">
        <f t="shared" si="16"/>
        <v>16</v>
      </c>
      <c r="C262" s="65" t="s">
        <v>421</v>
      </c>
      <c r="D262" s="65" t="s">
        <v>497</v>
      </c>
      <c r="E262" s="65" t="s">
        <v>505</v>
      </c>
      <c r="F262" s="66"/>
      <c r="G262" s="65" t="s">
        <v>24</v>
      </c>
      <c r="H262" s="67" t="s">
        <v>498</v>
      </c>
      <c r="I262" s="60" t="str">
        <f>IF($G262="完了","",IF(SUMPRODUCT(($E262=$E$3:E452)*($D262=$D$3:D452)*($C262=$C$3:C452)*("完了"=$G$3:G452))=1,"完了",""))</f>
        <v/>
      </c>
    </row>
    <row r="263" spans="2:9" x14ac:dyDescent="0.2">
      <c r="B263" s="64">
        <f t="shared" si="16"/>
        <v>17</v>
      </c>
      <c r="C263" s="65" t="s">
        <v>414</v>
      </c>
      <c r="D263" s="65" t="s">
        <v>267</v>
      </c>
      <c r="E263" s="65" t="s">
        <v>499</v>
      </c>
      <c r="F263" s="66"/>
      <c r="G263" s="65" t="s">
        <v>25</v>
      </c>
      <c r="H263" s="67"/>
      <c r="I263" s="60" t="str">
        <f>IF($G263="完了","",IF(SUMPRODUCT(($E263=$E$3:E452)*($D263=$D$3:D452)*($C263=$C$3:C452)*("完了"=$G$3:G452))=1,"完了",""))</f>
        <v>完了</v>
      </c>
    </row>
    <row r="264" spans="2:9" x14ac:dyDescent="0.2">
      <c r="B264" s="64">
        <f t="shared" si="16"/>
        <v>18</v>
      </c>
      <c r="C264" s="65" t="s">
        <v>407</v>
      </c>
      <c r="D264" s="65" t="s">
        <v>252</v>
      </c>
      <c r="E264" s="65" t="s">
        <v>438</v>
      </c>
      <c r="F264" s="66"/>
      <c r="G264" s="65" t="s">
        <v>24</v>
      </c>
      <c r="H264" s="67"/>
      <c r="I264" s="60" t="str">
        <f>IF($G264="完了","",IF(SUMPRODUCT(($E264=$E$3:E452)*($D264=$D$3:D452)*($C264=$C$3:C452)*("完了"=$G$3:G452))=1,"完了",""))</f>
        <v/>
      </c>
    </row>
    <row r="265" spans="2:9" x14ac:dyDescent="0.2">
      <c r="B265" s="64">
        <f t="shared" si="16"/>
        <v>19</v>
      </c>
      <c r="C265" s="65" t="s">
        <v>422</v>
      </c>
      <c r="D265" s="65" t="s">
        <v>423</v>
      </c>
      <c r="E265" s="65" t="s">
        <v>444</v>
      </c>
      <c r="F265" s="66"/>
      <c r="G265" s="65" t="s">
        <v>25</v>
      </c>
      <c r="H265" s="67"/>
      <c r="I265" s="60" t="str">
        <f>IF($G265="完了","",IF(SUMPRODUCT(($E265=$E$3:E452)*($D265=$D$3:D452)*($C265=$C$3:C452)*("完了"=$G$3:G452))=1,"完了",""))</f>
        <v>完了</v>
      </c>
    </row>
    <row r="266" spans="2:9" x14ac:dyDescent="0.2">
      <c r="B266" s="64">
        <f t="shared" si="16"/>
        <v>20</v>
      </c>
      <c r="C266" s="65" t="s">
        <v>506</v>
      </c>
      <c r="D266" s="65" t="s">
        <v>507</v>
      </c>
      <c r="E266" s="65" t="s">
        <v>506</v>
      </c>
      <c r="F266" s="66"/>
      <c r="G266" s="65" t="s">
        <v>24</v>
      </c>
      <c r="H266" s="67" t="s">
        <v>508</v>
      </c>
      <c r="I266" s="60" t="str">
        <f>IF($G266="完了","",IF(SUMPRODUCT(($E266=$E$3:E452)*($D266=$D$3:D452)*($C266=$C$3:C452)*("完了"=$G$3:G452))=1,"完了",""))</f>
        <v/>
      </c>
    </row>
    <row r="267" spans="2:9" x14ac:dyDescent="0.2">
      <c r="B267" s="64">
        <f t="shared" si="16"/>
        <v>21</v>
      </c>
      <c r="C267" s="65" t="s">
        <v>509</v>
      </c>
      <c r="D267" s="65" t="s">
        <v>468</v>
      </c>
      <c r="E267" s="65" t="s">
        <v>510</v>
      </c>
      <c r="F267" s="66"/>
      <c r="G267" s="65" t="s">
        <v>25</v>
      </c>
      <c r="H267" s="67"/>
      <c r="I267" s="60" t="str">
        <f>IF($G267="完了","",IF(SUMPRODUCT(($E267=$E$3:E452)*($D267=$D$3:D452)*($C267=$C$3:C452)*("完了"=$G$3:G452))=1,"完了",""))</f>
        <v/>
      </c>
    </row>
    <row r="268" spans="2:9" x14ac:dyDescent="0.2">
      <c r="B268" s="64">
        <f t="shared" si="16"/>
        <v>22</v>
      </c>
      <c r="C268" s="65"/>
      <c r="D268" s="65"/>
      <c r="E268" s="65"/>
      <c r="F268" s="66"/>
      <c r="G268" s="65"/>
      <c r="H268" s="67"/>
      <c r="I268" s="61" t="str">
        <f>IF($G268="完了","",IF(SUMPRODUCT(($E268=$E$3:E316)*($D268=$D$3:D316)*($C268=$C$3:C316)*("完了"=$G$3:G316))=1,"完了",""))</f>
        <v>完了</v>
      </c>
    </row>
    <row r="269" spans="2:9" x14ac:dyDescent="0.2">
      <c r="B269" s="64">
        <f t="shared" si="16"/>
        <v>23</v>
      </c>
      <c r="C269" s="65"/>
      <c r="D269" s="65"/>
      <c r="E269" s="65"/>
      <c r="F269" s="66"/>
      <c r="G269" s="65"/>
      <c r="H269" s="67"/>
      <c r="I269" s="61" t="str">
        <f>IF($G269="完了","",IF(SUMPRODUCT(($E269=$E$3:E317)*($D269=$D$3:D317)*($C269=$C$3:C317)*("完了"=$G$3:G317))=1,"完了",""))</f>
        <v>完了</v>
      </c>
    </row>
    <row r="270" spans="2:9" x14ac:dyDescent="0.2">
      <c r="B270" s="64">
        <f t="shared" si="16"/>
        <v>24</v>
      </c>
      <c r="C270" s="68"/>
      <c r="D270" s="68"/>
      <c r="E270" s="68"/>
      <c r="F270" s="69"/>
      <c r="G270" s="68"/>
      <c r="H270" s="70"/>
      <c r="I270" s="61" t="str">
        <f>IF($G270="完了","",IF(SUMPRODUCT(($E270=$E$3:E318)*($D270=$D$3:D318)*($C270=$C$3:C318)*("完了"=$G$3:G318))=1,"完了",""))</f>
        <v>完了</v>
      </c>
    </row>
    <row r="273" spans="1:9" x14ac:dyDescent="0.2">
      <c r="A273" s="63" t="s">
        <v>513</v>
      </c>
      <c r="B273" s="64"/>
      <c r="C273" s="65"/>
      <c r="D273" s="65"/>
      <c r="E273" s="65"/>
      <c r="F273" s="66"/>
      <c r="G273" s="65"/>
      <c r="H273" s="67"/>
      <c r="I273" s="60"/>
    </row>
    <row r="274" spans="1:9" x14ac:dyDescent="0.2">
      <c r="B274" s="64" t="s">
        <v>17</v>
      </c>
      <c r="C274" s="65" t="s">
        <v>18</v>
      </c>
      <c r="D274" s="65" t="s">
        <v>448</v>
      </c>
      <c r="E274" s="65" t="s">
        <v>449</v>
      </c>
      <c r="F274" s="66" t="s">
        <v>27</v>
      </c>
      <c r="G274" s="65" t="s">
        <v>20</v>
      </c>
      <c r="H274" s="67" t="s">
        <v>15</v>
      </c>
      <c r="I274" s="60" t="s">
        <v>132</v>
      </c>
    </row>
    <row r="275" spans="1:9" x14ac:dyDescent="0.2">
      <c r="B275" s="64">
        <v>1</v>
      </c>
      <c r="C275" s="65" t="s">
        <v>284</v>
      </c>
      <c r="D275" s="65" t="s">
        <v>85</v>
      </c>
      <c r="E275" s="65" t="s">
        <v>283</v>
      </c>
      <c r="F275" s="66"/>
      <c r="G275" s="65" t="s">
        <v>25</v>
      </c>
      <c r="H275" s="67" t="s">
        <v>512</v>
      </c>
      <c r="I275" s="60" t="str">
        <f>IF($G275="完了","",IF(SUMPRODUCT(($E275=$E$3:E452)*($D275=$D$3:D452)*($C275=$C$3:C452)*("完了"=$G$3:G452))=1,"完了",""))</f>
        <v>完了</v>
      </c>
    </row>
    <row r="276" spans="1:9" x14ac:dyDescent="0.2">
      <c r="B276" s="64">
        <f t="shared" ref="B276:B281" si="17">B275+1</f>
        <v>2</v>
      </c>
      <c r="C276" s="65" t="s">
        <v>122</v>
      </c>
      <c r="D276" s="65" t="s">
        <v>90</v>
      </c>
      <c r="E276" s="65" t="s">
        <v>489</v>
      </c>
      <c r="F276" s="66"/>
      <c r="G276" s="65" t="s">
        <v>114</v>
      </c>
      <c r="H276" s="67" t="s">
        <v>490</v>
      </c>
      <c r="I276" s="60" t="str">
        <f>IF($G276="完了","",IF(SUMPRODUCT(($E276=$E$3:E452)*($D276=$D$3:D452)*($C276=$C$3:C452)*("完了"=$G$3:G452))=1,"完了",""))</f>
        <v>完了</v>
      </c>
    </row>
    <row r="277" spans="1:9" x14ac:dyDescent="0.2">
      <c r="B277" s="64">
        <f t="shared" si="17"/>
        <v>3</v>
      </c>
      <c r="C277" s="65" t="s">
        <v>421</v>
      </c>
      <c r="D277" s="65" t="s">
        <v>117</v>
      </c>
      <c r="E277" s="65" t="s">
        <v>496</v>
      </c>
      <c r="F277" s="66"/>
      <c r="G277" s="65" t="s">
        <v>25</v>
      </c>
      <c r="H277" s="67"/>
      <c r="I277" s="60" t="str">
        <f>IF($G277="完了","",IF(SUMPRODUCT(($E277=$E$3:E452)*($D277=$D$3:D452)*($C277=$C$3:C452)*("完了"=$G$3:G452))=1,"完了",""))</f>
        <v>完了</v>
      </c>
    </row>
    <row r="278" spans="1:9" ht="62.5" x14ac:dyDescent="0.2">
      <c r="B278" s="64">
        <f t="shared" si="17"/>
        <v>4</v>
      </c>
      <c r="C278" s="65" t="s">
        <v>421</v>
      </c>
      <c r="D278" s="65" t="s">
        <v>468</v>
      </c>
      <c r="E278" s="65" t="s">
        <v>434</v>
      </c>
      <c r="F278" s="66"/>
      <c r="G278" s="65" t="s">
        <v>114</v>
      </c>
      <c r="H278" s="67" t="s">
        <v>511</v>
      </c>
      <c r="I278" s="60" t="str">
        <f>IF($G278="完了","",IF(SUMPRODUCT(($E278=$E$3:E452)*($D278=$D$3:D452)*($C278=$C$3:C452)*("完了"=$G$3:G452))=1,"完了",""))</f>
        <v>完了</v>
      </c>
    </row>
    <row r="279" spans="1:9" x14ac:dyDescent="0.2">
      <c r="B279" s="64">
        <f t="shared" si="17"/>
        <v>5</v>
      </c>
      <c r="C279" s="65" t="s">
        <v>414</v>
      </c>
      <c r="D279" s="65" t="s">
        <v>267</v>
      </c>
      <c r="E279" s="65" t="s">
        <v>558</v>
      </c>
      <c r="F279" s="66"/>
      <c r="G279" s="65" t="s">
        <v>25</v>
      </c>
      <c r="H279" s="67"/>
      <c r="I279" s="60" t="str">
        <f>IF($G279="完了","",IF(SUMPRODUCT(($E279=$E$3:E452)*($D279=$D$3:D452)*($C279=$C$3:C452)*("完了"=$G$3:G452))=1,"完了",""))</f>
        <v>完了</v>
      </c>
    </row>
    <row r="280" spans="1:9" x14ac:dyDescent="0.2">
      <c r="B280" s="64">
        <f t="shared" si="17"/>
        <v>6</v>
      </c>
      <c r="C280" s="65" t="s">
        <v>422</v>
      </c>
      <c r="D280" s="65" t="s">
        <v>423</v>
      </c>
      <c r="E280" s="65" t="s">
        <v>444</v>
      </c>
      <c r="F280" s="66"/>
      <c r="G280" s="65" t="s">
        <v>25</v>
      </c>
      <c r="H280" s="67"/>
      <c r="I280" s="60" t="str">
        <f>IF($G280="完了","",IF(SUMPRODUCT(($E280=$E$3:E452)*($D280=$D$3:D452)*($C280=$C$3:C452)*("完了"=$G$3:G452))=1,"完了",""))</f>
        <v>完了</v>
      </c>
    </row>
    <row r="281" spans="1:9" x14ac:dyDescent="0.2">
      <c r="B281" s="71">
        <f t="shared" si="17"/>
        <v>7</v>
      </c>
      <c r="C281" s="68" t="s">
        <v>509</v>
      </c>
      <c r="D281" s="68" t="s">
        <v>468</v>
      </c>
      <c r="E281" s="68" t="s">
        <v>510</v>
      </c>
      <c r="F281" s="71"/>
      <c r="G281" s="68" t="s">
        <v>25</v>
      </c>
      <c r="H281" s="70"/>
      <c r="I281" s="60" t="str">
        <f>IF($G281="完了","",IF(SUMPRODUCT(($E281=$E$3:E452)*($D281=$D$3:D452)*($C281=$C$3:C452)*("完了"=$G$3:G452))=1,"完了",""))</f>
        <v/>
      </c>
    </row>
    <row r="284" spans="1:9" x14ac:dyDescent="0.2">
      <c r="A284" s="63" t="s">
        <v>514</v>
      </c>
      <c r="B284" s="64"/>
      <c r="C284" s="65"/>
      <c r="D284" s="65"/>
      <c r="E284" s="65"/>
      <c r="F284" s="66"/>
      <c r="G284" s="65"/>
      <c r="H284" s="67"/>
      <c r="I284" s="60"/>
    </row>
    <row r="285" spans="1:9" x14ac:dyDescent="0.2">
      <c r="B285" s="64" t="s">
        <v>17</v>
      </c>
      <c r="C285" s="65" t="s">
        <v>18</v>
      </c>
      <c r="D285" s="65" t="s">
        <v>448</v>
      </c>
      <c r="E285" s="65" t="s">
        <v>449</v>
      </c>
      <c r="F285" s="66" t="s">
        <v>27</v>
      </c>
      <c r="G285" s="65" t="s">
        <v>20</v>
      </c>
      <c r="H285" s="67" t="s">
        <v>15</v>
      </c>
      <c r="I285" s="60" t="s">
        <v>132</v>
      </c>
    </row>
    <row r="286" spans="1:9" x14ac:dyDescent="0.2">
      <c r="B286" s="64">
        <v>1</v>
      </c>
      <c r="C286" s="65" t="s">
        <v>284</v>
      </c>
      <c r="D286" s="65" t="s">
        <v>85</v>
      </c>
      <c r="E286" s="65" t="s">
        <v>283</v>
      </c>
      <c r="F286" s="66"/>
      <c r="G286" s="65" t="s">
        <v>25</v>
      </c>
      <c r="H286" s="67" t="s">
        <v>512</v>
      </c>
      <c r="I286" s="60" t="str">
        <f>IF($G286="完了","",IF(SUMPRODUCT(($E286=$E$3:E452)*($D286=$D$3:D452)*($C286=$C$3:C452)*("完了"=$G$3:G452))=1,"完了",""))</f>
        <v>完了</v>
      </c>
    </row>
    <row r="287" spans="1:9" ht="50" x14ac:dyDescent="0.2">
      <c r="B287" s="64">
        <f t="shared" ref="B287:B309" si="18">B286+1</f>
        <v>2</v>
      </c>
      <c r="C287" s="65" t="s">
        <v>122</v>
      </c>
      <c r="D287" s="65" t="s">
        <v>90</v>
      </c>
      <c r="E287" s="65" t="s">
        <v>489</v>
      </c>
      <c r="F287" s="66"/>
      <c r="G287" s="65" t="s">
        <v>24</v>
      </c>
      <c r="H287" s="67" t="s">
        <v>519</v>
      </c>
      <c r="I287" s="60" t="str">
        <f>IF($G287="完了","",IF(SUMPRODUCT(($E287=$E$3:E452)*($D287=$D$3:D452)*($C287=$C$3:C452)*("完了"=$G$3:G452))=1,"完了",""))</f>
        <v/>
      </c>
    </row>
    <row r="288" spans="1:9" x14ac:dyDescent="0.2">
      <c r="B288" s="64">
        <f t="shared" si="18"/>
        <v>3</v>
      </c>
      <c r="C288" s="65" t="s">
        <v>122</v>
      </c>
      <c r="D288" s="65" t="s">
        <v>90</v>
      </c>
      <c r="E288" s="65" t="s">
        <v>520</v>
      </c>
      <c r="F288" s="66"/>
      <c r="G288" s="65" t="s">
        <v>24</v>
      </c>
      <c r="H288" s="67"/>
      <c r="I288" s="60" t="str">
        <f>IF($G288="完了","",IF(SUMPRODUCT(($E288=$E$3:E452)*($D288=$D$3:D452)*($C288=$C$3:C452)*("完了"=$G$3:G452))=1,"完了",""))</f>
        <v/>
      </c>
    </row>
    <row r="289" spans="2:9" x14ac:dyDescent="0.2">
      <c r="B289" s="64">
        <f t="shared" si="18"/>
        <v>4</v>
      </c>
      <c r="C289" s="65" t="s">
        <v>122</v>
      </c>
      <c r="D289" s="65" t="s">
        <v>106</v>
      </c>
      <c r="E289" s="65" t="s">
        <v>515</v>
      </c>
      <c r="F289" s="66"/>
      <c r="G289" s="65" t="s">
        <v>24</v>
      </c>
      <c r="H289" s="67"/>
      <c r="I289" s="60" t="str">
        <f>IF($G289="完了","",IF(SUMPRODUCT(($E289=$E$3:E452)*($D289=$D$3:D452)*($C289=$C$3:C452)*("完了"=$G$3:G452))=1,"完了",""))</f>
        <v/>
      </c>
    </row>
    <row r="290" spans="2:9" ht="25" x14ac:dyDescent="0.2">
      <c r="B290" s="64">
        <f t="shared" si="18"/>
        <v>5</v>
      </c>
      <c r="C290" s="65" t="s">
        <v>122</v>
      </c>
      <c r="D290" s="65" t="s">
        <v>468</v>
      </c>
      <c r="E290" s="65" t="s">
        <v>518</v>
      </c>
      <c r="F290" s="66"/>
      <c r="G290" s="65" t="s">
        <v>114</v>
      </c>
      <c r="H290" s="67" t="s">
        <v>522</v>
      </c>
      <c r="I290" s="60" t="str">
        <f>IF($G290="完了","",IF(SUMPRODUCT(($E290=$E$3:E452)*($D290=$D$3:D452)*($C290=$C$3:C452)*("完了"=$G$3:G452))=1,"完了",""))</f>
        <v>完了</v>
      </c>
    </row>
    <row r="291" spans="2:9" x14ac:dyDescent="0.2">
      <c r="B291" s="64">
        <f t="shared" si="18"/>
        <v>6</v>
      </c>
      <c r="C291" s="65" t="s">
        <v>322</v>
      </c>
      <c r="D291" s="65" t="s">
        <v>106</v>
      </c>
      <c r="E291" s="65" t="s">
        <v>515</v>
      </c>
      <c r="F291" s="66"/>
      <c r="G291" s="65" t="s">
        <v>24</v>
      </c>
      <c r="H291" s="67"/>
      <c r="I291" s="60" t="str">
        <f>IF($G291="完了","",IF(SUMPRODUCT(($E291=$E$3:E452)*($D291=$D$3:D452)*($C291=$C$3:C452)*("完了"=$G$3:G452))=1,"完了",""))</f>
        <v/>
      </c>
    </row>
    <row r="292" spans="2:9" x14ac:dyDescent="0.2">
      <c r="B292" s="64">
        <f t="shared" si="18"/>
        <v>7</v>
      </c>
      <c r="C292" s="65" t="s">
        <v>322</v>
      </c>
      <c r="D292" s="65" t="s">
        <v>468</v>
      </c>
      <c r="E292" s="65" t="s">
        <v>518</v>
      </c>
      <c r="F292" s="66"/>
      <c r="G292" s="65" t="s">
        <v>114</v>
      </c>
      <c r="H292" s="67" t="s">
        <v>521</v>
      </c>
      <c r="I292" s="60" t="str">
        <f>IF($G292="完了","",IF(SUMPRODUCT(($E292=$E$3:E452)*($D292=$D$3:D452)*($C292=$C$3:C452)*("完了"=$G$3:G452))=1,"完了",""))</f>
        <v>完了</v>
      </c>
    </row>
    <row r="293" spans="2:9" x14ac:dyDescent="0.2">
      <c r="B293" s="64">
        <f t="shared" si="18"/>
        <v>8</v>
      </c>
      <c r="C293" s="65" t="s">
        <v>307</v>
      </c>
      <c r="D293" s="65" t="s">
        <v>106</v>
      </c>
      <c r="E293" s="65" t="s">
        <v>515</v>
      </c>
      <c r="F293" s="66"/>
      <c r="G293" s="65" t="s">
        <v>24</v>
      </c>
      <c r="H293" s="67"/>
      <c r="I293" s="60" t="str">
        <f>IF($G293="完了","",IF(SUMPRODUCT(($E293=$E$3:E452)*($D293=$D$3:D452)*($C293=$C$3:C452)*("完了"=$G$3:G452))=1,"完了",""))</f>
        <v/>
      </c>
    </row>
    <row r="294" spans="2:9" x14ac:dyDescent="0.2">
      <c r="B294" s="64">
        <f t="shared" si="18"/>
        <v>9</v>
      </c>
      <c r="C294" s="65" t="s">
        <v>421</v>
      </c>
      <c r="D294" s="65" t="s">
        <v>117</v>
      </c>
      <c r="E294" s="65" t="s">
        <v>496</v>
      </c>
      <c r="F294" s="66"/>
      <c r="G294" s="65" t="s">
        <v>25</v>
      </c>
      <c r="H294" s="67"/>
      <c r="I294" s="60" t="str">
        <f>IF($G294="完了","",IF(SUMPRODUCT(($E294=$E$3:E452)*($D294=$D$3:D452)*($C294=$C$3:C452)*("完了"=$G$3:G452))=1,"完了",""))</f>
        <v>完了</v>
      </c>
    </row>
    <row r="295" spans="2:9" ht="62.5" x14ac:dyDescent="0.2">
      <c r="B295" s="64">
        <f t="shared" si="18"/>
        <v>10</v>
      </c>
      <c r="C295" s="65" t="s">
        <v>421</v>
      </c>
      <c r="D295" s="65" t="s">
        <v>468</v>
      </c>
      <c r="E295" s="65" t="s">
        <v>434</v>
      </c>
      <c r="F295" s="66"/>
      <c r="G295" s="65" t="s">
        <v>24</v>
      </c>
      <c r="H295" s="67" t="s">
        <v>511</v>
      </c>
      <c r="I295" s="60" t="str">
        <f>IF($G295="完了","",IF(SUMPRODUCT(($E295=$E$3:E452)*($D295=$D$3:D452)*($C295=$C$3:C452)*("完了"=$G$3:G452))=1,"完了",""))</f>
        <v/>
      </c>
    </row>
    <row r="296" spans="2:9" x14ac:dyDescent="0.2">
      <c r="B296" s="64">
        <f t="shared" si="18"/>
        <v>11</v>
      </c>
      <c r="C296" s="65" t="s">
        <v>421</v>
      </c>
      <c r="D296" s="65" t="s">
        <v>267</v>
      </c>
      <c r="E296" s="65" t="s">
        <v>529</v>
      </c>
      <c r="F296" s="66"/>
      <c r="G296" s="65" t="s">
        <v>114</v>
      </c>
      <c r="H296" s="67"/>
      <c r="I296" s="60" t="str">
        <f>IF($G296="完了","",IF(SUMPRODUCT(($E296=$E$3:E452)*($D296=$D$3:D452)*($C296=$C$3:C452)*("完了"=$G$3:G452))=1,"完了",""))</f>
        <v>完了</v>
      </c>
    </row>
    <row r="297" spans="2:9" x14ac:dyDescent="0.2">
      <c r="B297" s="64">
        <f t="shared" si="18"/>
        <v>12</v>
      </c>
      <c r="C297" s="65" t="s">
        <v>421</v>
      </c>
      <c r="D297" s="65" t="s">
        <v>531</v>
      </c>
      <c r="E297" s="65" t="s">
        <v>530</v>
      </c>
      <c r="F297" s="66"/>
      <c r="G297" s="65" t="s">
        <v>25</v>
      </c>
      <c r="H297" s="67"/>
      <c r="I297" s="60" t="str">
        <f>IF($G297="完了","",IF(SUMPRODUCT(($E297=$E$3:E452)*($D297=$D$3:D452)*($C297=$C$3:C452)*("完了"=$G$3:G452))=1,"完了",""))</f>
        <v>完了</v>
      </c>
    </row>
    <row r="298" spans="2:9" x14ac:dyDescent="0.2">
      <c r="B298" s="64">
        <f t="shared" si="18"/>
        <v>13</v>
      </c>
      <c r="C298" s="65" t="s">
        <v>414</v>
      </c>
      <c r="D298" s="65" t="s">
        <v>267</v>
      </c>
      <c r="E298" s="65" t="s">
        <v>499</v>
      </c>
      <c r="F298" s="66"/>
      <c r="G298" s="65" t="s">
        <v>25</v>
      </c>
      <c r="H298" s="67"/>
      <c r="I298" s="60" t="str">
        <f>IF($G298="完了","",IF(SUMPRODUCT(($E298=$E$3:E452)*($D298=$D$3:D452)*($C298=$C$3:C452)*("完了"=$G$3:G452))=1,"完了",""))</f>
        <v>完了</v>
      </c>
    </row>
    <row r="299" spans="2:9" x14ac:dyDescent="0.2">
      <c r="B299" s="64">
        <f t="shared" si="18"/>
        <v>14</v>
      </c>
      <c r="C299" s="65" t="s">
        <v>414</v>
      </c>
      <c r="D299" s="65" t="s">
        <v>267</v>
      </c>
      <c r="E299" s="65" t="s">
        <v>529</v>
      </c>
      <c r="F299" s="66"/>
      <c r="G299" s="65" t="s">
        <v>114</v>
      </c>
      <c r="H299" s="67"/>
      <c r="I299" s="60" t="str">
        <f>IF($G299="完了","",IF(SUMPRODUCT(($E299=$E$3:E452)*($D299=$D$3:D452)*($C299=$C$3:C452)*("完了"=$G$3:G452))=1,"完了",""))</f>
        <v>完了</v>
      </c>
    </row>
    <row r="300" spans="2:9" x14ac:dyDescent="0.2">
      <c r="B300" s="64">
        <f t="shared" si="18"/>
        <v>15</v>
      </c>
      <c r="C300" s="65" t="s">
        <v>422</v>
      </c>
      <c r="D300" s="65" t="s">
        <v>423</v>
      </c>
      <c r="E300" s="65" t="s">
        <v>444</v>
      </c>
      <c r="F300" s="66"/>
      <c r="G300" s="65" t="s">
        <v>25</v>
      </c>
      <c r="H300" s="67"/>
      <c r="I300" s="60" t="str">
        <f>IF($G300="完了","",IF(SUMPRODUCT(($E300=$E$3:E452)*($D300=$D$3:D452)*($C300=$C$3:C452)*("完了"=$G$3:G452))=1,"完了",""))</f>
        <v>完了</v>
      </c>
    </row>
    <row r="301" spans="2:9" x14ac:dyDescent="0.2">
      <c r="B301" s="64">
        <f t="shared" si="18"/>
        <v>16</v>
      </c>
      <c r="C301" s="65" t="s">
        <v>509</v>
      </c>
      <c r="D301" s="65" t="s">
        <v>468</v>
      </c>
      <c r="E301" s="65" t="s">
        <v>510</v>
      </c>
      <c r="F301" s="66"/>
      <c r="G301" s="65" t="s">
        <v>25</v>
      </c>
      <c r="H301" s="67"/>
      <c r="I301" s="60" t="str">
        <f>IF($G301="完了","",IF(SUMPRODUCT(($E301=$E$3:E452)*($D301=$D$3:D452)*($C301=$C$3:C452)*("完了"=$G$3:G452))=1,"完了",""))</f>
        <v/>
      </c>
    </row>
    <row r="302" spans="2:9" ht="125" x14ac:dyDescent="0.2">
      <c r="B302" s="64">
        <f t="shared" si="18"/>
        <v>17</v>
      </c>
      <c r="C302" s="65" t="s">
        <v>509</v>
      </c>
      <c r="D302" s="65" t="s">
        <v>468</v>
      </c>
      <c r="E302" s="67" t="s">
        <v>517</v>
      </c>
      <c r="F302" s="66"/>
      <c r="G302" s="65" t="s">
        <v>114</v>
      </c>
      <c r="H302" s="67" t="s">
        <v>516</v>
      </c>
      <c r="I302" s="60" t="str">
        <f>IF($G302="完了","",IF(SUMPRODUCT(($E302=$E$3:E452)*($D302=$D$3:D452)*($C302=$C$3:C452)*("完了"=$G$3:G452))=1,"完了",""))</f>
        <v/>
      </c>
    </row>
    <row r="303" spans="2:9" x14ac:dyDescent="0.2">
      <c r="B303" s="64">
        <f t="shared" si="18"/>
        <v>18</v>
      </c>
      <c r="C303" s="65" t="s">
        <v>523</v>
      </c>
      <c r="D303" s="65" t="s">
        <v>468</v>
      </c>
      <c r="E303" s="65" t="s">
        <v>524</v>
      </c>
      <c r="F303" s="66"/>
      <c r="G303" s="65" t="s">
        <v>24</v>
      </c>
      <c r="H303" s="67" t="s">
        <v>525</v>
      </c>
      <c r="I303" s="60" t="str">
        <f>IF($G303="完了","",IF(SUMPRODUCT(($E303=$E$3:E452)*($D303=$D$3:D452)*($C303=$C$3:C452)*("完了"=$G$3:G452))=1,"完了",""))</f>
        <v/>
      </c>
    </row>
    <row r="304" spans="2:9" x14ac:dyDescent="0.2">
      <c r="B304" s="64">
        <f t="shared" si="18"/>
        <v>19</v>
      </c>
      <c r="C304" s="65" t="s">
        <v>523</v>
      </c>
      <c r="D304" s="65" t="s">
        <v>468</v>
      </c>
      <c r="E304" s="65" t="s">
        <v>87</v>
      </c>
      <c r="F304" s="66"/>
      <c r="G304" s="65" t="s">
        <v>25</v>
      </c>
      <c r="H304" s="67"/>
      <c r="I304" s="60" t="str">
        <f>IF($G304="完了","",IF(SUMPRODUCT(($E304=$E$3:E452)*($D304=$D$3:D452)*($C304=$C$3:C452)*("完了"=$G$3:G452))=1,"完了",""))</f>
        <v/>
      </c>
    </row>
    <row r="305" spans="1:9" x14ac:dyDescent="0.2">
      <c r="B305" s="64">
        <f t="shared" si="18"/>
        <v>20</v>
      </c>
      <c r="C305" s="65" t="s">
        <v>526</v>
      </c>
      <c r="D305" s="65" t="s">
        <v>532</v>
      </c>
      <c r="E305" s="65" t="s">
        <v>533</v>
      </c>
      <c r="F305" s="66"/>
      <c r="G305" s="65" t="s">
        <v>25</v>
      </c>
      <c r="H305" s="67"/>
      <c r="I305" s="60" t="str">
        <f>IF($G305="完了","",IF(SUMPRODUCT(($E305=$E$3:E452)*($D305=$D$3:D452)*($C305=$C$3:C452)*("完了"=$G$3:G452))=1,"完了",""))</f>
        <v>完了</v>
      </c>
    </row>
    <row r="306" spans="1:9" x14ac:dyDescent="0.2">
      <c r="B306" s="64">
        <f t="shared" si="18"/>
        <v>21</v>
      </c>
      <c r="C306" s="65" t="s">
        <v>526</v>
      </c>
      <c r="D306" s="65" t="s">
        <v>532</v>
      </c>
      <c r="E306" s="65" t="s">
        <v>534</v>
      </c>
      <c r="F306" s="66"/>
      <c r="G306" s="65" t="s">
        <v>24</v>
      </c>
      <c r="H306" s="67"/>
      <c r="I306" s="60" t="str">
        <f>IF($G306="完了","",IF(SUMPRODUCT(($E306=$E$3:E452)*($D306=$D$3:D452)*($C306=$C$3:C452)*("完了"=$G$3:G452))=1,"完了",""))</f>
        <v/>
      </c>
    </row>
    <row r="307" spans="1:9" x14ac:dyDescent="0.2">
      <c r="B307" s="64">
        <f t="shared" si="18"/>
        <v>22</v>
      </c>
      <c r="C307" s="65" t="s">
        <v>526</v>
      </c>
      <c r="D307" s="65" t="s">
        <v>532</v>
      </c>
      <c r="E307" s="65" t="s">
        <v>535</v>
      </c>
      <c r="F307" s="66"/>
      <c r="G307" s="65" t="s">
        <v>25</v>
      </c>
      <c r="H307" s="67"/>
      <c r="I307" s="60" t="str">
        <f>IF($G307="完了","",IF(SUMPRODUCT(($E307=$E$3:E452)*($D307=$D$3:D452)*($C307=$C$3:C452)*("完了"=$G$3:G452))=1,"完了",""))</f>
        <v>完了</v>
      </c>
    </row>
    <row r="308" spans="1:9" x14ac:dyDescent="0.2">
      <c r="B308" s="64">
        <f t="shared" si="18"/>
        <v>23</v>
      </c>
      <c r="C308" s="65" t="s">
        <v>526</v>
      </c>
      <c r="D308" s="65" t="s">
        <v>532</v>
      </c>
      <c r="E308" s="65" t="s">
        <v>536</v>
      </c>
      <c r="F308" s="66"/>
      <c r="G308" s="65" t="s">
        <v>25</v>
      </c>
      <c r="H308" s="67"/>
      <c r="I308" s="60" t="str">
        <f>IF($G308="完了","",IF(SUMPRODUCT(($E308=$E$3:E452)*($D308=$D$3:D452)*($C308=$C$3:C452)*("完了"=$G$3:G452))=1,"完了",""))</f>
        <v>完了</v>
      </c>
    </row>
    <row r="309" spans="1:9" x14ac:dyDescent="0.2">
      <c r="B309" s="71">
        <f t="shared" si="18"/>
        <v>24</v>
      </c>
      <c r="C309" s="68"/>
      <c r="D309" s="68"/>
      <c r="E309" s="68"/>
      <c r="F309" s="69"/>
      <c r="G309" s="68"/>
      <c r="H309" s="70"/>
      <c r="I309" s="61" t="str">
        <f>IF($G309="完了","",IF(SUMPRODUCT(($E309=$E$3:E452)*($D309=$D$3:D452)*($C309=$C$3:C452)*("完了"=$G$3:G452))=1,"完了",""))</f>
        <v>完了</v>
      </c>
    </row>
    <row r="312" spans="1:9" x14ac:dyDescent="0.2">
      <c r="A312" s="63" t="s">
        <v>537</v>
      </c>
      <c r="B312" s="64"/>
      <c r="C312" s="65"/>
      <c r="D312" s="65"/>
      <c r="E312" s="65"/>
      <c r="F312" s="66"/>
      <c r="G312" s="65"/>
      <c r="H312" s="67"/>
      <c r="I312" s="60"/>
    </row>
    <row r="313" spans="1:9" x14ac:dyDescent="0.2">
      <c r="B313" s="64" t="s">
        <v>17</v>
      </c>
      <c r="C313" s="65" t="s">
        <v>18</v>
      </c>
      <c r="D313" s="65" t="s">
        <v>448</v>
      </c>
      <c r="E313" s="65" t="s">
        <v>449</v>
      </c>
      <c r="F313" s="66" t="s">
        <v>27</v>
      </c>
      <c r="G313" s="65" t="s">
        <v>20</v>
      </c>
      <c r="H313" s="67" t="s">
        <v>15</v>
      </c>
      <c r="I313" s="60" t="s">
        <v>132</v>
      </c>
    </row>
    <row r="314" spans="1:9" ht="37.5" x14ac:dyDescent="0.2">
      <c r="B314" s="64">
        <v>1</v>
      </c>
      <c r="C314" s="65" t="s">
        <v>284</v>
      </c>
      <c r="D314" s="65" t="s">
        <v>85</v>
      </c>
      <c r="E314" s="65" t="s">
        <v>283</v>
      </c>
      <c r="F314" s="66"/>
      <c r="G314" s="65" t="s">
        <v>24</v>
      </c>
      <c r="H314" s="67" t="s">
        <v>539</v>
      </c>
      <c r="I314" s="61" t="str">
        <f>IF($G314="完了","",IF(SUMPRODUCT(($E314=$E$3:E454)*($D314=$D$3:D454)*($C314=$C$3:C454)*("完了"=$G$3:G454))=1,"完了",""))</f>
        <v/>
      </c>
    </row>
    <row r="315" spans="1:9" x14ac:dyDescent="0.2">
      <c r="B315" s="64">
        <f t="shared" ref="B315:B337" si="19">B314+1</f>
        <v>2</v>
      </c>
      <c r="C315" s="65" t="s">
        <v>284</v>
      </c>
      <c r="D315" s="65" t="s">
        <v>85</v>
      </c>
      <c r="E315" s="65" t="s">
        <v>543</v>
      </c>
      <c r="F315" s="66"/>
      <c r="G315" s="65" t="s">
        <v>24</v>
      </c>
      <c r="H315" s="67"/>
      <c r="I315" s="61" t="str">
        <f>IF($G315="完了","",IF(SUMPRODUCT(($E315=$E$3:E455)*($D315=$D$3:D455)*($C315=$C$3:C455)*("完了"=$G$3:G455))=1,"完了",""))</f>
        <v/>
      </c>
    </row>
    <row r="316" spans="1:9" ht="25" x14ac:dyDescent="0.2">
      <c r="B316" s="64">
        <f t="shared" si="19"/>
        <v>3</v>
      </c>
      <c r="C316" s="65" t="s">
        <v>122</v>
      </c>
      <c r="D316" s="65" t="s">
        <v>468</v>
      </c>
      <c r="E316" s="65" t="s">
        <v>518</v>
      </c>
      <c r="F316" s="66"/>
      <c r="G316" s="65" t="s">
        <v>24</v>
      </c>
      <c r="H316" s="67" t="s">
        <v>522</v>
      </c>
      <c r="I316" s="61" t="str">
        <f>IF($G316="完了","",IF(SUMPRODUCT(($E316=$E$3:E456)*($D316=$D$3:D456)*($C316=$C$3:C456)*("完了"=$G$3:G456))=1,"完了",""))</f>
        <v/>
      </c>
    </row>
    <row r="317" spans="1:9" x14ac:dyDescent="0.2">
      <c r="B317" s="64">
        <f t="shared" si="19"/>
        <v>4</v>
      </c>
      <c r="C317" s="65" t="s">
        <v>322</v>
      </c>
      <c r="D317" s="65" t="s">
        <v>468</v>
      </c>
      <c r="E317" s="65" t="s">
        <v>518</v>
      </c>
      <c r="F317" s="66"/>
      <c r="G317" s="65" t="s">
        <v>24</v>
      </c>
      <c r="H317" s="67" t="s">
        <v>521</v>
      </c>
      <c r="I317" s="61" t="str">
        <f>IF($G317="完了","",IF(SUMPRODUCT(($E317=$E$3:E457)*($D317=$D$3:D457)*($C317=$C$3:C457)*("完了"=$G$3:G457))=1,"完了",""))</f>
        <v/>
      </c>
    </row>
    <row r="318" spans="1:9" x14ac:dyDescent="0.2">
      <c r="B318" s="64">
        <f t="shared" si="19"/>
        <v>5</v>
      </c>
      <c r="C318" s="65" t="s">
        <v>421</v>
      </c>
      <c r="D318" s="65" t="s">
        <v>117</v>
      </c>
      <c r="E318" s="65" t="s">
        <v>496</v>
      </c>
      <c r="F318" s="66"/>
      <c r="G318" s="65" t="s">
        <v>24</v>
      </c>
      <c r="H318" s="67"/>
      <c r="I318" s="61" t="str">
        <f>IF($G318="完了","",IF(SUMPRODUCT(($E318=$E$3:E458)*($D318=$D$3:D458)*($C318=$C$3:C458)*("完了"=$G$3:G458))=1,"完了",""))</f>
        <v/>
      </c>
    </row>
    <row r="319" spans="1:9" ht="50" x14ac:dyDescent="0.2">
      <c r="B319" s="64">
        <f t="shared" si="19"/>
        <v>6</v>
      </c>
      <c r="C319" s="65" t="s">
        <v>421</v>
      </c>
      <c r="D319" s="65" t="s">
        <v>267</v>
      </c>
      <c r="E319" s="65" t="s">
        <v>529</v>
      </c>
      <c r="F319" s="66"/>
      <c r="G319" s="65" t="s">
        <v>114</v>
      </c>
      <c r="H319" s="67" t="s">
        <v>542</v>
      </c>
      <c r="I319" s="61" t="str">
        <f>IF($G319="完了","",IF(SUMPRODUCT(($E319=$E$3:E459)*($D319=$D$3:D459)*($C319=$C$3:C459)*("完了"=$G$3:G459))=1,"完了",""))</f>
        <v>完了</v>
      </c>
    </row>
    <row r="320" spans="1:9" x14ac:dyDescent="0.2">
      <c r="B320" s="64">
        <f t="shared" si="19"/>
        <v>7</v>
      </c>
      <c r="C320" s="65" t="s">
        <v>421</v>
      </c>
      <c r="D320" s="65" t="s">
        <v>453</v>
      </c>
      <c r="E320" s="65" t="s">
        <v>530</v>
      </c>
      <c r="F320" s="66"/>
      <c r="G320" s="65" t="s">
        <v>24</v>
      </c>
      <c r="H320" s="67"/>
      <c r="I320" s="61" t="str">
        <f>IF($G320="完了","",IF(SUMPRODUCT(($E320=$E$3:E460)*($D320=$D$3:D460)*($C320=$C$3:C460)*("完了"=$G$3:G460))=1,"完了",""))</f>
        <v/>
      </c>
    </row>
    <row r="321" spans="2:9" x14ac:dyDescent="0.2">
      <c r="B321" s="64">
        <f t="shared" si="19"/>
        <v>8</v>
      </c>
      <c r="C321" s="65" t="s">
        <v>421</v>
      </c>
      <c r="D321" s="65" t="s">
        <v>453</v>
      </c>
      <c r="E321" s="65" t="s">
        <v>12</v>
      </c>
      <c r="F321" s="66"/>
      <c r="G321" s="65" t="s">
        <v>24</v>
      </c>
      <c r="H321" s="67"/>
      <c r="I321" s="61" t="str">
        <f>IF($G321="完了","",IF(SUMPRODUCT(($E321=$E$3:E461)*($D321=$D$3:D461)*($C321=$C$3:C461)*("完了"=$G$3:G461))=1,"完了",""))</f>
        <v/>
      </c>
    </row>
    <row r="322" spans="2:9" x14ac:dyDescent="0.2">
      <c r="B322" s="64">
        <f t="shared" si="19"/>
        <v>9</v>
      </c>
      <c r="C322" s="65" t="s">
        <v>414</v>
      </c>
      <c r="D322" s="65" t="s">
        <v>267</v>
      </c>
      <c r="E322" s="65" t="s">
        <v>499</v>
      </c>
      <c r="F322" s="66"/>
      <c r="G322" s="65" t="s">
        <v>25</v>
      </c>
      <c r="H322" s="67"/>
      <c r="I322" s="61" t="str">
        <f>IF($G322="完了","",IF(SUMPRODUCT(($E322=$E$3:E462)*($D322=$D$3:D462)*($C322=$C$3:C462)*("完了"=$G$3:G462))=1,"完了",""))</f>
        <v>完了</v>
      </c>
    </row>
    <row r="323" spans="2:9" x14ac:dyDescent="0.2">
      <c r="B323" s="64">
        <f t="shared" si="19"/>
        <v>10</v>
      </c>
      <c r="C323" s="65" t="s">
        <v>414</v>
      </c>
      <c r="D323" s="65" t="s">
        <v>267</v>
      </c>
      <c r="E323" s="65" t="s">
        <v>529</v>
      </c>
      <c r="F323" s="66"/>
      <c r="G323" s="65" t="s">
        <v>114</v>
      </c>
      <c r="H323" s="67"/>
      <c r="I323" s="61" t="str">
        <f>IF($G323="完了","",IF(SUMPRODUCT(($E323=$E$3:E463)*($D323=$D$3:D463)*($C323=$C$3:C463)*("完了"=$G$3:G463))=1,"完了",""))</f>
        <v>完了</v>
      </c>
    </row>
    <row r="324" spans="2:9" x14ac:dyDescent="0.2">
      <c r="B324" s="64">
        <f t="shared" si="19"/>
        <v>11</v>
      </c>
      <c r="C324" s="65" t="s">
        <v>422</v>
      </c>
      <c r="D324" s="65" t="s">
        <v>423</v>
      </c>
      <c r="E324" s="65" t="s">
        <v>444</v>
      </c>
      <c r="F324" s="66"/>
      <c r="G324" s="65" t="s">
        <v>25</v>
      </c>
      <c r="H324" s="67"/>
      <c r="I324" s="61" t="str">
        <f>IF($G324="完了","",IF(SUMPRODUCT(($E324=$E$3:E464)*($D324=$D$3:D464)*($C324=$C$3:C464)*("完了"=$G$3:G464))=1,"完了",""))</f>
        <v>完了</v>
      </c>
    </row>
    <row r="325" spans="2:9" x14ac:dyDescent="0.2">
      <c r="B325" s="64">
        <f t="shared" si="19"/>
        <v>12</v>
      </c>
      <c r="C325" s="65" t="s">
        <v>509</v>
      </c>
      <c r="D325" s="65" t="s">
        <v>468</v>
      </c>
      <c r="E325" s="65" t="s">
        <v>510</v>
      </c>
      <c r="F325" s="66"/>
      <c r="G325" s="65" t="s">
        <v>25</v>
      </c>
      <c r="H325" s="67"/>
      <c r="I325" s="61" t="str">
        <f>IF($G325="完了","",IF(SUMPRODUCT(($E325=$E$3:E465)*($D325=$D$3:D465)*($C325=$C$3:C465)*("完了"=$G$3:G465))=1,"完了",""))</f>
        <v/>
      </c>
    </row>
    <row r="326" spans="2:9" ht="125" x14ac:dyDescent="0.2">
      <c r="B326" s="64">
        <f t="shared" si="19"/>
        <v>13</v>
      </c>
      <c r="C326" s="65" t="s">
        <v>509</v>
      </c>
      <c r="D326" s="65" t="s">
        <v>468</v>
      </c>
      <c r="E326" s="67" t="s">
        <v>517</v>
      </c>
      <c r="F326" s="66"/>
      <c r="G326" s="65" t="s">
        <v>114</v>
      </c>
      <c r="H326" s="67" t="s">
        <v>516</v>
      </c>
      <c r="I326" s="61" t="str">
        <f>IF($G326="完了","",IF(SUMPRODUCT(($E326=$E$3:E466)*($D326=$D$3:D466)*($C326=$C$3:C466)*("完了"=$G$3:G466))=1,"完了",""))</f>
        <v/>
      </c>
    </row>
    <row r="327" spans="2:9" ht="25" x14ac:dyDescent="0.2">
      <c r="B327" s="64">
        <f t="shared" si="19"/>
        <v>14</v>
      </c>
      <c r="C327" s="65" t="s">
        <v>523</v>
      </c>
      <c r="D327" s="65" t="s">
        <v>468</v>
      </c>
      <c r="E327" s="65" t="s">
        <v>87</v>
      </c>
      <c r="F327" s="66"/>
      <c r="G327" s="65" t="s">
        <v>25</v>
      </c>
      <c r="H327" s="67" t="s">
        <v>538</v>
      </c>
      <c r="I327" s="61" t="str">
        <f>IF($G327="完了","",IF(SUMPRODUCT(($E327=$E$3:E467)*($D327=$D$3:D467)*($C327=$C$3:C467)*("完了"=$G$3:G467))=1,"完了",""))</f>
        <v/>
      </c>
    </row>
    <row r="328" spans="2:9" x14ac:dyDescent="0.2">
      <c r="B328" s="64">
        <f t="shared" si="19"/>
        <v>15</v>
      </c>
      <c r="C328" s="65" t="s">
        <v>555</v>
      </c>
      <c r="D328" s="65" t="s">
        <v>532</v>
      </c>
      <c r="E328" s="65" t="s">
        <v>533</v>
      </c>
      <c r="F328" s="66"/>
      <c r="G328" s="65" t="s">
        <v>114</v>
      </c>
      <c r="H328" s="67"/>
      <c r="I328" s="61" t="str">
        <f>IF($G328="完了","",IF(SUMPRODUCT(($E328=$E$3:E468)*($D328=$D$3:D468)*($C328=$C$3:C468)*("完了"=$G$3:G468))=1,"完了",""))</f>
        <v>完了</v>
      </c>
    </row>
    <row r="329" spans="2:9" x14ac:dyDescent="0.2">
      <c r="B329" s="64">
        <f t="shared" si="19"/>
        <v>16</v>
      </c>
      <c r="C329" s="65" t="s">
        <v>526</v>
      </c>
      <c r="D329" s="65" t="s">
        <v>532</v>
      </c>
      <c r="E329" s="65" t="s">
        <v>535</v>
      </c>
      <c r="F329" s="66"/>
      <c r="G329" s="65" t="s">
        <v>25</v>
      </c>
      <c r="H329" s="67"/>
      <c r="I329" s="61" t="str">
        <f>IF($G329="完了","",IF(SUMPRODUCT(($E329=$E$3:E469)*($D329=$D$3:D469)*($C329=$C$3:C469)*("完了"=$G$3:G469))=1,"完了",""))</f>
        <v>完了</v>
      </c>
    </row>
    <row r="330" spans="2:9" x14ac:dyDescent="0.2">
      <c r="B330" s="64">
        <f t="shared" si="19"/>
        <v>17</v>
      </c>
      <c r="C330" s="65" t="s">
        <v>526</v>
      </c>
      <c r="D330" s="65" t="s">
        <v>532</v>
      </c>
      <c r="E330" s="65" t="s">
        <v>536</v>
      </c>
      <c r="F330" s="66"/>
      <c r="G330" s="65" t="s">
        <v>25</v>
      </c>
      <c r="H330" s="67"/>
      <c r="I330" s="61" t="str">
        <f>IF($G330="完了","",IF(SUMPRODUCT(($E330=$E$3:E470)*($D330=$D$3:D470)*($C330=$C$3:C470)*("完了"=$G$3:G470))=1,"完了",""))</f>
        <v>完了</v>
      </c>
    </row>
    <row r="331" spans="2:9" x14ac:dyDescent="0.2">
      <c r="B331" s="64">
        <f t="shared" si="19"/>
        <v>18</v>
      </c>
      <c r="C331" s="65" t="s">
        <v>526</v>
      </c>
      <c r="D331" s="65" t="s">
        <v>532</v>
      </c>
      <c r="E331" s="65" t="s">
        <v>544</v>
      </c>
      <c r="F331" s="66"/>
      <c r="G331" s="65" t="s">
        <v>24</v>
      </c>
      <c r="H331" s="67"/>
      <c r="I331" s="61" t="str">
        <f>IF($G331="完了","",IF(SUMPRODUCT(($E331=$E$3:E471)*($D331=$D$3:D471)*($C331=$C$3:C471)*("完了"=$G$3:G471))=1,"完了",""))</f>
        <v/>
      </c>
    </row>
    <row r="332" spans="2:9" x14ac:dyDescent="0.2">
      <c r="B332" s="64">
        <f t="shared" si="19"/>
        <v>19</v>
      </c>
      <c r="C332" s="65" t="s">
        <v>526</v>
      </c>
      <c r="D332" s="65" t="s">
        <v>540</v>
      </c>
      <c r="E332" s="65" t="s">
        <v>541</v>
      </c>
      <c r="F332" s="66"/>
      <c r="G332" s="65" t="s">
        <v>24</v>
      </c>
      <c r="H332" s="67"/>
      <c r="I332" s="61" t="str">
        <f>IF($G332="完了","",IF(SUMPRODUCT(($E332=$E$3:E472)*($D332=$D$3:D472)*($C332=$C$3:C472)*("完了"=$G$3:G472))=1,"完了",""))</f>
        <v/>
      </c>
    </row>
    <row r="333" spans="2:9" x14ac:dyDescent="0.2">
      <c r="B333" s="64">
        <f t="shared" si="19"/>
        <v>20</v>
      </c>
      <c r="C333" s="65" t="s">
        <v>545</v>
      </c>
      <c r="D333" s="65" t="s">
        <v>546</v>
      </c>
      <c r="E333" s="65" t="s">
        <v>547</v>
      </c>
      <c r="F333" s="66"/>
      <c r="G333" s="65" t="s">
        <v>25</v>
      </c>
      <c r="H333" s="67"/>
      <c r="I333" s="61" t="str">
        <f>IF($G333="完了","",IF(SUMPRODUCT(($E333=$E$3:E473)*($D333=$D$3:D473)*($C333=$C$3:C473)*("完了"=$G$3:G473))=1,"完了",""))</f>
        <v>完了</v>
      </c>
    </row>
    <row r="334" spans="2:9" x14ac:dyDescent="0.2">
      <c r="B334" s="64">
        <f t="shared" si="19"/>
        <v>21</v>
      </c>
      <c r="C334" s="65" t="s">
        <v>545</v>
      </c>
      <c r="D334" s="65" t="s">
        <v>546</v>
      </c>
      <c r="E334" s="65" t="s">
        <v>548</v>
      </c>
      <c r="F334" s="66"/>
      <c r="G334" s="65" t="s">
        <v>25</v>
      </c>
      <c r="H334" s="67"/>
      <c r="I334" s="61" t="str">
        <f>IF($G334="完了","",IF(SUMPRODUCT(($E334=$E$3:E474)*($D334=$D$3:D474)*($C334=$C$3:C474)*("完了"=$G$3:G474))=1,"完了",""))</f>
        <v/>
      </c>
    </row>
    <row r="335" spans="2:9" x14ac:dyDescent="0.2">
      <c r="B335" s="64">
        <f t="shared" si="19"/>
        <v>22</v>
      </c>
      <c r="C335" s="65" t="s">
        <v>545</v>
      </c>
      <c r="D335" s="65" t="s">
        <v>546</v>
      </c>
      <c r="E335" s="65" t="s">
        <v>549</v>
      </c>
      <c r="F335" s="66"/>
      <c r="G335" s="65" t="s">
        <v>25</v>
      </c>
      <c r="H335" s="67"/>
      <c r="I335" s="61" t="str">
        <f>IF($G335="完了","",IF(SUMPRODUCT(($E335=$E$3:E475)*($D335=$D$3:D475)*($C335=$C$3:C475)*("完了"=$G$3:G475))=1,"完了",""))</f>
        <v/>
      </c>
    </row>
    <row r="336" spans="2:9" x14ac:dyDescent="0.2">
      <c r="B336" s="64">
        <f t="shared" si="19"/>
        <v>23</v>
      </c>
      <c r="C336" s="65"/>
      <c r="D336" s="65"/>
      <c r="E336" s="65"/>
      <c r="F336" s="66"/>
      <c r="G336" s="65"/>
      <c r="H336" s="67"/>
      <c r="I336" s="61" t="str">
        <f>IF($G336="完了","",IF(SUMPRODUCT(($E336=$E$3:E476)*($D336=$D$3:D476)*($C336=$C$3:C476)*("完了"=$G$3:G476))=1,"完了",""))</f>
        <v>完了</v>
      </c>
    </row>
    <row r="337" spans="1:9" x14ac:dyDescent="0.2">
      <c r="B337" s="71">
        <f t="shared" si="19"/>
        <v>24</v>
      </c>
      <c r="C337" s="68"/>
      <c r="D337" s="68"/>
      <c r="E337" s="68"/>
      <c r="F337" s="69"/>
      <c r="G337" s="68"/>
      <c r="H337" s="70"/>
      <c r="I337" s="61" t="str">
        <f>IF($G337="完了","",IF(SUMPRODUCT(($E337=$E$3:E477)*($D337=$D$3:D477)*($C337=$C$3:C477)*("完了"=$G$3:G477))=1,"完了",""))</f>
        <v>完了</v>
      </c>
    </row>
    <row r="339" spans="1:9" x14ac:dyDescent="0.2">
      <c r="A339" s="63" t="s">
        <v>556</v>
      </c>
      <c r="B339" s="64"/>
      <c r="C339" s="65"/>
      <c r="D339" s="65"/>
      <c r="E339" s="65"/>
      <c r="F339" s="66"/>
      <c r="G339" s="65"/>
      <c r="H339" s="67"/>
      <c r="I339" s="60"/>
    </row>
    <row r="340" spans="1:9" x14ac:dyDescent="0.2">
      <c r="B340" s="64" t="s">
        <v>17</v>
      </c>
      <c r="C340" s="65" t="s">
        <v>18</v>
      </c>
      <c r="D340" s="65" t="s">
        <v>448</v>
      </c>
      <c r="E340" s="65" t="s">
        <v>449</v>
      </c>
      <c r="F340" s="66" t="s">
        <v>27</v>
      </c>
      <c r="G340" s="65" t="s">
        <v>20</v>
      </c>
      <c r="H340" s="67" t="s">
        <v>15</v>
      </c>
      <c r="I340" s="60" t="s">
        <v>132</v>
      </c>
    </row>
    <row r="341" spans="1:9" ht="50" x14ac:dyDescent="0.2">
      <c r="B341" s="64">
        <v>1</v>
      </c>
      <c r="C341" s="65" t="s">
        <v>421</v>
      </c>
      <c r="D341" s="65" t="s">
        <v>267</v>
      </c>
      <c r="E341" s="65" t="s">
        <v>529</v>
      </c>
      <c r="F341" s="66"/>
      <c r="G341" s="65" t="s">
        <v>24</v>
      </c>
      <c r="H341" s="67" t="s">
        <v>542</v>
      </c>
      <c r="I341" s="61" t="str">
        <f>IF($G341="完了","",IF(SUMPRODUCT(($E341=$E$3:E481)*($D341=$D$3:D481)*($C341=$C$3:C481)*("完了"=$G$3:G481))=1,"完了",""))</f>
        <v/>
      </c>
    </row>
    <row r="342" spans="1:9" x14ac:dyDescent="0.2">
      <c r="B342" s="64">
        <f t="shared" ref="B342:B364" si="20">B341+1</f>
        <v>2</v>
      </c>
      <c r="C342" s="65" t="s">
        <v>421</v>
      </c>
      <c r="D342" s="65" t="s">
        <v>572</v>
      </c>
      <c r="E342" s="65" t="s">
        <v>12</v>
      </c>
      <c r="F342" s="66"/>
      <c r="G342" s="65" t="s">
        <v>24</v>
      </c>
      <c r="H342" s="67"/>
      <c r="I342" s="61" t="str">
        <f>IF($G342="完了","",IF(SUMPRODUCT(($E342=$E$3:E481)*($D342=$D$3:D481)*($C342=$C$3:C481)*("完了"=$G$3:G481))=1,"完了",""))</f>
        <v/>
      </c>
    </row>
    <row r="343" spans="1:9" ht="50" x14ac:dyDescent="0.2">
      <c r="B343" s="64">
        <f t="shared" si="20"/>
        <v>3</v>
      </c>
      <c r="C343" s="65" t="s">
        <v>421</v>
      </c>
      <c r="D343" s="65" t="s">
        <v>563</v>
      </c>
      <c r="E343" s="65" t="s">
        <v>560</v>
      </c>
      <c r="F343" s="66"/>
      <c r="G343" s="65" t="s">
        <v>114</v>
      </c>
      <c r="H343" s="67" t="s">
        <v>568</v>
      </c>
      <c r="I343" s="61" t="str">
        <f>IF($G343="完了","",IF(SUMPRODUCT(($E343=$E$3:E481)*($D343=$D$3:D481)*($C343=$C$3:C481)*("完了"=$G$3:G481))=1,"完了",""))</f>
        <v/>
      </c>
    </row>
    <row r="344" spans="1:9" ht="25" x14ac:dyDescent="0.2">
      <c r="B344" s="64">
        <f t="shared" si="20"/>
        <v>4</v>
      </c>
      <c r="C344" s="65" t="s">
        <v>421</v>
      </c>
      <c r="D344" s="65" t="s">
        <v>563</v>
      </c>
      <c r="E344" s="65" t="s">
        <v>570</v>
      </c>
      <c r="F344" s="66"/>
      <c r="G344" s="65" t="s">
        <v>24</v>
      </c>
      <c r="H344" s="67" t="s">
        <v>571</v>
      </c>
      <c r="I344" s="61" t="str">
        <f>IF($G344="完了","",IF(SUMPRODUCT(($E344=$E$3:E481)*($D344=$D$3:D481)*($C344=$C$3:C481)*("完了"=$G$3:G481))=1,"完了",""))</f>
        <v/>
      </c>
    </row>
    <row r="345" spans="1:9" x14ac:dyDescent="0.2">
      <c r="B345" s="64">
        <f t="shared" si="20"/>
        <v>5</v>
      </c>
      <c r="C345" s="65" t="s">
        <v>421</v>
      </c>
      <c r="D345" s="65" t="s">
        <v>563</v>
      </c>
      <c r="E345" s="65" t="s">
        <v>566</v>
      </c>
      <c r="F345" s="66"/>
      <c r="G345" s="65" t="s">
        <v>24</v>
      </c>
      <c r="H345" s="67"/>
      <c r="I345" s="61" t="str">
        <f>IF($G345="完了","",IF(SUMPRODUCT(($E345=$E$3:E481)*($D345=$D$3:D481)*($C345=$C$3:C481)*("完了"=$G$3:G481))=1,"完了",""))</f>
        <v/>
      </c>
    </row>
    <row r="346" spans="1:9" x14ac:dyDescent="0.2">
      <c r="B346" s="64">
        <f t="shared" si="20"/>
        <v>6</v>
      </c>
      <c r="C346" s="65" t="s">
        <v>421</v>
      </c>
      <c r="D346" s="65" t="s">
        <v>563</v>
      </c>
      <c r="E346" s="65" t="s">
        <v>567</v>
      </c>
      <c r="F346" s="66"/>
      <c r="G346" s="65" t="s">
        <v>24</v>
      </c>
      <c r="H346" s="67"/>
      <c r="I346" s="61" t="str">
        <f>IF($G346="完了","",IF(SUMPRODUCT(($E346=$E$3:E481)*($D346=$D$3:D481)*($C346=$C$3:C481)*("完了"=$G$3:G481))=1,"完了",""))</f>
        <v/>
      </c>
    </row>
    <row r="347" spans="1:9" x14ac:dyDescent="0.2">
      <c r="B347" s="64">
        <f t="shared" si="20"/>
        <v>7</v>
      </c>
      <c r="C347" s="65" t="s">
        <v>414</v>
      </c>
      <c r="D347" s="65" t="s">
        <v>267</v>
      </c>
      <c r="E347" s="65" t="s">
        <v>499</v>
      </c>
      <c r="F347" s="66"/>
      <c r="G347" s="65" t="s">
        <v>24</v>
      </c>
      <c r="H347" s="67"/>
      <c r="I347" s="61" t="str">
        <f>IF($G347="完了","",IF(SUMPRODUCT(($E347=$E$3:E481)*($D347=$D$3:D481)*($C347=$C$3:C481)*("完了"=$G$3:G481))=1,"完了",""))</f>
        <v/>
      </c>
    </row>
    <row r="348" spans="1:9" ht="25" x14ac:dyDescent="0.2">
      <c r="B348" s="64">
        <f t="shared" si="20"/>
        <v>8</v>
      </c>
      <c r="C348" s="65" t="s">
        <v>414</v>
      </c>
      <c r="D348" s="65" t="s">
        <v>267</v>
      </c>
      <c r="E348" s="65" t="s">
        <v>529</v>
      </c>
      <c r="F348" s="66"/>
      <c r="G348" s="65" t="s">
        <v>24</v>
      </c>
      <c r="H348" s="67" t="s">
        <v>573</v>
      </c>
      <c r="I348" s="61" t="str">
        <f>IF($G348="完了","",IF(SUMPRODUCT(($E348=$E$3:E481)*($D348=$D$3:D481)*($C348=$C$3:C481)*("完了"=$G$3:G481))=1,"完了",""))</f>
        <v/>
      </c>
    </row>
    <row r="349" spans="1:9" x14ac:dyDescent="0.2">
      <c r="B349" s="64">
        <f t="shared" si="20"/>
        <v>9</v>
      </c>
      <c r="C349" s="65" t="s">
        <v>422</v>
      </c>
      <c r="D349" s="65" t="s">
        <v>423</v>
      </c>
      <c r="E349" s="65" t="s">
        <v>444</v>
      </c>
      <c r="F349" s="66"/>
      <c r="G349" s="65" t="s">
        <v>24</v>
      </c>
      <c r="H349" s="67" t="s">
        <v>557</v>
      </c>
      <c r="I349" s="61" t="str">
        <f>IF($G349="完了","",IF(SUMPRODUCT(($E349=$E$3:E481)*($D349=$D$3:D481)*($C349=$C$3:C481)*("完了"=$G$3:G481))=1,"完了",""))</f>
        <v/>
      </c>
    </row>
    <row r="350" spans="1:9" x14ac:dyDescent="0.2">
      <c r="B350" s="64">
        <f t="shared" si="20"/>
        <v>10</v>
      </c>
      <c r="C350" s="65" t="s">
        <v>509</v>
      </c>
      <c r="D350" s="65" t="s">
        <v>468</v>
      </c>
      <c r="E350" s="65" t="s">
        <v>510</v>
      </c>
      <c r="F350" s="66"/>
      <c r="G350" s="65" t="s">
        <v>25</v>
      </c>
      <c r="H350" s="67"/>
      <c r="I350" s="61" t="str">
        <f>IF($G350="完了","",IF(SUMPRODUCT(($E350=$E$3:E481)*($D350=$D$3:D481)*($C350=$C$3:C481)*("完了"=$G$3:G481))=1,"完了",""))</f>
        <v/>
      </c>
    </row>
    <row r="351" spans="1:9" ht="125" x14ac:dyDescent="0.2">
      <c r="B351" s="64">
        <f t="shared" si="20"/>
        <v>11</v>
      </c>
      <c r="C351" s="65" t="s">
        <v>509</v>
      </c>
      <c r="D351" s="65" t="s">
        <v>468</v>
      </c>
      <c r="E351" s="67" t="s">
        <v>517</v>
      </c>
      <c r="F351" s="66"/>
      <c r="G351" s="65" t="s">
        <v>114</v>
      </c>
      <c r="H351" s="67" t="s">
        <v>516</v>
      </c>
      <c r="I351" s="61" t="str">
        <f>IF($G351="完了","",IF(SUMPRODUCT(($E351=$E$3:E481)*($D351=$D$3:D481)*($C351=$C$3:C481)*("完了"=$G$3:G481))=1,"完了",""))</f>
        <v/>
      </c>
    </row>
    <row r="352" spans="1:9" ht="50" x14ac:dyDescent="0.2">
      <c r="B352" s="64">
        <f t="shared" si="20"/>
        <v>12</v>
      </c>
      <c r="C352" s="65" t="s">
        <v>523</v>
      </c>
      <c r="D352" s="65" t="s">
        <v>468</v>
      </c>
      <c r="E352" s="65" t="s">
        <v>87</v>
      </c>
      <c r="F352" s="66"/>
      <c r="G352" s="65" t="s">
        <v>25</v>
      </c>
      <c r="H352" s="67" t="s">
        <v>559</v>
      </c>
      <c r="I352" s="61" t="str">
        <f>IF($G352="完了","",IF(SUMPRODUCT(($E352=$E$3:E481)*($D352=$D$3:D481)*($C352=$C$3:C481)*("完了"=$G$3:G481))=1,"完了",""))</f>
        <v/>
      </c>
    </row>
    <row r="353" spans="1:9" x14ac:dyDescent="0.2">
      <c r="B353" s="64">
        <f t="shared" si="20"/>
        <v>13</v>
      </c>
      <c r="C353" s="65" t="s">
        <v>555</v>
      </c>
      <c r="D353" s="65" t="s">
        <v>532</v>
      </c>
      <c r="E353" s="65" t="s">
        <v>533</v>
      </c>
      <c r="F353" s="66"/>
      <c r="G353" s="65" t="s">
        <v>24</v>
      </c>
      <c r="H353" s="67"/>
      <c r="I353" s="61" t="str">
        <f>IF($G353="完了","",IF(SUMPRODUCT(($E353=$E$3:E481)*($D353=$D$3:D481)*($C353=$C$3:C481)*("完了"=$G$3:G481))=1,"完了",""))</f>
        <v/>
      </c>
    </row>
    <row r="354" spans="1:9" x14ac:dyDescent="0.2">
      <c r="B354" s="64">
        <f t="shared" si="20"/>
        <v>14</v>
      </c>
      <c r="C354" s="65" t="s">
        <v>526</v>
      </c>
      <c r="D354" s="65" t="s">
        <v>532</v>
      </c>
      <c r="E354" s="65" t="s">
        <v>535</v>
      </c>
      <c r="F354" s="66"/>
      <c r="G354" s="65" t="s">
        <v>24</v>
      </c>
      <c r="H354" s="67"/>
      <c r="I354" s="61" t="str">
        <f>IF($G354="完了","",IF(SUMPRODUCT(($E354=$E$3:E481)*($D354=$D$3:D481)*($C354=$C$3:C481)*("完了"=$G$3:G481))=1,"完了",""))</f>
        <v/>
      </c>
    </row>
    <row r="355" spans="1:9" x14ac:dyDescent="0.2">
      <c r="B355" s="64">
        <f t="shared" si="20"/>
        <v>15</v>
      </c>
      <c r="C355" s="65" t="s">
        <v>526</v>
      </c>
      <c r="D355" s="65" t="s">
        <v>532</v>
      </c>
      <c r="E355" s="65" t="s">
        <v>536</v>
      </c>
      <c r="F355" s="66"/>
      <c r="G355" s="65" t="s">
        <v>24</v>
      </c>
      <c r="H355" s="67"/>
      <c r="I355" s="61" t="str">
        <f>IF($G355="完了","",IF(SUMPRODUCT(($E355=$E$3:E481)*($D355=$D$3:D481)*($C355=$C$3:C481)*("完了"=$G$3:G481))=1,"完了",""))</f>
        <v/>
      </c>
    </row>
    <row r="356" spans="1:9" ht="37.5" x14ac:dyDescent="0.2">
      <c r="B356" s="64">
        <f t="shared" si="20"/>
        <v>16</v>
      </c>
      <c r="C356" s="65" t="s">
        <v>526</v>
      </c>
      <c r="D356" s="65" t="s">
        <v>532</v>
      </c>
      <c r="E356" s="65" t="s">
        <v>564</v>
      </c>
      <c r="F356" s="66"/>
      <c r="G356" s="65" t="s">
        <v>24</v>
      </c>
      <c r="H356" s="67" t="s">
        <v>569</v>
      </c>
      <c r="I356" s="61" t="str">
        <f>IF($G356="完了","",IF(SUMPRODUCT(($E356=$E$3:E481)*($D356=$D$3:D481)*($C356=$C$3:C481)*("完了"=$G$3:G481))=1,"完了",""))</f>
        <v/>
      </c>
    </row>
    <row r="357" spans="1:9" x14ac:dyDescent="0.2">
      <c r="B357" s="64">
        <f t="shared" si="20"/>
        <v>17</v>
      </c>
      <c r="C357" s="65" t="s">
        <v>526</v>
      </c>
      <c r="D357" s="65" t="s">
        <v>532</v>
      </c>
      <c r="E357" s="65" t="s">
        <v>565</v>
      </c>
      <c r="F357" s="66"/>
      <c r="G357" s="65" t="s">
        <v>25</v>
      </c>
      <c r="H357" s="67"/>
      <c r="I357" s="61" t="str">
        <f>IF($G357="完了","",IF(SUMPRODUCT(($E357=$E$3:E481)*($D357=$D$3:D481)*($C357=$C$3:C481)*("完了"=$G$3:G481))=1,"完了",""))</f>
        <v>完了</v>
      </c>
    </row>
    <row r="358" spans="1:9" x14ac:dyDescent="0.2">
      <c r="B358" s="64">
        <f t="shared" si="20"/>
        <v>18</v>
      </c>
      <c r="C358" s="65" t="s">
        <v>545</v>
      </c>
      <c r="D358" s="65" t="s">
        <v>546</v>
      </c>
      <c r="E358" s="65" t="s">
        <v>547</v>
      </c>
      <c r="F358" s="66"/>
      <c r="G358" s="65" t="s">
        <v>25</v>
      </c>
      <c r="H358" s="67"/>
      <c r="I358" s="61" t="str">
        <f>IF($G358="完了","",IF(SUMPRODUCT(($E358=$E$3:E481)*($D358=$D$3:D481)*($C358=$C$3:C481)*("完了"=$G$3:G481))=1,"完了",""))</f>
        <v>完了</v>
      </c>
    </row>
    <row r="359" spans="1:9" x14ac:dyDescent="0.2">
      <c r="B359" s="64">
        <f t="shared" si="20"/>
        <v>19</v>
      </c>
      <c r="C359" s="65" t="s">
        <v>545</v>
      </c>
      <c r="D359" s="65" t="s">
        <v>546</v>
      </c>
      <c r="E359" s="65" t="s">
        <v>548</v>
      </c>
      <c r="F359" s="66"/>
      <c r="G359" s="65" t="s">
        <v>25</v>
      </c>
      <c r="H359" s="67"/>
      <c r="I359" s="61" t="str">
        <f>IF($G359="完了","",IF(SUMPRODUCT(($E359=$E$3:E481)*($D359=$D$3:D481)*($C359=$C$3:C481)*("完了"=$G$3:G481))=1,"完了",""))</f>
        <v/>
      </c>
    </row>
    <row r="360" spans="1:9" x14ac:dyDescent="0.2">
      <c r="B360" s="64">
        <f t="shared" si="20"/>
        <v>20</v>
      </c>
      <c r="C360" s="65" t="s">
        <v>545</v>
      </c>
      <c r="D360" s="65" t="s">
        <v>546</v>
      </c>
      <c r="E360" s="65" t="s">
        <v>549</v>
      </c>
      <c r="F360" s="66"/>
      <c r="G360" s="65" t="s">
        <v>25</v>
      </c>
      <c r="H360" s="67"/>
      <c r="I360" s="61" t="str">
        <f>IF($G360="完了","",IF(SUMPRODUCT(($E360=$E$3:E481)*($D360=$D$3:D481)*($C360=$C$3:C481)*("完了"=$G$3:G481))=1,"完了",""))</f>
        <v/>
      </c>
    </row>
    <row r="361" spans="1:9" x14ac:dyDescent="0.2">
      <c r="B361" s="64">
        <f t="shared" si="20"/>
        <v>21</v>
      </c>
      <c r="C361" s="65" t="s">
        <v>561</v>
      </c>
      <c r="D361" s="65" t="s">
        <v>468</v>
      </c>
      <c r="E361" s="65" t="s">
        <v>562</v>
      </c>
      <c r="F361" s="66"/>
      <c r="G361" s="65" t="s">
        <v>24</v>
      </c>
      <c r="H361" s="67"/>
      <c r="I361" s="61" t="str">
        <f>IF($G361="完了","",IF(SUMPRODUCT(($E361=$E$3:E481)*($D361=$D$3:D481)*($C361=$C$3:C481)*("完了"=$G$3:G481))=1,"完了",""))</f>
        <v/>
      </c>
    </row>
    <row r="362" spans="1:9" x14ac:dyDescent="0.2">
      <c r="B362" s="64">
        <f t="shared" si="20"/>
        <v>22</v>
      </c>
      <c r="C362" s="65" t="s">
        <v>574</v>
      </c>
      <c r="D362" s="65" t="s">
        <v>468</v>
      </c>
      <c r="E362" s="65" t="s">
        <v>575</v>
      </c>
      <c r="F362" s="66"/>
      <c r="G362" s="65" t="s">
        <v>25</v>
      </c>
      <c r="H362" s="67"/>
      <c r="I362" s="61" t="str">
        <f>IF($G362="完了","",IF(SUMPRODUCT(($E362=$E$3:E481)*($D362=$D$3:D481)*($C362=$C$3:C481)*("完了"=$G$3:G481))=1,"完了",""))</f>
        <v>完了</v>
      </c>
    </row>
    <row r="363" spans="1:9" x14ac:dyDescent="0.2">
      <c r="B363" s="64">
        <f t="shared" si="20"/>
        <v>23</v>
      </c>
      <c r="C363" s="65"/>
      <c r="D363" s="65"/>
      <c r="E363" s="65"/>
      <c r="F363" s="66"/>
      <c r="G363" s="65"/>
      <c r="H363" s="67"/>
      <c r="I363" s="61" t="str">
        <f>IF($G363="完了","",IF(SUMPRODUCT(($E363=$E$3:E481)*($D363=$D$3:D481)*($C363=$C$3:C481)*("完了"=$G$3:G481))=1,"完了",""))</f>
        <v>完了</v>
      </c>
    </row>
    <row r="364" spans="1:9" x14ac:dyDescent="0.2">
      <c r="B364" s="71">
        <f t="shared" si="20"/>
        <v>24</v>
      </c>
      <c r="C364" s="68"/>
      <c r="D364" s="68"/>
      <c r="E364" s="68"/>
      <c r="F364" s="69"/>
      <c r="G364" s="68"/>
      <c r="H364" s="70"/>
      <c r="I364" s="61" t="str">
        <f>IF($G364="完了","",IF(SUMPRODUCT(($E364=$E$3:E481)*($D364=$D$3:D481)*($C364=$C$3:C481)*("完了"=$G$3:G481))=1,"完了",""))</f>
        <v>完了</v>
      </c>
    </row>
    <row r="367" spans="1:9" x14ac:dyDescent="0.2">
      <c r="A367" s="63" t="s">
        <v>576</v>
      </c>
      <c r="B367" s="64"/>
      <c r="C367" s="65"/>
      <c r="D367" s="65"/>
      <c r="E367" s="65"/>
      <c r="F367" s="66"/>
      <c r="G367" s="65"/>
      <c r="H367" s="67"/>
      <c r="I367" s="60"/>
    </row>
    <row r="368" spans="1:9" x14ac:dyDescent="0.2">
      <c r="B368" s="64" t="s">
        <v>17</v>
      </c>
      <c r="C368" s="65" t="s">
        <v>18</v>
      </c>
      <c r="D368" s="65" t="s">
        <v>448</v>
      </c>
      <c r="E368" s="65" t="s">
        <v>449</v>
      </c>
      <c r="F368" s="66" t="s">
        <v>27</v>
      </c>
      <c r="G368" s="65" t="s">
        <v>20</v>
      </c>
      <c r="H368" s="67" t="s">
        <v>15</v>
      </c>
      <c r="I368" s="60" t="s">
        <v>132</v>
      </c>
    </row>
    <row r="369" spans="2:9" x14ac:dyDescent="0.2">
      <c r="B369" s="64">
        <v>1</v>
      </c>
      <c r="C369" s="65" t="s">
        <v>610</v>
      </c>
      <c r="D369" s="65" t="s">
        <v>85</v>
      </c>
      <c r="E369" s="65" t="s">
        <v>604</v>
      </c>
      <c r="F369" s="66"/>
      <c r="G369" s="65" t="s">
        <v>24</v>
      </c>
      <c r="H369" s="67"/>
      <c r="I369" s="61" t="str">
        <f>IF($G369="完了","",IF(SUMPRODUCT(($E369=$E$3:E481)*($D369=$D$3:D481)*($C369=$C$3:C481)*("完了"=$G$3:G481))=1,"完了",""))</f>
        <v/>
      </c>
    </row>
    <row r="370" spans="2:9" ht="75" x14ac:dyDescent="0.2">
      <c r="B370" s="64">
        <f t="shared" ref="B370:B392" si="21">B369+1</f>
        <v>2</v>
      </c>
      <c r="C370" s="65" t="s">
        <v>421</v>
      </c>
      <c r="D370" s="65" t="s">
        <v>563</v>
      </c>
      <c r="E370" s="65" t="s">
        <v>560</v>
      </c>
      <c r="F370" s="66"/>
      <c r="G370" s="65" t="s">
        <v>114</v>
      </c>
      <c r="H370" s="67" t="s">
        <v>577</v>
      </c>
      <c r="I370" s="61" t="str">
        <f>IF($G370="完了","",IF(SUMPRODUCT(($E370=$E$3:E481)*($D370=$D$3:D481)*($C370=$C$3:C481)*("完了"=$G$3:G481))=1,"完了",""))</f>
        <v/>
      </c>
    </row>
    <row r="371" spans="2:9" x14ac:dyDescent="0.2">
      <c r="B371" s="64">
        <f t="shared" si="21"/>
        <v>3</v>
      </c>
      <c r="C371" s="65" t="s">
        <v>421</v>
      </c>
      <c r="D371" s="65" t="s">
        <v>85</v>
      </c>
      <c r="E371" s="65" t="s">
        <v>603</v>
      </c>
      <c r="F371" s="66"/>
      <c r="G371" s="65" t="s">
        <v>24</v>
      </c>
      <c r="H371" s="67"/>
      <c r="I371" s="61" t="str">
        <f>IF($G371="完了","",IF(SUMPRODUCT(($E371=$E$3:E481)*($D371=$D$3:D481)*($C371=$C$3:C481)*("完了"=$G$3:G481))=1,"完了",""))</f>
        <v/>
      </c>
    </row>
    <row r="372" spans="2:9" ht="25" x14ac:dyDescent="0.2">
      <c r="B372" s="64">
        <f t="shared" si="21"/>
        <v>4</v>
      </c>
      <c r="C372" s="65" t="s">
        <v>421</v>
      </c>
      <c r="D372" s="65" t="s">
        <v>563</v>
      </c>
      <c r="E372" s="65" t="s">
        <v>605</v>
      </c>
      <c r="F372" s="66"/>
      <c r="G372" s="65" t="s">
        <v>114</v>
      </c>
      <c r="H372" s="67" t="s">
        <v>606</v>
      </c>
      <c r="I372" s="61" t="str">
        <f>IF($G372="完了","",IF(SUMPRODUCT(($E372=$E$3:E481)*($D372=$D$3:D481)*($C372=$C$3:C481)*("完了"=$G$3:G481))=1,"完了",""))</f>
        <v/>
      </c>
    </row>
    <row r="373" spans="2:9" x14ac:dyDescent="0.2">
      <c r="B373" s="64">
        <f t="shared" si="21"/>
        <v>5</v>
      </c>
      <c r="C373" s="65" t="s">
        <v>509</v>
      </c>
      <c r="D373" s="65" t="s">
        <v>468</v>
      </c>
      <c r="E373" s="65" t="s">
        <v>510</v>
      </c>
      <c r="F373" s="66"/>
      <c r="G373" s="65" t="s">
        <v>25</v>
      </c>
      <c r="H373" s="67"/>
      <c r="I373" s="61" t="str">
        <f>IF($G373="完了","",IF(SUMPRODUCT(($E373=$E$3:E481)*($D373=$D$3:D481)*($C373=$C$3:C481)*("完了"=$G$3:G481))=1,"完了",""))</f>
        <v/>
      </c>
    </row>
    <row r="374" spans="2:9" ht="125" x14ac:dyDescent="0.2">
      <c r="B374" s="64">
        <f t="shared" si="21"/>
        <v>6</v>
      </c>
      <c r="C374" s="65" t="s">
        <v>509</v>
      </c>
      <c r="D374" s="65" t="s">
        <v>468</v>
      </c>
      <c r="E374" s="67" t="s">
        <v>517</v>
      </c>
      <c r="F374" s="66"/>
      <c r="G374" s="65" t="s">
        <v>114</v>
      </c>
      <c r="H374" s="67" t="s">
        <v>516</v>
      </c>
      <c r="I374" s="61" t="str">
        <f>IF($G374="完了","",IF(SUMPRODUCT(($E374=$E$3:E481)*($D374=$D$3:D481)*($C374=$C$3:C481)*("完了"=$G$3:G481))=1,"完了",""))</f>
        <v/>
      </c>
    </row>
    <row r="375" spans="2:9" ht="50" x14ac:dyDescent="0.2">
      <c r="B375" s="64">
        <f t="shared" si="21"/>
        <v>7</v>
      </c>
      <c r="C375" s="65" t="s">
        <v>523</v>
      </c>
      <c r="D375" s="65" t="s">
        <v>468</v>
      </c>
      <c r="E375" s="65" t="s">
        <v>87</v>
      </c>
      <c r="F375" s="66"/>
      <c r="G375" s="65" t="s">
        <v>25</v>
      </c>
      <c r="H375" s="67" t="s">
        <v>559</v>
      </c>
      <c r="I375" s="61" t="str">
        <f>IF($G375="完了","",IF(SUMPRODUCT(($E375=$E$3:E481)*($D375=$D$3:D481)*($C375=$C$3:C481)*("完了"=$G$3:G481))=1,"完了",""))</f>
        <v/>
      </c>
    </row>
    <row r="376" spans="2:9" x14ac:dyDescent="0.2">
      <c r="B376" s="64">
        <f t="shared" si="21"/>
        <v>8</v>
      </c>
      <c r="C376" s="65" t="s">
        <v>526</v>
      </c>
      <c r="D376" s="65" t="s">
        <v>532</v>
      </c>
      <c r="E376" s="65" t="s">
        <v>578</v>
      </c>
      <c r="F376" s="66"/>
      <c r="G376" s="65" t="s">
        <v>24</v>
      </c>
      <c r="H376" s="67"/>
      <c r="I376" s="61" t="str">
        <f>IF($G376="完了","",IF(SUMPRODUCT(($E376=$E$3:E481)*($D376=$D$3:D481)*($C376=$C$3:C481)*("完了"=$G$3:G481))=1,"完了",""))</f>
        <v/>
      </c>
    </row>
    <row r="377" spans="2:9" x14ac:dyDescent="0.2">
      <c r="B377" s="64">
        <f t="shared" si="21"/>
        <v>9</v>
      </c>
      <c r="C377" s="65" t="s">
        <v>526</v>
      </c>
      <c r="D377" s="65" t="s">
        <v>532</v>
      </c>
      <c r="E377" s="65" t="s">
        <v>565</v>
      </c>
      <c r="F377" s="66"/>
      <c r="G377" s="65" t="s">
        <v>24</v>
      </c>
      <c r="H377" s="67"/>
      <c r="I377" s="61" t="str">
        <f>IF($G377="完了","",IF(SUMPRODUCT(($E377=$E$3:E481)*($D377=$D$3:D481)*($C377=$C$3:C481)*("完了"=$G$3:G481))=1,"完了",""))</f>
        <v/>
      </c>
    </row>
    <row r="378" spans="2:9" x14ac:dyDescent="0.2">
      <c r="B378" s="64">
        <f t="shared" si="21"/>
        <v>10</v>
      </c>
      <c r="C378" s="65" t="s">
        <v>526</v>
      </c>
      <c r="D378" s="65" t="s">
        <v>532</v>
      </c>
      <c r="E378" s="65" t="s">
        <v>579</v>
      </c>
      <c r="F378" s="66"/>
      <c r="G378" s="65" t="s">
        <v>24</v>
      </c>
      <c r="H378" s="67"/>
      <c r="I378" s="61" t="str">
        <f>IF($G378="完了","",IF(SUMPRODUCT(($E378=$E$3:E481)*($D378=$D$3:D481)*($C378=$C$3:C481)*("完了"=$G$3:G481))=1,"完了",""))</f>
        <v/>
      </c>
    </row>
    <row r="379" spans="2:9" x14ac:dyDescent="0.2">
      <c r="B379" s="64">
        <f t="shared" si="21"/>
        <v>11</v>
      </c>
      <c r="C379" s="65" t="s">
        <v>526</v>
      </c>
      <c r="D379" s="65" t="s">
        <v>532</v>
      </c>
      <c r="E379" s="65" t="s">
        <v>580</v>
      </c>
      <c r="F379" s="66"/>
      <c r="G379" s="65" t="s">
        <v>24</v>
      </c>
      <c r="H379" s="67"/>
      <c r="I379" s="61" t="str">
        <f>IF($G379="完了","",IF(SUMPRODUCT(($E379=$E$3:E481)*($D379=$D$3:D481)*($C379=$C$3:C481)*("完了"=$G$3:G481))=1,"完了",""))</f>
        <v/>
      </c>
    </row>
    <row r="380" spans="2:9" x14ac:dyDescent="0.2">
      <c r="B380" s="64">
        <f t="shared" si="21"/>
        <v>12</v>
      </c>
      <c r="C380" s="65" t="s">
        <v>526</v>
      </c>
      <c r="D380" s="65" t="s">
        <v>532</v>
      </c>
      <c r="E380" s="65" t="s">
        <v>581</v>
      </c>
      <c r="F380" s="66"/>
      <c r="G380" s="65" t="s">
        <v>24</v>
      </c>
      <c r="H380" s="67"/>
      <c r="I380" s="61" t="str">
        <f>IF($G380="完了","",IF(SUMPRODUCT(($E380=$E$3:E481)*($D380=$D$3:D481)*($C380=$C$3:C481)*("完了"=$G$3:G481))=1,"完了",""))</f>
        <v/>
      </c>
    </row>
    <row r="381" spans="2:9" x14ac:dyDescent="0.2">
      <c r="B381" s="64">
        <f t="shared" si="21"/>
        <v>13</v>
      </c>
      <c r="C381" s="65" t="s">
        <v>526</v>
      </c>
      <c r="D381" s="65" t="s">
        <v>532</v>
      </c>
      <c r="E381" s="65" t="s">
        <v>587</v>
      </c>
      <c r="F381" s="66"/>
      <c r="G381" s="65" t="s">
        <v>25</v>
      </c>
      <c r="H381" s="67"/>
      <c r="I381" s="61" t="str">
        <f>IF($G381="完了","",IF(SUMPRODUCT(($E381=$E$3:E481)*($D381=$D$3:D481)*($C381=$C$3:C481)*("完了"=$G$3:G481))=1,"完了",""))</f>
        <v/>
      </c>
    </row>
    <row r="382" spans="2:9" ht="37.5" x14ac:dyDescent="0.2">
      <c r="B382" s="64">
        <f t="shared" si="21"/>
        <v>14</v>
      </c>
      <c r="C382" s="65" t="s">
        <v>526</v>
      </c>
      <c r="D382" s="65" t="s">
        <v>532</v>
      </c>
      <c r="E382" s="65" t="s">
        <v>588</v>
      </c>
      <c r="F382" s="66"/>
      <c r="G382" s="65" t="s">
        <v>25</v>
      </c>
      <c r="H382" s="67" t="s">
        <v>589</v>
      </c>
      <c r="I382" s="61" t="str">
        <f>IF($G382="完了","",IF(SUMPRODUCT(($E382=$E$3:E481)*($D382=$D$3:D481)*($C382=$C$3:C481)*("完了"=$G$3:G481))=1,"完了",""))</f>
        <v/>
      </c>
    </row>
    <row r="383" spans="2:9" x14ac:dyDescent="0.2">
      <c r="B383" s="64">
        <f t="shared" si="21"/>
        <v>15</v>
      </c>
      <c r="C383" s="65" t="s">
        <v>545</v>
      </c>
      <c r="D383" s="65" t="s">
        <v>546</v>
      </c>
      <c r="E383" s="65" t="s">
        <v>547</v>
      </c>
      <c r="F383" s="66"/>
      <c r="G383" s="65" t="s">
        <v>24</v>
      </c>
      <c r="H383" s="67"/>
      <c r="I383" s="61" t="str">
        <f>IF($G383="完了","",IF(SUMPRODUCT(($E383=$E$3:E481)*($D383=$D$3:D481)*($C383=$C$3:C481)*("完了"=$G$3:G481))=1,"完了",""))</f>
        <v/>
      </c>
    </row>
    <row r="384" spans="2:9" x14ac:dyDescent="0.2">
      <c r="B384" s="64">
        <f t="shared" si="21"/>
        <v>16</v>
      </c>
      <c r="C384" s="65" t="s">
        <v>545</v>
      </c>
      <c r="D384" s="65" t="s">
        <v>546</v>
      </c>
      <c r="E384" s="65" t="s">
        <v>548</v>
      </c>
      <c r="F384" s="66"/>
      <c r="G384" s="65" t="s">
        <v>25</v>
      </c>
      <c r="H384" s="67"/>
      <c r="I384" s="61" t="str">
        <f>IF($G384="完了","",IF(SUMPRODUCT(($E384=$E$3:E481)*($D384=$D$3:D481)*($C384=$C$3:C481)*("完了"=$G$3:G481))=1,"完了",""))</f>
        <v/>
      </c>
    </row>
    <row r="385" spans="1:9" x14ac:dyDescent="0.2">
      <c r="B385" s="64">
        <f t="shared" si="21"/>
        <v>17</v>
      </c>
      <c r="C385" s="65" t="s">
        <v>545</v>
      </c>
      <c r="D385" s="65" t="s">
        <v>546</v>
      </c>
      <c r="E385" s="65" t="s">
        <v>549</v>
      </c>
      <c r="F385" s="66"/>
      <c r="G385" s="65" t="s">
        <v>25</v>
      </c>
      <c r="H385" s="67"/>
      <c r="I385" s="61" t="str">
        <f>IF($G385="完了","",IF(SUMPRODUCT(($E385=$E$3:E481)*($D385=$D$3:D481)*($C385=$C$3:C481)*("完了"=$G$3:G481))=1,"完了",""))</f>
        <v/>
      </c>
    </row>
    <row r="386" spans="1:9" x14ac:dyDescent="0.2">
      <c r="B386" s="64">
        <f t="shared" si="21"/>
        <v>18</v>
      </c>
      <c r="C386" s="65" t="s">
        <v>574</v>
      </c>
      <c r="D386" s="65" t="s">
        <v>468</v>
      </c>
      <c r="E386" s="65" t="s">
        <v>575</v>
      </c>
      <c r="F386" s="66"/>
      <c r="G386" s="65" t="s">
        <v>24</v>
      </c>
      <c r="H386" s="67"/>
      <c r="I386" s="61" t="str">
        <f>IF($G386="完了","",IF(SUMPRODUCT(($E386=$E$3:E481)*($D386=$D$3:D481)*($C386=$C$3:C481)*("完了"=$G$3:G481))=1,"完了",""))</f>
        <v/>
      </c>
    </row>
    <row r="387" spans="1:9" ht="37.5" x14ac:dyDescent="0.2">
      <c r="B387" s="64">
        <f t="shared" si="21"/>
        <v>19</v>
      </c>
      <c r="C387" s="65" t="s">
        <v>582</v>
      </c>
      <c r="D387" s="65" t="s">
        <v>583</v>
      </c>
      <c r="E387" s="65" t="s">
        <v>584</v>
      </c>
      <c r="F387" s="66"/>
      <c r="G387" s="65" t="s">
        <v>24</v>
      </c>
      <c r="H387" s="67" t="s">
        <v>585</v>
      </c>
      <c r="I387" s="61" t="str">
        <f>IF($G387="完了","",IF(SUMPRODUCT(($E387=$E$3:E481)*($D387=$D$3:D481)*($C387=$C$3:C481)*("完了"=$G$3:G481))=1,"完了",""))</f>
        <v/>
      </c>
    </row>
    <row r="388" spans="1:9" x14ac:dyDescent="0.2">
      <c r="B388" s="64">
        <f t="shared" si="21"/>
        <v>20</v>
      </c>
      <c r="C388" s="65"/>
      <c r="D388" s="65"/>
      <c r="E388" s="65"/>
      <c r="F388" s="66"/>
      <c r="G388" s="65"/>
      <c r="H388" s="67"/>
      <c r="I388" s="61" t="str">
        <f>IF($G388="完了","",IF(SUMPRODUCT(($E388=$E$3:E481)*($D388=$D$3:D481)*($C388=$C$3:C481)*("完了"=$G$3:G481))=1,"完了",""))</f>
        <v>完了</v>
      </c>
    </row>
    <row r="389" spans="1:9" x14ac:dyDescent="0.2">
      <c r="B389" s="64">
        <f t="shared" si="21"/>
        <v>21</v>
      </c>
      <c r="C389" s="65"/>
      <c r="D389" s="65"/>
      <c r="E389" s="65"/>
      <c r="F389" s="66"/>
      <c r="G389" s="65"/>
      <c r="H389" s="67"/>
      <c r="I389" s="61" t="str">
        <f>IF($G389="完了","",IF(SUMPRODUCT(($E389=$E$3:E481)*($D389=$D$3:D481)*($C389=$C$3:C481)*("完了"=$G$3:G481))=1,"完了",""))</f>
        <v>完了</v>
      </c>
    </row>
    <row r="390" spans="1:9" x14ac:dyDescent="0.2">
      <c r="B390" s="64">
        <f t="shared" si="21"/>
        <v>22</v>
      </c>
      <c r="C390" s="65"/>
      <c r="D390" s="65"/>
      <c r="E390" s="65"/>
      <c r="F390" s="66"/>
      <c r="G390" s="65"/>
      <c r="H390" s="67"/>
      <c r="I390" s="61" t="str">
        <f>IF($G390="完了","",IF(SUMPRODUCT(($E390=$E$3:E481)*($D390=$D$3:D481)*($C390=$C$3:C481)*("完了"=$G$3:G481))=1,"完了",""))</f>
        <v>完了</v>
      </c>
    </row>
    <row r="391" spans="1:9" x14ac:dyDescent="0.2">
      <c r="B391" s="64">
        <f t="shared" si="21"/>
        <v>23</v>
      </c>
      <c r="C391" s="65"/>
      <c r="D391" s="65"/>
      <c r="E391" s="65"/>
      <c r="F391" s="66"/>
      <c r="G391" s="65"/>
      <c r="H391" s="67"/>
      <c r="I391" s="61" t="str">
        <f>IF($G391="完了","",IF(SUMPRODUCT(($E391=$E$3:E481)*($D391=$D$3:D481)*($C391=$C$3:C481)*("完了"=$G$3:G481))=1,"完了",""))</f>
        <v>完了</v>
      </c>
    </row>
    <row r="392" spans="1:9" x14ac:dyDescent="0.2">
      <c r="B392" s="71">
        <f t="shared" si="21"/>
        <v>24</v>
      </c>
      <c r="C392" s="68"/>
      <c r="D392" s="68"/>
      <c r="E392" s="68"/>
      <c r="F392" s="69"/>
      <c r="G392" s="68"/>
      <c r="H392" s="70"/>
      <c r="I392" s="61" t="str">
        <f>IF($G392="完了","",IF(SUMPRODUCT(($E392=$E$3:E481)*($D392=$D$3:D481)*($C392=$C$3:C481)*("完了"=$G$3:G481))=1,"完了",""))</f>
        <v>完了</v>
      </c>
    </row>
    <row r="395" spans="1:9" x14ac:dyDescent="0.2">
      <c r="A395" s="63" t="s">
        <v>586</v>
      </c>
      <c r="B395" s="64"/>
      <c r="C395" s="65"/>
      <c r="D395" s="65"/>
      <c r="E395" s="65"/>
      <c r="F395" s="66"/>
      <c r="G395" s="65"/>
      <c r="H395" s="67"/>
      <c r="I395" s="60"/>
    </row>
    <row r="396" spans="1:9" x14ac:dyDescent="0.2">
      <c r="B396" s="64" t="s">
        <v>17</v>
      </c>
      <c r="C396" s="65" t="s">
        <v>18</v>
      </c>
      <c r="D396" s="65" t="s">
        <v>448</v>
      </c>
      <c r="E396" s="65" t="s">
        <v>449</v>
      </c>
      <c r="F396" s="66" t="s">
        <v>27</v>
      </c>
      <c r="G396" s="65" t="s">
        <v>20</v>
      </c>
      <c r="H396" s="67" t="s">
        <v>15</v>
      </c>
      <c r="I396" s="60" t="s">
        <v>132</v>
      </c>
    </row>
    <row r="397" spans="1:9" x14ac:dyDescent="0.2">
      <c r="B397" s="64">
        <v>1</v>
      </c>
      <c r="C397" s="65" t="s">
        <v>274</v>
      </c>
      <c r="D397" s="65" t="s">
        <v>611</v>
      </c>
      <c r="E397" s="65" t="s">
        <v>612</v>
      </c>
      <c r="F397" s="66"/>
      <c r="G397" s="65" t="s">
        <v>24</v>
      </c>
      <c r="H397" s="67"/>
      <c r="I397" s="61" t="str">
        <f>IF($G397="完了","",IF(SUMPRODUCT(($E397=$E$3:E481)*($D397=$D$3:D481)*($C397=$C$3:C481)*("完了"=$G$3:G481))=1,"完了",""))</f>
        <v/>
      </c>
    </row>
    <row r="398" spans="1:9" ht="75" x14ac:dyDescent="0.2">
      <c r="B398" s="64">
        <f t="shared" ref="B398:B420" si="22">B397+1</f>
        <v>2</v>
      </c>
      <c r="C398" s="65" t="s">
        <v>421</v>
      </c>
      <c r="D398" s="65" t="s">
        <v>563</v>
      </c>
      <c r="E398" s="65" t="s">
        <v>560</v>
      </c>
      <c r="F398" s="66"/>
      <c r="G398" s="65" t="s">
        <v>114</v>
      </c>
      <c r="H398" s="67" t="s">
        <v>577</v>
      </c>
      <c r="I398" s="61" t="str">
        <f>IF($G398="完了","",IF(SUMPRODUCT(($E398=$E$3:E481)*($D398=$D$3:D481)*($C398=$C$3:C481)*("完了"=$G$3:G481))=1,"完了",""))</f>
        <v/>
      </c>
    </row>
    <row r="399" spans="1:9" ht="37.5" x14ac:dyDescent="0.2">
      <c r="B399" s="64">
        <f t="shared" si="22"/>
        <v>3</v>
      </c>
      <c r="C399" s="65" t="s">
        <v>421</v>
      </c>
      <c r="D399" s="65" t="s">
        <v>563</v>
      </c>
      <c r="E399" s="65" t="s">
        <v>607</v>
      </c>
      <c r="F399" s="66"/>
      <c r="G399" s="65" t="s">
        <v>25</v>
      </c>
      <c r="H399" s="67" t="s">
        <v>616</v>
      </c>
      <c r="I399" s="61" t="str">
        <f>IF($G399="完了","",IF(SUMPRODUCT(($E399=$E$3:E481)*($D399=$D$3:D481)*($C399=$C$3:C481)*("完了"=$G$3:G481))=1,"完了",""))</f>
        <v/>
      </c>
    </row>
    <row r="400" spans="1:9" x14ac:dyDescent="0.2">
      <c r="B400" s="64">
        <f t="shared" si="22"/>
        <v>4</v>
      </c>
      <c r="C400" s="65" t="s">
        <v>421</v>
      </c>
      <c r="D400" s="65" t="s">
        <v>563</v>
      </c>
      <c r="E400" s="65" t="s">
        <v>608</v>
      </c>
      <c r="F400" s="66"/>
      <c r="G400" s="65" t="s">
        <v>25</v>
      </c>
      <c r="H400" s="67"/>
      <c r="I400" s="61" t="str">
        <f>IF($G400="完了","",IF(SUMPRODUCT(($E400=$E$3:E481)*($D400=$D$3:D481)*($C400=$C$3:C481)*("完了"=$G$3:G481))=1,"完了",""))</f>
        <v/>
      </c>
    </row>
    <row r="401" spans="2:9" x14ac:dyDescent="0.2">
      <c r="B401" s="64">
        <f t="shared" si="22"/>
        <v>5</v>
      </c>
      <c r="C401" s="65" t="s">
        <v>509</v>
      </c>
      <c r="D401" s="65" t="s">
        <v>468</v>
      </c>
      <c r="E401" s="65" t="s">
        <v>510</v>
      </c>
      <c r="F401" s="66"/>
      <c r="G401" s="65" t="s">
        <v>25</v>
      </c>
      <c r="H401" s="67"/>
      <c r="I401" s="61" t="str">
        <f>IF($G401="完了","",IF(SUMPRODUCT(($E401=$E$3:E481)*($D401=$D$3:D481)*($C401=$C$3:C481)*("完了"=$G$3:G481))=1,"完了",""))</f>
        <v/>
      </c>
    </row>
    <row r="402" spans="2:9" ht="125" x14ac:dyDescent="0.2">
      <c r="B402" s="64">
        <f t="shared" si="22"/>
        <v>6</v>
      </c>
      <c r="C402" s="65" t="s">
        <v>509</v>
      </c>
      <c r="D402" s="65" t="s">
        <v>468</v>
      </c>
      <c r="E402" s="67" t="s">
        <v>517</v>
      </c>
      <c r="F402" s="66"/>
      <c r="G402" s="65" t="s">
        <v>114</v>
      </c>
      <c r="H402" s="67" t="s">
        <v>516</v>
      </c>
      <c r="I402" s="61" t="str">
        <f>IF($G402="完了","",IF(SUMPRODUCT(($E402=$E$3:E481)*($D402=$D$3:D481)*($C402=$C$3:C481)*("完了"=$G$3:G481))=1,"完了",""))</f>
        <v/>
      </c>
    </row>
    <row r="403" spans="2:9" ht="50" x14ac:dyDescent="0.2">
      <c r="B403" s="64">
        <f t="shared" si="22"/>
        <v>7</v>
      </c>
      <c r="C403" s="65" t="s">
        <v>523</v>
      </c>
      <c r="D403" s="65" t="s">
        <v>468</v>
      </c>
      <c r="E403" s="65" t="s">
        <v>87</v>
      </c>
      <c r="F403" s="66"/>
      <c r="G403" s="65" t="s">
        <v>25</v>
      </c>
      <c r="H403" s="67" t="s">
        <v>559</v>
      </c>
      <c r="I403" s="61" t="str">
        <f>IF($G403="完了","",IF(SUMPRODUCT(($E403=$E$3:E481)*($D403=$D$3:D481)*($C403=$C$3:C481)*("完了"=$G$3:G481))=1,"完了",""))</f>
        <v/>
      </c>
    </row>
    <row r="404" spans="2:9" x14ac:dyDescent="0.2">
      <c r="B404" s="64">
        <f t="shared" si="22"/>
        <v>8</v>
      </c>
      <c r="C404" s="65" t="s">
        <v>526</v>
      </c>
      <c r="D404" s="65" t="s">
        <v>532</v>
      </c>
      <c r="E404" s="65" t="s">
        <v>600</v>
      </c>
      <c r="F404" s="66"/>
      <c r="G404" s="65" t="s">
        <v>25</v>
      </c>
      <c r="H404" s="67"/>
      <c r="I404" s="61" t="str">
        <f>IF($G404="完了","",IF(SUMPRODUCT(($E404=$E$3:E481)*($D404=$D$3:D481)*($C404=$C$3:C481)*("完了"=$G$3:G481))=1,"完了",""))</f>
        <v/>
      </c>
    </row>
    <row r="405" spans="2:9" x14ac:dyDescent="0.2">
      <c r="B405" s="64">
        <f t="shared" si="22"/>
        <v>9</v>
      </c>
      <c r="C405" s="65" t="s">
        <v>526</v>
      </c>
      <c r="D405" s="65" t="s">
        <v>532</v>
      </c>
      <c r="E405" s="65" t="s">
        <v>601</v>
      </c>
      <c r="F405" s="66"/>
      <c r="G405" s="65" t="s">
        <v>25</v>
      </c>
      <c r="H405" s="67"/>
      <c r="I405" s="61" t="str">
        <f>IF($G405="完了","",IF(SUMPRODUCT(($E405=$E$3:E481)*($D405=$D$3:D481)*($C405=$C$3:C481)*("完了"=$G$3:G481))=1,"完了",""))</f>
        <v/>
      </c>
    </row>
    <row r="406" spans="2:9" x14ac:dyDescent="0.2">
      <c r="B406" s="64">
        <f t="shared" si="22"/>
        <v>10</v>
      </c>
      <c r="C406" s="65" t="s">
        <v>526</v>
      </c>
      <c r="D406" s="65" t="s">
        <v>532</v>
      </c>
      <c r="E406" s="65" t="s">
        <v>602</v>
      </c>
      <c r="F406" s="66"/>
      <c r="G406" s="65" t="s">
        <v>25</v>
      </c>
      <c r="H406" s="67"/>
      <c r="I406" s="61" t="str">
        <f>IF($G406="完了","",IF(SUMPRODUCT(($E406=$E$3:E481)*($D406=$D$3:D481)*($C406=$C$3:C481)*("完了"=$G$3:G481))=1,"完了",""))</f>
        <v/>
      </c>
    </row>
    <row r="407" spans="2:9" x14ac:dyDescent="0.2">
      <c r="B407" s="64">
        <f t="shared" si="22"/>
        <v>11</v>
      </c>
      <c r="C407" s="65" t="s">
        <v>526</v>
      </c>
      <c r="D407" s="65" t="s">
        <v>532</v>
      </c>
      <c r="E407" s="65"/>
      <c r="F407" s="66"/>
      <c r="G407" s="65"/>
      <c r="H407" s="67"/>
      <c r="I407" s="61" t="str">
        <f>IF($G407="完了","",IF(SUMPRODUCT(($E407=$E$3:E481)*($D407=$D$3:D481)*($C407=$C$3:C481)*("完了"=$G$3:G481))=1,"完了",""))</f>
        <v/>
      </c>
    </row>
    <row r="408" spans="2:9" x14ac:dyDescent="0.2">
      <c r="B408" s="64">
        <f t="shared" si="22"/>
        <v>12</v>
      </c>
      <c r="C408" s="65" t="s">
        <v>526</v>
      </c>
      <c r="D408" s="65" t="s">
        <v>532</v>
      </c>
      <c r="E408" s="65"/>
      <c r="F408" s="66"/>
      <c r="G408" s="65"/>
      <c r="H408" s="67"/>
      <c r="I408" s="61" t="str">
        <f>IF($G408="完了","",IF(SUMPRODUCT(($E408=$E$3:E481)*($D408=$D$3:D481)*($C408=$C$3:C481)*("完了"=$G$3:G481))=1,"完了",""))</f>
        <v/>
      </c>
    </row>
    <row r="409" spans="2:9" x14ac:dyDescent="0.2">
      <c r="B409" s="64">
        <f t="shared" si="22"/>
        <v>13</v>
      </c>
      <c r="C409" s="65" t="s">
        <v>613</v>
      </c>
      <c r="D409" s="65" t="s">
        <v>614</v>
      </c>
      <c r="E409" s="65" t="s">
        <v>615</v>
      </c>
      <c r="F409" s="66"/>
      <c r="G409" s="65" t="s">
        <v>25</v>
      </c>
      <c r="H409" s="67"/>
      <c r="I409" s="61" t="str">
        <f>IF($G409="完了","",IF(SUMPRODUCT(($E409=$E$3:E481)*($D409=$D$3:D481)*($C409=$C$3:C481)*("完了"=$G$3:G481))=1,"完了",""))</f>
        <v/>
      </c>
    </row>
    <row r="410" spans="2:9" x14ac:dyDescent="0.2">
      <c r="B410" s="64">
        <f t="shared" si="22"/>
        <v>14</v>
      </c>
      <c r="C410" s="65" t="s">
        <v>545</v>
      </c>
      <c r="D410" s="65" t="s">
        <v>546</v>
      </c>
      <c r="E410" s="65" t="s">
        <v>548</v>
      </c>
      <c r="F410" s="66"/>
      <c r="G410" s="65" t="s">
        <v>25</v>
      </c>
      <c r="H410" s="67"/>
      <c r="I410" s="61" t="str">
        <f>IF($G410="完了","",IF(SUMPRODUCT(($E410=$E$3:E481)*($D410=$D$3:D481)*($C410=$C$3:C481)*("完了"=$G$3:G481))=1,"完了",""))</f>
        <v/>
      </c>
    </row>
    <row r="411" spans="2:9" x14ac:dyDescent="0.2">
      <c r="B411" s="64">
        <f t="shared" si="22"/>
        <v>15</v>
      </c>
      <c r="C411" s="65" t="s">
        <v>545</v>
      </c>
      <c r="D411" s="65" t="s">
        <v>546</v>
      </c>
      <c r="E411" s="65" t="s">
        <v>549</v>
      </c>
      <c r="F411" s="66"/>
      <c r="G411" s="65" t="s">
        <v>25</v>
      </c>
      <c r="H411" s="67"/>
      <c r="I411" s="61" t="str">
        <f>IF($G411="完了","",IF(SUMPRODUCT(($E411=$E$3:E481)*($D411=$D$3:D481)*($C411=$C$3:C481)*("完了"=$G$3:G481))=1,"完了",""))</f>
        <v/>
      </c>
    </row>
    <row r="412" spans="2:9" x14ac:dyDescent="0.2">
      <c r="B412" s="64">
        <f t="shared" si="22"/>
        <v>16</v>
      </c>
      <c r="C412" s="65" t="s">
        <v>582</v>
      </c>
      <c r="D412" s="65" t="s">
        <v>590</v>
      </c>
      <c r="E412" s="65" t="s">
        <v>591</v>
      </c>
      <c r="F412" s="66"/>
      <c r="G412" s="65" t="s">
        <v>25</v>
      </c>
      <c r="H412" s="67"/>
      <c r="I412" s="61" t="str">
        <f>IF($G412="完了","",IF(SUMPRODUCT(($E412=$E$3:E481)*($D412=$D$3:D481)*($C412=$C$3:C481)*("完了"=$G$3:G481))=1,"完了",""))</f>
        <v/>
      </c>
    </row>
    <row r="413" spans="2:9" x14ac:dyDescent="0.2">
      <c r="B413" s="64">
        <f t="shared" si="22"/>
        <v>17</v>
      </c>
      <c r="C413" s="65" t="s">
        <v>582</v>
      </c>
      <c r="D413" s="65" t="s">
        <v>590</v>
      </c>
      <c r="E413" s="65" t="s">
        <v>592</v>
      </c>
      <c r="F413" s="66"/>
      <c r="G413" s="65" t="s">
        <v>25</v>
      </c>
      <c r="H413" s="67"/>
      <c r="I413" s="61" t="str">
        <f>IF($G413="完了","",IF(SUMPRODUCT(($E413=$E$3:E481)*($D413=$D$3:D481)*($C413=$C$3:C481)*("完了"=$G$3:G481))=1,"完了",""))</f>
        <v/>
      </c>
    </row>
    <row r="414" spans="2:9" ht="137.5" x14ac:dyDescent="0.2">
      <c r="B414" s="64">
        <f t="shared" si="22"/>
        <v>18</v>
      </c>
      <c r="C414" s="65" t="s">
        <v>582</v>
      </c>
      <c r="D414" s="65" t="s">
        <v>590</v>
      </c>
      <c r="E414" s="65" t="s">
        <v>593</v>
      </c>
      <c r="F414" s="66"/>
      <c r="G414" s="65" t="s">
        <v>25</v>
      </c>
      <c r="H414" s="67" t="s">
        <v>609</v>
      </c>
      <c r="I414" s="61" t="str">
        <f>IF($G414="完了","",IF(SUMPRODUCT(($E414=$E$3:E481)*($D414=$D$3:D481)*($C414=$C$3:C481)*("完了"=$G$3:G481))=1,"完了",""))</f>
        <v/>
      </c>
    </row>
    <row r="415" spans="2:9" x14ac:dyDescent="0.2">
      <c r="B415" s="64">
        <f t="shared" si="22"/>
        <v>19</v>
      </c>
      <c r="C415" s="65" t="s">
        <v>582</v>
      </c>
      <c r="D415" s="65" t="s">
        <v>594</v>
      </c>
      <c r="E415" s="65" t="s">
        <v>12</v>
      </c>
      <c r="F415" s="66"/>
      <c r="G415" s="65" t="s">
        <v>25</v>
      </c>
      <c r="H415" s="67"/>
      <c r="I415" s="61" t="str">
        <f>IF($G415="完了","",IF(SUMPRODUCT(($E415=$E$3:E481)*($D415=$D$3:D481)*($C415=$C$3:C481)*("完了"=$G$3:G481))=1,"完了",""))</f>
        <v/>
      </c>
    </row>
    <row r="416" spans="2:9" x14ac:dyDescent="0.2">
      <c r="B416" s="64">
        <f t="shared" si="22"/>
        <v>20</v>
      </c>
      <c r="C416" s="65" t="s">
        <v>582</v>
      </c>
      <c r="D416" s="65" t="s">
        <v>595</v>
      </c>
      <c r="E416" s="65" t="s">
        <v>12</v>
      </c>
      <c r="F416" s="66"/>
      <c r="G416" s="65" t="s">
        <v>25</v>
      </c>
      <c r="H416" s="67"/>
      <c r="I416" s="61" t="str">
        <f>IF($G416="完了","",IF(SUMPRODUCT(($E416=$E$3:E481)*($D416=$D$3:D481)*($C416=$C$3:C481)*("完了"=$G$3:G481))=1,"完了",""))</f>
        <v/>
      </c>
    </row>
    <row r="417" spans="1:9" x14ac:dyDescent="0.2">
      <c r="B417" s="64">
        <f t="shared" si="22"/>
        <v>21</v>
      </c>
      <c r="C417" s="65" t="s">
        <v>582</v>
      </c>
      <c r="D417" s="65" t="s">
        <v>596</v>
      </c>
      <c r="E417" s="65" t="s">
        <v>597</v>
      </c>
      <c r="F417" s="66"/>
      <c r="G417" s="65" t="s">
        <v>25</v>
      </c>
      <c r="H417" s="67"/>
      <c r="I417" s="61" t="str">
        <f>IF($G417="完了","",IF(SUMPRODUCT(($E417=$E$3:E481)*($D417=$D$3:D481)*($C417=$C$3:C481)*("完了"=$G$3:G481))=1,"完了",""))</f>
        <v/>
      </c>
    </row>
    <row r="418" spans="1:9" x14ac:dyDescent="0.2">
      <c r="B418" s="64">
        <f t="shared" si="22"/>
        <v>22</v>
      </c>
      <c r="C418" s="65" t="s">
        <v>582</v>
      </c>
      <c r="D418" s="65" t="s">
        <v>596</v>
      </c>
      <c r="E418" s="65" t="s">
        <v>598</v>
      </c>
      <c r="F418" s="66"/>
      <c r="G418" s="65" t="s">
        <v>25</v>
      </c>
      <c r="H418" s="67"/>
      <c r="I418" s="61" t="str">
        <f>IF($G418="完了","",IF(SUMPRODUCT(($E418=$E$3:E481)*($D418=$D$3:D481)*($C418=$C$3:C481)*("完了"=$G$3:G481))=1,"完了",""))</f>
        <v/>
      </c>
    </row>
    <row r="419" spans="1:9" x14ac:dyDescent="0.2">
      <c r="B419" s="64">
        <f t="shared" si="22"/>
        <v>23</v>
      </c>
      <c r="C419" s="65" t="s">
        <v>582</v>
      </c>
      <c r="D419" s="65" t="s">
        <v>596</v>
      </c>
      <c r="E419" s="65" t="s">
        <v>599</v>
      </c>
      <c r="F419" s="66"/>
      <c r="G419" s="65" t="s">
        <v>25</v>
      </c>
      <c r="H419" s="67"/>
      <c r="I419" s="61" t="str">
        <f>IF($G419="完了","",IF(SUMPRODUCT(($E419=$E$3:E481)*($D419=$D$3:D481)*($C419=$C$3:C481)*("完了"=$G$3:G481))=1,"完了",""))</f>
        <v/>
      </c>
    </row>
    <row r="420" spans="1:9" x14ac:dyDescent="0.2">
      <c r="B420" s="71">
        <f t="shared" si="22"/>
        <v>24</v>
      </c>
      <c r="C420" s="68"/>
      <c r="D420" s="68"/>
      <c r="E420" s="68"/>
      <c r="F420" s="69"/>
      <c r="G420" s="68"/>
      <c r="H420" s="70"/>
      <c r="I420" s="61" t="str">
        <f>IF($G420="完了","",IF(SUMPRODUCT(($E420=$E$3:E481)*($D420=$D$3:D481)*($C420=$C$3:C481)*("完了"=$G$3:G481))=1,"完了",""))</f>
        <v>完了</v>
      </c>
    </row>
    <row r="423" spans="1:9" x14ac:dyDescent="0.2">
      <c r="A423" s="72"/>
    </row>
    <row r="424" spans="1:9" x14ac:dyDescent="0.2">
      <c r="A424" s="63" t="s">
        <v>586</v>
      </c>
      <c r="B424" s="64"/>
      <c r="C424" s="65"/>
      <c r="D424" s="65"/>
      <c r="E424" s="65"/>
      <c r="F424" s="66"/>
      <c r="G424" s="65"/>
      <c r="H424" s="67"/>
      <c r="I424" s="60"/>
    </row>
    <row r="425" spans="1:9" x14ac:dyDescent="0.2">
      <c r="B425" s="64" t="s">
        <v>17</v>
      </c>
      <c r="C425" s="65" t="s">
        <v>18</v>
      </c>
      <c r="D425" s="65" t="s">
        <v>448</v>
      </c>
      <c r="E425" s="65" t="s">
        <v>449</v>
      </c>
      <c r="F425" s="66" t="s">
        <v>27</v>
      </c>
      <c r="G425" s="65" t="s">
        <v>20</v>
      </c>
      <c r="H425" s="67" t="s">
        <v>15</v>
      </c>
      <c r="I425" s="60" t="s">
        <v>132</v>
      </c>
    </row>
    <row r="426" spans="1:9" x14ac:dyDescent="0.2">
      <c r="B426" s="64">
        <v>1</v>
      </c>
      <c r="C426" s="65" t="s">
        <v>274</v>
      </c>
      <c r="D426" s="65" t="s">
        <v>611</v>
      </c>
      <c r="E426" s="65" t="s">
        <v>612</v>
      </c>
      <c r="F426" s="66"/>
      <c r="G426" s="65" t="s">
        <v>24</v>
      </c>
      <c r="H426" s="67"/>
      <c r="I426" s="61" t="str">
        <f>IF($G426="完了","",IF(SUMPRODUCT(($E426=$E$3:E484)*($D426=$D$3:D484)*($C426=$C$3:C484)*("完了"=$G$3:G484))=1,"完了",""))</f>
        <v/>
      </c>
    </row>
    <row r="427" spans="1:9" ht="75" x14ac:dyDescent="0.2">
      <c r="B427" s="64">
        <f t="shared" ref="B427:B449" si="23">B426+1</f>
        <v>2</v>
      </c>
      <c r="C427" s="65" t="s">
        <v>421</v>
      </c>
      <c r="D427" s="65" t="s">
        <v>563</v>
      </c>
      <c r="E427" s="65" t="s">
        <v>560</v>
      </c>
      <c r="F427" s="66"/>
      <c r="G427" s="65" t="s">
        <v>114</v>
      </c>
      <c r="H427" s="67" t="s">
        <v>577</v>
      </c>
      <c r="I427" s="61" t="str">
        <f>IF($G427="完了","",IF(SUMPRODUCT(($E427=$E$3:E485)*($D427=$D$3:D485)*($C427=$C$3:C485)*("完了"=$G$3:G485))=1,"完了",""))</f>
        <v/>
      </c>
    </row>
    <row r="428" spans="1:9" ht="37.5" x14ac:dyDescent="0.2">
      <c r="B428" s="64">
        <f t="shared" si="23"/>
        <v>3</v>
      </c>
      <c r="C428" s="65" t="s">
        <v>421</v>
      </c>
      <c r="D428" s="65" t="s">
        <v>563</v>
      </c>
      <c r="E428" s="65" t="s">
        <v>607</v>
      </c>
      <c r="F428" s="66"/>
      <c r="G428" s="65" t="s">
        <v>25</v>
      </c>
      <c r="H428" s="67" t="s">
        <v>616</v>
      </c>
      <c r="I428" s="61" t="str">
        <f>IF($G428="完了","",IF(SUMPRODUCT(($E428=$E$3:E486)*($D428=$D$3:D486)*($C428=$C$3:C486)*("完了"=$G$3:G486))=1,"完了",""))</f>
        <v/>
      </c>
    </row>
    <row r="429" spans="1:9" x14ac:dyDescent="0.2">
      <c r="B429" s="64">
        <f t="shared" si="23"/>
        <v>4</v>
      </c>
      <c r="C429" s="65" t="s">
        <v>421</v>
      </c>
      <c r="D429" s="65" t="s">
        <v>563</v>
      </c>
      <c r="E429" s="65" t="s">
        <v>608</v>
      </c>
      <c r="F429" s="66"/>
      <c r="G429" s="65" t="s">
        <v>25</v>
      </c>
      <c r="H429" s="67"/>
      <c r="I429" s="61" t="str">
        <f>IF($G429="完了","",IF(SUMPRODUCT(($E429=$E$3:E487)*($D429=$D$3:D487)*($C429=$C$3:C487)*("完了"=$G$3:G487))=1,"完了",""))</f>
        <v/>
      </c>
    </row>
    <row r="430" spans="1:9" x14ac:dyDescent="0.2">
      <c r="B430" s="64">
        <f t="shared" si="23"/>
        <v>5</v>
      </c>
      <c r="C430" s="65" t="s">
        <v>509</v>
      </c>
      <c r="D430" s="65" t="s">
        <v>468</v>
      </c>
      <c r="E430" s="65" t="s">
        <v>510</v>
      </c>
      <c r="F430" s="66"/>
      <c r="G430" s="65" t="s">
        <v>25</v>
      </c>
      <c r="H430" s="67"/>
      <c r="I430" s="61" t="str">
        <f>IF($G430="完了","",IF(SUMPRODUCT(($E430=$E$3:E488)*($D430=$D$3:D488)*($C430=$C$3:C488)*("完了"=$G$3:G488))=1,"完了",""))</f>
        <v/>
      </c>
    </row>
    <row r="431" spans="1:9" ht="125" x14ac:dyDescent="0.2">
      <c r="B431" s="64">
        <f t="shared" si="23"/>
        <v>6</v>
      </c>
      <c r="C431" s="65" t="s">
        <v>509</v>
      </c>
      <c r="D431" s="65" t="s">
        <v>468</v>
      </c>
      <c r="E431" s="67" t="s">
        <v>517</v>
      </c>
      <c r="F431" s="66"/>
      <c r="G431" s="65" t="s">
        <v>114</v>
      </c>
      <c r="H431" s="67" t="s">
        <v>516</v>
      </c>
      <c r="I431" s="61" t="str">
        <f>IF($G431="完了","",IF(SUMPRODUCT(($E431=$E$3:E489)*($D431=$D$3:D489)*($C431=$C$3:C489)*("完了"=$G$3:G489))=1,"完了",""))</f>
        <v/>
      </c>
    </row>
    <row r="432" spans="1:9" ht="50" x14ac:dyDescent="0.2">
      <c r="B432" s="64">
        <f t="shared" si="23"/>
        <v>7</v>
      </c>
      <c r="C432" s="65" t="s">
        <v>523</v>
      </c>
      <c r="D432" s="65" t="s">
        <v>468</v>
      </c>
      <c r="E432" s="65" t="s">
        <v>87</v>
      </c>
      <c r="F432" s="66"/>
      <c r="G432" s="65" t="s">
        <v>25</v>
      </c>
      <c r="H432" s="67" t="s">
        <v>559</v>
      </c>
      <c r="I432" s="61" t="str">
        <f>IF($G432="完了","",IF(SUMPRODUCT(($E432=$E$3:E490)*($D432=$D$3:D490)*($C432=$C$3:C490)*("完了"=$G$3:G490))=1,"完了",""))</f>
        <v/>
      </c>
    </row>
    <row r="433" spans="2:9" x14ac:dyDescent="0.2">
      <c r="B433" s="64">
        <f t="shared" si="23"/>
        <v>8</v>
      </c>
      <c r="C433" s="65" t="s">
        <v>526</v>
      </c>
      <c r="D433" s="65" t="s">
        <v>532</v>
      </c>
      <c r="E433" s="65" t="s">
        <v>600</v>
      </c>
      <c r="F433" s="66"/>
      <c r="G433" s="65" t="s">
        <v>25</v>
      </c>
      <c r="H433" s="67"/>
      <c r="I433" s="61" t="str">
        <f>IF($G433="完了","",IF(SUMPRODUCT(($E433=$E$3:E491)*($D433=$D$3:D491)*($C433=$C$3:C491)*("完了"=$G$3:G491))=1,"完了",""))</f>
        <v/>
      </c>
    </row>
    <row r="434" spans="2:9" x14ac:dyDescent="0.2">
      <c r="B434" s="64">
        <f t="shared" si="23"/>
        <v>9</v>
      </c>
      <c r="C434" s="65" t="s">
        <v>526</v>
      </c>
      <c r="D434" s="65" t="s">
        <v>532</v>
      </c>
      <c r="E434" s="65" t="s">
        <v>601</v>
      </c>
      <c r="F434" s="66"/>
      <c r="G434" s="65" t="s">
        <v>25</v>
      </c>
      <c r="H434" s="67"/>
      <c r="I434" s="61" t="str">
        <f>IF($G434="完了","",IF(SUMPRODUCT(($E434=$E$3:E492)*($D434=$D$3:D492)*($C434=$C$3:C492)*("完了"=$G$3:G492))=1,"完了",""))</f>
        <v/>
      </c>
    </row>
    <row r="435" spans="2:9" x14ac:dyDescent="0.2">
      <c r="B435" s="64">
        <f t="shared" si="23"/>
        <v>10</v>
      </c>
      <c r="C435" s="65" t="s">
        <v>526</v>
      </c>
      <c r="D435" s="65" t="s">
        <v>532</v>
      </c>
      <c r="E435" s="65" t="s">
        <v>602</v>
      </c>
      <c r="F435" s="66"/>
      <c r="G435" s="65" t="s">
        <v>25</v>
      </c>
      <c r="H435" s="67"/>
      <c r="I435" s="61" t="str">
        <f>IF($G435="完了","",IF(SUMPRODUCT(($E435=$E$3:E493)*($D435=$D$3:D493)*($C435=$C$3:C493)*("完了"=$G$3:G493))=1,"完了",""))</f>
        <v/>
      </c>
    </row>
    <row r="436" spans="2:9" x14ac:dyDescent="0.2">
      <c r="B436" s="64">
        <f t="shared" si="23"/>
        <v>11</v>
      </c>
      <c r="C436" s="65" t="s">
        <v>526</v>
      </c>
      <c r="D436" s="65" t="s">
        <v>532</v>
      </c>
      <c r="E436" s="65"/>
      <c r="F436" s="66"/>
      <c r="G436" s="65"/>
      <c r="H436" s="67"/>
      <c r="I436" s="61" t="str">
        <f>IF($G436="完了","",IF(SUMPRODUCT(($E436=$E$3:E494)*($D436=$D$3:D494)*($C436=$C$3:C494)*("完了"=$G$3:G494))=1,"完了",""))</f>
        <v/>
      </c>
    </row>
    <row r="437" spans="2:9" x14ac:dyDescent="0.2">
      <c r="B437" s="64">
        <f t="shared" si="23"/>
        <v>12</v>
      </c>
      <c r="C437" s="65" t="s">
        <v>526</v>
      </c>
      <c r="D437" s="65" t="s">
        <v>532</v>
      </c>
      <c r="E437" s="65"/>
      <c r="F437" s="66"/>
      <c r="G437" s="65"/>
      <c r="H437" s="67"/>
      <c r="I437" s="61" t="str">
        <f>IF($G437="完了","",IF(SUMPRODUCT(($E437=$E$3:E495)*($D437=$D$3:D495)*($C437=$C$3:C495)*("完了"=$G$3:G495))=1,"完了",""))</f>
        <v/>
      </c>
    </row>
    <row r="438" spans="2:9" x14ac:dyDescent="0.2">
      <c r="B438" s="64">
        <f t="shared" si="23"/>
        <v>13</v>
      </c>
      <c r="C438" s="65" t="s">
        <v>613</v>
      </c>
      <c r="D438" s="65" t="s">
        <v>236</v>
      </c>
      <c r="E438" s="65" t="s">
        <v>615</v>
      </c>
      <c r="F438" s="66"/>
      <c r="G438" s="65" t="s">
        <v>25</v>
      </c>
      <c r="H438" s="67"/>
      <c r="I438" s="61" t="str">
        <f>IF($G438="完了","",IF(SUMPRODUCT(($E438=$E$3:E496)*($D438=$D$3:D496)*($C438=$C$3:C496)*("完了"=$G$3:G496))=1,"完了",""))</f>
        <v/>
      </c>
    </row>
    <row r="439" spans="2:9" x14ac:dyDescent="0.2">
      <c r="B439" s="64">
        <f t="shared" si="23"/>
        <v>14</v>
      </c>
      <c r="C439" s="65" t="s">
        <v>545</v>
      </c>
      <c r="D439" s="65" t="s">
        <v>546</v>
      </c>
      <c r="E439" s="65" t="s">
        <v>548</v>
      </c>
      <c r="F439" s="66"/>
      <c r="G439" s="65" t="s">
        <v>25</v>
      </c>
      <c r="H439" s="67"/>
      <c r="I439" s="61" t="str">
        <f>IF($G439="完了","",IF(SUMPRODUCT(($E439=$E$3:E497)*($D439=$D$3:D497)*($C439=$C$3:C497)*("完了"=$G$3:G497))=1,"完了",""))</f>
        <v/>
      </c>
    </row>
    <row r="440" spans="2:9" x14ac:dyDescent="0.2">
      <c r="B440" s="64">
        <f t="shared" si="23"/>
        <v>15</v>
      </c>
      <c r="C440" s="65" t="s">
        <v>545</v>
      </c>
      <c r="D440" s="65" t="s">
        <v>546</v>
      </c>
      <c r="E440" s="65" t="s">
        <v>549</v>
      </c>
      <c r="F440" s="66"/>
      <c r="G440" s="65" t="s">
        <v>25</v>
      </c>
      <c r="H440" s="67"/>
      <c r="I440" s="61" t="str">
        <f>IF($G440="完了","",IF(SUMPRODUCT(($E440=$E$3:E498)*($D440=$D$3:D498)*($C440=$C$3:C498)*("完了"=$G$3:G498))=1,"完了",""))</f>
        <v/>
      </c>
    </row>
    <row r="441" spans="2:9" x14ac:dyDescent="0.2">
      <c r="B441" s="64">
        <f t="shared" si="23"/>
        <v>16</v>
      </c>
      <c r="C441" s="65" t="s">
        <v>582</v>
      </c>
      <c r="D441" s="65" t="s">
        <v>590</v>
      </c>
      <c r="E441" s="65" t="s">
        <v>591</v>
      </c>
      <c r="F441" s="66"/>
      <c r="G441" s="65" t="s">
        <v>25</v>
      </c>
      <c r="H441" s="67"/>
      <c r="I441" s="61" t="str">
        <f>IF($G441="完了","",IF(SUMPRODUCT(($E441=$E$3:E499)*($D441=$D$3:D499)*($C441=$C$3:C499)*("完了"=$G$3:G499))=1,"完了",""))</f>
        <v/>
      </c>
    </row>
    <row r="442" spans="2:9" x14ac:dyDescent="0.2">
      <c r="B442" s="64">
        <f t="shared" si="23"/>
        <v>17</v>
      </c>
      <c r="C442" s="65" t="s">
        <v>582</v>
      </c>
      <c r="D442" s="65" t="s">
        <v>590</v>
      </c>
      <c r="E442" s="65" t="s">
        <v>592</v>
      </c>
      <c r="F442" s="66"/>
      <c r="G442" s="65" t="s">
        <v>25</v>
      </c>
      <c r="H442" s="67"/>
      <c r="I442" s="61" t="str">
        <f>IF($G442="完了","",IF(SUMPRODUCT(($E442=$E$3:E500)*($D442=$D$3:D500)*($C442=$C$3:C500)*("完了"=$G$3:G500))=1,"完了",""))</f>
        <v/>
      </c>
    </row>
    <row r="443" spans="2:9" ht="137.5" x14ac:dyDescent="0.2">
      <c r="B443" s="64">
        <f t="shared" si="23"/>
        <v>18</v>
      </c>
      <c r="C443" s="65" t="s">
        <v>582</v>
      </c>
      <c r="D443" s="65" t="s">
        <v>590</v>
      </c>
      <c r="E443" s="65" t="s">
        <v>593</v>
      </c>
      <c r="F443" s="66"/>
      <c r="G443" s="65" t="s">
        <v>25</v>
      </c>
      <c r="H443" s="67" t="s">
        <v>609</v>
      </c>
      <c r="I443" s="61" t="str">
        <f>IF($G443="完了","",IF(SUMPRODUCT(($E443=$E$3:E501)*($D443=$D$3:D501)*($C443=$C$3:C501)*("完了"=$G$3:G501))=1,"完了",""))</f>
        <v/>
      </c>
    </row>
    <row r="444" spans="2:9" x14ac:dyDescent="0.2">
      <c r="B444" s="64">
        <f t="shared" si="23"/>
        <v>19</v>
      </c>
      <c r="C444" s="65" t="s">
        <v>582</v>
      </c>
      <c r="D444" s="65" t="s">
        <v>594</v>
      </c>
      <c r="E444" s="65" t="s">
        <v>12</v>
      </c>
      <c r="F444" s="66"/>
      <c r="G444" s="65" t="s">
        <v>25</v>
      </c>
      <c r="H444" s="67"/>
      <c r="I444" s="61" t="str">
        <f>IF($G444="完了","",IF(SUMPRODUCT(($E444=$E$3:E502)*($D444=$D$3:D502)*($C444=$C$3:C502)*("完了"=$G$3:G502))=1,"完了",""))</f>
        <v/>
      </c>
    </row>
    <row r="445" spans="2:9" x14ac:dyDescent="0.2">
      <c r="B445" s="64">
        <f t="shared" si="23"/>
        <v>20</v>
      </c>
      <c r="C445" s="65" t="s">
        <v>582</v>
      </c>
      <c r="D445" s="65" t="s">
        <v>595</v>
      </c>
      <c r="E445" s="65" t="s">
        <v>12</v>
      </c>
      <c r="F445" s="66"/>
      <c r="G445" s="65" t="s">
        <v>25</v>
      </c>
      <c r="H445" s="67"/>
      <c r="I445" s="61" t="str">
        <f>IF($G445="完了","",IF(SUMPRODUCT(($E445=$E$3:E503)*($D445=$D$3:D503)*($C445=$C$3:C503)*("完了"=$G$3:G503))=1,"完了",""))</f>
        <v/>
      </c>
    </row>
    <row r="446" spans="2:9" x14ac:dyDescent="0.2">
      <c r="B446" s="64">
        <f t="shared" si="23"/>
        <v>21</v>
      </c>
      <c r="C446" s="65" t="s">
        <v>582</v>
      </c>
      <c r="D446" s="65" t="s">
        <v>596</v>
      </c>
      <c r="E446" s="65" t="s">
        <v>597</v>
      </c>
      <c r="F446" s="66"/>
      <c r="G446" s="65" t="s">
        <v>25</v>
      </c>
      <c r="H446" s="67"/>
      <c r="I446" s="61" t="str">
        <f>IF($G446="完了","",IF(SUMPRODUCT(($E446=$E$3:E504)*($D446=$D$3:D504)*($C446=$C$3:C504)*("完了"=$G$3:G504))=1,"完了",""))</f>
        <v/>
      </c>
    </row>
    <row r="447" spans="2:9" x14ac:dyDescent="0.2">
      <c r="B447" s="64">
        <f t="shared" si="23"/>
        <v>22</v>
      </c>
      <c r="C447" s="65" t="s">
        <v>582</v>
      </c>
      <c r="D447" s="65" t="s">
        <v>596</v>
      </c>
      <c r="E447" s="65" t="s">
        <v>598</v>
      </c>
      <c r="F447" s="66"/>
      <c r="G447" s="65" t="s">
        <v>25</v>
      </c>
      <c r="H447" s="67"/>
      <c r="I447" s="61" t="str">
        <f>IF($G447="完了","",IF(SUMPRODUCT(($E447=$E$3:E505)*($D447=$D$3:D505)*($C447=$C$3:C505)*("完了"=$G$3:G505))=1,"完了",""))</f>
        <v/>
      </c>
    </row>
    <row r="448" spans="2:9" x14ac:dyDescent="0.2">
      <c r="B448" s="64">
        <f t="shared" si="23"/>
        <v>23</v>
      </c>
      <c r="C448" s="65" t="s">
        <v>582</v>
      </c>
      <c r="D448" s="65" t="s">
        <v>596</v>
      </c>
      <c r="E448" s="65" t="s">
        <v>599</v>
      </c>
      <c r="F448" s="66"/>
      <c r="G448" s="65" t="s">
        <v>25</v>
      </c>
      <c r="H448" s="67"/>
      <c r="I448" s="61" t="str">
        <f>IF($G448="完了","",IF(SUMPRODUCT(($E448=$E$3:E506)*($D448=$D$3:D506)*($C448=$C$3:C506)*("完了"=$G$3:G506))=1,"完了",""))</f>
        <v/>
      </c>
    </row>
    <row r="449" spans="1:9" x14ac:dyDescent="0.2">
      <c r="B449" s="71">
        <f t="shared" si="23"/>
        <v>24</v>
      </c>
      <c r="C449" s="68"/>
      <c r="D449" s="68"/>
      <c r="E449" s="68"/>
      <c r="F449" s="69"/>
      <c r="G449" s="68"/>
      <c r="H449" s="70"/>
      <c r="I449" s="61" t="str">
        <f>IF($G449="完了","",IF(SUMPRODUCT(($E449=$E$3:E507)*($D449=$D$3:D507)*($C449=$C$3:C507)*("完了"=$G$3:G507))=1,"完了",""))</f>
        <v>完了</v>
      </c>
    </row>
    <row r="452" spans="1:9" x14ac:dyDescent="0.2">
      <c r="A452" s="72"/>
    </row>
    <row r="453" spans="1:9" x14ac:dyDescent="0.2">
      <c r="A453" s="63" t="s">
        <v>586</v>
      </c>
      <c r="B453" s="64"/>
      <c r="C453" s="65"/>
      <c r="D453" s="65"/>
      <c r="E453" s="65"/>
      <c r="F453" s="66"/>
      <c r="G453" s="65"/>
      <c r="H453" s="67"/>
      <c r="I453" s="60"/>
    </row>
    <row r="454" spans="1:9" x14ac:dyDescent="0.2">
      <c r="B454" s="64" t="s">
        <v>17</v>
      </c>
      <c r="C454" s="65" t="s">
        <v>18</v>
      </c>
      <c r="D454" s="65" t="s">
        <v>448</v>
      </c>
      <c r="E454" s="65" t="s">
        <v>449</v>
      </c>
      <c r="F454" s="66" t="s">
        <v>27</v>
      </c>
      <c r="G454" s="65" t="s">
        <v>20</v>
      </c>
      <c r="H454" s="67" t="s">
        <v>15</v>
      </c>
      <c r="I454" s="60" t="s">
        <v>132</v>
      </c>
    </row>
    <row r="455" spans="1:9" x14ac:dyDescent="0.2">
      <c r="B455" s="64">
        <v>1</v>
      </c>
      <c r="C455" s="65" t="s">
        <v>274</v>
      </c>
      <c r="D455" s="65" t="s">
        <v>611</v>
      </c>
      <c r="E455" s="65" t="s">
        <v>612</v>
      </c>
      <c r="F455" s="66"/>
      <c r="G455" s="65" t="s">
        <v>24</v>
      </c>
      <c r="H455" s="67"/>
      <c r="I455" s="61" t="str">
        <f>IF($G455="完了","",IF(SUMPRODUCT(($E455=$E$3:E513)*($D455=$D$3:D513)*($C455=$C$3:C513)*("完了"=$G$3:G513))=1,"完了",""))</f>
        <v/>
      </c>
    </row>
    <row r="456" spans="1:9" ht="75" x14ac:dyDescent="0.2">
      <c r="B456" s="64">
        <f t="shared" ref="B456:B478" si="24">B455+1</f>
        <v>2</v>
      </c>
      <c r="C456" s="65" t="s">
        <v>421</v>
      </c>
      <c r="D456" s="65" t="s">
        <v>563</v>
      </c>
      <c r="E456" s="65" t="s">
        <v>560</v>
      </c>
      <c r="F456" s="66"/>
      <c r="G456" s="65" t="s">
        <v>114</v>
      </c>
      <c r="H456" s="67" t="s">
        <v>577</v>
      </c>
      <c r="I456" s="61" t="str">
        <f>IF($G456="完了","",IF(SUMPRODUCT(($E456=$E$3:E514)*($D456=$D$3:D514)*($C456=$C$3:C514)*("完了"=$G$3:G514))=1,"完了",""))</f>
        <v>完了</v>
      </c>
    </row>
    <row r="457" spans="1:9" ht="37.5" x14ac:dyDescent="0.2">
      <c r="B457" s="64">
        <f t="shared" si="24"/>
        <v>3</v>
      </c>
      <c r="C457" s="65" t="s">
        <v>421</v>
      </c>
      <c r="D457" s="65" t="s">
        <v>563</v>
      </c>
      <c r="E457" s="65" t="s">
        <v>607</v>
      </c>
      <c r="F457" s="66"/>
      <c r="G457" s="65" t="s">
        <v>25</v>
      </c>
      <c r="H457" s="67" t="s">
        <v>616</v>
      </c>
      <c r="I457" s="61" t="str">
        <f>IF($G457="完了","",IF(SUMPRODUCT(($E457=$E$3:E515)*($D457=$D$3:D515)*($C457=$C$3:C515)*("完了"=$G$3:G515))=1,"完了",""))</f>
        <v/>
      </c>
    </row>
    <row r="458" spans="1:9" x14ac:dyDescent="0.2">
      <c r="B458" s="64">
        <f t="shared" si="24"/>
        <v>4</v>
      </c>
      <c r="C458" s="65" t="s">
        <v>421</v>
      </c>
      <c r="D458" s="65" t="s">
        <v>563</v>
      </c>
      <c r="E458" s="65" t="s">
        <v>608</v>
      </c>
      <c r="F458" s="66"/>
      <c r="G458" s="65" t="s">
        <v>25</v>
      </c>
      <c r="H458" s="67"/>
      <c r="I458" s="61" t="str">
        <f>IF($G458="完了","",IF(SUMPRODUCT(($E458=$E$3:E516)*($D458=$D$3:D516)*($C458=$C$3:C516)*("完了"=$G$3:G516))=1,"完了",""))</f>
        <v/>
      </c>
    </row>
    <row r="459" spans="1:9" x14ac:dyDescent="0.2">
      <c r="B459" s="64">
        <f t="shared" si="24"/>
        <v>5</v>
      </c>
      <c r="C459" s="65" t="s">
        <v>509</v>
      </c>
      <c r="D459" s="65" t="s">
        <v>468</v>
      </c>
      <c r="E459" s="65" t="s">
        <v>510</v>
      </c>
      <c r="F459" s="66"/>
      <c r="G459" s="65" t="s">
        <v>25</v>
      </c>
      <c r="H459" s="67"/>
      <c r="I459" s="61" t="str">
        <f>IF($G459="完了","",IF(SUMPRODUCT(($E459=$E$3:E517)*($D459=$D$3:D517)*($C459=$C$3:C517)*("完了"=$G$3:G517))=1,"完了",""))</f>
        <v/>
      </c>
    </row>
    <row r="460" spans="1:9" ht="125" x14ac:dyDescent="0.2">
      <c r="B460" s="64">
        <f t="shared" si="24"/>
        <v>6</v>
      </c>
      <c r="C460" s="65" t="s">
        <v>509</v>
      </c>
      <c r="D460" s="65" t="s">
        <v>468</v>
      </c>
      <c r="E460" s="67" t="s">
        <v>517</v>
      </c>
      <c r="F460" s="66"/>
      <c r="G460" s="65" t="s">
        <v>114</v>
      </c>
      <c r="H460" s="67" t="s">
        <v>516</v>
      </c>
      <c r="I460" s="61" t="str">
        <f>IF($G460="完了","",IF(SUMPRODUCT(($E460=$E$3:E518)*($D460=$D$3:D518)*($C460=$C$3:C518)*("完了"=$G$3:G518))=1,"完了",""))</f>
        <v/>
      </c>
    </row>
    <row r="461" spans="1:9" ht="50" x14ac:dyDescent="0.2">
      <c r="B461" s="64">
        <f t="shared" si="24"/>
        <v>7</v>
      </c>
      <c r="C461" s="65" t="s">
        <v>523</v>
      </c>
      <c r="D461" s="65" t="s">
        <v>468</v>
      </c>
      <c r="E461" s="65" t="s">
        <v>87</v>
      </c>
      <c r="F461" s="66"/>
      <c r="G461" s="65" t="s">
        <v>25</v>
      </c>
      <c r="H461" s="67" t="s">
        <v>559</v>
      </c>
      <c r="I461" s="61" t="str">
        <f>IF($G461="完了","",IF(SUMPRODUCT(($E461=$E$3:E519)*($D461=$D$3:D519)*($C461=$C$3:C519)*("完了"=$G$3:G519))=1,"完了",""))</f>
        <v/>
      </c>
    </row>
    <row r="462" spans="1:9" x14ac:dyDescent="0.2">
      <c r="B462" s="64">
        <f t="shared" si="24"/>
        <v>8</v>
      </c>
      <c r="C462" s="65" t="s">
        <v>526</v>
      </c>
      <c r="D462" s="65" t="s">
        <v>532</v>
      </c>
      <c r="E462" s="65" t="s">
        <v>600</v>
      </c>
      <c r="F462" s="66"/>
      <c r="G462" s="65" t="s">
        <v>25</v>
      </c>
      <c r="H462" s="67"/>
      <c r="I462" s="61" t="str">
        <f>IF($G462="完了","",IF(SUMPRODUCT(($E462=$E$3:E520)*($D462=$D$3:D520)*($C462=$C$3:C520)*("完了"=$G$3:G520))=1,"完了",""))</f>
        <v/>
      </c>
    </row>
    <row r="463" spans="1:9" x14ac:dyDescent="0.2">
      <c r="B463" s="64">
        <f t="shared" si="24"/>
        <v>9</v>
      </c>
      <c r="C463" s="65" t="s">
        <v>526</v>
      </c>
      <c r="D463" s="65" t="s">
        <v>532</v>
      </c>
      <c r="E463" s="65" t="s">
        <v>601</v>
      </c>
      <c r="F463" s="66"/>
      <c r="G463" s="65" t="s">
        <v>25</v>
      </c>
      <c r="H463" s="67"/>
      <c r="I463" s="61" t="str">
        <f>IF($G463="完了","",IF(SUMPRODUCT(($E463=$E$3:E521)*($D463=$D$3:D521)*($C463=$C$3:C521)*("完了"=$G$3:G521))=1,"完了",""))</f>
        <v/>
      </c>
    </row>
    <row r="464" spans="1:9" x14ac:dyDescent="0.2">
      <c r="B464" s="64">
        <f t="shared" si="24"/>
        <v>10</v>
      </c>
      <c r="C464" s="65" t="s">
        <v>526</v>
      </c>
      <c r="D464" s="65" t="s">
        <v>532</v>
      </c>
      <c r="E464" s="65" t="s">
        <v>602</v>
      </c>
      <c r="F464" s="66"/>
      <c r="G464" s="65" t="s">
        <v>25</v>
      </c>
      <c r="H464" s="67"/>
      <c r="I464" s="61" t="str">
        <f>IF($G464="完了","",IF(SUMPRODUCT(($E464=$E$3:E522)*($D464=$D$3:D522)*($C464=$C$3:C522)*("完了"=$G$3:G522))=1,"完了",""))</f>
        <v/>
      </c>
    </row>
    <row r="465" spans="2:9" x14ac:dyDescent="0.2">
      <c r="B465" s="64">
        <f t="shared" si="24"/>
        <v>11</v>
      </c>
      <c r="C465" s="65" t="s">
        <v>526</v>
      </c>
      <c r="D465" s="65" t="s">
        <v>532</v>
      </c>
      <c r="E465" s="65"/>
      <c r="F465" s="66"/>
      <c r="G465" s="65"/>
      <c r="H465" s="67"/>
      <c r="I465" s="61" t="str">
        <f>IF($G465="完了","",IF(SUMPRODUCT(($E465=$E$3:E523)*($D465=$D$3:D523)*($C465=$C$3:C523)*("完了"=$G$3:G523))=1,"完了",""))</f>
        <v/>
      </c>
    </row>
    <row r="466" spans="2:9" x14ac:dyDescent="0.2">
      <c r="B466" s="64">
        <f t="shared" si="24"/>
        <v>12</v>
      </c>
      <c r="C466" s="65" t="s">
        <v>526</v>
      </c>
      <c r="D466" s="65" t="s">
        <v>532</v>
      </c>
      <c r="E466" s="65"/>
      <c r="F466" s="66"/>
      <c r="G466" s="65"/>
      <c r="H466" s="67"/>
      <c r="I466" s="61" t="str">
        <f>IF($G466="完了","",IF(SUMPRODUCT(($E466=$E$3:E524)*($D466=$D$3:D524)*($C466=$C$3:C524)*("完了"=$G$3:G524))=1,"完了",""))</f>
        <v/>
      </c>
    </row>
    <row r="467" spans="2:9" x14ac:dyDescent="0.2">
      <c r="B467" s="64">
        <f t="shared" si="24"/>
        <v>13</v>
      </c>
      <c r="C467" s="65" t="s">
        <v>613</v>
      </c>
      <c r="D467" s="65" t="s">
        <v>236</v>
      </c>
      <c r="E467" s="65" t="s">
        <v>615</v>
      </c>
      <c r="F467" s="66"/>
      <c r="G467" s="65" t="s">
        <v>25</v>
      </c>
      <c r="H467" s="67"/>
      <c r="I467" s="61" t="str">
        <f>IF($G467="完了","",IF(SUMPRODUCT(($E467=$E$3:E525)*($D467=$D$3:D525)*($C467=$C$3:C525)*("完了"=$G$3:G525))=1,"完了",""))</f>
        <v/>
      </c>
    </row>
    <row r="468" spans="2:9" x14ac:dyDescent="0.2">
      <c r="B468" s="64">
        <f t="shared" si="24"/>
        <v>14</v>
      </c>
      <c r="C468" s="65" t="s">
        <v>545</v>
      </c>
      <c r="D468" s="65" t="s">
        <v>546</v>
      </c>
      <c r="E468" s="65" t="s">
        <v>548</v>
      </c>
      <c r="F468" s="66"/>
      <c r="G468" s="65" t="s">
        <v>25</v>
      </c>
      <c r="H468" s="67"/>
      <c r="I468" s="61" t="str">
        <f>IF($G468="完了","",IF(SUMPRODUCT(($E468=$E$3:E526)*($D468=$D$3:D526)*($C468=$C$3:C526)*("完了"=$G$3:G526))=1,"完了",""))</f>
        <v/>
      </c>
    </row>
    <row r="469" spans="2:9" x14ac:dyDescent="0.2">
      <c r="B469" s="64">
        <f t="shared" si="24"/>
        <v>15</v>
      </c>
      <c r="C469" s="65" t="s">
        <v>545</v>
      </c>
      <c r="D469" s="65" t="s">
        <v>546</v>
      </c>
      <c r="E469" s="65" t="s">
        <v>549</v>
      </c>
      <c r="F469" s="66"/>
      <c r="G469" s="65" t="s">
        <v>25</v>
      </c>
      <c r="H469" s="67"/>
      <c r="I469" s="61" t="str">
        <f>IF($G469="完了","",IF(SUMPRODUCT(($E469=$E$3:E527)*($D469=$D$3:D527)*($C469=$C$3:C527)*("完了"=$G$3:G527))=1,"完了",""))</f>
        <v/>
      </c>
    </row>
    <row r="470" spans="2:9" x14ac:dyDescent="0.2">
      <c r="B470" s="64">
        <f t="shared" si="24"/>
        <v>16</v>
      </c>
      <c r="C470" s="65" t="s">
        <v>582</v>
      </c>
      <c r="D470" s="65" t="s">
        <v>590</v>
      </c>
      <c r="E470" s="65" t="s">
        <v>591</v>
      </c>
      <c r="F470" s="66"/>
      <c r="G470" s="65" t="s">
        <v>25</v>
      </c>
      <c r="H470" s="67"/>
      <c r="I470" s="61" t="str">
        <f>IF($G470="完了","",IF(SUMPRODUCT(($E470=$E$3:E528)*($D470=$D$3:D528)*($C470=$C$3:C528)*("完了"=$G$3:G528))=1,"完了",""))</f>
        <v/>
      </c>
    </row>
    <row r="471" spans="2:9" x14ac:dyDescent="0.2">
      <c r="B471" s="64">
        <f t="shared" si="24"/>
        <v>17</v>
      </c>
      <c r="C471" s="65" t="s">
        <v>582</v>
      </c>
      <c r="D471" s="65" t="s">
        <v>590</v>
      </c>
      <c r="E471" s="65" t="s">
        <v>592</v>
      </c>
      <c r="F471" s="66"/>
      <c r="G471" s="65" t="s">
        <v>25</v>
      </c>
      <c r="H471" s="67"/>
      <c r="I471" s="61" t="str">
        <f>IF($G471="完了","",IF(SUMPRODUCT(($E471=$E$3:E529)*($D471=$D$3:D529)*($C471=$C$3:C529)*("完了"=$G$3:G529))=1,"完了",""))</f>
        <v/>
      </c>
    </row>
    <row r="472" spans="2:9" ht="137.5" x14ac:dyDescent="0.2">
      <c r="B472" s="64">
        <f t="shared" si="24"/>
        <v>18</v>
      </c>
      <c r="C472" s="65" t="s">
        <v>582</v>
      </c>
      <c r="D472" s="65" t="s">
        <v>590</v>
      </c>
      <c r="E472" s="65" t="s">
        <v>593</v>
      </c>
      <c r="F472" s="66"/>
      <c r="G472" s="65" t="s">
        <v>25</v>
      </c>
      <c r="H472" s="67" t="s">
        <v>609</v>
      </c>
      <c r="I472" s="61" t="str">
        <f>IF($G472="完了","",IF(SUMPRODUCT(($E472=$E$3:E530)*($D472=$D$3:D530)*($C472=$C$3:C530)*("完了"=$G$3:G530))=1,"完了",""))</f>
        <v/>
      </c>
    </row>
    <row r="473" spans="2:9" x14ac:dyDescent="0.2">
      <c r="B473" s="64">
        <f t="shared" si="24"/>
        <v>19</v>
      </c>
      <c r="C473" s="65" t="s">
        <v>582</v>
      </c>
      <c r="D473" s="65" t="s">
        <v>594</v>
      </c>
      <c r="E473" s="65" t="s">
        <v>12</v>
      </c>
      <c r="F473" s="66"/>
      <c r="G473" s="65" t="s">
        <v>25</v>
      </c>
      <c r="H473" s="67"/>
      <c r="I473" s="61" t="str">
        <f>IF($G473="完了","",IF(SUMPRODUCT(($E473=$E$3:E531)*($D473=$D$3:D531)*($C473=$C$3:C531)*("完了"=$G$3:G531))=1,"完了",""))</f>
        <v/>
      </c>
    </row>
    <row r="474" spans="2:9" x14ac:dyDescent="0.2">
      <c r="B474" s="64">
        <f t="shared" si="24"/>
        <v>20</v>
      </c>
      <c r="C474" s="65" t="s">
        <v>582</v>
      </c>
      <c r="D474" s="65" t="s">
        <v>595</v>
      </c>
      <c r="E474" s="65" t="s">
        <v>12</v>
      </c>
      <c r="F474" s="66"/>
      <c r="G474" s="65" t="s">
        <v>25</v>
      </c>
      <c r="H474" s="67"/>
      <c r="I474" s="61" t="str">
        <f>IF($G474="完了","",IF(SUMPRODUCT(($E474=$E$3:E532)*($D474=$D$3:D532)*($C474=$C$3:C532)*("完了"=$G$3:G532))=1,"完了",""))</f>
        <v/>
      </c>
    </row>
    <row r="475" spans="2:9" x14ac:dyDescent="0.2">
      <c r="B475" s="64">
        <f t="shared" si="24"/>
        <v>21</v>
      </c>
      <c r="C475" s="65" t="s">
        <v>582</v>
      </c>
      <c r="D475" s="65" t="s">
        <v>596</v>
      </c>
      <c r="E475" s="65" t="s">
        <v>597</v>
      </c>
      <c r="F475" s="66"/>
      <c r="G475" s="65" t="s">
        <v>25</v>
      </c>
      <c r="H475" s="67"/>
      <c r="I475" s="61" t="str">
        <f>IF($G475="完了","",IF(SUMPRODUCT(($E475=$E$3:E533)*($D475=$D$3:D533)*($C475=$C$3:C533)*("完了"=$G$3:G533))=1,"完了",""))</f>
        <v/>
      </c>
    </row>
    <row r="476" spans="2:9" x14ac:dyDescent="0.2">
      <c r="B476" s="64">
        <f t="shared" si="24"/>
        <v>22</v>
      </c>
      <c r="C476" s="65" t="s">
        <v>582</v>
      </c>
      <c r="D476" s="65" t="s">
        <v>596</v>
      </c>
      <c r="E476" s="65" t="s">
        <v>598</v>
      </c>
      <c r="F476" s="66"/>
      <c r="G476" s="65" t="s">
        <v>25</v>
      </c>
      <c r="H476" s="67"/>
      <c r="I476" s="61" t="str">
        <f>IF($G476="完了","",IF(SUMPRODUCT(($E476=$E$3:E534)*($D476=$D$3:D534)*($C476=$C$3:C534)*("完了"=$G$3:G534))=1,"完了",""))</f>
        <v/>
      </c>
    </row>
    <row r="477" spans="2:9" x14ac:dyDescent="0.2">
      <c r="B477" s="64">
        <f t="shared" si="24"/>
        <v>23</v>
      </c>
      <c r="C477" s="65" t="s">
        <v>582</v>
      </c>
      <c r="D477" s="65" t="s">
        <v>596</v>
      </c>
      <c r="E477" s="65" t="s">
        <v>599</v>
      </c>
      <c r="F477" s="66"/>
      <c r="G477" s="65" t="s">
        <v>25</v>
      </c>
      <c r="H477" s="67"/>
      <c r="I477" s="61" t="str">
        <f>IF($G477="完了","",IF(SUMPRODUCT(($E477=$E$3:E535)*($D477=$D$3:D535)*($C477=$C$3:C535)*("完了"=$G$3:G535))=1,"完了",""))</f>
        <v/>
      </c>
    </row>
    <row r="478" spans="2:9" x14ac:dyDescent="0.2">
      <c r="B478" s="71">
        <f t="shared" si="24"/>
        <v>24</v>
      </c>
      <c r="C478" s="68"/>
      <c r="D478" s="68"/>
      <c r="E478" s="68"/>
      <c r="F478" s="69"/>
      <c r="G478" s="68"/>
      <c r="H478" s="70"/>
      <c r="I478" s="61" t="str">
        <f>IF($G478="完了","",IF(SUMPRODUCT(($E478=$E$3:E535)*($D478=$D$3:D535)*($C478=$C$3:C535)*("完了"=$G$3:G535))=1,"完了",""))</f>
        <v>完了</v>
      </c>
    </row>
    <row r="481" spans="1:9" x14ac:dyDescent="0.2">
      <c r="A481" s="72"/>
    </row>
    <row r="482" spans="1:9" x14ac:dyDescent="0.2">
      <c r="A482" s="75">
        <v>43566</v>
      </c>
      <c r="B482" s="64"/>
      <c r="C482" s="65"/>
      <c r="D482" s="65"/>
      <c r="E482" s="65"/>
      <c r="F482" s="66"/>
      <c r="G482" s="65"/>
      <c r="H482" s="67"/>
      <c r="I482" s="60"/>
    </row>
    <row r="483" spans="1:9" x14ac:dyDescent="0.2">
      <c r="B483" s="64" t="s">
        <v>17</v>
      </c>
      <c r="C483" s="65" t="s">
        <v>18</v>
      </c>
      <c r="D483" s="65" t="s">
        <v>448</v>
      </c>
      <c r="E483" s="65" t="s">
        <v>449</v>
      </c>
      <c r="F483" s="66" t="s">
        <v>27</v>
      </c>
      <c r="G483" s="65" t="s">
        <v>20</v>
      </c>
      <c r="H483" s="67" t="s">
        <v>15</v>
      </c>
      <c r="I483" s="60" t="s">
        <v>132</v>
      </c>
    </row>
    <row r="484" spans="1:9" x14ac:dyDescent="0.2">
      <c r="B484" s="64">
        <v>1</v>
      </c>
      <c r="C484" s="65" t="s">
        <v>274</v>
      </c>
      <c r="D484" s="65" t="s">
        <v>611</v>
      </c>
      <c r="E484" s="65" t="s">
        <v>612</v>
      </c>
      <c r="F484" s="66"/>
      <c r="G484" s="65" t="s">
        <v>24</v>
      </c>
      <c r="H484" s="67"/>
      <c r="I484" s="61" t="str">
        <f>IF($G484="完了","",IF(SUMPRODUCT(($E484=$E$3:E535)*($D484=$D$3:D535)*($C484=$C$3:C535)*("完了"=$G$3:G535))=1,"完了",""))</f>
        <v/>
      </c>
    </row>
    <row r="485" spans="1:9" ht="75" x14ac:dyDescent="0.2">
      <c r="B485" s="64">
        <f t="shared" ref="B485:B507" si="25">B484+1</f>
        <v>2</v>
      </c>
      <c r="C485" s="65" t="s">
        <v>421</v>
      </c>
      <c r="D485" s="65" t="s">
        <v>563</v>
      </c>
      <c r="E485" s="65" t="s">
        <v>560</v>
      </c>
      <c r="F485" s="66"/>
      <c r="G485" s="65" t="s">
        <v>114</v>
      </c>
      <c r="H485" s="67" t="s">
        <v>577</v>
      </c>
      <c r="I485" s="61" t="str">
        <f>IF($G485="完了","",IF(SUMPRODUCT(($E485=$E$3:E535)*($D485=$D$3:D535)*($C485=$C$3:C535)*("完了"=$G$3:G535))=1,"完了",""))</f>
        <v>完了</v>
      </c>
    </row>
    <row r="486" spans="1:9" ht="37.5" x14ac:dyDescent="0.2">
      <c r="B486" s="64">
        <f t="shared" si="25"/>
        <v>3</v>
      </c>
      <c r="C486" s="65" t="s">
        <v>421</v>
      </c>
      <c r="D486" s="65" t="s">
        <v>563</v>
      </c>
      <c r="E486" s="65" t="s">
        <v>607</v>
      </c>
      <c r="F486" s="66"/>
      <c r="G486" s="65" t="s">
        <v>25</v>
      </c>
      <c r="H486" s="67" t="s">
        <v>616</v>
      </c>
      <c r="I486" s="61" t="str">
        <f>IF($G486="完了","",IF(SUMPRODUCT(($E486=$E$3:E535)*($D486=$D$3:D535)*($C486=$C$3:C535)*("完了"=$G$3:G535))=1,"完了",""))</f>
        <v/>
      </c>
    </row>
    <row r="487" spans="1:9" x14ac:dyDescent="0.2">
      <c r="B487" s="64">
        <f t="shared" si="25"/>
        <v>4</v>
      </c>
      <c r="C487" s="65" t="s">
        <v>421</v>
      </c>
      <c r="D487" s="65" t="s">
        <v>563</v>
      </c>
      <c r="E487" s="65" t="s">
        <v>608</v>
      </c>
      <c r="F487" s="66"/>
      <c r="G487" s="65" t="s">
        <v>25</v>
      </c>
      <c r="H487" s="67"/>
      <c r="I487" s="61" t="str">
        <f>IF($G487="完了","",IF(SUMPRODUCT(($E487=$E$3:E535)*($D487=$D$3:D535)*($C487=$C$3:C535)*("完了"=$G$3:G535))=1,"完了",""))</f>
        <v/>
      </c>
    </row>
    <row r="488" spans="1:9" x14ac:dyDescent="0.2">
      <c r="B488" s="64">
        <f t="shared" si="25"/>
        <v>5</v>
      </c>
      <c r="C488" s="65" t="s">
        <v>509</v>
      </c>
      <c r="D488" s="65" t="s">
        <v>468</v>
      </c>
      <c r="E488" s="65" t="s">
        <v>510</v>
      </c>
      <c r="F488" s="66"/>
      <c r="G488" s="65" t="s">
        <v>25</v>
      </c>
      <c r="H488" s="67"/>
      <c r="I488" s="61" t="str">
        <f>IF($G488="完了","",IF(SUMPRODUCT(($E488=$E$3:E535)*($D488=$D$3:D535)*($C488=$C$3:C535)*("完了"=$G$3:G535))=1,"完了",""))</f>
        <v/>
      </c>
    </row>
    <row r="489" spans="1:9" ht="125" x14ac:dyDescent="0.2">
      <c r="B489" s="64">
        <f t="shared" si="25"/>
        <v>6</v>
      </c>
      <c r="C489" s="65" t="s">
        <v>509</v>
      </c>
      <c r="D489" s="65" t="s">
        <v>468</v>
      </c>
      <c r="E489" s="67" t="s">
        <v>517</v>
      </c>
      <c r="F489" s="66"/>
      <c r="G489" s="65" t="s">
        <v>114</v>
      </c>
      <c r="H489" s="67" t="s">
        <v>516</v>
      </c>
      <c r="I489" s="61" t="str">
        <f>IF($G489="完了","",IF(SUMPRODUCT(($E489=$E$3:E535)*($D489=$D$3:D535)*($C489=$C$3:C535)*("完了"=$G$3:G535))=1,"完了",""))</f>
        <v/>
      </c>
    </row>
    <row r="490" spans="1:9" ht="50" x14ac:dyDescent="0.2">
      <c r="B490" s="64">
        <f t="shared" si="25"/>
        <v>7</v>
      </c>
      <c r="C490" s="65" t="s">
        <v>523</v>
      </c>
      <c r="D490" s="65" t="s">
        <v>468</v>
      </c>
      <c r="E490" s="65" t="s">
        <v>87</v>
      </c>
      <c r="F490" s="66"/>
      <c r="G490" s="65" t="s">
        <v>25</v>
      </c>
      <c r="H490" s="67" t="s">
        <v>559</v>
      </c>
      <c r="I490" s="61" t="str">
        <f>IF($G490="完了","",IF(SUMPRODUCT(($E490=$E$3:E535)*($D490=$D$3:D535)*($C490=$C$3:C535)*("完了"=$G$3:G535))=1,"完了",""))</f>
        <v/>
      </c>
    </row>
    <row r="491" spans="1:9" x14ac:dyDescent="0.2">
      <c r="B491" s="64">
        <f t="shared" si="25"/>
        <v>8</v>
      </c>
      <c r="C491" s="65" t="s">
        <v>526</v>
      </c>
      <c r="D491" s="65" t="s">
        <v>532</v>
      </c>
      <c r="E491" s="65" t="s">
        <v>600</v>
      </c>
      <c r="F491" s="66"/>
      <c r="G491" s="65" t="s">
        <v>25</v>
      </c>
      <c r="H491" s="67"/>
      <c r="I491" s="61" t="str">
        <f>IF($G491="完了","",IF(SUMPRODUCT(($E491=$E$3:E535)*($D491=$D$3:D535)*($C491=$C$3:C535)*("完了"=$G$3:G535))=1,"完了",""))</f>
        <v/>
      </c>
    </row>
    <row r="492" spans="1:9" x14ac:dyDescent="0.2">
      <c r="B492" s="64">
        <f t="shared" si="25"/>
        <v>9</v>
      </c>
      <c r="C492" s="65" t="s">
        <v>526</v>
      </c>
      <c r="D492" s="65" t="s">
        <v>532</v>
      </c>
      <c r="E492" s="65" t="s">
        <v>601</v>
      </c>
      <c r="F492" s="66"/>
      <c r="G492" s="65" t="s">
        <v>25</v>
      </c>
      <c r="H492" s="67"/>
      <c r="I492" s="61" t="str">
        <f>IF($G492="完了","",IF(SUMPRODUCT(($E492=$E$3:E535)*($D492=$D$3:D535)*($C492=$C$3:C535)*("完了"=$G$3:G535))=1,"完了",""))</f>
        <v/>
      </c>
    </row>
    <row r="493" spans="1:9" x14ac:dyDescent="0.2">
      <c r="B493" s="64">
        <f t="shared" si="25"/>
        <v>10</v>
      </c>
      <c r="C493" s="65" t="s">
        <v>526</v>
      </c>
      <c r="D493" s="65" t="s">
        <v>532</v>
      </c>
      <c r="E493" s="65" t="s">
        <v>602</v>
      </c>
      <c r="F493" s="66"/>
      <c r="G493" s="65" t="s">
        <v>25</v>
      </c>
      <c r="H493" s="67"/>
      <c r="I493" s="61" t="str">
        <f>IF($G493="完了","",IF(SUMPRODUCT(($E493=$E$3:E535)*($D493=$D$3:D535)*($C493=$C$3:C535)*("完了"=$G$3:G535))=1,"完了",""))</f>
        <v/>
      </c>
    </row>
    <row r="494" spans="1:9" x14ac:dyDescent="0.2">
      <c r="B494" s="64">
        <f t="shared" si="25"/>
        <v>11</v>
      </c>
      <c r="C494" s="65" t="s">
        <v>526</v>
      </c>
      <c r="D494" s="65" t="s">
        <v>532</v>
      </c>
      <c r="E494" s="65"/>
      <c r="F494" s="66"/>
      <c r="G494" s="65"/>
      <c r="H494" s="67"/>
      <c r="I494" s="61" t="str">
        <f>IF($G494="完了","",IF(SUMPRODUCT(($E494=$E$3:E535)*($D494=$D$3:D535)*($C494=$C$3:C535)*("完了"=$G$3:G535))=1,"完了",""))</f>
        <v/>
      </c>
    </row>
    <row r="495" spans="1:9" x14ac:dyDescent="0.2">
      <c r="B495" s="64">
        <f t="shared" si="25"/>
        <v>12</v>
      </c>
      <c r="C495" s="65" t="s">
        <v>526</v>
      </c>
      <c r="D495" s="65" t="s">
        <v>532</v>
      </c>
      <c r="E495" s="65"/>
      <c r="F495" s="66"/>
      <c r="G495" s="65"/>
      <c r="H495" s="67"/>
      <c r="I495" s="61" t="str">
        <f>IF($G495="完了","",IF(SUMPRODUCT(($E495=$E$3:E535)*($D495=$D$3:D535)*($C495=$C$3:C535)*("完了"=$G$3:G535))=1,"完了",""))</f>
        <v/>
      </c>
    </row>
    <row r="496" spans="1:9" x14ac:dyDescent="0.2">
      <c r="B496" s="64">
        <f t="shared" si="25"/>
        <v>13</v>
      </c>
      <c r="C496" s="65" t="s">
        <v>613</v>
      </c>
      <c r="D496" s="65" t="s">
        <v>236</v>
      </c>
      <c r="E496" s="65" t="s">
        <v>615</v>
      </c>
      <c r="F496" s="66"/>
      <c r="G496" s="65" t="s">
        <v>25</v>
      </c>
      <c r="H496" s="67"/>
      <c r="I496" s="61" t="str">
        <f>IF($G496="完了","",IF(SUMPRODUCT(($E496=$E$3:E535)*($D496=$D$3:D535)*($C496=$C$3:C535)*("完了"=$G$3:G535))=1,"完了",""))</f>
        <v/>
      </c>
    </row>
    <row r="497" spans="1:9" x14ac:dyDescent="0.2">
      <c r="B497" s="64">
        <f t="shared" si="25"/>
        <v>14</v>
      </c>
      <c r="C497" s="65" t="s">
        <v>545</v>
      </c>
      <c r="D497" s="65" t="s">
        <v>546</v>
      </c>
      <c r="E497" s="65" t="s">
        <v>548</v>
      </c>
      <c r="F497" s="66"/>
      <c r="G497" s="65" t="s">
        <v>25</v>
      </c>
      <c r="H497" s="67"/>
      <c r="I497" s="61" t="str">
        <f>IF($G497="完了","",IF(SUMPRODUCT(($E497=$E$3:E535)*($D497=$D$3:D535)*($C497=$C$3:C535)*("完了"=$G$3:G535))=1,"完了",""))</f>
        <v/>
      </c>
    </row>
    <row r="498" spans="1:9" x14ac:dyDescent="0.2">
      <c r="B498" s="64">
        <f t="shared" si="25"/>
        <v>15</v>
      </c>
      <c r="C498" s="65" t="s">
        <v>545</v>
      </c>
      <c r="D498" s="65" t="s">
        <v>546</v>
      </c>
      <c r="E498" s="65" t="s">
        <v>549</v>
      </c>
      <c r="F498" s="66"/>
      <c r="G498" s="65" t="s">
        <v>25</v>
      </c>
      <c r="H498" s="67"/>
      <c r="I498" s="61" t="str">
        <f>IF($G498="完了","",IF(SUMPRODUCT(($E498=$E$3:E535)*($D498=$D$3:D535)*($C498=$C$3:C535)*("完了"=$G$3:G535))=1,"完了",""))</f>
        <v/>
      </c>
    </row>
    <row r="499" spans="1:9" x14ac:dyDescent="0.2">
      <c r="B499" s="64">
        <f t="shared" si="25"/>
        <v>16</v>
      </c>
      <c r="C499" s="65" t="s">
        <v>582</v>
      </c>
      <c r="D499" s="65" t="s">
        <v>590</v>
      </c>
      <c r="E499" s="65" t="s">
        <v>591</v>
      </c>
      <c r="F499" s="66"/>
      <c r="G499" s="65" t="s">
        <v>25</v>
      </c>
      <c r="H499" s="67"/>
      <c r="I499" s="61" t="str">
        <f>IF($G499="完了","",IF(SUMPRODUCT(($E499=$E$3:E535)*($D499=$D$3:D535)*($C499=$C$3:C535)*("完了"=$G$3:G535))=1,"完了",""))</f>
        <v/>
      </c>
    </row>
    <row r="500" spans="1:9" x14ac:dyDescent="0.2">
      <c r="B500" s="64">
        <f t="shared" si="25"/>
        <v>17</v>
      </c>
      <c r="C500" s="65" t="s">
        <v>582</v>
      </c>
      <c r="D500" s="65" t="s">
        <v>590</v>
      </c>
      <c r="E500" s="65" t="s">
        <v>592</v>
      </c>
      <c r="F500" s="66"/>
      <c r="G500" s="65" t="s">
        <v>25</v>
      </c>
      <c r="H500" s="67"/>
      <c r="I500" s="61" t="str">
        <f>IF($G500="完了","",IF(SUMPRODUCT(($E500=$E$3:E535)*($D500=$D$3:D535)*($C500=$C$3:C535)*("完了"=$G$3:G535))=1,"完了",""))</f>
        <v/>
      </c>
    </row>
    <row r="501" spans="1:9" ht="137.5" x14ac:dyDescent="0.2">
      <c r="B501" s="64">
        <f t="shared" si="25"/>
        <v>18</v>
      </c>
      <c r="C501" s="65" t="s">
        <v>582</v>
      </c>
      <c r="D501" s="65" t="s">
        <v>590</v>
      </c>
      <c r="E501" s="65" t="s">
        <v>593</v>
      </c>
      <c r="F501" s="66"/>
      <c r="G501" s="65" t="s">
        <v>25</v>
      </c>
      <c r="H501" s="67" t="s">
        <v>609</v>
      </c>
      <c r="I501" s="61" t="str">
        <f>IF($G501="完了","",IF(SUMPRODUCT(($E501=$E$3:E535)*($D501=$D$3:D535)*($C501=$C$3:C535)*("完了"=$G$3:G535))=1,"完了",""))</f>
        <v/>
      </c>
    </row>
    <row r="502" spans="1:9" x14ac:dyDescent="0.2">
      <c r="B502" s="64">
        <f t="shared" si="25"/>
        <v>19</v>
      </c>
      <c r="C502" s="65" t="s">
        <v>582</v>
      </c>
      <c r="D502" s="65" t="s">
        <v>594</v>
      </c>
      <c r="E502" s="65" t="s">
        <v>12</v>
      </c>
      <c r="F502" s="66"/>
      <c r="G502" s="65" t="s">
        <v>25</v>
      </c>
      <c r="H502" s="67"/>
      <c r="I502" s="61" t="str">
        <f>IF($G502="完了","",IF(SUMPRODUCT(($E502=$E$3:E535)*($D502=$D$3:D535)*($C502=$C$3:C535)*("完了"=$G$3:G535))=1,"完了",""))</f>
        <v/>
      </c>
    </row>
    <row r="503" spans="1:9" x14ac:dyDescent="0.2">
      <c r="B503" s="64">
        <f t="shared" si="25"/>
        <v>20</v>
      </c>
      <c r="C503" s="65" t="s">
        <v>582</v>
      </c>
      <c r="D503" s="65" t="s">
        <v>595</v>
      </c>
      <c r="E503" s="65" t="s">
        <v>12</v>
      </c>
      <c r="F503" s="66"/>
      <c r="G503" s="65" t="s">
        <v>25</v>
      </c>
      <c r="H503" s="67"/>
      <c r="I503" s="61" t="str">
        <f>IF($G503="完了","",IF(SUMPRODUCT(($E503=$E$3:E535)*($D503=$D$3:D535)*($C503=$C$3:C535)*("完了"=$G$3:G535))=1,"完了",""))</f>
        <v/>
      </c>
    </row>
    <row r="504" spans="1:9" x14ac:dyDescent="0.2">
      <c r="B504" s="64">
        <f t="shared" si="25"/>
        <v>21</v>
      </c>
      <c r="C504" s="65" t="s">
        <v>582</v>
      </c>
      <c r="D504" s="65" t="s">
        <v>596</v>
      </c>
      <c r="E504" s="65" t="s">
        <v>597</v>
      </c>
      <c r="F504" s="66"/>
      <c r="G504" s="65" t="s">
        <v>25</v>
      </c>
      <c r="H504" s="67"/>
      <c r="I504" s="61" t="str">
        <f>IF($G504="完了","",IF(SUMPRODUCT(($E504=$E$3:E535)*($D504=$D$3:D535)*($C504=$C$3:C535)*("完了"=$G$3:G535))=1,"完了",""))</f>
        <v/>
      </c>
    </row>
    <row r="505" spans="1:9" x14ac:dyDescent="0.2">
      <c r="B505" s="64">
        <f t="shared" si="25"/>
        <v>22</v>
      </c>
      <c r="C505" s="65" t="s">
        <v>582</v>
      </c>
      <c r="D505" s="65" t="s">
        <v>596</v>
      </c>
      <c r="E505" s="65" t="s">
        <v>598</v>
      </c>
      <c r="F505" s="66"/>
      <c r="G505" s="65" t="s">
        <v>25</v>
      </c>
      <c r="H505" s="67"/>
      <c r="I505" s="61" t="str">
        <f>IF($G505="完了","",IF(SUMPRODUCT(($E505=$E$3:E535)*($D505=$D$3:D535)*($C505=$C$3:C535)*("完了"=$G$3:G535))=1,"完了",""))</f>
        <v/>
      </c>
    </row>
    <row r="506" spans="1:9" x14ac:dyDescent="0.2">
      <c r="B506" s="64">
        <f t="shared" si="25"/>
        <v>23</v>
      </c>
      <c r="C506" s="65" t="s">
        <v>582</v>
      </c>
      <c r="D506" s="65" t="s">
        <v>596</v>
      </c>
      <c r="E506" s="65" t="s">
        <v>599</v>
      </c>
      <c r="F506" s="66"/>
      <c r="G506" s="65" t="s">
        <v>25</v>
      </c>
      <c r="H506" s="67"/>
      <c r="I506" s="61" t="str">
        <f>IF($G506="完了","",IF(SUMPRODUCT(($E506=$E$3:E535)*($D506=$D$3:D535)*($C506=$C$3:C535)*("完了"=$G$3:G535))=1,"完了",""))</f>
        <v/>
      </c>
    </row>
    <row r="507" spans="1:9" x14ac:dyDescent="0.2">
      <c r="B507" s="71">
        <f t="shared" si="25"/>
        <v>24</v>
      </c>
      <c r="C507" s="68"/>
      <c r="D507" s="68"/>
      <c r="E507" s="68"/>
      <c r="F507" s="69"/>
      <c r="G507" s="68"/>
      <c r="H507" s="70"/>
      <c r="I507" s="61" t="str">
        <f>IF($G507="完了","",IF(SUMPRODUCT(($E507=$E$3:E535)*($D507=$D$3:D535)*($C507=$C$3:C535)*("完了"=$G$3:G535))=1,"完了",""))</f>
        <v>完了</v>
      </c>
    </row>
    <row r="509" spans="1:9" x14ac:dyDescent="0.2">
      <c r="B509" s="64"/>
      <c r="C509" s="65"/>
      <c r="D509" s="65"/>
      <c r="E509" s="65"/>
      <c r="F509" s="66"/>
      <c r="G509" s="65"/>
      <c r="H509" s="67"/>
      <c r="I509" s="60"/>
    </row>
    <row r="510" spans="1:9" x14ac:dyDescent="0.2">
      <c r="A510" s="75">
        <v>43566</v>
      </c>
      <c r="B510" s="64" t="s">
        <v>17</v>
      </c>
      <c r="C510" s="65" t="s">
        <v>18</v>
      </c>
      <c r="D510" s="65" t="s">
        <v>448</v>
      </c>
      <c r="E510" s="65" t="s">
        <v>449</v>
      </c>
      <c r="F510" s="66" t="s">
        <v>27</v>
      </c>
      <c r="G510" s="65" t="s">
        <v>20</v>
      </c>
      <c r="H510" s="67" t="s">
        <v>15</v>
      </c>
      <c r="I510" s="60" t="s">
        <v>132</v>
      </c>
    </row>
    <row r="511" spans="1:9" x14ac:dyDescent="0.2">
      <c r="B511" s="64">
        <v>1</v>
      </c>
      <c r="C511" s="65" t="s">
        <v>274</v>
      </c>
      <c r="D511" s="65" t="s">
        <v>611</v>
      </c>
      <c r="E511" s="65" t="s">
        <v>612</v>
      </c>
      <c r="F511" s="66"/>
      <c r="G511" s="65" t="s">
        <v>24</v>
      </c>
      <c r="H511" s="67"/>
      <c r="I511" s="61" t="str">
        <f>IF($G511="完了","",IF(SUMPRODUCT(($E511=$E$3:E535)*($D511=$D$3:D535)*($C511=$C$3:C535)*("完了"=$G$3:G535))=1,"完了",""))</f>
        <v/>
      </c>
    </row>
    <row r="512" spans="1:9" ht="75" x14ac:dyDescent="0.2">
      <c r="B512" s="64">
        <f t="shared" ref="B512:B534" si="26">B511+1</f>
        <v>2</v>
      </c>
      <c r="C512" s="65" t="s">
        <v>421</v>
      </c>
      <c r="D512" s="65" t="s">
        <v>563</v>
      </c>
      <c r="E512" s="65" t="s">
        <v>560</v>
      </c>
      <c r="F512" s="66"/>
      <c r="G512" s="65" t="s">
        <v>24</v>
      </c>
      <c r="H512" s="67" t="s">
        <v>577</v>
      </c>
      <c r="I512" s="61" t="str">
        <f>IF($G512="完了","",IF(SUMPRODUCT(($E512=$E$3:E535)*($D512=$D$3:D535)*($C512=$C$3:C535)*("完了"=$G$3:G535))=1,"完了",""))</f>
        <v/>
      </c>
    </row>
    <row r="513" spans="2:9" ht="37.5" x14ac:dyDescent="0.2">
      <c r="B513" s="64">
        <f t="shared" si="26"/>
        <v>3</v>
      </c>
      <c r="C513" s="65" t="s">
        <v>421</v>
      </c>
      <c r="D513" s="65" t="s">
        <v>563</v>
      </c>
      <c r="E513" s="65" t="s">
        <v>607</v>
      </c>
      <c r="F513" s="66"/>
      <c r="G513" s="65" t="s">
        <v>25</v>
      </c>
      <c r="H513" s="67" t="s">
        <v>616</v>
      </c>
      <c r="I513" s="61" t="str">
        <f>IF($G513="完了","",IF(SUMPRODUCT(($E513=$E$3:E535)*($D513=$D$3:D535)*($C513=$C$3:C535)*("完了"=$G$3:G535))=1,"完了",""))</f>
        <v/>
      </c>
    </row>
    <row r="514" spans="2:9" x14ac:dyDescent="0.2">
      <c r="B514" s="64">
        <f t="shared" si="26"/>
        <v>4</v>
      </c>
      <c r="C514" s="65" t="s">
        <v>421</v>
      </c>
      <c r="D514" s="65" t="s">
        <v>563</v>
      </c>
      <c r="E514" s="65" t="s">
        <v>608</v>
      </c>
      <c r="F514" s="66"/>
      <c r="G514" s="65" t="s">
        <v>25</v>
      </c>
      <c r="H514" s="67"/>
      <c r="I514" s="61" t="str">
        <f>IF($G514="完了","",IF(SUMPRODUCT(($E514=$E$3:E535)*($D514=$D$3:D535)*($C514=$C$3:C535)*("完了"=$G$3:G535))=1,"完了",""))</f>
        <v/>
      </c>
    </row>
    <row r="515" spans="2:9" x14ac:dyDescent="0.2">
      <c r="B515" s="64">
        <f t="shared" si="26"/>
        <v>5</v>
      </c>
      <c r="C515" s="65" t="s">
        <v>509</v>
      </c>
      <c r="D515" s="65" t="s">
        <v>468</v>
      </c>
      <c r="E515" s="65" t="s">
        <v>510</v>
      </c>
      <c r="F515" s="66"/>
      <c r="G515" s="65" t="s">
        <v>25</v>
      </c>
      <c r="H515" s="67"/>
      <c r="I515" s="61" t="str">
        <f>IF($G515="完了","",IF(SUMPRODUCT(($E515=$E$3:E536)*($D515=$D$3:D536)*($C515=$C$3:C536)*("完了"=$G$3:G536))=1,"完了",""))</f>
        <v/>
      </c>
    </row>
    <row r="516" spans="2:9" ht="125" x14ac:dyDescent="0.2">
      <c r="B516" s="64">
        <f t="shared" si="26"/>
        <v>6</v>
      </c>
      <c r="C516" s="65" t="s">
        <v>509</v>
      </c>
      <c r="D516" s="65" t="s">
        <v>468</v>
      </c>
      <c r="E516" s="67" t="s">
        <v>517</v>
      </c>
      <c r="F516" s="66"/>
      <c r="G516" s="65" t="s">
        <v>114</v>
      </c>
      <c r="H516" s="67" t="s">
        <v>516</v>
      </c>
      <c r="I516" s="61" t="str">
        <f>IF($G516="完了","",IF(SUMPRODUCT(($E516=$E$3:E537)*($D516=$D$3:D537)*($C516=$C$3:C537)*("完了"=$G$3:G537))=1,"完了",""))</f>
        <v/>
      </c>
    </row>
    <row r="517" spans="2:9" ht="50" x14ac:dyDescent="0.2">
      <c r="B517" s="64">
        <f t="shared" si="26"/>
        <v>7</v>
      </c>
      <c r="C517" s="65" t="s">
        <v>523</v>
      </c>
      <c r="D517" s="65" t="s">
        <v>468</v>
      </c>
      <c r="E517" s="65" t="s">
        <v>87</v>
      </c>
      <c r="F517" s="66"/>
      <c r="G517" s="65" t="s">
        <v>25</v>
      </c>
      <c r="H517" s="67" t="s">
        <v>559</v>
      </c>
      <c r="I517" s="61" t="str">
        <f>IF($G517="完了","",IF(SUMPRODUCT(($E517=$E$3:E538)*($D517=$D$3:D538)*($C517=$C$3:C538)*("完了"=$G$3:G538))=1,"完了",""))</f>
        <v/>
      </c>
    </row>
    <row r="518" spans="2:9" x14ac:dyDescent="0.2">
      <c r="B518" s="64">
        <f t="shared" si="26"/>
        <v>8</v>
      </c>
      <c r="C518" s="65" t="s">
        <v>526</v>
      </c>
      <c r="D518" s="65" t="s">
        <v>532</v>
      </c>
      <c r="E518" s="65" t="s">
        <v>600</v>
      </c>
      <c r="F518" s="66"/>
      <c r="G518" s="65" t="s">
        <v>25</v>
      </c>
      <c r="H518" s="67"/>
      <c r="I518" s="61" t="str">
        <f>IF($G518="完了","",IF(SUMPRODUCT(($E518=$E$3:E539)*($D518=$D$3:D539)*($C518=$C$3:C539)*("完了"=$G$3:G539))=1,"完了",""))</f>
        <v/>
      </c>
    </row>
    <row r="519" spans="2:9" x14ac:dyDescent="0.2">
      <c r="B519" s="64">
        <f t="shared" si="26"/>
        <v>9</v>
      </c>
      <c r="C519" s="65" t="s">
        <v>526</v>
      </c>
      <c r="D519" s="65" t="s">
        <v>532</v>
      </c>
      <c r="E519" s="65" t="s">
        <v>601</v>
      </c>
      <c r="F519" s="66"/>
      <c r="G519" s="65" t="s">
        <v>25</v>
      </c>
      <c r="H519" s="67"/>
      <c r="I519" s="61" t="str">
        <f>IF($G519="完了","",IF(SUMPRODUCT(($E519=$E$3:E540)*($D519=$D$3:D540)*($C519=$C$3:C540)*("完了"=$G$3:G540))=1,"完了",""))</f>
        <v/>
      </c>
    </row>
    <row r="520" spans="2:9" x14ac:dyDescent="0.2">
      <c r="B520" s="64">
        <f t="shared" si="26"/>
        <v>10</v>
      </c>
      <c r="C520" s="65" t="s">
        <v>526</v>
      </c>
      <c r="D520" s="65" t="s">
        <v>532</v>
      </c>
      <c r="E520" s="65" t="s">
        <v>602</v>
      </c>
      <c r="F520" s="66"/>
      <c r="G520" s="65" t="s">
        <v>25</v>
      </c>
      <c r="H520" s="67"/>
      <c r="I520" s="61" t="str">
        <f>IF($G520="完了","",IF(SUMPRODUCT(($E520=$E$3:E541)*($D520=$D$3:D541)*($C520=$C$3:C541)*("完了"=$G$3:G541))=1,"完了",""))</f>
        <v/>
      </c>
    </row>
    <row r="521" spans="2:9" x14ac:dyDescent="0.2">
      <c r="B521" s="64">
        <f t="shared" si="26"/>
        <v>11</v>
      </c>
      <c r="C521" s="65" t="s">
        <v>526</v>
      </c>
      <c r="D521" s="65" t="s">
        <v>532</v>
      </c>
      <c r="E521" s="65"/>
      <c r="F521" s="66"/>
      <c r="G521" s="65"/>
      <c r="H521" s="67"/>
      <c r="I521" s="61" t="str">
        <f>IF($G521="完了","",IF(SUMPRODUCT(($E521=$E$3:E542)*($D521=$D$3:D542)*($C521=$C$3:C542)*("完了"=$G$3:G542))=1,"完了",""))</f>
        <v/>
      </c>
    </row>
    <row r="522" spans="2:9" x14ac:dyDescent="0.2">
      <c r="B522" s="64">
        <f t="shared" si="26"/>
        <v>12</v>
      </c>
      <c r="C522" s="65" t="s">
        <v>526</v>
      </c>
      <c r="D522" s="65" t="s">
        <v>532</v>
      </c>
      <c r="E522" s="65"/>
      <c r="F522" s="66"/>
      <c r="G522" s="65"/>
      <c r="H522" s="67"/>
      <c r="I522" s="61" t="str">
        <f>IF($G522="完了","",IF(SUMPRODUCT(($E522=$E$3:E543)*($D522=$D$3:D543)*($C522=$C$3:C543)*("完了"=$G$3:G543))=1,"完了",""))</f>
        <v/>
      </c>
    </row>
    <row r="523" spans="2:9" x14ac:dyDescent="0.2">
      <c r="B523" s="64">
        <f t="shared" si="26"/>
        <v>13</v>
      </c>
      <c r="C523" s="65" t="s">
        <v>613</v>
      </c>
      <c r="D523" s="65" t="s">
        <v>236</v>
      </c>
      <c r="E523" s="65" t="s">
        <v>615</v>
      </c>
      <c r="F523" s="66"/>
      <c r="G523" s="65" t="s">
        <v>25</v>
      </c>
      <c r="H523" s="67"/>
      <c r="I523" s="61" t="str">
        <f>IF($G523="完了","",IF(SUMPRODUCT(($E523=$E$3:E544)*($D523=$D$3:D544)*($C523=$C$3:C544)*("完了"=$G$3:G544))=1,"完了",""))</f>
        <v/>
      </c>
    </row>
    <row r="524" spans="2:9" x14ac:dyDescent="0.2">
      <c r="B524" s="64">
        <f t="shared" si="26"/>
        <v>14</v>
      </c>
      <c r="C524" s="65" t="s">
        <v>545</v>
      </c>
      <c r="D524" s="65" t="s">
        <v>546</v>
      </c>
      <c r="E524" s="65" t="s">
        <v>548</v>
      </c>
      <c r="F524" s="66"/>
      <c r="G524" s="65" t="s">
        <v>25</v>
      </c>
      <c r="H524" s="67"/>
      <c r="I524" s="61" t="str">
        <f>IF($G524="完了","",IF(SUMPRODUCT(($E524=$E$3:E545)*($D524=$D$3:D545)*($C524=$C$3:C545)*("完了"=$G$3:G545))=1,"完了",""))</f>
        <v/>
      </c>
    </row>
    <row r="525" spans="2:9" x14ac:dyDescent="0.2">
      <c r="B525" s="64">
        <f t="shared" si="26"/>
        <v>15</v>
      </c>
      <c r="C525" s="65" t="s">
        <v>545</v>
      </c>
      <c r="D525" s="65" t="s">
        <v>546</v>
      </c>
      <c r="E525" s="65" t="s">
        <v>549</v>
      </c>
      <c r="F525" s="66"/>
      <c r="G525" s="65" t="s">
        <v>25</v>
      </c>
      <c r="H525" s="67"/>
      <c r="I525" s="61" t="str">
        <f>IF($G525="完了","",IF(SUMPRODUCT(($E525=$E$3:E546)*($D525=$D$3:D546)*($C525=$C$3:C546)*("完了"=$G$3:G546))=1,"完了",""))</f>
        <v/>
      </c>
    </row>
    <row r="526" spans="2:9" x14ac:dyDescent="0.2">
      <c r="B526" s="64">
        <f t="shared" si="26"/>
        <v>16</v>
      </c>
      <c r="C526" s="65" t="s">
        <v>582</v>
      </c>
      <c r="D526" s="65" t="s">
        <v>590</v>
      </c>
      <c r="E526" s="65" t="s">
        <v>591</v>
      </c>
      <c r="F526" s="66"/>
      <c r="G526" s="65" t="s">
        <v>25</v>
      </c>
      <c r="H526" s="67"/>
      <c r="I526" s="61" t="str">
        <f>IF($G526="完了","",IF(SUMPRODUCT(($E526=$E$3:E547)*($D526=$D$3:D547)*($C526=$C$3:C547)*("完了"=$G$3:G547))=1,"完了",""))</f>
        <v/>
      </c>
    </row>
    <row r="527" spans="2:9" x14ac:dyDescent="0.2">
      <c r="B527" s="64">
        <f t="shared" si="26"/>
        <v>17</v>
      </c>
      <c r="C527" s="65" t="s">
        <v>582</v>
      </c>
      <c r="D527" s="65" t="s">
        <v>590</v>
      </c>
      <c r="E527" s="65" t="s">
        <v>592</v>
      </c>
      <c r="F527" s="66"/>
      <c r="G527" s="65" t="s">
        <v>25</v>
      </c>
      <c r="H527" s="67"/>
      <c r="I527" s="61" t="str">
        <f>IF($G527="完了","",IF(SUMPRODUCT(($E527=$E$3:E548)*($D527=$D$3:D548)*($C527=$C$3:C548)*("完了"=$G$3:G548))=1,"完了",""))</f>
        <v/>
      </c>
    </row>
    <row r="528" spans="2:9" ht="137.5" x14ac:dyDescent="0.2">
      <c r="B528" s="64">
        <f t="shared" si="26"/>
        <v>18</v>
      </c>
      <c r="C528" s="65" t="s">
        <v>582</v>
      </c>
      <c r="D528" s="65" t="s">
        <v>590</v>
      </c>
      <c r="E528" s="65" t="s">
        <v>593</v>
      </c>
      <c r="F528" s="66"/>
      <c r="G528" s="65" t="s">
        <v>25</v>
      </c>
      <c r="H528" s="67" t="s">
        <v>609</v>
      </c>
      <c r="I528" s="61" t="str">
        <f>IF($G528="完了","",IF(SUMPRODUCT(($E528=$E$3:E549)*($D528=$D$3:D549)*($C528=$C$3:C549)*("完了"=$G$3:G549))=1,"完了",""))</f>
        <v/>
      </c>
    </row>
    <row r="529" spans="1:9" x14ac:dyDescent="0.2">
      <c r="B529" s="64">
        <f t="shared" si="26"/>
        <v>19</v>
      </c>
      <c r="C529" s="65" t="s">
        <v>582</v>
      </c>
      <c r="D529" s="65" t="s">
        <v>594</v>
      </c>
      <c r="E529" s="65" t="s">
        <v>12</v>
      </c>
      <c r="F529" s="66"/>
      <c r="G529" s="65" t="s">
        <v>25</v>
      </c>
      <c r="H529" s="67"/>
      <c r="I529" s="61" t="str">
        <f>IF($G529="完了","",IF(SUMPRODUCT(($E529=$E$3:E550)*($D529=$D$3:D550)*($C529=$C$3:C550)*("完了"=$G$3:G550))=1,"完了",""))</f>
        <v/>
      </c>
    </row>
    <row r="530" spans="1:9" x14ac:dyDescent="0.2">
      <c r="B530" s="64">
        <f t="shared" si="26"/>
        <v>20</v>
      </c>
      <c r="C530" s="65" t="s">
        <v>582</v>
      </c>
      <c r="D530" s="65" t="s">
        <v>595</v>
      </c>
      <c r="E530" s="65" t="s">
        <v>12</v>
      </c>
      <c r="F530" s="66"/>
      <c r="G530" s="65" t="s">
        <v>25</v>
      </c>
      <c r="H530" s="67"/>
      <c r="I530" s="61" t="str">
        <f>IF($G530="完了","",IF(SUMPRODUCT(($E530=$E$3:E551)*($D530=$D$3:D551)*($C530=$C$3:C551)*("完了"=$G$3:G551))=1,"完了",""))</f>
        <v/>
      </c>
    </row>
    <row r="531" spans="1:9" x14ac:dyDescent="0.2">
      <c r="B531" s="64">
        <f t="shared" si="26"/>
        <v>21</v>
      </c>
      <c r="C531" s="65" t="s">
        <v>582</v>
      </c>
      <c r="D531" s="65" t="s">
        <v>596</v>
      </c>
      <c r="E531" s="65" t="s">
        <v>597</v>
      </c>
      <c r="F531" s="66"/>
      <c r="G531" s="65" t="s">
        <v>25</v>
      </c>
      <c r="H531" s="67"/>
      <c r="I531" s="61" t="str">
        <f>IF($G531="完了","",IF(SUMPRODUCT(($E531=$E$3:E552)*($D531=$D$3:D552)*($C531=$C$3:C552)*("完了"=$G$3:G552))=1,"完了",""))</f>
        <v/>
      </c>
    </row>
    <row r="532" spans="1:9" x14ac:dyDescent="0.2">
      <c r="B532" s="64">
        <f t="shared" si="26"/>
        <v>22</v>
      </c>
      <c r="C532" s="65" t="s">
        <v>582</v>
      </c>
      <c r="D532" s="65" t="s">
        <v>596</v>
      </c>
      <c r="E532" s="65" t="s">
        <v>598</v>
      </c>
      <c r="F532" s="66"/>
      <c r="G532" s="65" t="s">
        <v>25</v>
      </c>
      <c r="H532" s="67"/>
      <c r="I532" s="61" t="str">
        <f>IF($G532="完了","",IF(SUMPRODUCT(($E532=$E$3:E553)*($D532=$D$3:D553)*($C532=$C$3:C553)*("完了"=$G$3:G553))=1,"完了",""))</f>
        <v/>
      </c>
    </row>
    <row r="533" spans="1:9" x14ac:dyDescent="0.2">
      <c r="B533" s="64">
        <f t="shared" si="26"/>
        <v>23</v>
      </c>
      <c r="C533" s="65" t="s">
        <v>582</v>
      </c>
      <c r="D533" s="65" t="s">
        <v>596</v>
      </c>
      <c r="E533" s="65" t="s">
        <v>599</v>
      </c>
      <c r="F533" s="66"/>
      <c r="G533" s="65" t="s">
        <v>25</v>
      </c>
      <c r="H533" s="67"/>
      <c r="I533" s="61" t="str">
        <f>IF($G533="完了","",IF(SUMPRODUCT(($E533=$E$3:E554)*($D533=$D$3:D554)*($C533=$C$3:C554)*("完了"=$G$3:G554))=1,"完了",""))</f>
        <v/>
      </c>
    </row>
    <row r="534" spans="1:9" x14ac:dyDescent="0.2">
      <c r="B534" s="71">
        <f t="shared" si="26"/>
        <v>24</v>
      </c>
      <c r="C534" s="68"/>
      <c r="D534" s="68"/>
      <c r="E534" s="68"/>
      <c r="F534" s="69"/>
      <c r="G534" s="68"/>
      <c r="H534" s="70"/>
      <c r="I534" s="61" t="str">
        <f>IF($G534="完了","",IF(SUMPRODUCT(($E534=$E$3:E555)*($D534=$D$3:D555)*($C534=$C$3:C555)*("完了"=$G$3:G555))=1,"完了",""))</f>
        <v>完了</v>
      </c>
    </row>
    <row r="537" spans="1:9" x14ac:dyDescent="0.2">
      <c r="A537" s="75">
        <v>43566</v>
      </c>
      <c r="B537" s="64" t="s">
        <v>17</v>
      </c>
      <c r="C537" s="65" t="s">
        <v>18</v>
      </c>
      <c r="D537" s="65" t="s">
        <v>448</v>
      </c>
      <c r="E537" s="65" t="s">
        <v>449</v>
      </c>
      <c r="F537" s="66" t="s">
        <v>27</v>
      </c>
      <c r="G537" s="65" t="s">
        <v>20</v>
      </c>
      <c r="H537" s="67" t="s">
        <v>15</v>
      </c>
      <c r="I537" s="60" t="s">
        <v>132</v>
      </c>
    </row>
    <row r="538" spans="1:9" x14ac:dyDescent="0.2">
      <c r="B538" s="64">
        <v>1</v>
      </c>
      <c r="C538" s="65" t="s">
        <v>274</v>
      </c>
      <c r="D538" s="65" t="s">
        <v>611</v>
      </c>
      <c r="E538" s="65" t="s">
        <v>612</v>
      </c>
      <c r="F538" s="66"/>
      <c r="G538" s="65" t="s">
        <v>24</v>
      </c>
      <c r="H538" s="67"/>
      <c r="I538" s="61" t="str">
        <f>IF($G538="完了","",IF(SUMPRODUCT(($E538=$E$3:E562)*($D538=$D$3:D562)*($C538=$C$3:C562)*("完了"=$G$3:G562))=1,"完了",""))</f>
        <v/>
      </c>
    </row>
    <row r="539" spans="1:9" ht="75" x14ac:dyDescent="0.2">
      <c r="B539" s="64">
        <f t="shared" ref="B539:B561" si="27">B538+1</f>
        <v>2</v>
      </c>
      <c r="C539" s="65" t="s">
        <v>421</v>
      </c>
      <c r="D539" s="65" t="s">
        <v>563</v>
      </c>
      <c r="E539" s="65" t="s">
        <v>560</v>
      </c>
      <c r="F539" s="66"/>
      <c r="G539" s="65" t="s">
        <v>114</v>
      </c>
      <c r="H539" s="67" t="s">
        <v>577</v>
      </c>
      <c r="I539" s="61" t="str">
        <f>IF($G539="完了","",IF(SUMPRODUCT(($E539=$E$3:E562)*($D539=$D$3:D562)*($C539=$C$3:C562)*("完了"=$G$3:G562))=1,"完了",""))</f>
        <v>完了</v>
      </c>
    </row>
    <row r="540" spans="1:9" ht="37.5" x14ac:dyDescent="0.2">
      <c r="B540" s="64">
        <f t="shared" si="27"/>
        <v>3</v>
      </c>
      <c r="C540" s="65" t="s">
        <v>421</v>
      </c>
      <c r="D540" s="65" t="s">
        <v>563</v>
      </c>
      <c r="E540" s="65" t="s">
        <v>607</v>
      </c>
      <c r="F540" s="66"/>
      <c r="G540" s="65" t="s">
        <v>25</v>
      </c>
      <c r="H540" s="67" t="s">
        <v>616</v>
      </c>
      <c r="I540" s="61" t="str">
        <f>IF($G540="完了","",IF(SUMPRODUCT(($E540=$E$3:E562)*($D540=$D$3:D562)*($C540=$C$3:C562)*("完了"=$G$3:G562))=1,"完了",""))</f>
        <v/>
      </c>
    </row>
    <row r="541" spans="1:9" x14ac:dyDescent="0.2">
      <c r="B541" s="64">
        <f t="shared" si="27"/>
        <v>4</v>
      </c>
      <c r="C541" s="65" t="s">
        <v>421</v>
      </c>
      <c r="D541" s="65" t="s">
        <v>563</v>
      </c>
      <c r="E541" s="65" t="s">
        <v>608</v>
      </c>
      <c r="F541" s="66"/>
      <c r="G541" s="65" t="s">
        <v>25</v>
      </c>
      <c r="H541" s="67"/>
      <c r="I541" s="61" t="str">
        <f>IF($G541="完了","",IF(SUMPRODUCT(($E541=$E$3:E562)*($D541=$D$3:D562)*($C541=$C$3:C562)*("完了"=$G$3:G562))=1,"完了",""))</f>
        <v/>
      </c>
    </row>
    <row r="542" spans="1:9" x14ac:dyDescent="0.2">
      <c r="B542" s="64">
        <f t="shared" si="27"/>
        <v>5</v>
      </c>
      <c r="C542" s="65" t="s">
        <v>509</v>
      </c>
      <c r="D542" s="65" t="s">
        <v>468</v>
      </c>
      <c r="E542" s="65" t="s">
        <v>510</v>
      </c>
      <c r="F542" s="66"/>
      <c r="G542" s="65" t="s">
        <v>25</v>
      </c>
      <c r="H542" s="67"/>
      <c r="I542" s="61" t="str">
        <f>IF($G542="完了","",IF(SUMPRODUCT(($E542=$E$3:E563)*($D542=$D$3:D563)*($C542=$C$3:C563)*("完了"=$G$3:G563))=1,"完了",""))</f>
        <v/>
      </c>
    </row>
    <row r="543" spans="1:9" ht="125" x14ac:dyDescent="0.2">
      <c r="B543" s="64">
        <f t="shared" si="27"/>
        <v>6</v>
      </c>
      <c r="C543" s="65" t="s">
        <v>509</v>
      </c>
      <c r="D543" s="65" t="s">
        <v>468</v>
      </c>
      <c r="E543" s="67" t="s">
        <v>517</v>
      </c>
      <c r="F543" s="66"/>
      <c r="G543" s="65" t="s">
        <v>114</v>
      </c>
      <c r="H543" s="67" t="s">
        <v>516</v>
      </c>
      <c r="I543" s="61" t="str">
        <f>IF($G543="完了","",IF(SUMPRODUCT(($E543=$E$3:E564)*($D543=$D$3:D564)*($C543=$C$3:C564)*("完了"=$G$3:G564))=1,"完了",""))</f>
        <v/>
      </c>
    </row>
    <row r="544" spans="1:9" ht="50" x14ac:dyDescent="0.2">
      <c r="B544" s="64">
        <f t="shared" si="27"/>
        <v>7</v>
      </c>
      <c r="C544" s="65" t="s">
        <v>523</v>
      </c>
      <c r="D544" s="65" t="s">
        <v>468</v>
      </c>
      <c r="E544" s="65" t="s">
        <v>87</v>
      </c>
      <c r="F544" s="66"/>
      <c r="G544" s="65" t="s">
        <v>25</v>
      </c>
      <c r="H544" s="67" t="s">
        <v>559</v>
      </c>
      <c r="I544" s="61" t="str">
        <f>IF($G544="完了","",IF(SUMPRODUCT(($E544=$E$3:E565)*($D544=$D$3:D565)*($C544=$C$3:C565)*("完了"=$G$3:G565))=1,"完了",""))</f>
        <v/>
      </c>
    </row>
    <row r="545" spans="2:9" x14ac:dyDescent="0.2">
      <c r="B545" s="64">
        <f t="shared" si="27"/>
        <v>8</v>
      </c>
      <c r="C545" s="65" t="s">
        <v>526</v>
      </c>
      <c r="D545" s="65" t="s">
        <v>532</v>
      </c>
      <c r="E545" s="65" t="s">
        <v>600</v>
      </c>
      <c r="F545" s="66"/>
      <c r="G545" s="65" t="s">
        <v>25</v>
      </c>
      <c r="H545" s="67"/>
      <c r="I545" s="61" t="str">
        <f>IF($G545="完了","",IF(SUMPRODUCT(($E545=$E$3:E566)*($D545=$D$3:D566)*($C545=$C$3:C566)*("完了"=$G$3:G566))=1,"完了",""))</f>
        <v/>
      </c>
    </row>
    <row r="546" spans="2:9" x14ac:dyDescent="0.2">
      <c r="B546" s="64">
        <f t="shared" si="27"/>
        <v>9</v>
      </c>
      <c r="C546" s="65" t="s">
        <v>526</v>
      </c>
      <c r="D546" s="65" t="s">
        <v>532</v>
      </c>
      <c r="E546" s="65" t="s">
        <v>601</v>
      </c>
      <c r="F546" s="66"/>
      <c r="G546" s="65" t="s">
        <v>25</v>
      </c>
      <c r="H546" s="67"/>
      <c r="I546" s="61" t="str">
        <f>IF($G546="完了","",IF(SUMPRODUCT(($E546=$E$3:E567)*($D546=$D$3:D567)*($C546=$C$3:C567)*("完了"=$G$3:G567))=1,"完了",""))</f>
        <v/>
      </c>
    </row>
    <row r="547" spans="2:9" x14ac:dyDescent="0.2">
      <c r="B547" s="64">
        <f t="shared" si="27"/>
        <v>10</v>
      </c>
      <c r="C547" s="65" t="s">
        <v>526</v>
      </c>
      <c r="D547" s="65" t="s">
        <v>532</v>
      </c>
      <c r="E547" s="65" t="s">
        <v>602</v>
      </c>
      <c r="F547" s="66"/>
      <c r="G547" s="65" t="s">
        <v>25</v>
      </c>
      <c r="H547" s="67"/>
      <c r="I547" s="61" t="str">
        <f>IF($G547="完了","",IF(SUMPRODUCT(($E547=$E$3:E568)*($D547=$D$3:D568)*($C547=$C$3:C568)*("完了"=$G$3:G568))=1,"完了",""))</f>
        <v/>
      </c>
    </row>
    <row r="548" spans="2:9" x14ac:dyDescent="0.2">
      <c r="B548" s="64">
        <f t="shared" si="27"/>
        <v>11</v>
      </c>
      <c r="C548" s="65" t="s">
        <v>526</v>
      </c>
      <c r="D548" s="65" t="s">
        <v>532</v>
      </c>
      <c r="E548" s="65"/>
      <c r="F548" s="66"/>
      <c r="G548" s="65"/>
      <c r="H548" s="67"/>
      <c r="I548" s="61" t="str">
        <f>IF($G548="完了","",IF(SUMPRODUCT(($E548=$E$3:E569)*($D548=$D$3:D569)*($C548=$C$3:C569)*("完了"=$G$3:G569))=1,"完了",""))</f>
        <v/>
      </c>
    </row>
    <row r="549" spans="2:9" x14ac:dyDescent="0.2">
      <c r="B549" s="64">
        <f t="shared" si="27"/>
        <v>12</v>
      </c>
      <c r="C549" s="65" t="s">
        <v>526</v>
      </c>
      <c r="D549" s="65" t="s">
        <v>532</v>
      </c>
      <c r="E549" s="65"/>
      <c r="F549" s="66"/>
      <c r="G549" s="65"/>
      <c r="H549" s="67"/>
      <c r="I549" s="61" t="str">
        <f>IF($G549="完了","",IF(SUMPRODUCT(($E549=$E$3:E570)*($D549=$D$3:D570)*($C549=$C$3:C570)*("完了"=$G$3:G570))=1,"完了",""))</f>
        <v/>
      </c>
    </row>
    <row r="550" spans="2:9" x14ac:dyDescent="0.2">
      <c r="B550" s="64">
        <f t="shared" si="27"/>
        <v>13</v>
      </c>
      <c r="C550" s="65" t="s">
        <v>613</v>
      </c>
      <c r="D550" s="65" t="s">
        <v>236</v>
      </c>
      <c r="E550" s="65" t="s">
        <v>615</v>
      </c>
      <c r="F550" s="66"/>
      <c r="G550" s="65" t="s">
        <v>25</v>
      </c>
      <c r="H550" s="67"/>
      <c r="I550" s="61" t="str">
        <f>IF($G550="完了","",IF(SUMPRODUCT(($E550=$E$3:E571)*($D550=$D$3:D571)*($C550=$C$3:C571)*("完了"=$G$3:G571))=1,"完了",""))</f>
        <v/>
      </c>
    </row>
    <row r="551" spans="2:9" x14ac:dyDescent="0.2">
      <c r="B551" s="64">
        <f t="shared" si="27"/>
        <v>14</v>
      </c>
      <c r="C551" s="65" t="s">
        <v>545</v>
      </c>
      <c r="D551" s="65" t="s">
        <v>546</v>
      </c>
      <c r="E551" s="65" t="s">
        <v>548</v>
      </c>
      <c r="F551" s="66"/>
      <c r="G551" s="65" t="s">
        <v>25</v>
      </c>
      <c r="H551" s="67"/>
      <c r="I551" s="61" t="str">
        <f>IF($G551="完了","",IF(SUMPRODUCT(($E551=$E$3:E572)*($D551=$D$3:D572)*($C551=$C$3:C572)*("完了"=$G$3:G572))=1,"完了",""))</f>
        <v/>
      </c>
    </row>
    <row r="552" spans="2:9" x14ac:dyDescent="0.2">
      <c r="B552" s="64">
        <f t="shared" si="27"/>
        <v>15</v>
      </c>
      <c r="C552" s="65" t="s">
        <v>545</v>
      </c>
      <c r="D552" s="65" t="s">
        <v>546</v>
      </c>
      <c r="E552" s="65" t="s">
        <v>549</v>
      </c>
      <c r="F552" s="66"/>
      <c r="G552" s="65" t="s">
        <v>25</v>
      </c>
      <c r="H552" s="67"/>
      <c r="I552" s="61" t="str">
        <f>IF($G552="完了","",IF(SUMPRODUCT(($E552=$E$3:E573)*($D552=$D$3:D573)*($C552=$C$3:C573)*("完了"=$G$3:G573))=1,"完了",""))</f>
        <v/>
      </c>
    </row>
    <row r="553" spans="2:9" x14ac:dyDescent="0.2">
      <c r="B553" s="64">
        <f t="shared" si="27"/>
        <v>16</v>
      </c>
      <c r="C553" s="65" t="s">
        <v>582</v>
      </c>
      <c r="D553" s="65" t="s">
        <v>590</v>
      </c>
      <c r="E553" s="65" t="s">
        <v>591</v>
      </c>
      <c r="F553" s="66"/>
      <c r="G553" s="65" t="s">
        <v>25</v>
      </c>
      <c r="H553" s="67"/>
      <c r="I553" s="61" t="str">
        <f>IF($G553="完了","",IF(SUMPRODUCT(($E553=$E$3:E574)*($D553=$D$3:D574)*($C553=$C$3:C574)*("完了"=$G$3:G574))=1,"完了",""))</f>
        <v/>
      </c>
    </row>
    <row r="554" spans="2:9" x14ac:dyDescent="0.2">
      <c r="B554" s="64">
        <f t="shared" si="27"/>
        <v>17</v>
      </c>
      <c r="C554" s="65" t="s">
        <v>582</v>
      </c>
      <c r="D554" s="65" t="s">
        <v>590</v>
      </c>
      <c r="E554" s="65" t="s">
        <v>592</v>
      </c>
      <c r="F554" s="66"/>
      <c r="G554" s="65" t="s">
        <v>25</v>
      </c>
      <c r="H554" s="67"/>
      <c r="I554" s="61" t="str">
        <f>IF($G554="完了","",IF(SUMPRODUCT(($E554=$E$3:E575)*($D554=$D$3:D575)*($C554=$C$3:C575)*("完了"=$G$3:G575))=1,"完了",""))</f>
        <v/>
      </c>
    </row>
    <row r="555" spans="2:9" ht="137.5" x14ac:dyDescent="0.2">
      <c r="B555" s="64">
        <f t="shared" si="27"/>
        <v>18</v>
      </c>
      <c r="C555" s="65" t="s">
        <v>582</v>
      </c>
      <c r="D555" s="65" t="s">
        <v>590</v>
      </c>
      <c r="E555" s="65" t="s">
        <v>593</v>
      </c>
      <c r="F555" s="66"/>
      <c r="G555" s="65" t="s">
        <v>25</v>
      </c>
      <c r="H555" s="67" t="s">
        <v>609</v>
      </c>
      <c r="I555" s="61" t="str">
        <f>IF($G555="完了","",IF(SUMPRODUCT(($E555=$E$3:E576)*($D555=$D$3:D576)*($C555=$C$3:C576)*("完了"=$G$3:G576))=1,"完了",""))</f>
        <v/>
      </c>
    </row>
    <row r="556" spans="2:9" x14ac:dyDescent="0.2">
      <c r="B556" s="64">
        <f t="shared" si="27"/>
        <v>19</v>
      </c>
      <c r="C556" s="65" t="s">
        <v>582</v>
      </c>
      <c r="D556" s="65" t="s">
        <v>594</v>
      </c>
      <c r="E556" s="65" t="s">
        <v>12</v>
      </c>
      <c r="F556" s="66"/>
      <c r="G556" s="65" t="s">
        <v>25</v>
      </c>
      <c r="H556" s="67"/>
      <c r="I556" s="61" t="str">
        <f>IF($G556="完了","",IF(SUMPRODUCT(($E556=$E$3:E577)*($D556=$D$3:D577)*($C556=$C$3:C577)*("完了"=$G$3:G577))=1,"完了",""))</f>
        <v/>
      </c>
    </row>
    <row r="557" spans="2:9" x14ac:dyDescent="0.2">
      <c r="B557" s="64">
        <f t="shared" si="27"/>
        <v>20</v>
      </c>
      <c r="C557" s="65" t="s">
        <v>582</v>
      </c>
      <c r="D557" s="65" t="s">
        <v>595</v>
      </c>
      <c r="E557" s="65" t="s">
        <v>12</v>
      </c>
      <c r="F557" s="66"/>
      <c r="G557" s="65" t="s">
        <v>25</v>
      </c>
      <c r="H557" s="67"/>
      <c r="I557" s="61" t="str">
        <f>IF($G557="完了","",IF(SUMPRODUCT(($E557=$E$3:E578)*($D557=$D$3:D578)*($C557=$C$3:C578)*("完了"=$G$3:G578))=1,"完了",""))</f>
        <v/>
      </c>
    </row>
    <row r="558" spans="2:9" x14ac:dyDescent="0.2">
      <c r="B558" s="64">
        <f t="shared" si="27"/>
        <v>21</v>
      </c>
      <c r="C558" s="65" t="s">
        <v>582</v>
      </c>
      <c r="D558" s="65" t="s">
        <v>596</v>
      </c>
      <c r="E558" s="65" t="s">
        <v>597</v>
      </c>
      <c r="F558" s="66"/>
      <c r="G558" s="65" t="s">
        <v>25</v>
      </c>
      <c r="H558" s="67"/>
      <c r="I558" s="61" t="str">
        <f>IF($G558="完了","",IF(SUMPRODUCT(($E558=$E$3:E579)*($D558=$D$3:D579)*($C558=$C$3:C579)*("完了"=$G$3:G579))=1,"完了",""))</f>
        <v/>
      </c>
    </row>
    <row r="559" spans="2:9" x14ac:dyDescent="0.2">
      <c r="B559" s="64">
        <f t="shared" si="27"/>
        <v>22</v>
      </c>
      <c r="C559" s="65" t="s">
        <v>582</v>
      </c>
      <c r="D559" s="65" t="s">
        <v>596</v>
      </c>
      <c r="E559" s="65" t="s">
        <v>598</v>
      </c>
      <c r="F559" s="66"/>
      <c r="G559" s="65" t="s">
        <v>25</v>
      </c>
      <c r="H559" s="67"/>
      <c r="I559" s="61" t="str">
        <f>IF($G559="完了","",IF(SUMPRODUCT(($E559=$E$3:E580)*($D559=$D$3:D580)*($C559=$C$3:C580)*("完了"=$G$3:G580))=1,"完了",""))</f>
        <v/>
      </c>
    </row>
    <row r="560" spans="2:9" x14ac:dyDescent="0.2">
      <c r="B560" s="64">
        <f t="shared" si="27"/>
        <v>23</v>
      </c>
      <c r="C560" s="65" t="s">
        <v>582</v>
      </c>
      <c r="D560" s="65" t="s">
        <v>596</v>
      </c>
      <c r="E560" s="65" t="s">
        <v>599</v>
      </c>
      <c r="F560" s="66"/>
      <c r="G560" s="65" t="s">
        <v>25</v>
      </c>
      <c r="H560" s="67"/>
      <c r="I560" s="61" t="str">
        <f>IF($G560="完了","",IF(SUMPRODUCT(($E560=$E$3:E581)*($D560=$D$3:D581)*($C560=$C$3:C581)*("完了"=$G$3:G581))=1,"完了",""))</f>
        <v/>
      </c>
    </row>
    <row r="561" spans="1:9" x14ac:dyDescent="0.2">
      <c r="B561" s="71">
        <f t="shared" si="27"/>
        <v>24</v>
      </c>
      <c r="C561" s="68"/>
      <c r="D561" s="68"/>
      <c r="E561" s="68"/>
      <c r="F561" s="69"/>
      <c r="G561" s="68"/>
      <c r="H561" s="70"/>
      <c r="I561" s="61" t="str">
        <f>IF($G561="完了","",IF(SUMPRODUCT(($E561=$E$3:E582)*($D561=$D$3:D582)*($C561=$C$3:C582)*("完了"=$G$3:G582))=1,"完了",""))</f>
        <v>完了</v>
      </c>
    </row>
    <row r="564" spans="1:9" x14ac:dyDescent="0.2">
      <c r="A564" s="75">
        <v>43566</v>
      </c>
      <c r="B564" s="64" t="s">
        <v>17</v>
      </c>
      <c r="C564" s="65" t="s">
        <v>18</v>
      </c>
      <c r="D564" s="65" t="s">
        <v>448</v>
      </c>
      <c r="E564" s="65" t="s">
        <v>449</v>
      </c>
      <c r="F564" s="66" t="s">
        <v>27</v>
      </c>
      <c r="G564" s="65" t="s">
        <v>20</v>
      </c>
      <c r="H564" s="67" t="s">
        <v>15</v>
      </c>
      <c r="I564" s="60" t="s">
        <v>132</v>
      </c>
    </row>
    <row r="565" spans="1:9" x14ac:dyDescent="0.2">
      <c r="B565" s="64">
        <v>1</v>
      </c>
      <c r="C565" s="65" t="s">
        <v>274</v>
      </c>
      <c r="D565" s="65" t="s">
        <v>611</v>
      </c>
      <c r="E565" s="65" t="s">
        <v>612</v>
      </c>
      <c r="F565" s="66"/>
      <c r="G565" s="65" t="s">
        <v>24</v>
      </c>
      <c r="H565" s="67"/>
      <c r="I565" s="61" t="str">
        <f>IF($G565="完了","",IF(SUMPRODUCT(($E565=$E$3:E589)*($D565=$D$3:D589)*($C565=$C$3:C589)*("完了"=$G$3:G589))=1,"完了",""))</f>
        <v/>
      </c>
    </row>
    <row r="566" spans="1:9" ht="75" x14ac:dyDescent="0.2">
      <c r="B566" s="64">
        <f t="shared" ref="B566:B588" si="28">B565+1</f>
        <v>2</v>
      </c>
      <c r="C566" s="65" t="s">
        <v>421</v>
      </c>
      <c r="D566" s="65" t="s">
        <v>563</v>
      </c>
      <c r="E566" s="65" t="s">
        <v>560</v>
      </c>
      <c r="F566" s="66"/>
      <c r="G566" s="65" t="s">
        <v>114</v>
      </c>
      <c r="H566" s="67" t="s">
        <v>577</v>
      </c>
      <c r="I566" s="61" t="str">
        <f>IF($G566="完了","",IF(SUMPRODUCT(($E566=$E$3:E589)*($D566=$D$3:D589)*($C566=$C$3:C589)*("完了"=$G$3:G589))=1,"完了",""))</f>
        <v>完了</v>
      </c>
    </row>
    <row r="567" spans="1:9" ht="37.5" x14ac:dyDescent="0.2">
      <c r="B567" s="64">
        <f t="shared" si="28"/>
        <v>3</v>
      </c>
      <c r="C567" s="65" t="s">
        <v>421</v>
      </c>
      <c r="D567" s="65" t="s">
        <v>563</v>
      </c>
      <c r="E567" s="65" t="s">
        <v>607</v>
      </c>
      <c r="F567" s="66"/>
      <c r="G567" s="65" t="s">
        <v>25</v>
      </c>
      <c r="H567" s="67" t="s">
        <v>616</v>
      </c>
      <c r="I567" s="61" t="str">
        <f>IF($G567="完了","",IF(SUMPRODUCT(($E567=$E$3:E589)*($D567=$D$3:D589)*($C567=$C$3:C589)*("完了"=$G$3:G589))=1,"完了",""))</f>
        <v/>
      </c>
    </row>
    <row r="568" spans="1:9" x14ac:dyDescent="0.2">
      <c r="B568" s="64">
        <f t="shared" si="28"/>
        <v>4</v>
      </c>
      <c r="C568" s="65" t="s">
        <v>421</v>
      </c>
      <c r="D568" s="65" t="s">
        <v>563</v>
      </c>
      <c r="E568" s="65" t="s">
        <v>608</v>
      </c>
      <c r="F568" s="66"/>
      <c r="G568" s="65" t="s">
        <v>25</v>
      </c>
      <c r="H568" s="67"/>
      <c r="I568" s="61" t="str">
        <f>IF($G568="完了","",IF(SUMPRODUCT(($E568=$E$3:E589)*($D568=$D$3:D589)*($C568=$C$3:C589)*("完了"=$G$3:G589))=1,"完了",""))</f>
        <v/>
      </c>
    </row>
    <row r="569" spans="1:9" x14ac:dyDescent="0.2">
      <c r="B569" s="64">
        <f t="shared" si="28"/>
        <v>5</v>
      </c>
      <c r="C569" s="65" t="s">
        <v>509</v>
      </c>
      <c r="D569" s="65" t="s">
        <v>468</v>
      </c>
      <c r="E569" s="65" t="s">
        <v>510</v>
      </c>
      <c r="F569" s="66"/>
      <c r="G569" s="65" t="s">
        <v>25</v>
      </c>
      <c r="H569" s="67"/>
      <c r="I569" s="61" t="str">
        <f>IF($G569="完了","",IF(SUMPRODUCT(($E569=$E$3:E590)*($D569=$D$3:D590)*($C569=$C$3:C590)*("完了"=$G$3:G590))=1,"完了",""))</f>
        <v/>
      </c>
    </row>
    <row r="570" spans="1:9" ht="125" x14ac:dyDescent="0.2">
      <c r="B570" s="64">
        <f t="shared" si="28"/>
        <v>6</v>
      </c>
      <c r="C570" s="65" t="s">
        <v>509</v>
      </c>
      <c r="D570" s="65" t="s">
        <v>468</v>
      </c>
      <c r="E570" s="67" t="s">
        <v>517</v>
      </c>
      <c r="F570" s="66"/>
      <c r="G570" s="65" t="s">
        <v>114</v>
      </c>
      <c r="H570" s="67" t="s">
        <v>516</v>
      </c>
      <c r="I570" s="61" t="str">
        <f>IF($G570="完了","",IF(SUMPRODUCT(($E570=$E$3:E591)*($D570=$D$3:D591)*($C570=$C$3:C591)*("完了"=$G$3:G591))=1,"完了",""))</f>
        <v/>
      </c>
    </row>
    <row r="571" spans="1:9" ht="50" x14ac:dyDescent="0.2">
      <c r="B571" s="64">
        <f t="shared" si="28"/>
        <v>7</v>
      </c>
      <c r="C571" s="65" t="s">
        <v>523</v>
      </c>
      <c r="D571" s="65" t="s">
        <v>468</v>
      </c>
      <c r="E571" s="65" t="s">
        <v>87</v>
      </c>
      <c r="F571" s="66"/>
      <c r="G571" s="65" t="s">
        <v>25</v>
      </c>
      <c r="H571" s="67" t="s">
        <v>559</v>
      </c>
      <c r="I571" s="61" t="str">
        <f>IF($G571="完了","",IF(SUMPRODUCT(($E571=$E$3:E592)*($D571=$D$3:D592)*($C571=$C$3:C592)*("完了"=$G$3:G592))=1,"完了",""))</f>
        <v/>
      </c>
    </row>
    <row r="572" spans="1:9" x14ac:dyDescent="0.2">
      <c r="B572" s="64">
        <f t="shared" si="28"/>
        <v>8</v>
      </c>
      <c r="C572" s="65" t="s">
        <v>526</v>
      </c>
      <c r="D572" s="65" t="s">
        <v>532</v>
      </c>
      <c r="E572" s="65" t="s">
        <v>600</v>
      </c>
      <c r="F572" s="66"/>
      <c r="G572" s="65" t="s">
        <v>25</v>
      </c>
      <c r="H572" s="67"/>
      <c r="I572" s="61" t="str">
        <f>IF($G572="完了","",IF(SUMPRODUCT(($E572=$E$3:E593)*($D572=$D$3:D593)*($C572=$C$3:C593)*("完了"=$G$3:G593))=1,"完了",""))</f>
        <v/>
      </c>
    </row>
    <row r="573" spans="1:9" x14ac:dyDescent="0.2">
      <c r="B573" s="64">
        <f t="shared" si="28"/>
        <v>9</v>
      </c>
      <c r="C573" s="65" t="s">
        <v>526</v>
      </c>
      <c r="D573" s="65" t="s">
        <v>532</v>
      </c>
      <c r="E573" s="65" t="s">
        <v>601</v>
      </c>
      <c r="F573" s="66"/>
      <c r="G573" s="65" t="s">
        <v>25</v>
      </c>
      <c r="H573" s="67"/>
      <c r="I573" s="61" t="str">
        <f>IF($G573="完了","",IF(SUMPRODUCT(($E573=$E$3:E594)*($D573=$D$3:D594)*($C573=$C$3:C594)*("完了"=$G$3:G594))=1,"完了",""))</f>
        <v/>
      </c>
    </row>
    <row r="574" spans="1:9" x14ac:dyDescent="0.2">
      <c r="B574" s="64">
        <f t="shared" si="28"/>
        <v>10</v>
      </c>
      <c r="C574" s="65" t="s">
        <v>526</v>
      </c>
      <c r="D574" s="65" t="s">
        <v>532</v>
      </c>
      <c r="E574" s="65" t="s">
        <v>602</v>
      </c>
      <c r="F574" s="66"/>
      <c r="G574" s="65" t="s">
        <v>25</v>
      </c>
      <c r="H574" s="67"/>
      <c r="I574" s="61" t="str">
        <f>IF($G574="完了","",IF(SUMPRODUCT(($E574=$E$3:E595)*($D574=$D$3:D595)*($C574=$C$3:C595)*("完了"=$G$3:G595))=1,"完了",""))</f>
        <v/>
      </c>
    </row>
    <row r="575" spans="1:9" x14ac:dyDescent="0.2">
      <c r="B575" s="64">
        <f t="shared" si="28"/>
        <v>11</v>
      </c>
      <c r="C575" s="65" t="s">
        <v>526</v>
      </c>
      <c r="D575" s="65" t="s">
        <v>532</v>
      </c>
      <c r="E575" s="65"/>
      <c r="F575" s="66"/>
      <c r="G575" s="65"/>
      <c r="H575" s="67"/>
      <c r="I575" s="61" t="str">
        <f>IF($G575="完了","",IF(SUMPRODUCT(($E575=$E$3:E596)*($D575=$D$3:D596)*($C575=$C$3:C596)*("完了"=$G$3:G596))=1,"完了",""))</f>
        <v/>
      </c>
    </row>
    <row r="576" spans="1:9" x14ac:dyDescent="0.2">
      <c r="B576" s="64">
        <f t="shared" si="28"/>
        <v>12</v>
      </c>
      <c r="C576" s="65" t="s">
        <v>526</v>
      </c>
      <c r="D576" s="65" t="s">
        <v>532</v>
      </c>
      <c r="E576" s="65"/>
      <c r="F576" s="66"/>
      <c r="G576" s="65"/>
      <c r="H576" s="67"/>
      <c r="I576" s="61" t="str">
        <f>IF($G576="完了","",IF(SUMPRODUCT(($E576=$E$3:E597)*($D576=$D$3:D597)*($C576=$C$3:C597)*("完了"=$G$3:G597))=1,"完了",""))</f>
        <v/>
      </c>
    </row>
    <row r="577" spans="1:9" x14ac:dyDescent="0.2">
      <c r="B577" s="64">
        <f t="shared" si="28"/>
        <v>13</v>
      </c>
      <c r="C577" s="65" t="s">
        <v>613</v>
      </c>
      <c r="D577" s="65" t="s">
        <v>236</v>
      </c>
      <c r="E577" s="65" t="s">
        <v>615</v>
      </c>
      <c r="F577" s="66"/>
      <c r="G577" s="65" t="s">
        <v>25</v>
      </c>
      <c r="H577" s="67"/>
      <c r="I577" s="61" t="str">
        <f>IF($G577="完了","",IF(SUMPRODUCT(($E577=$E$3:E598)*($D577=$D$3:D598)*($C577=$C$3:C598)*("完了"=$G$3:G598))=1,"完了",""))</f>
        <v/>
      </c>
    </row>
    <row r="578" spans="1:9" x14ac:dyDescent="0.2">
      <c r="B578" s="64">
        <f t="shared" si="28"/>
        <v>14</v>
      </c>
      <c r="C578" s="65" t="s">
        <v>545</v>
      </c>
      <c r="D578" s="65" t="s">
        <v>546</v>
      </c>
      <c r="E578" s="65" t="s">
        <v>548</v>
      </c>
      <c r="F578" s="66"/>
      <c r="G578" s="65" t="s">
        <v>25</v>
      </c>
      <c r="H578" s="67"/>
      <c r="I578" s="61" t="str">
        <f>IF($G578="完了","",IF(SUMPRODUCT(($E578=$E$3:E599)*($D578=$D$3:D599)*($C578=$C$3:C599)*("完了"=$G$3:G599))=1,"完了",""))</f>
        <v/>
      </c>
    </row>
    <row r="579" spans="1:9" x14ac:dyDescent="0.2">
      <c r="B579" s="64">
        <f t="shared" si="28"/>
        <v>15</v>
      </c>
      <c r="C579" s="65" t="s">
        <v>545</v>
      </c>
      <c r="D579" s="65" t="s">
        <v>546</v>
      </c>
      <c r="E579" s="65" t="s">
        <v>549</v>
      </c>
      <c r="F579" s="66"/>
      <c r="G579" s="65" t="s">
        <v>25</v>
      </c>
      <c r="H579" s="67"/>
      <c r="I579" s="61" t="str">
        <f>IF($G579="完了","",IF(SUMPRODUCT(($E579=$E$3:E600)*($D579=$D$3:D600)*($C579=$C$3:C600)*("完了"=$G$3:G600))=1,"完了",""))</f>
        <v/>
      </c>
    </row>
    <row r="580" spans="1:9" x14ac:dyDescent="0.2">
      <c r="B580" s="64">
        <f t="shared" si="28"/>
        <v>16</v>
      </c>
      <c r="C580" s="65" t="s">
        <v>582</v>
      </c>
      <c r="D580" s="65" t="s">
        <v>590</v>
      </c>
      <c r="E580" s="65" t="s">
        <v>591</v>
      </c>
      <c r="F580" s="66"/>
      <c r="G580" s="65" t="s">
        <v>25</v>
      </c>
      <c r="H580" s="67"/>
      <c r="I580" s="61" t="str">
        <f>IF($G580="完了","",IF(SUMPRODUCT(($E580=$E$3:E601)*($D580=$D$3:D601)*($C580=$C$3:C601)*("完了"=$G$3:G601))=1,"完了",""))</f>
        <v/>
      </c>
    </row>
    <row r="581" spans="1:9" x14ac:dyDescent="0.2">
      <c r="B581" s="64">
        <f t="shared" si="28"/>
        <v>17</v>
      </c>
      <c r="C581" s="65" t="s">
        <v>582</v>
      </c>
      <c r="D581" s="65" t="s">
        <v>590</v>
      </c>
      <c r="E581" s="65" t="s">
        <v>592</v>
      </c>
      <c r="F581" s="66"/>
      <c r="G581" s="65" t="s">
        <v>25</v>
      </c>
      <c r="H581" s="67"/>
      <c r="I581" s="61" t="str">
        <f>IF($G581="完了","",IF(SUMPRODUCT(($E581=$E$3:E602)*($D581=$D$3:D602)*($C581=$C$3:C602)*("完了"=$G$3:G602))=1,"完了",""))</f>
        <v/>
      </c>
    </row>
    <row r="582" spans="1:9" ht="137.5" x14ac:dyDescent="0.2">
      <c r="B582" s="64">
        <f t="shared" si="28"/>
        <v>18</v>
      </c>
      <c r="C582" s="65" t="s">
        <v>582</v>
      </c>
      <c r="D582" s="65" t="s">
        <v>590</v>
      </c>
      <c r="E582" s="65" t="s">
        <v>593</v>
      </c>
      <c r="F582" s="66"/>
      <c r="G582" s="65" t="s">
        <v>25</v>
      </c>
      <c r="H582" s="67" t="s">
        <v>609</v>
      </c>
      <c r="I582" s="61" t="str">
        <f>IF($G582="完了","",IF(SUMPRODUCT(($E582=$E$3:E603)*($D582=$D$3:D603)*($C582=$C$3:C603)*("完了"=$G$3:G603))=1,"完了",""))</f>
        <v/>
      </c>
    </row>
    <row r="583" spans="1:9" x14ac:dyDescent="0.2">
      <c r="B583" s="64">
        <f t="shared" si="28"/>
        <v>19</v>
      </c>
      <c r="C583" s="65" t="s">
        <v>582</v>
      </c>
      <c r="D583" s="65" t="s">
        <v>594</v>
      </c>
      <c r="E583" s="65" t="s">
        <v>12</v>
      </c>
      <c r="F583" s="66"/>
      <c r="G583" s="65" t="s">
        <v>25</v>
      </c>
      <c r="H583" s="67"/>
      <c r="I583" s="61" t="str">
        <f>IF($G583="完了","",IF(SUMPRODUCT(($E583=$E$3:E604)*($D583=$D$3:D604)*($C583=$C$3:C604)*("完了"=$G$3:G604))=1,"完了",""))</f>
        <v/>
      </c>
    </row>
    <row r="584" spans="1:9" x14ac:dyDescent="0.2">
      <c r="B584" s="64">
        <f t="shared" si="28"/>
        <v>20</v>
      </c>
      <c r="C584" s="65" t="s">
        <v>582</v>
      </c>
      <c r="D584" s="65" t="s">
        <v>595</v>
      </c>
      <c r="E584" s="65" t="s">
        <v>12</v>
      </c>
      <c r="F584" s="66"/>
      <c r="G584" s="65" t="s">
        <v>25</v>
      </c>
      <c r="H584" s="67"/>
      <c r="I584" s="61" t="str">
        <f>IF($G584="完了","",IF(SUMPRODUCT(($E584=$E$3:E605)*($D584=$D$3:D605)*($C584=$C$3:C605)*("完了"=$G$3:G605))=1,"完了",""))</f>
        <v/>
      </c>
    </row>
    <row r="585" spans="1:9" x14ac:dyDescent="0.2">
      <c r="B585" s="64">
        <f t="shared" si="28"/>
        <v>21</v>
      </c>
      <c r="C585" s="65" t="s">
        <v>582</v>
      </c>
      <c r="D585" s="65" t="s">
        <v>596</v>
      </c>
      <c r="E585" s="65" t="s">
        <v>597</v>
      </c>
      <c r="F585" s="66"/>
      <c r="G585" s="65" t="s">
        <v>25</v>
      </c>
      <c r="H585" s="67"/>
      <c r="I585" s="61" t="str">
        <f>IF($G585="完了","",IF(SUMPRODUCT(($E585=$E$3:E606)*($D585=$D$3:D606)*($C585=$C$3:C606)*("完了"=$G$3:G606))=1,"完了",""))</f>
        <v/>
      </c>
    </row>
    <row r="586" spans="1:9" x14ac:dyDescent="0.2">
      <c r="B586" s="64">
        <f t="shared" si="28"/>
        <v>22</v>
      </c>
      <c r="C586" s="65" t="s">
        <v>582</v>
      </c>
      <c r="D586" s="65" t="s">
        <v>596</v>
      </c>
      <c r="E586" s="65" t="s">
        <v>598</v>
      </c>
      <c r="F586" s="66"/>
      <c r="G586" s="65" t="s">
        <v>25</v>
      </c>
      <c r="H586" s="67"/>
      <c r="I586" s="61" t="str">
        <f>IF($G586="完了","",IF(SUMPRODUCT(($E586=$E$3:E607)*($D586=$D$3:D607)*($C586=$C$3:C607)*("完了"=$G$3:G607))=1,"完了",""))</f>
        <v/>
      </c>
    </row>
    <row r="587" spans="1:9" x14ac:dyDescent="0.2">
      <c r="B587" s="64">
        <f t="shared" si="28"/>
        <v>23</v>
      </c>
      <c r="C587" s="65" t="s">
        <v>582</v>
      </c>
      <c r="D587" s="65" t="s">
        <v>596</v>
      </c>
      <c r="E587" s="65" t="s">
        <v>599</v>
      </c>
      <c r="F587" s="66"/>
      <c r="G587" s="65" t="s">
        <v>25</v>
      </c>
      <c r="H587" s="67"/>
      <c r="I587" s="61" t="str">
        <f>IF($G587="完了","",IF(SUMPRODUCT(($E587=$E$3:E608)*($D587=$D$3:D608)*($C587=$C$3:C608)*("完了"=$G$3:G608))=1,"完了",""))</f>
        <v/>
      </c>
    </row>
    <row r="588" spans="1:9" x14ac:dyDescent="0.2">
      <c r="B588" s="71">
        <f t="shared" si="28"/>
        <v>24</v>
      </c>
      <c r="C588" s="68"/>
      <c r="D588" s="68"/>
      <c r="E588" s="68"/>
      <c r="F588" s="69"/>
      <c r="G588" s="68"/>
      <c r="H588" s="70"/>
      <c r="I588" s="61" t="str">
        <f>IF($G588="完了","",IF(SUMPRODUCT(($E588=$E$3:E609)*($D588=$D$3:D609)*($C588=$C$3:C609)*("完了"=$G$3:G609))=1,"完了",""))</f>
        <v>完了</v>
      </c>
    </row>
    <row r="590" spans="1:9" x14ac:dyDescent="0.2">
      <c r="A590" s="75">
        <v>43566</v>
      </c>
      <c r="B590" s="64" t="s">
        <v>17</v>
      </c>
      <c r="C590" s="65" t="s">
        <v>18</v>
      </c>
      <c r="D590" s="65" t="s">
        <v>448</v>
      </c>
      <c r="E590" s="65" t="s">
        <v>449</v>
      </c>
      <c r="F590" s="66" t="s">
        <v>27</v>
      </c>
      <c r="G590" s="65" t="s">
        <v>20</v>
      </c>
      <c r="H590" s="67" t="s">
        <v>15</v>
      </c>
      <c r="I590" s="60" t="s">
        <v>132</v>
      </c>
    </row>
    <row r="591" spans="1:9" x14ac:dyDescent="0.2">
      <c r="B591" s="64">
        <v>1</v>
      </c>
      <c r="C591" s="65" t="s">
        <v>274</v>
      </c>
      <c r="D591" s="65" t="s">
        <v>611</v>
      </c>
      <c r="E591" s="65" t="s">
        <v>612</v>
      </c>
      <c r="F591" s="66"/>
      <c r="G591" s="65" t="s">
        <v>24</v>
      </c>
      <c r="H591" s="67"/>
      <c r="I591" s="61" t="str">
        <f>IF($G591="完了","",IF(SUMPRODUCT(($E591=$E$3:E615)*($D591=$D$3:D615)*($C591=$C$3:C615)*("完了"=$G$3:G615))=1,"完了",""))</f>
        <v/>
      </c>
    </row>
    <row r="592" spans="1:9" ht="75" x14ac:dyDescent="0.2">
      <c r="B592" s="64">
        <f t="shared" ref="B592:B614" si="29">B591+1</f>
        <v>2</v>
      </c>
      <c r="C592" s="65" t="s">
        <v>421</v>
      </c>
      <c r="D592" s="65" t="s">
        <v>563</v>
      </c>
      <c r="E592" s="65" t="s">
        <v>560</v>
      </c>
      <c r="F592" s="66"/>
      <c r="G592" s="65" t="s">
        <v>114</v>
      </c>
      <c r="H592" s="67" t="s">
        <v>577</v>
      </c>
      <c r="I592" s="61" t="str">
        <f>IF($G592="完了","",IF(SUMPRODUCT(($E592=$E$3:E615)*($D592=$D$3:D615)*($C592=$C$3:C615)*("完了"=$G$3:G615))=1,"完了",""))</f>
        <v>完了</v>
      </c>
    </row>
    <row r="593" spans="2:9" ht="37.5" x14ac:dyDescent="0.2">
      <c r="B593" s="64">
        <f t="shared" si="29"/>
        <v>3</v>
      </c>
      <c r="C593" s="65" t="s">
        <v>421</v>
      </c>
      <c r="D593" s="65" t="s">
        <v>563</v>
      </c>
      <c r="E593" s="65" t="s">
        <v>607</v>
      </c>
      <c r="F593" s="66"/>
      <c r="G593" s="65" t="s">
        <v>25</v>
      </c>
      <c r="H593" s="67" t="s">
        <v>616</v>
      </c>
      <c r="I593" s="61" t="str">
        <f>IF($G593="完了","",IF(SUMPRODUCT(($E593=$E$3:E615)*($D593=$D$3:D615)*($C593=$C$3:C615)*("完了"=$G$3:G615))=1,"完了",""))</f>
        <v/>
      </c>
    </row>
    <row r="594" spans="2:9" x14ac:dyDescent="0.2">
      <c r="B594" s="64">
        <f t="shared" si="29"/>
        <v>4</v>
      </c>
      <c r="C594" s="65" t="s">
        <v>421</v>
      </c>
      <c r="D594" s="65" t="s">
        <v>563</v>
      </c>
      <c r="E594" s="65" t="s">
        <v>608</v>
      </c>
      <c r="F594" s="66"/>
      <c r="G594" s="65" t="s">
        <v>25</v>
      </c>
      <c r="H594" s="67"/>
      <c r="I594" s="61" t="str">
        <f>IF($G594="完了","",IF(SUMPRODUCT(($E594=$E$3:E615)*($D594=$D$3:D615)*($C594=$C$3:C615)*("完了"=$G$3:G615))=1,"完了",""))</f>
        <v/>
      </c>
    </row>
    <row r="595" spans="2:9" x14ac:dyDescent="0.2">
      <c r="B595" s="64">
        <f t="shared" si="29"/>
        <v>5</v>
      </c>
      <c r="C595" s="65" t="s">
        <v>509</v>
      </c>
      <c r="D595" s="65" t="s">
        <v>468</v>
      </c>
      <c r="E595" s="65" t="s">
        <v>510</v>
      </c>
      <c r="F595" s="66"/>
      <c r="G595" s="65" t="s">
        <v>25</v>
      </c>
      <c r="H595" s="67"/>
      <c r="I595" s="61" t="str">
        <f>IF($G595="完了","",IF(SUMPRODUCT(($E595=$E$3:E616)*($D595=$D$3:D616)*($C595=$C$3:C616)*("完了"=$G$3:G616))=1,"完了",""))</f>
        <v/>
      </c>
    </row>
    <row r="596" spans="2:9" ht="125" x14ac:dyDescent="0.2">
      <c r="B596" s="64">
        <f t="shared" si="29"/>
        <v>6</v>
      </c>
      <c r="C596" s="65" t="s">
        <v>509</v>
      </c>
      <c r="D596" s="65" t="s">
        <v>468</v>
      </c>
      <c r="E596" s="67" t="s">
        <v>517</v>
      </c>
      <c r="F596" s="66"/>
      <c r="G596" s="65" t="s">
        <v>114</v>
      </c>
      <c r="H596" s="67" t="s">
        <v>516</v>
      </c>
      <c r="I596" s="61" t="str">
        <f>IF($G596="完了","",IF(SUMPRODUCT(($E596=$E$3:E617)*($D596=$D$3:D617)*($C596=$C$3:C617)*("完了"=$G$3:G617))=1,"完了",""))</f>
        <v/>
      </c>
    </row>
    <row r="597" spans="2:9" ht="50" x14ac:dyDescent="0.2">
      <c r="B597" s="64">
        <f t="shared" si="29"/>
        <v>7</v>
      </c>
      <c r="C597" s="65" t="s">
        <v>523</v>
      </c>
      <c r="D597" s="65" t="s">
        <v>468</v>
      </c>
      <c r="E597" s="65" t="s">
        <v>87</v>
      </c>
      <c r="F597" s="66"/>
      <c r="G597" s="65" t="s">
        <v>25</v>
      </c>
      <c r="H597" s="67" t="s">
        <v>559</v>
      </c>
      <c r="I597" s="61" t="str">
        <f>IF($G597="完了","",IF(SUMPRODUCT(($E597=$E$3:E618)*($D597=$D$3:D618)*($C597=$C$3:C618)*("完了"=$G$3:G618))=1,"完了",""))</f>
        <v/>
      </c>
    </row>
    <row r="598" spans="2:9" x14ac:dyDescent="0.2">
      <c r="B598" s="64">
        <f t="shared" si="29"/>
        <v>8</v>
      </c>
      <c r="C598" s="65" t="s">
        <v>526</v>
      </c>
      <c r="D598" s="65" t="s">
        <v>532</v>
      </c>
      <c r="E598" s="65" t="s">
        <v>600</v>
      </c>
      <c r="F598" s="66"/>
      <c r="G598" s="65" t="s">
        <v>25</v>
      </c>
      <c r="H598" s="67"/>
      <c r="I598" s="61" t="str">
        <f>IF($G598="完了","",IF(SUMPRODUCT(($E598=$E$3:E619)*($D598=$D$3:D619)*($C598=$C$3:C619)*("完了"=$G$3:G619))=1,"完了",""))</f>
        <v/>
      </c>
    </row>
    <row r="599" spans="2:9" x14ac:dyDescent="0.2">
      <c r="B599" s="64">
        <f t="shared" si="29"/>
        <v>9</v>
      </c>
      <c r="C599" s="65" t="s">
        <v>526</v>
      </c>
      <c r="D599" s="65" t="s">
        <v>532</v>
      </c>
      <c r="E599" s="65" t="s">
        <v>601</v>
      </c>
      <c r="F599" s="66"/>
      <c r="G599" s="65" t="s">
        <v>25</v>
      </c>
      <c r="H599" s="67"/>
      <c r="I599" s="61" t="str">
        <f>IF($G599="完了","",IF(SUMPRODUCT(($E599=$E$3:E620)*($D599=$D$3:D620)*($C599=$C$3:C620)*("完了"=$G$3:G620))=1,"完了",""))</f>
        <v/>
      </c>
    </row>
    <row r="600" spans="2:9" x14ac:dyDescent="0.2">
      <c r="B600" s="64">
        <f t="shared" si="29"/>
        <v>10</v>
      </c>
      <c r="C600" s="65" t="s">
        <v>526</v>
      </c>
      <c r="D600" s="65" t="s">
        <v>532</v>
      </c>
      <c r="E600" s="65" t="s">
        <v>602</v>
      </c>
      <c r="F600" s="66"/>
      <c r="G600" s="65" t="s">
        <v>25</v>
      </c>
      <c r="H600" s="67"/>
      <c r="I600" s="61" t="str">
        <f>IF($G600="完了","",IF(SUMPRODUCT(($E600=$E$3:E621)*($D600=$D$3:D621)*($C600=$C$3:C621)*("完了"=$G$3:G621))=1,"完了",""))</f>
        <v/>
      </c>
    </row>
    <row r="601" spans="2:9" x14ac:dyDescent="0.2">
      <c r="B601" s="64">
        <f t="shared" si="29"/>
        <v>11</v>
      </c>
      <c r="C601" s="65" t="s">
        <v>526</v>
      </c>
      <c r="D601" s="65" t="s">
        <v>532</v>
      </c>
      <c r="E601" s="65"/>
      <c r="F601" s="66"/>
      <c r="G601" s="65"/>
      <c r="H601" s="67"/>
      <c r="I601" s="61" t="str">
        <f>IF($G601="完了","",IF(SUMPRODUCT(($E601=$E$3:E622)*($D601=$D$3:D622)*($C601=$C$3:C622)*("完了"=$G$3:G622))=1,"完了",""))</f>
        <v/>
      </c>
    </row>
    <row r="602" spans="2:9" x14ac:dyDescent="0.2">
      <c r="B602" s="64">
        <f t="shared" si="29"/>
        <v>12</v>
      </c>
      <c r="C602" s="65" t="s">
        <v>526</v>
      </c>
      <c r="D602" s="65" t="s">
        <v>532</v>
      </c>
      <c r="E602" s="65"/>
      <c r="F602" s="66"/>
      <c r="G602" s="65"/>
      <c r="H602" s="67"/>
      <c r="I602" s="61" t="str">
        <f>IF($G602="完了","",IF(SUMPRODUCT(($E602=$E$3:E623)*($D602=$D$3:D623)*($C602=$C$3:C623)*("完了"=$G$3:G623))=1,"完了",""))</f>
        <v/>
      </c>
    </row>
    <row r="603" spans="2:9" x14ac:dyDescent="0.2">
      <c r="B603" s="64">
        <f t="shared" si="29"/>
        <v>13</v>
      </c>
      <c r="C603" s="65" t="s">
        <v>613</v>
      </c>
      <c r="D603" s="65" t="s">
        <v>236</v>
      </c>
      <c r="E603" s="65" t="s">
        <v>615</v>
      </c>
      <c r="F603" s="66"/>
      <c r="G603" s="65" t="s">
        <v>25</v>
      </c>
      <c r="H603" s="67"/>
      <c r="I603" s="61" t="str">
        <f>IF($G603="完了","",IF(SUMPRODUCT(($E603=$E$3:E624)*($D603=$D$3:D624)*($C603=$C$3:C624)*("完了"=$G$3:G624))=1,"完了",""))</f>
        <v/>
      </c>
    </row>
    <row r="604" spans="2:9" x14ac:dyDescent="0.2">
      <c r="B604" s="64">
        <f t="shared" si="29"/>
        <v>14</v>
      </c>
      <c r="C604" s="65" t="s">
        <v>545</v>
      </c>
      <c r="D604" s="65" t="s">
        <v>546</v>
      </c>
      <c r="E604" s="65" t="s">
        <v>548</v>
      </c>
      <c r="F604" s="66"/>
      <c r="G604" s="65" t="s">
        <v>25</v>
      </c>
      <c r="H604" s="67"/>
      <c r="I604" s="61" t="str">
        <f>IF($G604="完了","",IF(SUMPRODUCT(($E604=$E$3:E625)*($D604=$D$3:D625)*($C604=$C$3:C625)*("完了"=$G$3:G625))=1,"完了",""))</f>
        <v/>
      </c>
    </row>
    <row r="605" spans="2:9" x14ac:dyDescent="0.2">
      <c r="B605" s="64">
        <f t="shared" si="29"/>
        <v>15</v>
      </c>
      <c r="C605" s="65" t="s">
        <v>545</v>
      </c>
      <c r="D605" s="65" t="s">
        <v>546</v>
      </c>
      <c r="E605" s="65" t="s">
        <v>549</v>
      </c>
      <c r="F605" s="66"/>
      <c r="G605" s="65" t="s">
        <v>25</v>
      </c>
      <c r="H605" s="67"/>
      <c r="I605" s="61" t="str">
        <f>IF($G605="完了","",IF(SUMPRODUCT(($E605=$E$3:E626)*($D605=$D$3:D626)*($C605=$C$3:C626)*("完了"=$G$3:G626))=1,"完了",""))</f>
        <v/>
      </c>
    </row>
    <row r="606" spans="2:9" x14ac:dyDescent="0.2">
      <c r="B606" s="64">
        <f t="shared" si="29"/>
        <v>16</v>
      </c>
      <c r="C606" s="65" t="s">
        <v>582</v>
      </c>
      <c r="D606" s="65" t="s">
        <v>590</v>
      </c>
      <c r="E606" s="65" t="s">
        <v>591</v>
      </c>
      <c r="F606" s="66"/>
      <c r="G606" s="65" t="s">
        <v>25</v>
      </c>
      <c r="H606" s="67"/>
      <c r="I606" s="61" t="str">
        <f>IF($G606="完了","",IF(SUMPRODUCT(($E606=$E$3:E627)*($D606=$D$3:D627)*($C606=$C$3:C627)*("完了"=$G$3:G627))=1,"完了",""))</f>
        <v/>
      </c>
    </row>
    <row r="607" spans="2:9" x14ac:dyDescent="0.2">
      <c r="B607" s="64">
        <f t="shared" si="29"/>
        <v>17</v>
      </c>
      <c r="C607" s="65" t="s">
        <v>582</v>
      </c>
      <c r="D607" s="65" t="s">
        <v>590</v>
      </c>
      <c r="E607" s="65" t="s">
        <v>592</v>
      </c>
      <c r="F607" s="66"/>
      <c r="G607" s="65" t="s">
        <v>25</v>
      </c>
      <c r="H607" s="67"/>
      <c r="I607" s="61" t="str">
        <f>IF($G607="完了","",IF(SUMPRODUCT(($E607=$E$3:E628)*($D607=$D$3:D628)*($C607=$C$3:C628)*("完了"=$G$3:G628))=1,"完了",""))</f>
        <v/>
      </c>
    </row>
    <row r="608" spans="2:9" ht="137.5" x14ac:dyDescent="0.2">
      <c r="B608" s="64">
        <f t="shared" si="29"/>
        <v>18</v>
      </c>
      <c r="C608" s="65" t="s">
        <v>582</v>
      </c>
      <c r="D608" s="65" t="s">
        <v>590</v>
      </c>
      <c r="E608" s="65" t="s">
        <v>593</v>
      </c>
      <c r="F608" s="66"/>
      <c r="G608" s="65" t="s">
        <v>25</v>
      </c>
      <c r="H608" s="67" t="s">
        <v>609</v>
      </c>
      <c r="I608" s="61" t="str">
        <f>IF($G608="完了","",IF(SUMPRODUCT(($E608=$E$3:E629)*($D608=$D$3:D629)*($C608=$C$3:C629)*("完了"=$G$3:G629))=1,"完了",""))</f>
        <v/>
      </c>
    </row>
    <row r="609" spans="1:9" x14ac:dyDescent="0.2">
      <c r="B609" s="64">
        <f t="shared" si="29"/>
        <v>19</v>
      </c>
      <c r="C609" s="65" t="s">
        <v>582</v>
      </c>
      <c r="D609" s="65" t="s">
        <v>594</v>
      </c>
      <c r="E609" s="65" t="s">
        <v>12</v>
      </c>
      <c r="F609" s="66"/>
      <c r="G609" s="65" t="s">
        <v>25</v>
      </c>
      <c r="H609" s="67"/>
      <c r="I609" s="61" t="str">
        <f>IF($G609="完了","",IF(SUMPRODUCT(($E609=$E$3:E630)*($D609=$D$3:D630)*($C609=$C$3:C630)*("完了"=$G$3:G630))=1,"完了",""))</f>
        <v/>
      </c>
    </row>
    <row r="610" spans="1:9" x14ac:dyDescent="0.2">
      <c r="B610" s="64">
        <f t="shared" si="29"/>
        <v>20</v>
      </c>
      <c r="C610" s="65" t="s">
        <v>582</v>
      </c>
      <c r="D610" s="65" t="s">
        <v>595</v>
      </c>
      <c r="E610" s="65" t="s">
        <v>12</v>
      </c>
      <c r="F610" s="66"/>
      <c r="G610" s="65" t="s">
        <v>25</v>
      </c>
      <c r="H610" s="67"/>
      <c r="I610" s="61" t="str">
        <f>IF($G610="完了","",IF(SUMPRODUCT(($E610=$E$3:E631)*($D610=$D$3:D631)*($C610=$C$3:C631)*("完了"=$G$3:G631))=1,"完了",""))</f>
        <v/>
      </c>
    </row>
    <row r="611" spans="1:9" x14ac:dyDescent="0.2">
      <c r="B611" s="64">
        <f t="shared" si="29"/>
        <v>21</v>
      </c>
      <c r="C611" s="65" t="s">
        <v>582</v>
      </c>
      <c r="D611" s="65" t="s">
        <v>596</v>
      </c>
      <c r="E611" s="65" t="s">
        <v>597</v>
      </c>
      <c r="F611" s="66"/>
      <c r="G611" s="65" t="s">
        <v>25</v>
      </c>
      <c r="H611" s="67"/>
      <c r="I611" s="61" t="str">
        <f>IF($G611="完了","",IF(SUMPRODUCT(($E611=$E$3:E632)*($D611=$D$3:D632)*($C611=$C$3:C632)*("完了"=$G$3:G632))=1,"完了",""))</f>
        <v/>
      </c>
    </row>
    <row r="612" spans="1:9" x14ac:dyDescent="0.2">
      <c r="B612" s="64">
        <f t="shared" si="29"/>
        <v>22</v>
      </c>
      <c r="C612" s="65" t="s">
        <v>582</v>
      </c>
      <c r="D612" s="65" t="s">
        <v>596</v>
      </c>
      <c r="E612" s="65" t="s">
        <v>598</v>
      </c>
      <c r="F612" s="66"/>
      <c r="G612" s="65" t="s">
        <v>25</v>
      </c>
      <c r="H612" s="67"/>
      <c r="I612" s="61" t="str">
        <f>IF($G612="完了","",IF(SUMPRODUCT(($E612=$E$3:E633)*($D612=$D$3:D633)*($C612=$C$3:C633)*("完了"=$G$3:G633))=1,"完了",""))</f>
        <v/>
      </c>
    </row>
    <row r="613" spans="1:9" x14ac:dyDescent="0.2">
      <c r="B613" s="64">
        <f t="shared" si="29"/>
        <v>23</v>
      </c>
      <c r="C613" s="65" t="s">
        <v>582</v>
      </c>
      <c r="D613" s="65" t="s">
        <v>596</v>
      </c>
      <c r="E613" s="65" t="s">
        <v>599</v>
      </c>
      <c r="F613" s="66"/>
      <c r="G613" s="65" t="s">
        <v>25</v>
      </c>
      <c r="H613" s="67"/>
      <c r="I613" s="61" t="str">
        <f>IF($G613="完了","",IF(SUMPRODUCT(($E613=$E$3:E634)*($D613=$D$3:D634)*($C613=$C$3:C634)*("完了"=$G$3:G634))=1,"完了",""))</f>
        <v/>
      </c>
    </row>
    <row r="614" spans="1:9" x14ac:dyDescent="0.2">
      <c r="B614" s="71">
        <f t="shared" si="29"/>
        <v>24</v>
      </c>
      <c r="C614" s="68"/>
      <c r="D614" s="68"/>
      <c r="E614" s="68"/>
      <c r="F614" s="69"/>
      <c r="G614" s="68"/>
      <c r="H614" s="70"/>
      <c r="I614" s="61" t="str">
        <f>IF($G614="完了","",IF(SUMPRODUCT(($E614=$E$3:E635)*($D614=$D$3:D635)*($C614=$C$3:C635)*("完了"=$G$3:G635))=1,"完了",""))</f>
        <v>完了</v>
      </c>
    </row>
    <row r="615" spans="1:9" x14ac:dyDescent="0.2">
      <c r="A615" s="72"/>
    </row>
    <row r="616" spans="1:9" x14ac:dyDescent="0.2">
      <c r="A616" s="75">
        <v>43566</v>
      </c>
      <c r="B616" s="64" t="s">
        <v>17</v>
      </c>
      <c r="C616" s="65" t="s">
        <v>18</v>
      </c>
      <c r="D616" s="65" t="s">
        <v>448</v>
      </c>
      <c r="E616" s="65" t="s">
        <v>449</v>
      </c>
      <c r="F616" s="66" t="s">
        <v>27</v>
      </c>
      <c r="G616" s="65" t="s">
        <v>20</v>
      </c>
      <c r="H616" s="67" t="s">
        <v>15</v>
      </c>
      <c r="I616" s="60" t="s">
        <v>132</v>
      </c>
    </row>
    <row r="617" spans="1:9" x14ac:dyDescent="0.2">
      <c r="B617" s="64">
        <v>1</v>
      </c>
      <c r="C617" s="65" t="s">
        <v>274</v>
      </c>
      <c r="D617" s="65" t="s">
        <v>611</v>
      </c>
      <c r="E617" s="65" t="s">
        <v>612</v>
      </c>
      <c r="F617" s="66"/>
      <c r="G617" s="65" t="s">
        <v>24</v>
      </c>
      <c r="H617" s="67"/>
      <c r="I617" s="61" t="str">
        <f>IF($G617="完了","",IF(SUMPRODUCT(($E617=$E$3:E641)*($D617=$D$3:D641)*($C617=$C$3:C641)*("完了"=$G$3:G641))=1,"完了",""))</f>
        <v/>
      </c>
    </row>
    <row r="618" spans="1:9" ht="75" x14ac:dyDescent="0.2">
      <c r="B618" s="64">
        <f t="shared" ref="B618:B640" si="30">B617+1</f>
        <v>2</v>
      </c>
      <c r="C618" s="65" t="s">
        <v>421</v>
      </c>
      <c r="D618" s="65" t="s">
        <v>563</v>
      </c>
      <c r="E618" s="65" t="s">
        <v>560</v>
      </c>
      <c r="F618" s="66"/>
      <c r="G618" s="65" t="s">
        <v>114</v>
      </c>
      <c r="H618" s="67" t="s">
        <v>577</v>
      </c>
      <c r="I618" s="61" t="str">
        <f>IF($G618="完了","",IF(SUMPRODUCT(($E618=$E$3:E641)*($D618=$D$3:D641)*($C618=$C$3:C641)*("完了"=$G$3:G641))=1,"完了",""))</f>
        <v>完了</v>
      </c>
    </row>
    <row r="619" spans="1:9" ht="37.5" x14ac:dyDescent="0.2">
      <c r="A619" s="72"/>
      <c r="B619" s="64">
        <f t="shared" si="30"/>
        <v>3</v>
      </c>
      <c r="C619" s="65" t="s">
        <v>421</v>
      </c>
      <c r="D619" s="65" t="s">
        <v>563</v>
      </c>
      <c r="E619" s="65" t="s">
        <v>607</v>
      </c>
      <c r="F619" s="66"/>
      <c r="G619" s="65" t="s">
        <v>25</v>
      </c>
      <c r="H619" s="67" t="s">
        <v>616</v>
      </c>
      <c r="I619" s="61" t="str">
        <f>IF($G619="完了","",IF(SUMPRODUCT(($E619=$E$3:E641)*($D619=$D$3:D641)*($C619=$C$3:C641)*("完了"=$G$3:G641))=1,"完了",""))</f>
        <v/>
      </c>
    </row>
    <row r="620" spans="1:9" x14ac:dyDescent="0.2">
      <c r="B620" s="64">
        <f t="shared" si="30"/>
        <v>4</v>
      </c>
      <c r="C620" s="65" t="s">
        <v>421</v>
      </c>
      <c r="D620" s="65" t="s">
        <v>563</v>
      </c>
      <c r="E620" s="65" t="s">
        <v>608</v>
      </c>
      <c r="F620" s="66"/>
      <c r="G620" s="65" t="s">
        <v>25</v>
      </c>
      <c r="H620" s="67"/>
      <c r="I620" s="61" t="str">
        <f>IF($G620="完了","",IF(SUMPRODUCT(($E620=$E$3:E641)*($D620=$D$3:D641)*($C620=$C$3:C641)*("完了"=$G$3:G641))=1,"完了",""))</f>
        <v/>
      </c>
    </row>
    <row r="621" spans="1:9" x14ac:dyDescent="0.2">
      <c r="B621" s="64">
        <f t="shared" si="30"/>
        <v>5</v>
      </c>
      <c r="C621" s="65" t="s">
        <v>509</v>
      </c>
      <c r="D621" s="65" t="s">
        <v>468</v>
      </c>
      <c r="E621" s="65" t="s">
        <v>510</v>
      </c>
      <c r="F621" s="66"/>
      <c r="G621" s="65" t="s">
        <v>25</v>
      </c>
      <c r="H621" s="67"/>
      <c r="I621" s="61" t="str">
        <f>IF($G621="完了","",IF(SUMPRODUCT(($E621=$E$3:E641)*($D621=$D$3:D641)*($C621=$C$3:C641)*("完了"=$G$3:G641))=1,"完了",""))</f>
        <v/>
      </c>
    </row>
    <row r="622" spans="1:9" ht="125" x14ac:dyDescent="0.2">
      <c r="B622" s="64">
        <f t="shared" si="30"/>
        <v>6</v>
      </c>
      <c r="C622" s="65" t="s">
        <v>509</v>
      </c>
      <c r="D622" s="65" t="s">
        <v>468</v>
      </c>
      <c r="E622" s="67" t="s">
        <v>517</v>
      </c>
      <c r="F622" s="66"/>
      <c r="G622" s="65" t="s">
        <v>114</v>
      </c>
      <c r="H622" s="67" t="s">
        <v>516</v>
      </c>
      <c r="I622" s="61" t="str">
        <f>IF($G622="完了","",IF(SUMPRODUCT(($E622=$E$3:E641)*($D622=$D$3:D641)*($C622=$C$3:C641)*("完了"=$G$3:G641))=1,"完了",""))</f>
        <v/>
      </c>
    </row>
    <row r="623" spans="1:9" ht="50" x14ac:dyDescent="0.2">
      <c r="B623" s="64">
        <f t="shared" si="30"/>
        <v>7</v>
      </c>
      <c r="C623" s="65" t="s">
        <v>523</v>
      </c>
      <c r="D623" s="65" t="s">
        <v>468</v>
      </c>
      <c r="E623" s="65" t="s">
        <v>87</v>
      </c>
      <c r="F623" s="66"/>
      <c r="G623" s="65" t="s">
        <v>25</v>
      </c>
      <c r="H623" s="67" t="s">
        <v>559</v>
      </c>
      <c r="I623" s="61" t="str">
        <f>IF($G623="完了","",IF(SUMPRODUCT(($E623=$E$3:E641)*($D623=$D$3:D641)*($C623=$C$3:C641)*("完了"=$G$3:G641))=1,"完了",""))</f>
        <v/>
      </c>
    </row>
    <row r="624" spans="1:9" x14ac:dyDescent="0.2">
      <c r="B624" s="64">
        <f t="shared" si="30"/>
        <v>8</v>
      </c>
      <c r="C624" s="65" t="s">
        <v>526</v>
      </c>
      <c r="D624" s="65" t="s">
        <v>532</v>
      </c>
      <c r="E624" s="65" t="s">
        <v>600</v>
      </c>
      <c r="F624" s="66"/>
      <c r="G624" s="65" t="s">
        <v>25</v>
      </c>
      <c r="H624" s="67"/>
      <c r="I624" s="61" t="str">
        <f>IF($G624="完了","",IF(SUMPRODUCT(($E624=$E$3:E641)*($D624=$D$3:D641)*($C624=$C$3:C641)*("完了"=$G$3:G641))=1,"完了",""))</f>
        <v/>
      </c>
    </row>
    <row r="625" spans="2:9" x14ac:dyDescent="0.2">
      <c r="B625" s="64">
        <f t="shared" si="30"/>
        <v>9</v>
      </c>
      <c r="C625" s="65" t="s">
        <v>526</v>
      </c>
      <c r="D625" s="65" t="s">
        <v>532</v>
      </c>
      <c r="E625" s="65" t="s">
        <v>601</v>
      </c>
      <c r="F625" s="66"/>
      <c r="G625" s="65" t="s">
        <v>25</v>
      </c>
      <c r="H625" s="67"/>
      <c r="I625" s="61" t="str">
        <f>IF($G625="完了","",IF(SUMPRODUCT(($E625=$E$3:E641)*($D625=$D$3:D641)*($C625=$C$3:C641)*("完了"=$G$3:G641))=1,"完了",""))</f>
        <v/>
      </c>
    </row>
    <row r="626" spans="2:9" x14ac:dyDescent="0.2">
      <c r="B626" s="64">
        <f t="shared" si="30"/>
        <v>10</v>
      </c>
      <c r="C626" s="65" t="s">
        <v>526</v>
      </c>
      <c r="D626" s="65" t="s">
        <v>532</v>
      </c>
      <c r="E626" s="65" t="s">
        <v>602</v>
      </c>
      <c r="F626" s="66"/>
      <c r="G626" s="65" t="s">
        <v>25</v>
      </c>
      <c r="H626" s="67"/>
      <c r="I626" s="61" t="str">
        <f>IF($G626="完了","",IF(SUMPRODUCT(($E626=$E$3:E641)*($D626=$D$3:D641)*($C626=$C$3:C641)*("完了"=$G$3:G641))=1,"完了",""))</f>
        <v/>
      </c>
    </row>
    <row r="627" spans="2:9" x14ac:dyDescent="0.2">
      <c r="B627" s="64">
        <f t="shared" si="30"/>
        <v>11</v>
      </c>
      <c r="C627" s="65" t="s">
        <v>526</v>
      </c>
      <c r="D627" s="65" t="s">
        <v>532</v>
      </c>
      <c r="E627" s="65"/>
      <c r="F627" s="66"/>
      <c r="G627" s="65"/>
      <c r="H627" s="67"/>
      <c r="I627" s="61" t="str">
        <f>IF($G627="完了","",IF(SUMPRODUCT(($E627=$E$3:E641)*($D627=$D$3:D641)*($C627=$C$3:C641)*("完了"=$G$3:G641))=1,"完了",""))</f>
        <v/>
      </c>
    </row>
    <row r="628" spans="2:9" x14ac:dyDescent="0.2">
      <c r="B628" s="64">
        <f t="shared" si="30"/>
        <v>12</v>
      </c>
      <c r="C628" s="65" t="s">
        <v>526</v>
      </c>
      <c r="D628" s="65" t="s">
        <v>532</v>
      </c>
      <c r="E628" s="65"/>
      <c r="F628" s="66"/>
      <c r="G628" s="65"/>
      <c r="H628" s="67"/>
      <c r="I628" s="61" t="str">
        <f>IF($G628="完了","",IF(SUMPRODUCT(($E628=$E$3:E641)*($D628=$D$3:D641)*($C628=$C$3:C641)*("完了"=$G$3:G641))=1,"完了",""))</f>
        <v/>
      </c>
    </row>
    <row r="629" spans="2:9" x14ac:dyDescent="0.2">
      <c r="B629" s="64">
        <f t="shared" si="30"/>
        <v>13</v>
      </c>
      <c r="C629" s="65" t="s">
        <v>613</v>
      </c>
      <c r="D629" s="65" t="s">
        <v>236</v>
      </c>
      <c r="E629" s="65" t="s">
        <v>615</v>
      </c>
      <c r="F629" s="66"/>
      <c r="G629" s="65" t="s">
        <v>25</v>
      </c>
      <c r="H629" s="67"/>
      <c r="I629" s="61" t="str">
        <f>IF($G629="完了","",IF(SUMPRODUCT(($E629=$E$3:E641)*($D629=$D$3:D641)*($C629=$C$3:C641)*("完了"=$G$3:G641))=1,"完了",""))</f>
        <v/>
      </c>
    </row>
    <row r="630" spans="2:9" x14ac:dyDescent="0.2">
      <c r="B630" s="64">
        <f t="shared" si="30"/>
        <v>14</v>
      </c>
      <c r="C630" s="65" t="s">
        <v>545</v>
      </c>
      <c r="D630" s="65" t="s">
        <v>546</v>
      </c>
      <c r="E630" s="65" t="s">
        <v>548</v>
      </c>
      <c r="F630" s="66"/>
      <c r="G630" s="65" t="s">
        <v>25</v>
      </c>
      <c r="H630" s="67"/>
      <c r="I630" s="61" t="str">
        <f>IF($G630="完了","",IF(SUMPRODUCT(($E630=$E$3:E641)*($D630=$D$3:D641)*($C630=$C$3:C641)*("完了"=$G$3:G641))=1,"完了",""))</f>
        <v/>
      </c>
    </row>
    <row r="631" spans="2:9" x14ac:dyDescent="0.2">
      <c r="B631" s="64">
        <f t="shared" si="30"/>
        <v>15</v>
      </c>
      <c r="C631" s="65" t="s">
        <v>545</v>
      </c>
      <c r="D631" s="65" t="s">
        <v>546</v>
      </c>
      <c r="E631" s="65" t="s">
        <v>549</v>
      </c>
      <c r="F631" s="66"/>
      <c r="G631" s="65" t="s">
        <v>25</v>
      </c>
      <c r="H631" s="67"/>
      <c r="I631" s="61" t="str">
        <f>IF($G631="完了","",IF(SUMPRODUCT(($E631=$E$3:E641)*($D631=$D$3:D641)*($C631=$C$3:C641)*("完了"=$G$3:G641))=1,"完了",""))</f>
        <v/>
      </c>
    </row>
    <row r="632" spans="2:9" x14ac:dyDescent="0.2">
      <c r="B632" s="64">
        <f t="shared" si="30"/>
        <v>16</v>
      </c>
      <c r="C632" s="65" t="s">
        <v>582</v>
      </c>
      <c r="D632" s="65" t="s">
        <v>590</v>
      </c>
      <c r="E632" s="65" t="s">
        <v>591</v>
      </c>
      <c r="F632" s="66"/>
      <c r="G632" s="65" t="s">
        <v>25</v>
      </c>
      <c r="H632" s="67"/>
      <c r="I632" s="61" t="str">
        <f>IF($G632="完了","",IF(SUMPRODUCT(($E632=$E$3:E641)*($D632=$D$3:D641)*($C632=$C$3:C641)*("完了"=$G$3:G641))=1,"完了",""))</f>
        <v/>
      </c>
    </row>
    <row r="633" spans="2:9" x14ac:dyDescent="0.2">
      <c r="B633" s="64">
        <f t="shared" si="30"/>
        <v>17</v>
      </c>
      <c r="C633" s="65" t="s">
        <v>582</v>
      </c>
      <c r="D633" s="65" t="s">
        <v>590</v>
      </c>
      <c r="E633" s="65" t="s">
        <v>592</v>
      </c>
      <c r="F633" s="66"/>
      <c r="G633" s="65" t="s">
        <v>25</v>
      </c>
      <c r="H633" s="67"/>
      <c r="I633" s="61" t="str">
        <f>IF($G633="完了","",IF(SUMPRODUCT(($E633=$E$3:E641)*($D633=$D$3:D641)*($C633=$C$3:C641)*("完了"=$G$3:G641))=1,"完了",""))</f>
        <v/>
      </c>
    </row>
    <row r="634" spans="2:9" ht="137.5" x14ac:dyDescent="0.2">
      <c r="B634" s="64">
        <f t="shared" si="30"/>
        <v>18</v>
      </c>
      <c r="C634" s="65" t="s">
        <v>582</v>
      </c>
      <c r="D634" s="65" t="s">
        <v>590</v>
      </c>
      <c r="E634" s="65" t="s">
        <v>593</v>
      </c>
      <c r="F634" s="66"/>
      <c r="G634" s="65" t="s">
        <v>25</v>
      </c>
      <c r="H634" s="67" t="s">
        <v>609</v>
      </c>
      <c r="I634" s="61" t="str">
        <f>IF($G634="完了","",IF(SUMPRODUCT(($E634=$E$3:E641)*($D634=$D$3:D641)*($C634=$C$3:C641)*("完了"=$G$3:G641))=1,"完了",""))</f>
        <v/>
      </c>
    </row>
    <row r="635" spans="2:9" x14ac:dyDescent="0.2">
      <c r="B635" s="64">
        <f t="shared" si="30"/>
        <v>19</v>
      </c>
      <c r="C635" s="65" t="s">
        <v>582</v>
      </c>
      <c r="D635" s="65" t="s">
        <v>594</v>
      </c>
      <c r="E635" s="65" t="s">
        <v>12</v>
      </c>
      <c r="F635" s="66"/>
      <c r="G635" s="65" t="s">
        <v>25</v>
      </c>
      <c r="H635" s="67"/>
      <c r="I635" s="61" t="str">
        <f>IF($G635="完了","",IF(SUMPRODUCT(($E635=$E$3:E641)*($D635=$D$3:D641)*($C635=$C$3:C641)*("完了"=$G$3:G641))=1,"完了",""))</f>
        <v/>
      </c>
    </row>
    <row r="636" spans="2:9" x14ac:dyDescent="0.2">
      <c r="B636" s="64">
        <f t="shared" si="30"/>
        <v>20</v>
      </c>
      <c r="C636" s="65" t="s">
        <v>582</v>
      </c>
      <c r="D636" s="65" t="s">
        <v>595</v>
      </c>
      <c r="E636" s="65" t="s">
        <v>12</v>
      </c>
      <c r="F636" s="66"/>
      <c r="G636" s="65" t="s">
        <v>25</v>
      </c>
      <c r="H636" s="67"/>
      <c r="I636" s="61" t="str">
        <f>IF($G636="完了","",IF(SUMPRODUCT(($E636=$E$3:E641)*($D636=$D$3:D641)*($C636=$C$3:C641)*("完了"=$G$3:G641))=1,"完了",""))</f>
        <v/>
      </c>
    </row>
    <row r="637" spans="2:9" x14ac:dyDescent="0.2">
      <c r="B637" s="64">
        <f t="shared" si="30"/>
        <v>21</v>
      </c>
      <c r="C637" s="65" t="s">
        <v>582</v>
      </c>
      <c r="D637" s="65" t="s">
        <v>596</v>
      </c>
      <c r="E637" s="65" t="s">
        <v>597</v>
      </c>
      <c r="F637" s="66"/>
      <c r="G637" s="65" t="s">
        <v>25</v>
      </c>
      <c r="H637" s="67"/>
      <c r="I637" s="61" t="str">
        <f>IF($G637="完了","",IF(SUMPRODUCT(($E637=$E$3:E641)*($D637=$D$3:D641)*($C637=$C$3:C641)*("完了"=$G$3:G641))=1,"完了",""))</f>
        <v/>
      </c>
    </row>
    <row r="638" spans="2:9" x14ac:dyDescent="0.2">
      <c r="B638" s="64">
        <f t="shared" si="30"/>
        <v>22</v>
      </c>
      <c r="C638" s="65" t="s">
        <v>582</v>
      </c>
      <c r="D638" s="65" t="s">
        <v>596</v>
      </c>
      <c r="E638" s="65" t="s">
        <v>598</v>
      </c>
      <c r="F638" s="66"/>
      <c r="G638" s="65" t="s">
        <v>25</v>
      </c>
      <c r="H638" s="67"/>
      <c r="I638" s="61" t="str">
        <f>IF($G638="完了","",IF(SUMPRODUCT(($E638=$E$3:E641)*($D638=$D$3:D641)*($C638=$C$3:C641)*("完了"=$G$3:G641))=1,"完了",""))</f>
        <v/>
      </c>
    </row>
    <row r="639" spans="2:9" x14ac:dyDescent="0.2">
      <c r="B639" s="64">
        <f t="shared" si="30"/>
        <v>23</v>
      </c>
      <c r="C639" s="65" t="s">
        <v>582</v>
      </c>
      <c r="D639" s="65" t="s">
        <v>596</v>
      </c>
      <c r="E639" s="65" t="s">
        <v>599</v>
      </c>
      <c r="F639" s="66"/>
      <c r="G639" s="65" t="s">
        <v>25</v>
      </c>
      <c r="H639" s="67"/>
      <c r="I639" s="61" t="str">
        <f>IF($G639="完了","",IF(SUMPRODUCT(($E639=$E$3:E641)*($D639=$D$3:D641)*($C639=$C$3:C641)*("完了"=$G$3:G641))=1,"完了",""))</f>
        <v/>
      </c>
    </row>
    <row r="640" spans="2:9" x14ac:dyDescent="0.2">
      <c r="B640" s="71">
        <f t="shared" si="30"/>
        <v>24</v>
      </c>
      <c r="C640" s="68"/>
      <c r="D640" s="68"/>
      <c r="E640" s="68"/>
      <c r="F640" s="69"/>
      <c r="G640" s="68"/>
      <c r="H640" s="70"/>
      <c r="I640" s="61" t="str">
        <f>IF($G640="完了","",IF(SUMPRODUCT(($E640=$E$3:E641)*($D640=$D$3:D641)*($C640=$C$3:C641)*("完了"=$G$3:G641))=1,"完了",""))</f>
        <v>完了</v>
      </c>
    </row>
    <row r="643" spans="1:9" x14ac:dyDescent="0.2">
      <c r="A643" s="75">
        <v>43566</v>
      </c>
      <c r="B643" s="64" t="s">
        <v>17</v>
      </c>
      <c r="C643" s="65" t="s">
        <v>18</v>
      </c>
      <c r="D643" s="65" t="s">
        <v>448</v>
      </c>
      <c r="E643" s="65" t="s">
        <v>449</v>
      </c>
      <c r="F643" s="66" t="s">
        <v>27</v>
      </c>
      <c r="G643" s="65" t="s">
        <v>20</v>
      </c>
      <c r="H643" s="67" t="s">
        <v>15</v>
      </c>
      <c r="I643" s="60" t="s">
        <v>132</v>
      </c>
    </row>
    <row r="644" spans="1:9" x14ac:dyDescent="0.2">
      <c r="B644" s="64">
        <v>1</v>
      </c>
      <c r="C644" s="65" t="s">
        <v>274</v>
      </c>
      <c r="D644" s="65" t="s">
        <v>611</v>
      </c>
      <c r="E644" s="65" t="s">
        <v>612</v>
      </c>
      <c r="F644" s="66"/>
      <c r="G644" s="65" t="s">
        <v>24</v>
      </c>
      <c r="H644" s="67"/>
      <c r="I644" s="61" t="str">
        <f>IF($G644="完了","",IF(SUMPRODUCT(($E644=$E$3:E668)*($D644=$D$3:D668)*($C644=$C$3:C668)*("完了"=$G$3:G668))=1,"完了",""))</f>
        <v/>
      </c>
    </row>
    <row r="645" spans="1:9" ht="75" x14ac:dyDescent="0.2">
      <c r="B645" s="64">
        <f t="shared" ref="B645:B667" si="31">B644+1</f>
        <v>2</v>
      </c>
      <c r="C645" s="65" t="s">
        <v>421</v>
      </c>
      <c r="D645" s="65" t="s">
        <v>563</v>
      </c>
      <c r="E645" s="65" t="s">
        <v>560</v>
      </c>
      <c r="F645" s="66"/>
      <c r="G645" s="65" t="s">
        <v>114</v>
      </c>
      <c r="H645" s="67" t="s">
        <v>577</v>
      </c>
      <c r="I645" s="61" t="str">
        <f>IF($G645="完了","",IF(SUMPRODUCT(($E645=$E$3:E668)*($D645=$D$3:D668)*($C645=$C$3:C668)*("完了"=$G$3:G668))=1,"完了",""))</f>
        <v>完了</v>
      </c>
    </row>
    <row r="646" spans="1:9" ht="37.5" x14ac:dyDescent="0.2">
      <c r="A646" s="72"/>
      <c r="B646" s="64">
        <f t="shared" si="31"/>
        <v>3</v>
      </c>
      <c r="C646" s="65" t="s">
        <v>421</v>
      </c>
      <c r="D646" s="65" t="s">
        <v>563</v>
      </c>
      <c r="E646" s="65" t="s">
        <v>607</v>
      </c>
      <c r="F646" s="66"/>
      <c r="G646" s="65" t="s">
        <v>25</v>
      </c>
      <c r="H646" s="67" t="s">
        <v>616</v>
      </c>
      <c r="I646" s="61" t="str">
        <f>IF($G646="完了","",IF(SUMPRODUCT(($E646=$E$3:E668)*($D646=$D$3:D668)*($C646=$C$3:C668)*("完了"=$G$3:G668))=1,"完了",""))</f>
        <v/>
      </c>
    </row>
    <row r="647" spans="1:9" x14ac:dyDescent="0.2">
      <c r="B647" s="64">
        <f t="shared" si="31"/>
        <v>4</v>
      </c>
      <c r="C647" s="65" t="s">
        <v>421</v>
      </c>
      <c r="D647" s="65" t="s">
        <v>563</v>
      </c>
      <c r="E647" s="65" t="s">
        <v>608</v>
      </c>
      <c r="F647" s="66"/>
      <c r="G647" s="65" t="s">
        <v>25</v>
      </c>
      <c r="H647" s="67"/>
      <c r="I647" s="61" t="str">
        <f>IF($G647="完了","",IF(SUMPRODUCT(($E647=$E$3:E668)*($D647=$D$3:D668)*($C647=$C$3:C668)*("完了"=$G$3:G668))=1,"完了",""))</f>
        <v/>
      </c>
    </row>
    <row r="648" spans="1:9" x14ac:dyDescent="0.2">
      <c r="B648" s="64">
        <f t="shared" si="31"/>
        <v>5</v>
      </c>
      <c r="C648" s="65" t="s">
        <v>509</v>
      </c>
      <c r="D648" s="65" t="s">
        <v>468</v>
      </c>
      <c r="E648" s="65" t="s">
        <v>510</v>
      </c>
      <c r="F648" s="66"/>
      <c r="G648" s="65" t="s">
        <v>25</v>
      </c>
      <c r="H648" s="67"/>
      <c r="I648" s="61" t="str">
        <f>IF($G648="完了","",IF(SUMPRODUCT(($E648=$E$3:E668)*($D648=$D$3:D668)*($C648=$C$3:C668)*("完了"=$G$3:G668))=1,"完了",""))</f>
        <v/>
      </c>
    </row>
    <row r="649" spans="1:9" ht="125" x14ac:dyDescent="0.2">
      <c r="B649" s="64">
        <f t="shared" si="31"/>
        <v>6</v>
      </c>
      <c r="C649" s="65" t="s">
        <v>509</v>
      </c>
      <c r="D649" s="65" t="s">
        <v>468</v>
      </c>
      <c r="E649" s="67" t="s">
        <v>517</v>
      </c>
      <c r="F649" s="66"/>
      <c r="G649" s="65" t="s">
        <v>114</v>
      </c>
      <c r="H649" s="67" t="s">
        <v>516</v>
      </c>
      <c r="I649" s="61" t="str">
        <f>IF($G649="完了","",IF(SUMPRODUCT(($E649=$E$3:E668)*($D649=$D$3:D668)*($C649=$C$3:C668)*("完了"=$G$3:G668))=1,"完了",""))</f>
        <v/>
      </c>
    </row>
    <row r="650" spans="1:9" ht="50" x14ac:dyDescent="0.2">
      <c r="B650" s="64">
        <f t="shared" si="31"/>
        <v>7</v>
      </c>
      <c r="C650" s="65" t="s">
        <v>523</v>
      </c>
      <c r="D650" s="65" t="s">
        <v>468</v>
      </c>
      <c r="E650" s="65" t="s">
        <v>87</v>
      </c>
      <c r="F650" s="66"/>
      <c r="G650" s="65" t="s">
        <v>25</v>
      </c>
      <c r="H650" s="67" t="s">
        <v>559</v>
      </c>
      <c r="I650" s="61" t="str">
        <f>IF($G650="完了","",IF(SUMPRODUCT(($E650=$E$3:E668)*($D650=$D$3:D668)*($C650=$C$3:C668)*("完了"=$G$3:G668))=1,"完了",""))</f>
        <v/>
      </c>
    </row>
    <row r="651" spans="1:9" x14ac:dyDescent="0.2">
      <c r="B651" s="64">
        <f t="shared" si="31"/>
        <v>8</v>
      </c>
      <c r="C651" s="65" t="s">
        <v>526</v>
      </c>
      <c r="D651" s="65" t="s">
        <v>532</v>
      </c>
      <c r="E651" s="65" t="s">
        <v>600</v>
      </c>
      <c r="F651" s="66"/>
      <c r="G651" s="65" t="s">
        <v>25</v>
      </c>
      <c r="H651" s="67"/>
      <c r="I651" s="61" t="str">
        <f>IF($G651="完了","",IF(SUMPRODUCT(($E651=$E$3:E668)*($D651=$D$3:D668)*($C651=$C$3:C668)*("完了"=$G$3:G668))=1,"完了",""))</f>
        <v/>
      </c>
    </row>
    <row r="652" spans="1:9" x14ac:dyDescent="0.2">
      <c r="B652" s="64">
        <f t="shared" si="31"/>
        <v>9</v>
      </c>
      <c r="C652" s="65" t="s">
        <v>526</v>
      </c>
      <c r="D652" s="65" t="s">
        <v>532</v>
      </c>
      <c r="E652" s="65" t="s">
        <v>601</v>
      </c>
      <c r="F652" s="66"/>
      <c r="G652" s="65" t="s">
        <v>25</v>
      </c>
      <c r="H652" s="67"/>
      <c r="I652" s="61" t="str">
        <f>IF($G652="完了","",IF(SUMPRODUCT(($E652=$E$3:E668)*($D652=$D$3:D668)*($C652=$C$3:C668)*("完了"=$G$3:G668))=1,"完了",""))</f>
        <v/>
      </c>
    </row>
    <row r="653" spans="1:9" x14ac:dyDescent="0.2">
      <c r="B653" s="64">
        <f t="shared" si="31"/>
        <v>10</v>
      </c>
      <c r="C653" s="65" t="s">
        <v>526</v>
      </c>
      <c r="D653" s="65" t="s">
        <v>532</v>
      </c>
      <c r="E653" s="65" t="s">
        <v>602</v>
      </c>
      <c r="F653" s="66"/>
      <c r="G653" s="65" t="s">
        <v>25</v>
      </c>
      <c r="H653" s="67"/>
      <c r="I653" s="61" t="str">
        <f>IF($G653="完了","",IF(SUMPRODUCT(($E653=$E$3:E668)*($D653=$D$3:D668)*($C653=$C$3:C668)*("完了"=$G$3:G668))=1,"完了",""))</f>
        <v/>
      </c>
    </row>
    <row r="654" spans="1:9" x14ac:dyDescent="0.2">
      <c r="B654" s="64">
        <f t="shared" si="31"/>
        <v>11</v>
      </c>
      <c r="C654" s="65" t="s">
        <v>526</v>
      </c>
      <c r="D654" s="65" t="s">
        <v>532</v>
      </c>
      <c r="E654" s="65"/>
      <c r="F654" s="66"/>
      <c r="G654" s="65"/>
      <c r="H654" s="67"/>
      <c r="I654" s="61" t="str">
        <f>IF($G654="完了","",IF(SUMPRODUCT(($E654=$E$3:E668)*($D654=$D$3:D668)*($C654=$C$3:C668)*("完了"=$G$3:G668))=1,"完了",""))</f>
        <v/>
      </c>
    </row>
    <row r="655" spans="1:9" x14ac:dyDescent="0.2">
      <c r="B655" s="64">
        <f t="shared" si="31"/>
        <v>12</v>
      </c>
      <c r="C655" s="65" t="s">
        <v>526</v>
      </c>
      <c r="D655" s="65" t="s">
        <v>532</v>
      </c>
      <c r="E655" s="65"/>
      <c r="F655" s="66"/>
      <c r="G655" s="65"/>
      <c r="H655" s="67"/>
      <c r="I655" s="61" t="str">
        <f>IF($G655="完了","",IF(SUMPRODUCT(($E655=$E$3:E668)*($D655=$D$3:D668)*($C655=$C$3:C668)*("完了"=$G$3:G668))=1,"完了",""))</f>
        <v/>
      </c>
    </row>
    <row r="656" spans="1:9" x14ac:dyDescent="0.2">
      <c r="B656" s="64">
        <f t="shared" si="31"/>
        <v>13</v>
      </c>
      <c r="C656" s="65" t="s">
        <v>613</v>
      </c>
      <c r="D656" s="65" t="s">
        <v>236</v>
      </c>
      <c r="E656" s="65" t="s">
        <v>615</v>
      </c>
      <c r="F656" s="66"/>
      <c r="G656" s="65" t="s">
        <v>25</v>
      </c>
      <c r="H656" s="67"/>
      <c r="I656" s="61" t="str">
        <f>IF($G656="完了","",IF(SUMPRODUCT(($E656=$E$3:E668)*($D656=$D$3:D668)*($C656=$C$3:C668)*("完了"=$G$3:G668))=1,"完了",""))</f>
        <v/>
      </c>
    </row>
    <row r="657" spans="1:9" x14ac:dyDescent="0.2">
      <c r="B657" s="64">
        <f t="shared" si="31"/>
        <v>14</v>
      </c>
      <c r="C657" s="65" t="s">
        <v>545</v>
      </c>
      <c r="D657" s="65" t="s">
        <v>546</v>
      </c>
      <c r="E657" s="65" t="s">
        <v>548</v>
      </c>
      <c r="F657" s="66"/>
      <c r="G657" s="65" t="s">
        <v>25</v>
      </c>
      <c r="H657" s="67"/>
      <c r="I657" s="61" t="str">
        <f>IF($G657="完了","",IF(SUMPRODUCT(($E657=$E$3:E668)*($D657=$D$3:D668)*($C657=$C$3:C668)*("完了"=$G$3:G668))=1,"完了",""))</f>
        <v/>
      </c>
    </row>
    <row r="658" spans="1:9" x14ac:dyDescent="0.2">
      <c r="B658" s="64">
        <f t="shared" si="31"/>
        <v>15</v>
      </c>
      <c r="C658" s="65" t="s">
        <v>545</v>
      </c>
      <c r="D658" s="65" t="s">
        <v>546</v>
      </c>
      <c r="E658" s="65" t="s">
        <v>549</v>
      </c>
      <c r="F658" s="66"/>
      <c r="G658" s="65" t="s">
        <v>25</v>
      </c>
      <c r="H658" s="67"/>
      <c r="I658" s="61" t="str">
        <f>IF($G658="完了","",IF(SUMPRODUCT(($E658=$E$3:E668)*($D658=$D$3:D668)*($C658=$C$3:C668)*("完了"=$G$3:G668))=1,"完了",""))</f>
        <v/>
      </c>
    </row>
    <row r="659" spans="1:9" x14ac:dyDescent="0.2">
      <c r="B659" s="64">
        <f t="shared" si="31"/>
        <v>16</v>
      </c>
      <c r="C659" s="65" t="s">
        <v>582</v>
      </c>
      <c r="D659" s="65" t="s">
        <v>590</v>
      </c>
      <c r="E659" s="65" t="s">
        <v>591</v>
      </c>
      <c r="F659" s="66"/>
      <c r="G659" s="65" t="s">
        <v>25</v>
      </c>
      <c r="H659" s="67"/>
      <c r="I659" s="61" t="str">
        <f>IF($G659="完了","",IF(SUMPRODUCT(($E659=$E$3:E668)*($D659=$D$3:D668)*($C659=$C$3:C668)*("完了"=$G$3:G668))=1,"完了",""))</f>
        <v/>
      </c>
    </row>
    <row r="660" spans="1:9" x14ac:dyDescent="0.2">
      <c r="B660" s="64">
        <f t="shared" si="31"/>
        <v>17</v>
      </c>
      <c r="C660" s="65" t="s">
        <v>582</v>
      </c>
      <c r="D660" s="65" t="s">
        <v>590</v>
      </c>
      <c r="E660" s="65" t="s">
        <v>592</v>
      </c>
      <c r="F660" s="66"/>
      <c r="G660" s="65" t="s">
        <v>25</v>
      </c>
      <c r="H660" s="67"/>
      <c r="I660" s="61" t="str">
        <f>IF($G660="完了","",IF(SUMPRODUCT(($E660=$E$3:E668)*($D660=$D$3:D668)*($C660=$C$3:C668)*("完了"=$G$3:G668))=1,"完了",""))</f>
        <v/>
      </c>
    </row>
    <row r="661" spans="1:9" ht="137.5" x14ac:dyDescent="0.2">
      <c r="B661" s="64">
        <f t="shared" si="31"/>
        <v>18</v>
      </c>
      <c r="C661" s="65" t="s">
        <v>582</v>
      </c>
      <c r="D661" s="65" t="s">
        <v>590</v>
      </c>
      <c r="E661" s="65" t="s">
        <v>593</v>
      </c>
      <c r="F661" s="66"/>
      <c r="G661" s="65" t="s">
        <v>25</v>
      </c>
      <c r="H661" s="67" t="s">
        <v>609</v>
      </c>
      <c r="I661" s="61" t="str">
        <f>IF($G661="完了","",IF(SUMPRODUCT(($E661=$E$3:E668)*($D661=$D$3:D668)*($C661=$C$3:C668)*("完了"=$G$3:G668))=1,"完了",""))</f>
        <v/>
      </c>
    </row>
    <row r="662" spans="1:9" x14ac:dyDescent="0.2">
      <c r="B662" s="64">
        <f t="shared" si="31"/>
        <v>19</v>
      </c>
      <c r="C662" s="65" t="s">
        <v>582</v>
      </c>
      <c r="D662" s="65" t="s">
        <v>594</v>
      </c>
      <c r="E662" s="65" t="s">
        <v>12</v>
      </c>
      <c r="F662" s="66"/>
      <c r="G662" s="65" t="s">
        <v>25</v>
      </c>
      <c r="H662" s="67"/>
      <c r="I662" s="61" t="str">
        <f>IF($G662="完了","",IF(SUMPRODUCT(($E662=$E$3:E668)*($D662=$D$3:D668)*($C662=$C$3:C668)*("完了"=$G$3:G668))=1,"完了",""))</f>
        <v/>
      </c>
    </row>
    <row r="663" spans="1:9" x14ac:dyDescent="0.2">
      <c r="B663" s="64">
        <f t="shared" si="31"/>
        <v>20</v>
      </c>
      <c r="C663" s="65" t="s">
        <v>582</v>
      </c>
      <c r="D663" s="65" t="s">
        <v>595</v>
      </c>
      <c r="E663" s="65" t="s">
        <v>12</v>
      </c>
      <c r="F663" s="66"/>
      <c r="G663" s="65" t="s">
        <v>25</v>
      </c>
      <c r="H663" s="67"/>
      <c r="I663" s="61" t="str">
        <f>IF($G663="完了","",IF(SUMPRODUCT(($E663=$E$3:E668)*($D663=$D$3:D668)*($C663=$C$3:C668)*("完了"=$G$3:G668))=1,"完了",""))</f>
        <v/>
      </c>
    </row>
    <row r="664" spans="1:9" x14ac:dyDescent="0.2">
      <c r="B664" s="64">
        <f t="shared" si="31"/>
        <v>21</v>
      </c>
      <c r="C664" s="65" t="s">
        <v>582</v>
      </c>
      <c r="D664" s="65" t="s">
        <v>596</v>
      </c>
      <c r="E664" s="65" t="s">
        <v>597</v>
      </c>
      <c r="F664" s="66"/>
      <c r="G664" s="65" t="s">
        <v>25</v>
      </c>
      <c r="H664" s="67"/>
      <c r="I664" s="61" t="str">
        <f>IF($G664="完了","",IF(SUMPRODUCT(($E664=$E$3:E668)*($D664=$D$3:D668)*($C664=$C$3:C668)*("完了"=$G$3:G668))=1,"完了",""))</f>
        <v/>
      </c>
    </row>
    <row r="665" spans="1:9" x14ac:dyDescent="0.2">
      <c r="A665" s="72"/>
      <c r="B665" s="64">
        <f t="shared" si="31"/>
        <v>22</v>
      </c>
      <c r="C665" s="65" t="s">
        <v>582</v>
      </c>
      <c r="D665" s="65" t="s">
        <v>596</v>
      </c>
      <c r="E665" s="65" t="s">
        <v>598</v>
      </c>
      <c r="F665" s="66"/>
      <c r="G665" s="65" t="s">
        <v>25</v>
      </c>
      <c r="H665" s="67"/>
      <c r="I665" s="61" t="str">
        <f>IF($G665="完了","",IF(SUMPRODUCT(($E665=$E$3:E668)*($D665=$D$3:D668)*($C665=$C$3:C668)*("完了"=$G$3:G668))=1,"完了",""))</f>
        <v/>
      </c>
    </row>
    <row r="666" spans="1:9" x14ac:dyDescent="0.2">
      <c r="B666" s="64">
        <f t="shared" si="31"/>
        <v>23</v>
      </c>
      <c r="C666" s="65" t="s">
        <v>582</v>
      </c>
      <c r="D666" s="65" t="s">
        <v>596</v>
      </c>
      <c r="E666" s="65" t="s">
        <v>599</v>
      </c>
      <c r="F666" s="66"/>
      <c r="G666" s="65" t="s">
        <v>25</v>
      </c>
      <c r="H666" s="67"/>
      <c r="I666" s="61" t="str">
        <f>IF($G666="完了","",IF(SUMPRODUCT(($E666=$E$3:E668)*($D666=$D$3:D668)*($C666=$C$3:C668)*("完了"=$G$3:G668))=1,"完了",""))</f>
        <v/>
      </c>
    </row>
    <row r="667" spans="1:9" x14ac:dyDescent="0.2">
      <c r="B667" s="71">
        <f t="shared" si="31"/>
        <v>24</v>
      </c>
      <c r="C667" s="68"/>
      <c r="D667" s="68"/>
      <c r="E667" s="68"/>
      <c r="F667" s="69"/>
      <c r="G667" s="68"/>
      <c r="H667" s="70"/>
      <c r="I667" s="61" t="str">
        <f>IF($G667="完了","",IF(SUMPRODUCT(($E667=$E$3:E668)*($D667=$D$3:D668)*($C667=$C$3:C668)*("完了"=$G$3:G668))=1,"完了",""))</f>
        <v>完了</v>
      </c>
    </row>
    <row r="670" spans="1:9" x14ac:dyDescent="0.2">
      <c r="A670" s="75">
        <v>43566</v>
      </c>
      <c r="B670" s="64" t="s">
        <v>17</v>
      </c>
      <c r="C670" s="65" t="s">
        <v>18</v>
      </c>
      <c r="D670" s="65" t="s">
        <v>448</v>
      </c>
      <c r="E670" s="65" t="s">
        <v>449</v>
      </c>
      <c r="F670" s="66" t="s">
        <v>27</v>
      </c>
      <c r="G670" s="65" t="s">
        <v>20</v>
      </c>
      <c r="H670" s="67" t="s">
        <v>15</v>
      </c>
      <c r="I670" s="60" t="s">
        <v>132</v>
      </c>
    </row>
    <row r="671" spans="1:9" x14ac:dyDescent="0.2">
      <c r="B671" s="64">
        <v>1</v>
      </c>
      <c r="C671" s="65" t="s">
        <v>274</v>
      </c>
      <c r="D671" s="65" t="s">
        <v>611</v>
      </c>
      <c r="E671" s="65" t="s">
        <v>612</v>
      </c>
      <c r="F671" s="66"/>
      <c r="G671" s="65" t="s">
        <v>24</v>
      </c>
      <c r="H671" s="67"/>
      <c r="I671" s="61" t="str">
        <f>IF($G671="完了","",IF(SUMPRODUCT(($E671=$E$3:E695)*($D671=$D$3:D695)*($C671=$C$3:C695)*("完了"=$G$3:G695))=1,"完了",""))</f>
        <v/>
      </c>
    </row>
    <row r="672" spans="1:9" ht="75" x14ac:dyDescent="0.2">
      <c r="B672" s="64">
        <f t="shared" ref="B672:B694" si="32">B671+1</f>
        <v>2</v>
      </c>
      <c r="C672" s="65" t="s">
        <v>421</v>
      </c>
      <c r="D672" s="65" t="s">
        <v>563</v>
      </c>
      <c r="E672" s="65" t="s">
        <v>560</v>
      </c>
      <c r="F672" s="66"/>
      <c r="G672" s="65" t="s">
        <v>114</v>
      </c>
      <c r="H672" s="67" t="s">
        <v>577</v>
      </c>
      <c r="I672" s="61" t="str">
        <f>IF($G672="完了","",IF(SUMPRODUCT(($E672=$E$3:E695)*($D672=$D$3:D695)*($C672=$C$3:C695)*("完了"=$G$3:G695))=1,"完了",""))</f>
        <v>完了</v>
      </c>
    </row>
    <row r="673" spans="1:9" ht="37.5" x14ac:dyDescent="0.2">
      <c r="A673" s="72"/>
      <c r="B673" s="64">
        <f t="shared" si="32"/>
        <v>3</v>
      </c>
      <c r="C673" s="65" t="s">
        <v>421</v>
      </c>
      <c r="D673" s="65" t="s">
        <v>563</v>
      </c>
      <c r="E673" s="65" t="s">
        <v>607</v>
      </c>
      <c r="F673" s="66"/>
      <c r="G673" s="65" t="s">
        <v>25</v>
      </c>
      <c r="H673" s="67" t="s">
        <v>616</v>
      </c>
      <c r="I673" s="61" t="str">
        <f>IF($G673="完了","",IF(SUMPRODUCT(($E673=$E$3:E695)*($D673=$D$3:D695)*($C673=$C$3:C695)*("完了"=$G$3:G695))=1,"完了",""))</f>
        <v/>
      </c>
    </row>
    <row r="674" spans="1:9" x14ac:dyDescent="0.2">
      <c r="B674" s="64">
        <f t="shared" si="32"/>
        <v>4</v>
      </c>
      <c r="C674" s="65" t="s">
        <v>421</v>
      </c>
      <c r="D674" s="65" t="s">
        <v>563</v>
      </c>
      <c r="E674" s="65" t="s">
        <v>608</v>
      </c>
      <c r="F674" s="66"/>
      <c r="G674" s="65" t="s">
        <v>25</v>
      </c>
      <c r="H674" s="67"/>
      <c r="I674" s="61" t="str">
        <f>IF($G674="完了","",IF(SUMPRODUCT(($E674=$E$3:E695)*($D674=$D$3:D695)*($C674=$C$3:C695)*("完了"=$G$3:G695))=1,"完了",""))</f>
        <v/>
      </c>
    </row>
    <row r="675" spans="1:9" x14ac:dyDescent="0.2">
      <c r="B675" s="64">
        <f t="shared" si="32"/>
        <v>5</v>
      </c>
      <c r="C675" s="65" t="s">
        <v>509</v>
      </c>
      <c r="D675" s="65" t="s">
        <v>468</v>
      </c>
      <c r="E675" s="65" t="s">
        <v>510</v>
      </c>
      <c r="F675" s="66"/>
      <c r="G675" s="65" t="s">
        <v>25</v>
      </c>
      <c r="H675" s="67"/>
      <c r="I675" s="61" t="str">
        <f>IF($G675="完了","",IF(SUMPRODUCT(($E675=$E$3:E695)*($D675=$D$3:D695)*($C675=$C$3:C695)*("完了"=$G$3:G695))=1,"完了",""))</f>
        <v/>
      </c>
    </row>
    <row r="676" spans="1:9" ht="125" x14ac:dyDescent="0.2">
      <c r="B676" s="64">
        <f t="shared" si="32"/>
        <v>6</v>
      </c>
      <c r="C676" s="65" t="s">
        <v>509</v>
      </c>
      <c r="D676" s="65" t="s">
        <v>468</v>
      </c>
      <c r="E676" s="67" t="s">
        <v>517</v>
      </c>
      <c r="F676" s="66"/>
      <c r="G676" s="65" t="s">
        <v>114</v>
      </c>
      <c r="H676" s="67" t="s">
        <v>516</v>
      </c>
      <c r="I676" s="61" t="str">
        <f>IF($G676="完了","",IF(SUMPRODUCT(($E676=$E$3:E695)*($D676=$D$3:D695)*($C676=$C$3:C695)*("完了"=$G$3:G695))=1,"完了",""))</f>
        <v/>
      </c>
    </row>
    <row r="677" spans="1:9" ht="50" x14ac:dyDescent="0.2">
      <c r="B677" s="64">
        <f t="shared" si="32"/>
        <v>7</v>
      </c>
      <c r="C677" s="65" t="s">
        <v>523</v>
      </c>
      <c r="D677" s="65" t="s">
        <v>468</v>
      </c>
      <c r="E677" s="65" t="s">
        <v>87</v>
      </c>
      <c r="F677" s="66"/>
      <c r="G677" s="65" t="s">
        <v>25</v>
      </c>
      <c r="H677" s="67" t="s">
        <v>559</v>
      </c>
      <c r="I677" s="61" t="str">
        <f>IF($G677="完了","",IF(SUMPRODUCT(($E677=$E$3:E695)*($D677=$D$3:D695)*($C677=$C$3:C695)*("完了"=$G$3:G695))=1,"完了",""))</f>
        <v/>
      </c>
    </row>
    <row r="678" spans="1:9" x14ac:dyDescent="0.2">
      <c r="B678" s="64">
        <f t="shared" si="32"/>
        <v>8</v>
      </c>
      <c r="C678" s="65" t="s">
        <v>526</v>
      </c>
      <c r="D678" s="65" t="s">
        <v>532</v>
      </c>
      <c r="E678" s="65" t="s">
        <v>600</v>
      </c>
      <c r="F678" s="66"/>
      <c r="G678" s="65" t="s">
        <v>25</v>
      </c>
      <c r="H678" s="67"/>
      <c r="I678" s="61" t="str">
        <f>IF($G678="完了","",IF(SUMPRODUCT(($E678=$E$3:E695)*($D678=$D$3:D695)*($C678=$C$3:C695)*("完了"=$G$3:G695))=1,"完了",""))</f>
        <v/>
      </c>
    </row>
    <row r="679" spans="1:9" x14ac:dyDescent="0.2">
      <c r="B679" s="64">
        <f t="shared" si="32"/>
        <v>9</v>
      </c>
      <c r="C679" s="65" t="s">
        <v>526</v>
      </c>
      <c r="D679" s="65" t="s">
        <v>532</v>
      </c>
      <c r="E679" s="65" t="s">
        <v>601</v>
      </c>
      <c r="F679" s="66"/>
      <c r="G679" s="65" t="s">
        <v>25</v>
      </c>
      <c r="H679" s="67"/>
      <c r="I679" s="61" t="str">
        <f>IF($G679="完了","",IF(SUMPRODUCT(($E679=$E$3:E695)*($D679=$D$3:D695)*($C679=$C$3:C695)*("完了"=$G$3:G695))=1,"完了",""))</f>
        <v/>
      </c>
    </row>
    <row r="680" spans="1:9" x14ac:dyDescent="0.2">
      <c r="B680" s="64">
        <f t="shared" si="32"/>
        <v>10</v>
      </c>
      <c r="C680" s="65" t="s">
        <v>526</v>
      </c>
      <c r="D680" s="65" t="s">
        <v>532</v>
      </c>
      <c r="E680" s="65" t="s">
        <v>602</v>
      </c>
      <c r="F680" s="66"/>
      <c r="G680" s="65" t="s">
        <v>25</v>
      </c>
      <c r="H680" s="67"/>
      <c r="I680" s="61" t="str">
        <f>IF($G680="完了","",IF(SUMPRODUCT(($E680=$E$3:E695)*($D680=$D$3:D695)*($C680=$C$3:C695)*("完了"=$G$3:G695))=1,"完了",""))</f>
        <v/>
      </c>
    </row>
    <row r="681" spans="1:9" x14ac:dyDescent="0.2">
      <c r="B681" s="64">
        <f t="shared" si="32"/>
        <v>11</v>
      </c>
      <c r="C681" s="65" t="s">
        <v>526</v>
      </c>
      <c r="D681" s="65" t="s">
        <v>532</v>
      </c>
      <c r="E681" s="65"/>
      <c r="F681" s="66"/>
      <c r="G681" s="65"/>
      <c r="H681" s="67"/>
      <c r="I681" s="61" t="str">
        <f>IF($G681="完了","",IF(SUMPRODUCT(($E681=$E$3:E695)*($D681=$D$3:D695)*($C681=$C$3:C695)*("完了"=$G$3:G695))=1,"完了",""))</f>
        <v/>
      </c>
    </row>
    <row r="682" spans="1:9" x14ac:dyDescent="0.2">
      <c r="B682" s="64">
        <f t="shared" si="32"/>
        <v>12</v>
      </c>
      <c r="C682" s="65" t="s">
        <v>526</v>
      </c>
      <c r="D682" s="65" t="s">
        <v>532</v>
      </c>
      <c r="E682" s="65"/>
      <c r="F682" s="66"/>
      <c r="G682" s="65"/>
      <c r="H682" s="67"/>
      <c r="I682" s="61" t="str">
        <f>IF($G682="完了","",IF(SUMPRODUCT(($E682=$E$3:E695)*($D682=$D$3:D695)*($C682=$C$3:C695)*("完了"=$G$3:G695))=1,"完了",""))</f>
        <v/>
      </c>
    </row>
    <row r="683" spans="1:9" x14ac:dyDescent="0.2">
      <c r="B683" s="64">
        <f t="shared" si="32"/>
        <v>13</v>
      </c>
      <c r="C683" s="65" t="s">
        <v>613</v>
      </c>
      <c r="D683" s="65" t="s">
        <v>236</v>
      </c>
      <c r="E683" s="65" t="s">
        <v>615</v>
      </c>
      <c r="F683" s="66"/>
      <c r="G683" s="65" t="s">
        <v>25</v>
      </c>
      <c r="H683" s="67"/>
      <c r="I683" s="61" t="str">
        <f>IF($G683="完了","",IF(SUMPRODUCT(($E683=$E$3:E695)*($D683=$D$3:D695)*($C683=$C$3:C695)*("完了"=$G$3:G695))=1,"完了",""))</f>
        <v/>
      </c>
    </row>
    <row r="684" spans="1:9" x14ac:dyDescent="0.2">
      <c r="B684" s="64">
        <f t="shared" si="32"/>
        <v>14</v>
      </c>
      <c r="C684" s="65" t="s">
        <v>545</v>
      </c>
      <c r="D684" s="65" t="s">
        <v>546</v>
      </c>
      <c r="E684" s="65" t="s">
        <v>548</v>
      </c>
      <c r="F684" s="66"/>
      <c r="G684" s="65" t="s">
        <v>25</v>
      </c>
      <c r="H684" s="67"/>
      <c r="I684" s="61" t="str">
        <f>IF($G684="完了","",IF(SUMPRODUCT(($E684=$E$3:E695)*($D684=$D$3:D695)*($C684=$C$3:C695)*("完了"=$G$3:G695))=1,"完了",""))</f>
        <v/>
      </c>
    </row>
    <row r="685" spans="1:9" x14ac:dyDescent="0.2">
      <c r="B685" s="64">
        <f t="shared" si="32"/>
        <v>15</v>
      </c>
      <c r="C685" s="65" t="s">
        <v>545</v>
      </c>
      <c r="D685" s="65" t="s">
        <v>546</v>
      </c>
      <c r="E685" s="65" t="s">
        <v>549</v>
      </c>
      <c r="F685" s="66"/>
      <c r="G685" s="65" t="s">
        <v>25</v>
      </c>
      <c r="H685" s="67"/>
      <c r="I685" s="61" t="str">
        <f>IF($G685="完了","",IF(SUMPRODUCT(($E685=$E$3:E695)*($D685=$D$3:D695)*($C685=$C$3:C695)*("完了"=$G$3:G695))=1,"完了",""))</f>
        <v/>
      </c>
    </row>
    <row r="686" spans="1:9" x14ac:dyDescent="0.2">
      <c r="B686" s="64">
        <f t="shared" si="32"/>
        <v>16</v>
      </c>
      <c r="C686" s="65" t="s">
        <v>582</v>
      </c>
      <c r="D686" s="65" t="s">
        <v>590</v>
      </c>
      <c r="E686" s="65" t="s">
        <v>591</v>
      </c>
      <c r="F686" s="66"/>
      <c r="G686" s="65" t="s">
        <v>25</v>
      </c>
      <c r="H686" s="67"/>
      <c r="I686" s="61" t="str">
        <f>IF($G686="完了","",IF(SUMPRODUCT(($E686=$E$3:E695)*($D686=$D$3:D695)*($C686=$C$3:C695)*("完了"=$G$3:G695))=1,"完了",""))</f>
        <v/>
      </c>
    </row>
    <row r="687" spans="1:9" x14ac:dyDescent="0.2">
      <c r="B687" s="64">
        <f t="shared" si="32"/>
        <v>17</v>
      </c>
      <c r="C687" s="65" t="s">
        <v>582</v>
      </c>
      <c r="D687" s="65" t="s">
        <v>590</v>
      </c>
      <c r="E687" s="65" t="s">
        <v>592</v>
      </c>
      <c r="F687" s="66"/>
      <c r="G687" s="65" t="s">
        <v>25</v>
      </c>
      <c r="H687" s="67"/>
      <c r="I687" s="61" t="str">
        <f>IF($G687="完了","",IF(SUMPRODUCT(($E687=$E$3:E695)*($D687=$D$3:D695)*($C687=$C$3:C695)*("完了"=$G$3:G695))=1,"完了",""))</f>
        <v/>
      </c>
    </row>
    <row r="688" spans="1:9" ht="137.5" x14ac:dyDescent="0.2">
      <c r="B688" s="64">
        <f t="shared" si="32"/>
        <v>18</v>
      </c>
      <c r="C688" s="65" t="s">
        <v>582</v>
      </c>
      <c r="D688" s="65" t="s">
        <v>590</v>
      </c>
      <c r="E688" s="65" t="s">
        <v>593</v>
      </c>
      <c r="F688" s="66"/>
      <c r="G688" s="65" t="s">
        <v>25</v>
      </c>
      <c r="H688" s="67" t="s">
        <v>609</v>
      </c>
      <c r="I688" s="61" t="str">
        <f>IF($G688="完了","",IF(SUMPRODUCT(($E688=$E$3:E695)*($D688=$D$3:D695)*($C688=$C$3:C695)*("完了"=$G$3:G695))=1,"完了",""))</f>
        <v/>
      </c>
    </row>
    <row r="689" spans="1:9" x14ac:dyDescent="0.2">
      <c r="B689" s="64">
        <f t="shared" si="32"/>
        <v>19</v>
      </c>
      <c r="C689" s="65" t="s">
        <v>582</v>
      </c>
      <c r="D689" s="65" t="s">
        <v>594</v>
      </c>
      <c r="E689" s="65" t="s">
        <v>12</v>
      </c>
      <c r="F689" s="66"/>
      <c r="G689" s="65" t="s">
        <v>25</v>
      </c>
      <c r="H689" s="67"/>
      <c r="I689" s="61" t="str">
        <f>IF($G689="完了","",IF(SUMPRODUCT(($E689=$E$3:E695)*($D689=$D$3:D695)*($C689=$C$3:C695)*("完了"=$G$3:G695))=1,"完了",""))</f>
        <v/>
      </c>
    </row>
    <row r="690" spans="1:9" x14ac:dyDescent="0.2">
      <c r="B690" s="64">
        <f t="shared" si="32"/>
        <v>20</v>
      </c>
      <c r="C690" s="65" t="s">
        <v>582</v>
      </c>
      <c r="D690" s="65" t="s">
        <v>595</v>
      </c>
      <c r="E690" s="65" t="s">
        <v>12</v>
      </c>
      <c r="F690" s="66"/>
      <c r="G690" s="65" t="s">
        <v>25</v>
      </c>
      <c r="H690" s="67"/>
      <c r="I690" s="61" t="str">
        <f>IF($G690="完了","",IF(SUMPRODUCT(($E690=$E$3:E695)*($D690=$D$3:D695)*($C690=$C$3:C695)*("完了"=$G$3:G695))=1,"完了",""))</f>
        <v/>
      </c>
    </row>
    <row r="691" spans="1:9" x14ac:dyDescent="0.2">
      <c r="B691" s="64">
        <f t="shared" si="32"/>
        <v>21</v>
      </c>
      <c r="C691" s="65" t="s">
        <v>582</v>
      </c>
      <c r="D691" s="65" t="s">
        <v>596</v>
      </c>
      <c r="E691" s="65" t="s">
        <v>597</v>
      </c>
      <c r="F691" s="66"/>
      <c r="G691" s="65" t="s">
        <v>25</v>
      </c>
      <c r="H691" s="67"/>
      <c r="I691" s="61" t="str">
        <f>IF($G691="完了","",IF(SUMPRODUCT(($E691=$E$3:E695)*($D691=$D$3:D695)*($C691=$C$3:C695)*("完了"=$G$3:G695))=1,"完了",""))</f>
        <v/>
      </c>
    </row>
    <row r="692" spans="1:9" x14ac:dyDescent="0.2">
      <c r="A692" s="72"/>
      <c r="B692" s="64">
        <f t="shared" si="32"/>
        <v>22</v>
      </c>
      <c r="C692" s="65" t="s">
        <v>582</v>
      </c>
      <c r="D692" s="65" t="s">
        <v>596</v>
      </c>
      <c r="E692" s="65" t="s">
        <v>598</v>
      </c>
      <c r="F692" s="66"/>
      <c r="G692" s="65" t="s">
        <v>25</v>
      </c>
      <c r="H692" s="67"/>
      <c r="I692" s="61" t="str">
        <f>IF($G692="完了","",IF(SUMPRODUCT(($E692=$E$3:E695)*($D692=$D$3:D695)*($C692=$C$3:C695)*("完了"=$G$3:G695))=1,"完了",""))</f>
        <v/>
      </c>
    </row>
    <row r="693" spans="1:9" x14ac:dyDescent="0.2">
      <c r="B693" s="64">
        <f t="shared" si="32"/>
        <v>23</v>
      </c>
      <c r="C693" s="65" t="s">
        <v>582</v>
      </c>
      <c r="D693" s="65" t="s">
        <v>596</v>
      </c>
      <c r="E693" s="65" t="s">
        <v>599</v>
      </c>
      <c r="F693" s="66"/>
      <c r="G693" s="65" t="s">
        <v>25</v>
      </c>
      <c r="H693" s="67"/>
      <c r="I693" s="61" t="str">
        <f>IF($G693="完了","",IF(SUMPRODUCT(($E693=$E$3:E695)*($D693=$D$3:D695)*($C693=$C$3:C695)*("完了"=$G$3:G695))=1,"完了",""))</f>
        <v/>
      </c>
    </row>
    <row r="694" spans="1:9" x14ac:dyDescent="0.2">
      <c r="B694" s="71">
        <f t="shared" si="32"/>
        <v>24</v>
      </c>
      <c r="C694" s="68"/>
      <c r="D694" s="68"/>
      <c r="E694" s="68"/>
      <c r="F694" s="69"/>
      <c r="G694" s="68"/>
      <c r="H694" s="70"/>
      <c r="I694" s="61" t="str">
        <f>IF($G694="完了","",IF(SUMPRODUCT(($E694=$E$3:E695)*($D694=$D$3:D695)*($C694=$C$3:C695)*("完了"=$G$3:G695))=1,"完了",""))</f>
        <v>完了</v>
      </c>
    </row>
    <row r="699" spans="1:9" x14ac:dyDescent="0.2">
      <c r="A699" s="75">
        <v>43566</v>
      </c>
      <c r="B699" s="64" t="s">
        <v>17</v>
      </c>
      <c r="C699" s="65" t="s">
        <v>18</v>
      </c>
      <c r="D699" s="65" t="s">
        <v>448</v>
      </c>
      <c r="E699" s="65" t="s">
        <v>449</v>
      </c>
      <c r="F699" s="66" t="s">
        <v>27</v>
      </c>
      <c r="G699" s="65" t="s">
        <v>20</v>
      </c>
      <c r="H699" s="67" t="s">
        <v>15</v>
      </c>
      <c r="I699" s="60" t="s">
        <v>132</v>
      </c>
    </row>
    <row r="700" spans="1:9" x14ac:dyDescent="0.2">
      <c r="B700" s="64">
        <v>1</v>
      </c>
      <c r="C700" s="65" t="s">
        <v>274</v>
      </c>
      <c r="D700" s="65" t="s">
        <v>611</v>
      </c>
      <c r="E700" s="65" t="s">
        <v>612</v>
      </c>
      <c r="F700" s="66"/>
      <c r="G700" s="65" t="s">
        <v>24</v>
      </c>
      <c r="H700" s="67"/>
      <c r="I700" s="61" t="str">
        <f>IF($G700="完了","",IF(SUMPRODUCT(($E700=$E$3:E724)*($D700=$D$3:D724)*($C700=$C$3:C724)*("完了"=$G$3:G724))=1,"完了",""))</f>
        <v/>
      </c>
    </row>
    <row r="701" spans="1:9" ht="75" x14ac:dyDescent="0.2">
      <c r="B701" s="64">
        <f t="shared" ref="B701:B723" si="33">B700+1</f>
        <v>2</v>
      </c>
      <c r="C701" s="65" t="s">
        <v>421</v>
      </c>
      <c r="D701" s="65" t="s">
        <v>563</v>
      </c>
      <c r="E701" s="65" t="s">
        <v>560</v>
      </c>
      <c r="F701" s="66"/>
      <c r="G701" s="65" t="s">
        <v>114</v>
      </c>
      <c r="H701" s="67" t="s">
        <v>577</v>
      </c>
      <c r="I701" s="61" t="str">
        <f>IF($G701="完了","",IF(SUMPRODUCT(($E701=$E$3:E724)*($D701=$D$3:D724)*($C701=$C$3:C724)*("完了"=$G$3:G724))=1,"完了",""))</f>
        <v>完了</v>
      </c>
    </row>
    <row r="702" spans="1:9" ht="37.5" x14ac:dyDescent="0.2">
      <c r="A702" s="72"/>
      <c r="B702" s="64">
        <f t="shared" si="33"/>
        <v>3</v>
      </c>
      <c r="C702" s="65" t="s">
        <v>421</v>
      </c>
      <c r="D702" s="65" t="s">
        <v>563</v>
      </c>
      <c r="E702" s="65" t="s">
        <v>607</v>
      </c>
      <c r="F702" s="66"/>
      <c r="G702" s="65" t="s">
        <v>25</v>
      </c>
      <c r="H702" s="67" t="s">
        <v>616</v>
      </c>
      <c r="I702" s="61" t="str">
        <f>IF($G702="完了","",IF(SUMPRODUCT(($E702=$E$3:E724)*($D702=$D$3:D724)*($C702=$C$3:C724)*("完了"=$G$3:G724))=1,"完了",""))</f>
        <v/>
      </c>
    </row>
    <row r="703" spans="1:9" x14ac:dyDescent="0.2">
      <c r="B703" s="64">
        <f t="shared" si="33"/>
        <v>4</v>
      </c>
      <c r="C703" s="65" t="s">
        <v>421</v>
      </c>
      <c r="D703" s="65" t="s">
        <v>563</v>
      </c>
      <c r="E703" s="65" t="s">
        <v>608</v>
      </c>
      <c r="F703" s="66"/>
      <c r="G703" s="65" t="s">
        <v>25</v>
      </c>
      <c r="H703" s="67"/>
      <c r="I703" s="61" t="str">
        <f>IF($G703="完了","",IF(SUMPRODUCT(($E703=$E$3:E724)*($D703=$D$3:D724)*($C703=$C$3:C724)*("完了"=$G$3:G724))=1,"完了",""))</f>
        <v/>
      </c>
    </row>
    <row r="704" spans="1:9" x14ac:dyDescent="0.2">
      <c r="B704" s="64">
        <f t="shared" si="33"/>
        <v>5</v>
      </c>
      <c r="C704" s="65" t="s">
        <v>509</v>
      </c>
      <c r="D704" s="65" t="s">
        <v>468</v>
      </c>
      <c r="E704" s="65" t="s">
        <v>510</v>
      </c>
      <c r="F704" s="66"/>
      <c r="G704" s="65" t="s">
        <v>25</v>
      </c>
      <c r="H704" s="67"/>
      <c r="I704" s="61" t="str">
        <f>IF($G704="完了","",IF(SUMPRODUCT(($E704=$E$3:E724)*($D704=$D$3:D724)*($C704=$C$3:C724)*("完了"=$G$3:G724))=1,"完了",""))</f>
        <v/>
      </c>
    </row>
    <row r="705" spans="2:9" ht="125" x14ac:dyDescent="0.2">
      <c r="B705" s="64">
        <f t="shared" si="33"/>
        <v>6</v>
      </c>
      <c r="C705" s="65" t="s">
        <v>509</v>
      </c>
      <c r="D705" s="65" t="s">
        <v>468</v>
      </c>
      <c r="E705" s="67" t="s">
        <v>517</v>
      </c>
      <c r="F705" s="66"/>
      <c r="G705" s="65" t="s">
        <v>114</v>
      </c>
      <c r="H705" s="67" t="s">
        <v>516</v>
      </c>
      <c r="I705" s="61" t="str">
        <f>IF($G705="完了","",IF(SUMPRODUCT(($E705=$E$3:E724)*($D705=$D$3:D724)*($C705=$C$3:C724)*("完了"=$G$3:G724))=1,"完了",""))</f>
        <v/>
      </c>
    </row>
    <row r="706" spans="2:9" ht="50" x14ac:dyDescent="0.2">
      <c r="B706" s="64">
        <f t="shared" si="33"/>
        <v>7</v>
      </c>
      <c r="C706" s="65" t="s">
        <v>523</v>
      </c>
      <c r="D706" s="65" t="s">
        <v>468</v>
      </c>
      <c r="E706" s="65" t="s">
        <v>87</v>
      </c>
      <c r="F706" s="66"/>
      <c r="G706" s="65" t="s">
        <v>25</v>
      </c>
      <c r="H706" s="67" t="s">
        <v>559</v>
      </c>
      <c r="I706" s="61" t="str">
        <f>IF($G706="完了","",IF(SUMPRODUCT(($E706=$E$3:E724)*($D706=$D$3:D724)*($C706=$C$3:C724)*("完了"=$G$3:G724))=1,"完了",""))</f>
        <v/>
      </c>
    </row>
    <row r="707" spans="2:9" x14ac:dyDescent="0.2">
      <c r="B707" s="64">
        <f t="shared" si="33"/>
        <v>8</v>
      </c>
      <c r="C707" s="65" t="s">
        <v>526</v>
      </c>
      <c r="D707" s="65" t="s">
        <v>532</v>
      </c>
      <c r="E707" s="65" t="s">
        <v>600</v>
      </c>
      <c r="F707" s="66"/>
      <c r="G707" s="65" t="s">
        <v>25</v>
      </c>
      <c r="H707" s="67"/>
      <c r="I707" s="61" t="str">
        <f>IF($G707="完了","",IF(SUMPRODUCT(($E707=$E$3:E724)*($D707=$D$3:D724)*($C707=$C$3:C724)*("完了"=$G$3:G724))=1,"完了",""))</f>
        <v/>
      </c>
    </row>
    <row r="708" spans="2:9" x14ac:dyDescent="0.2">
      <c r="B708" s="64">
        <f t="shared" si="33"/>
        <v>9</v>
      </c>
      <c r="C708" s="65" t="s">
        <v>526</v>
      </c>
      <c r="D708" s="65" t="s">
        <v>532</v>
      </c>
      <c r="E708" s="65" t="s">
        <v>601</v>
      </c>
      <c r="F708" s="66"/>
      <c r="G708" s="65" t="s">
        <v>25</v>
      </c>
      <c r="H708" s="67"/>
      <c r="I708" s="61" t="str">
        <f>IF($G708="完了","",IF(SUMPRODUCT(($E708=$E$3:E724)*($D708=$D$3:D724)*($C708=$C$3:C724)*("完了"=$G$3:G724))=1,"完了",""))</f>
        <v/>
      </c>
    </row>
    <row r="709" spans="2:9" x14ac:dyDescent="0.2">
      <c r="B709" s="64">
        <f t="shared" si="33"/>
        <v>10</v>
      </c>
      <c r="C709" s="65" t="s">
        <v>526</v>
      </c>
      <c r="D709" s="65" t="s">
        <v>532</v>
      </c>
      <c r="E709" s="65" t="s">
        <v>602</v>
      </c>
      <c r="F709" s="66"/>
      <c r="G709" s="65" t="s">
        <v>25</v>
      </c>
      <c r="H709" s="67"/>
      <c r="I709" s="61" t="str">
        <f>IF($G709="完了","",IF(SUMPRODUCT(($E709=$E$3:E724)*($D709=$D$3:D724)*($C709=$C$3:C724)*("完了"=$G$3:G724))=1,"完了",""))</f>
        <v/>
      </c>
    </row>
    <row r="710" spans="2:9" x14ac:dyDescent="0.2">
      <c r="B710" s="64">
        <f t="shared" si="33"/>
        <v>11</v>
      </c>
      <c r="C710" s="65" t="s">
        <v>526</v>
      </c>
      <c r="D710" s="65" t="s">
        <v>532</v>
      </c>
      <c r="E710" s="65"/>
      <c r="F710" s="66"/>
      <c r="G710" s="65"/>
      <c r="H710" s="67"/>
      <c r="I710" s="61" t="str">
        <f>IF($G710="完了","",IF(SUMPRODUCT(($E710=$E$3:E724)*($D710=$D$3:D724)*($C710=$C$3:C724)*("完了"=$G$3:G724))=1,"完了",""))</f>
        <v/>
      </c>
    </row>
    <row r="711" spans="2:9" x14ac:dyDescent="0.2">
      <c r="B711" s="64">
        <f t="shared" si="33"/>
        <v>12</v>
      </c>
      <c r="C711" s="65" t="s">
        <v>526</v>
      </c>
      <c r="D711" s="65" t="s">
        <v>532</v>
      </c>
      <c r="E711" s="65"/>
      <c r="F711" s="66"/>
      <c r="G711" s="65"/>
      <c r="H711" s="67"/>
      <c r="I711" s="61" t="str">
        <f>IF($G711="完了","",IF(SUMPRODUCT(($E711=$E$3:E724)*($D711=$D$3:D724)*($C711=$C$3:C724)*("完了"=$G$3:G724))=1,"完了",""))</f>
        <v/>
      </c>
    </row>
    <row r="712" spans="2:9" x14ac:dyDescent="0.2">
      <c r="B712" s="64">
        <f t="shared" si="33"/>
        <v>13</v>
      </c>
      <c r="C712" s="65" t="s">
        <v>613</v>
      </c>
      <c r="D712" s="65" t="s">
        <v>236</v>
      </c>
      <c r="E712" s="65" t="s">
        <v>615</v>
      </c>
      <c r="F712" s="66"/>
      <c r="G712" s="65" t="s">
        <v>25</v>
      </c>
      <c r="H712" s="67"/>
      <c r="I712" s="61" t="str">
        <f>IF($G712="完了","",IF(SUMPRODUCT(($E712=$E$3:E724)*($D712=$D$3:D724)*($C712=$C$3:C724)*("完了"=$G$3:G724))=1,"完了",""))</f>
        <v/>
      </c>
    </row>
    <row r="713" spans="2:9" x14ac:dyDescent="0.2">
      <c r="B713" s="64">
        <f t="shared" si="33"/>
        <v>14</v>
      </c>
      <c r="C713" s="65" t="s">
        <v>545</v>
      </c>
      <c r="D713" s="65" t="s">
        <v>546</v>
      </c>
      <c r="E713" s="65" t="s">
        <v>548</v>
      </c>
      <c r="F713" s="66"/>
      <c r="G713" s="65" t="s">
        <v>25</v>
      </c>
      <c r="H713" s="67"/>
      <c r="I713" s="61" t="str">
        <f>IF($G713="完了","",IF(SUMPRODUCT(($E713=$E$3:E724)*($D713=$D$3:D724)*($C713=$C$3:C724)*("完了"=$G$3:G724))=1,"完了",""))</f>
        <v/>
      </c>
    </row>
    <row r="714" spans="2:9" x14ac:dyDescent="0.2">
      <c r="B714" s="64">
        <f t="shared" si="33"/>
        <v>15</v>
      </c>
      <c r="C714" s="65" t="s">
        <v>545</v>
      </c>
      <c r="D714" s="65" t="s">
        <v>546</v>
      </c>
      <c r="E714" s="65" t="s">
        <v>549</v>
      </c>
      <c r="F714" s="66"/>
      <c r="G714" s="65" t="s">
        <v>25</v>
      </c>
      <c r="H714" s="67"/>
      <c r="I714" s="61" t="str">
        <f>IF($G714="完了","",IF(SUMPRODUCT(($E714=$E$3:E724)*($D714=$D$3:D724)*($C714=$C$3:C724)*("完了"=$G$3:G724))=1,"完了",""))</f>
        <v/>
      </c>
    </row>
    <row r="715" spans="2:9" x14ac:dyDescent="0.2">
      <c r="B715" s="64">
        <f t="shared" si="33"/>
        <v>16</v>
      </c>
      <c r="C715" s="65" t="s">
        <v>582</v>
      </c>
      <c r="D715" s="65" t="s">
        <v>590</v>
      </c>
      <c r="E715" s="65" t="s">
        <v>591</v>
      </c>
      <c r="F715" s="66"/>
      <c r="G715" s="65" t="s">
        <v>25</v>
      </c>
      <c r="H715" s="67"/>
      <c r="I715" s="61" t="str">
        <f>IF($G715="完了","",IF(SUMPRODUCT(($E715=$E$3:E724)*($D715=$D$3:D724)*($C715=$C$3:C724)*("完了"=$G$3:G724))=1,"完了",""))</f>
        <v/>
      </c>
    </row>
    <row r="716" spans="2:9" x14ac:dyDescent="0.2">
      <c r="B716" s="64">
        <f t="shared" si="33"/>
        <v>17</v>
      </c>
      <c r="C716" s="65" t="s">
        <v>582</v>
      </c>
      <c r="D716" s="65" t="s">
        <v>590</v>
      </c>
      <c r="E716" s="65" t="s">
        <v>592</v>
      </c>
      <c r="F716" s="66"/>
      <c r="G716" s="65" t="s">
        <v>25</v>
      </c>
      <c r="H716" s="67"/>
      <c r="I716" s="61" t="str">
        <f>IF($G716="完了","",IF(SUMPRODUCT(($E716=$E$3:E724)*($D716=$D$3:D724)*($C716=$C$3:C724)*("完了"=$G$3:G724))=1,"完了",""))</f>
        <v/>
      </c>
    </row>
    <row r="717" spans="2:9" ht="137.5" x14ac:dyDescent="0.2">
      <c r="B717" s="64">
        <f t="shared" si="33"/>
        <v>18</v>
      </c>
      <c r="C717" s="65" t="s">
        <v>582</v>
      </c>
      <c r="D717" s="65" t="s">
        <v>590</v>
      </c>
      <c r="E717" s="65" t="s">
        <v>593</v>
      </c>
      <c r="F717" s="66"/>
      <c r="G717" s="65" t="s">
        <v>25</v>
      </c>
      <c r="H717" s="67" t="s">
        <v>609</v>
      </c>
      <c r="I717" s="61" t="str">
        <f>IF($G717="完了","",IF(SUMPRODUCT(($E717=$E$3:E724)*($D717=$D$3:D724)*($C717=$C$3:C724)*("完了"=$G$3:G724))=1,"完了",""))</f>
        <v/>
      </c>
    </row>
    <row r="718" spans="2:9" x14ac:dyDescent="0.2">
      <c r="B718" s="64">
        <f t="shared" si="33"/>
        <v>19</v>
      </c>
      <c r="C718" s="65" t="s">
        <v>582</v>
      </c>
      <c r="D718" s="65" t="s">
        <v>594</v>
      </c>
      <c r="E718" s="65" t="s">
        <v>12</v>
      </c>
      <c r="F718" s="66"/>
      <c r="G718" s="65" t="s">
        <v>25</v>
      </c>
      <c r="H718" s="67"/>
      <c r="I718" s="61" t="str">
        <f>IF($G718="完了","",IF(SUMPRODUCT(($E718=$E$3:E724)*($D718=$D$3:D724)*($C718=$C$3:C724)*("完了"=$G$3:G724))=1,"完了",""))</f>
        <v/>
      </c>
    </row>
    <row r="719" spans="2:9" x14ac:dyDescent="0.2">
      <c r="B719" s="64">
        <f t="shared" si="33"/>
        <v>20</v>
      </c>
      <c r="C719" s="65" t="s">
        <v>582</v>
      </c>
      <c r="D719" s="65" t="s">
        <v>595</v>
      </c>
      <c r="E719" s="65" t="s">
        <v>12</v>
      </c>
      <c r="F719" s="66"/>
      <c r="G719" s="65" t="s">
        <v>25</v>
      </c>
      <c r="H719" s="67"/>
      <c r="I719" s="61" t="str">
        <f>IF($G719="完了","",IF(SUMPRODUCT(($E719=$E$3:E724)*($D719=$D$3:D724)*($C719=$C$3:C724)*("完了"=$G$3:G724))=1,"完了",""))</f>
        <v/>
      </c>
    </row>
    <row r="720" spans="2:9" x14ac:dyDescent="0.2">
      <c r="B720" s="64">
        <f t="shared" si="33"/>
        <v>21</v>
      </c>
      <c r="C720" s="65" t="s">
        <v>582</v>
      </c>
      <c r="D720" s="65" t="s">
        <v>596</v>
      </c>
      <c r="E720" s="65" t="s">
        <v>597</v>
      </c>
      <c r="F720" s="66"/>
      <c r="G720" s="65" t="s">
        <v>25</v>
      </c>
      <c r="H720" s="67"/>
      <c r="I720" s="61" t="str">
        <f>IF($G720="完了","",IF(SUMPRODUCT(($E720=$E$3:E724)*($D720=$D$3:D724)*($C720=$C$3:C724)*("完了"=$G$3:G724))=1,"完了",""))</f>
        <v/>
      </c>
    </row>
    <row r="721" spans="1:9" x14ac:dyDescent="0.2">
      <c r="A721" s="72"/>
      <c r="B721" s="64">
        <f t="shared" si="33"/>
        <v>22</v>
      </c>
      <c r="C721" s="65" t="s">
        <v>582</v>
      </c>
      <c r="D721" s="65" t="s">
        <v>596</v>
      </c>
      <c r="E721" s="65" t="s">
        <v>598</v>
      </c>
      <c r="F721" s="66"/>
      <c r="G721" s="65" t="s">
        <v>25</v>
      </c>
      <c r="H721" s="67"/>
      <c r="I721" s="61" t="str">
        <f>IF($G721="完了","",IF(SUMPRODUCT(($E721=$E$3:E724)*($D721=$D$3:D724)*($C721=$C$3:C724)*("完了"=$G$3:G724))=1,"完了",""))</f>
        <v/>
      </c>
    </row>
    <row r="722" spans="1:9" x14ac:dyDescent="0.2">
      <c r="B722" s="64">
        <f t="shared" si="33"/>
        <v>23</v>
      </c>
      <c r="C722" s="65" t="s">
        <v>582</v>
      </c>
      <c r="D722" s="65" t="s">
        <v>596</v>
      </c>
      <c r="E722" s="65" t="s">
        <v>599</v>
      </c>
      <c r="F722" s="66"/>
      <c r="G722" s="65" t="s">
        <v>25</v>
      </c>
      <c r="H722" s="67"/>
      <c r="I722" s="61" t="str">
        <f>IF($G722="完了","",IF(SUMPRODUCT(($E722=$E$3:E724)*($D722=$D$3:D724)*($C722=$C$3:C724)*("完了"=$G$3:G724))=1,"完了",""))</f>
        <v/>
      </c>
    </row>
    <row r="723" spans="1:9" x14ac:dyDescent="0.2">
      <c r="B723" s="71">
        <f t="shared" si="33"/>
        <v>24</v>
      </c>
      <c r="C723" s="68"/>
      <c r="D723" s="68"/>
      <c r="E723" s="68"/>
      <c r="F723" s="69"/>
      <c r="G723" s="68"/>
      <c r="H723" s="70"/>
      <c r="I723" s="61" t="str">
        <f>IF($G723="完了","",IF(SUMPRODUCT(($E723=$E$3:E724)*($D723=$D$3:D724)*($C723=$C$3:C724)*("完了"=$G$3:G724))=1,"完了",""))</f>
        <v>完了</v>
      </c>
    </row>
  </sheetData>
  <sheetProtection sheet="1" objects="1" scenarios="1"/>
  <phoneticPr fontId="2"/>
  <conditionalFormatting sqref="B1:I723">
    <cfRule type="expression" dxfId="19" priority="1" stopIfTrue="1">
      <formula>$I1="完了"</formula>
    </cfRule>
    <cfRule type="expression" dxfId="18" priority="2" stopIfTrue="1">
      <formula>$G1="完了"</formula>
    </cfRule>
    <cfRule type="expression" dxfId="17" priority="3" stopIfTrue="1">
      <formula>$B1="No"</formula>
    </cfRule>
    <cfRule type="expression" dxfId="16" priority="4" stopIfTrue="1">
      <formula>AND($B1&lt;&gt;"No", $B1&lt;&gt;"",MOD(ROW(),2)=0)</formula>
    </cfRule>
  </conditionalFormatting>
  <dataValidations count="1">
    <dataValidation type="list" allowBlank="1" showInputMessage="1" showErrorMessage="1" sqref="G134:G155 G89:G106 G20:G37 G42:G60 G65:G83 G3:G15 G111:G129 G160:G181 G186:G214 G219:G242 G247:G270 G275:G281 G286:G309 G314:G337 G341:G364 G369:G392 G397:G420 G426:G449 G455:G478 G484:G507 G511:G534 G538:G561 G565:G588 G591:G614 G617:G640 G644:G667 G671:G694 G700:G723" xr:uid="{00000000-0002-0000-0100-000000000000}">
      <formula1>"未着手,実施中,完了"</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6"/>
  <sheetViews>
    <sheetView workbookViewId="0">
      <selection activeCell="G19" sqref="G19"/>
    </sheetView>
  </sheetViews>
  <sheetFormatPr defaultRowHeight="13" x14ac:dyDescent="0.2"/>
  <cols>
    <col min="1" max="1" width="29.90625" bestFit="1" customWidth="1"/>
    <col min="2" max="2" width="6.36328125" bestFit="1" customWidth="1"/>
    <col min="7" max="7" width="6.36328125" bestFit="1" customWidth="1"/>
    <col min="12" max="12" width="6.36328125" bestFit="1" customWidth="1"/>
    <col min="17" max="17" width="6.36328125" bestFit="1" customWidth="1"/>
    <col min="22" max="22" width="6.36328125" bestFit="1" customWidth="1"/>
  </cols>
  <sheetData>
    <row r="1" spans="1:26" x14ac:dyDescent="0.2">
      <c r="A1" s="56" t="s">
        <v>0</v>
      </c>
      <c r="B1" s="52" t="s">
        <v>4</v>
      </c>
      <c r="C1" s="50"/>
      <c r="D1" s="50"/>
      <c r="E1" s="50"/>
      <c r="F1" s="53"/>
      <c r="G1" s="52" t="s">
        <v>5</v>
      </c>
      <c r="H1" s="50"/>
      <c r="I1" s="50"/>
      <c r="J1" s="50"/>
      <c r="K1" s="53"/>
      <c r="L1" s="49" t="s">
        <v>6</v>
      </c>
      <c r="M1" s="50"/>
      <c r="N1" s="50"/>
      <c r="O1" s="50"/>
      <c r="P1" s="55"/>
      <c r="Q1" s="52" t="s">
        <v>12</v>
      </c>
      <c r="R1" s="50"/>
      <c r="S1" s="50"/>
      <c r="T1" s="50"/>
      <c r="U1" s="53"/>
      <c r="V1" s="49" t="s">
        <v>13</v>
      </c>
      <c r="W1" s="50"/>
      <c r="X1" s="50"/>
      <c r="Y1" s="50"/>
      <c r="Z1" s="50"/>
    </row>
    <row r="2" spans="1:26" x14ac:dyDescent="0.2">
      <c r="A2" s="56"/>
      <c r="B2" s="52" t="s">
        <v>8</v>
      </c>
      <c r="C2" s="50" t="s">
        <v>7</v>
      </c>
      <c r="D2" s="50"/>
      <c r="E2" s="50" t="s">
        <v>9</v>
      </c>
      <c r="F2" s="53"/>
      <c r="G2" s="52" t="s">
        <v>8</v>
      </c>
      <c r="H2" s="50" t="s">
        <v>7</v>
      </c>
      <c r="I2" s="50"/>
      <c r="J2" s="50" t="s">
        <v>9</v>
      </c>
      <c r="K2" s="53"/>
      <c r="L2" s="49" t="s">
        <v>8</v>
      </c>
      <c r="M2" s="50" t="s">
        <v>7</v>
      </c>
      <c r="N2" s="50"/>
      <c r="O2" s="50" t="s">
        <v>9</v>
      </c>
      <c r="P2" s="55"/>
      <c r="Q2" s="52" t="s">
        <v>8</v>
      </c>
      <c r="R2" s="50" t="s">
        <v>7</v>
      </c>
      <c r="S2" s="50"/>
      <c r="T2" s="50" t="s">
        <v>9</v>
      </c>
      <c r="U2" s="53"/>
      <c r="V2" s="49" t="s">
        <v>8</v>
      </c>
      <c r="W2" s="50" t="s">
        <v>7</v>
      </c>
      <c r="X2" s="50"/>
      <c r="Y2" s="50" t="s">
        <v>9</v>
      </c>
      <c r="Z2" s="50"/>
    </row>
    <row r="3" spans="1:26" ht="13.5" thickBot="1" x14ac:dyDescent="0.25">
      <c r="A3" s="57"/>
      <c r="B3" s="54"/>
      <c r="C3" s="6" t="s">
        <v>10</v>
      </c>
      <c r="D3" s="6" t="s">
        <v>11</v>
      </c>
      <c r="E3" s="6" t="s">
        <v>10</v>
      </c>
      <c r="F3" s="7" t="s">
        <v>11</v>
      </c>
      <c r="G3" s="54"/>
      <c r="H3" s="6" t="s">
        <v>10</v>
      </c>
      <c r="I3" s="6" t="s">
        <v>11</v>
      </c>
      <c r="J3" s="6" t="s">
        <v>10</v>
      </c>
      <c r="K3" s="7" t="s">
        <v>11</v>
      </c>
      <c r="L3" s="51"/>
      <c r="M3" s="6" t="s">
        <v>10</v>
      </c>
      <c r="N3" s="6" t="s">
        <v>11</v>
      </c>
      <c r="O3" s="6" t="s">
        <v>10</v>
      </c>
      <c r="P3" s="8" t="s">
        <v>11</v>
      </c>
      <c r="Q3" s="54"/>
      <c r="R3" s="6" t="s">
        <v>10</v>
      </c>
      <c r="S3" s="6" t="s">
        <v>11</v>
      </c>
      <c r="T3" s="6" t="s">
        <v>10</v>
      </c>
      <c r="U3" s="7" t="s">
        <v>11</v>
      </c>
      <c r="V3" s="51"/>
      <c r="W3" s="6" t="s">
        <v>10</v>
      </c>
      <c r="X3" s="6" t="s">
        <v>11</v>
      </c>
      <c r="Y3" s="6" t="s">
        <v>10</v>
      </c>
      <c r="Z3" s="6" t="s">
        <v>11</v>
      </c>
    </row>
    <row r="4" spans="1:26" ht="13.5" thickTop="1" x14ac:dyDescent="0.2">
      <c r="A4" s="9" t="s">
        <v>1</v>
      </c>
      <c r="B4" s="10"/>
      <c r="C4" s="11"/>
      <c r="D4" s="11"/>
      <c r="E4" s="11"/>
      <c r="F4" s="12"/>
      <c r="G4" s="10"/>
      <c r="H4" s="11"/>
      <c r="I4" s="11"/>
      <c r="J4" s="11"/>
      <c r="K4" s="12"/>
      <c r="L4" s="13"/>
      <c r="M4" s="11"/>
      <c r="N4" s="11"/>
      <c r="O4" s="11"/>
      <c r="P4" s="9"/>
      <c r="Q4" s="10"/>
      <c r="R4" s="11"/>
      <c r="S4" s="11"/>
      <c r="T4" s="11"/>
      <c r="U4" s="12"/>
      <c r="V4" s="13"/>
      <c r="W4" s="11"/>
      <c r="X4" s="11"/>
      <c r="Y4" s="11"/>
      <c r="Z4" s="11"/>
    </row>
    <row r="5" spans="1:26" x14ac:dyDescent="0.2">
      <c r="A5" s="1" t="s">
        <v>2</v>
      </c>
      <c r="B5" s="2"/>
      <c r="C5" s="3"/>
      <c r="D5" s="3"/>
      <c r="E5" s="3"/>
      <c r="F5" s="4"/>
      <c r="G5" s="2"/>
      <c r="H5" s="3"/>
      <c r="I5" s="3"/>
      <c r="J5" s="3"/>
      <c r="K5" s="4"/>
      <c r="L5" s="5"/>
      <c r="M5" s="3"/>
      <c r="N5" s="3"/>
      <c r="O5" s="3"/>
      <c r="P5" s="1"/>
      <c r="Q5" s="2"/>
      <c r="R5" s="3"/>
      <c r="S5" s="3"/>
      <c r="T5" s="3"/>
      <c r="U5" s="4"/>
      <c r="V5" s="5"/>
      <c r="W5" s="3"/>
      <c r="X5" s="3"/>
      <c r="Y5" s="3"/>
      <c r="Z5" s="3"/>
    </row>
    <row r="6" spans="1:26" x14ac:dyDescent="0.2">
      <c r="A6" s="1" t="s">
        <v>3</v>
      </c>
      <c r="B6" s="2"/>
      <c r="C6" s="3"/>
      <c r="D6" s="3"/>
      <c r="E6" s="3"/>
      <c r="F6" s="4"/>
      <c r="G6" s="2"/>
      <c r="H6" s="3"/>
      <c r="I6" s="3"/>
      <c r="J6" s="3"/>
      <c r="K6" s="4"/>
      <c r="L6" s="5"/>
      <c r="M6" s="3"/>
      <c r="N6" s="3"/>
      <c r="O6" s="3"/>
      <c r="P6" s="1"/>
      <c r="Q6" s="2"/>
      <c r="R6" s="3"/>
      <c r="S6" s="3"/>
      <c r="T6" s="3"/>
      <c r="U6" s="4"/>
      <c r="V6" s="5"/>
      <c r="W6" s="3"/>
      <c r="X6" s="3"/>
      <c r="Y6" s="3"/>
      <c r="Z6" s="3"/>
    </row>
  </sheetData>
  <mergeCells count="21">
    <mergeCell ref="A1:A3"/>
    <mergeCell ref="Q1:U1"/>
    <mergeCell ref="Q2:Q3"/>
    <mergeCell ref="R2:S2"/>
    <mergeCell ref="T2:U2"/>
    <mergeCell ref="C2:D2"/>
    <mergeCell ref="E2:F2"/>
    <mergeCell ref="B1:F1"/>
    <mergeCell ref="B2:B3"/>
    <mergeCell ref="V1:Z1"/>
    <mergeCell ref="V2:V3"/>
    <mergeCell ref="W2:X2"/>
    <mergeCell ref="Y2:Z2"/>
    <mergeCell ref="G1:K1"/>
    <mergeCell ref="G2:G3"/>
    <mergeCell ref="H2:I2"/>
    <mergeCell ref="J2:K2"/>
    <mergeCell ref="L1:P1"/>
    <mergeCell ref="L2:L3"/>
    <mergeCell ref="M2:N2"/>
    <mergeCell ref="O2:P2"/>
  </mergeCells>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C8"/>
  <sheetViews>
    <sheetView showGridLines="0" workbookViewId="0"/>
  </sheetViews>
  <sheetFormatPr defaultColWidth="9" defaultRowHeight="15" x14ac:dyDescent="0.2"/>
  <cols>
    <col min="1" max="1" width="2.36328125" style="27" customWidth="1"/>
    <col min="2" max="2" width="66.90625" style="27" bestFit="1" customWidth="1"/>
    <col min="3" max="3" width="9" style="39"/>
    <col min="4" max="16384" width="9" style="27"/>
  </cols>
  <sheetData>
    <row r="2" spans="2:3" x14ac:dyDescent="0.2">
      <c r="B2" s="28" t="s">
        <v>83</v>
      </c>
      <c r="C2" s="38" t="s">
        <v>320</v>
      </c>
    </row>
    <row r="3" spans="2:3" x14ac:dyDescent="0.2">
      <c r="B3" s="29" t="s">
        <v>274</v>
      </c>
      <c r="C3" s="40" t="s">
        <v>321</v>
      </c>
    </row>
    <row r="4" spans="2:3" x14ac:dyDescent="0.2">
      <c r="B4" s="29" t="s">
        <v>116</v>
      </c>
      <c r="C4" s="40" t="s">
        <v>321</v>
      </c>
    </row>
    <row r="5" spans="2:3" x14ac:dyDescent="0.2">
      <c r="B5" s="41" t="s">
        <v>101</v>
      </c>
      <c r="C5" s="42" t="s">
        <v>321</v>
      </c>
    </row>
    <row r="6" spans="2:3" x14ac:dyDescent="0.2">
      <c r="B6" s="41" t="s">
        <v>158</v>
      </c>
      <c r="C6" s="42" t="s">
        <v>321</v>
      </c>
    </row>
    <row r="7" spans="2:3" x14ac:dyDescent="0.2">
      <c r="B7" s="29" t="s">
        <v>324</v>
      </c>
      <c r="C7" s="40" t="s">
        <v>321</v>
      </c>
    </row>
    <row r="8" spans="2:3" x14ac:dyDescent="0.2">
      <c r="B8" s="29" t="s">
        <v>323</v>
      </c>
      <c r="C8" s="40" t="s">
        <v>321</v>
      </c>
    </row>
  </sheetData>
  <phoneticPr fontId="2"/>
  <hyperlinks>
    <hyperlink ref="C6" r:id="rId1" xr:uid="{00000000-0004-0000-0300-000000000000}"/>
    <hyperlink ref="C3" r:id="rId2" xr:uid="{00000000-0004-0000-0300-000001000000}"/>
    <hyperlink ref="C4" r:id="rId3" xr:uid="{00000000-0004-0000-0300-000002000000}"/>
    <hyperlink ref="C5" r:id="rId4" xr:uid="{00000000-0004-0000-0300-000003000000}"/>
    <hyperlink ref="C7" r:id="rId5" xr:uid="{00000000-0004-0000-0300-000004000000}"/>
    <hyperlink ref="C8" r:id="rId6" xr:uid="{00000000-0004-0000-0300-000005000000}"/>
  </hyperlinks>
  <pageMargins left="0.7" right="0.7" top="0.75" bottom="0.75" header="0.3" footer="0.3"/>
  <pageSetup paperSize="9" orientation="portrait" verticalDpi="0"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I427"/>
  <sheetViews>
    <sheetView topLeftCell="A295" zoomScaleNormal="100" workbookViewId="0">
      <selection activeCell="C324" sqref="B318:I336"/>
    </sheetView>
  </sheetViews>
  <sheetFormatPr defaultColWidth="9" defaultRowHeight="12.5" x14ac:dyDescent="0.2"/>
  <cols>
    <col min="1" max="1" width="9" style="14"/>
    <col min="2" max="2" width="9" style="21"/>
    <col min="3" max="3" width="26.90625" style="14" bestFit="1" customWidth="1"/>
    <col min="4" max="4" width="17.453125" style="14" customWidth="1"/>
    <col min="5" max="5" width="30.26953125" style="14" customWidth="1"/>
    <col min="6" max="6" width="12.26953125" style="21" bestFit="1" customWidth="1"/>
    <col min="7" max="7" width="9" style="14"/>
    <col min="8" max="8" width="24.90625" style="14" customWidth="1"/>
    <col min="9" max="16384" width="9" style="14"/>
  </cols>
  <sheetData>
    <row r="1" spans="1:9" x14ac:dyDescent="0.2">
      <c r="A1" s="15" t="s">
        <v>21</v>
      </c>
    </row>
    <row r="2" spans="1:9" ht="13.5" customHeight="1" x14ac:dyDescent="0.2">
      <c r="B2" s="22" t="s">
        <v>17</v>
      </c>
      <c r="C2" s="19" t="s">
        <v>18</v>
      </c>
      <c r="D2" s="19" t="s">
        <v>19</v>
      </c>
      <c r="E2" s="19" t="s">
        <v>14</v>
      </c>
      <c r="F2" s="24" t="s">
        <v>27</v>
      </c>
      <c r="G2" s="19" t="s">
        <v>20</v>
      </c>
      <c r="H2" s="20" t="s">
        <v>15</v>
      </c>
      <c r="I2" s="19" t="s">
        <v>132</v>
      </c>
    </row>
    <row r="3" spans="1:9" ht="13.5" customHeight="1" x14ac:dyDescent="0.2">
      <c r="B3" s="23">
        <v>1</v>
      </c>
      <c r="C3" s="15" t="s">
        <v>82</v>
      </c>
      <c r="D3" s="15" t="s">
        <v>16</v>
      </c>
      <c r="E3" s="15"/>
      <c r="F3" s="25">
        <v>1.1000000000000001</v>
      </c>
      <c r="G3" s="15" t="s">
        <v>24</v>
      </c>
      <c r="H3" s="16"/>
      <c r="I3" s="15"/>
    </row>
    <row r="4" spans="1:9" x14ac:dyDescent="0.2">
      <c r="B4" s="23">
        <f>B3+1</f>
        <v>2</v>
      </c>
      <c r="C4" s="15"/>
      <c r="D4" s="15" t="s">
        <v>23</v>
      </c>
      <c r="E4" s="15"/>
      <c r="F4" s="25">
        <v>1.2</v>
      </c>
      <c r="G4" s="15" t="s">
        <v>24</v>
      </c>
      <c r="H4" s="16"/>
      <c r="I4" s="15"/>
    </row>
    <row r="5" spans="1:9" x14ac:dyDescent="0.2">
      <c r="B5" s="23">
        <f t="shared" ref="B5:B20" si="0">B4+1</f>
        <v>3</v>
      </c>
      <c r="C5" s="15"/>
      <c r="D5" s="15" t="s">
        <v>31</v>
      </c>
      <c r="E5" s="15" t="s">
        <v>30</v>
      </c>
      <c r="F5" s="25">
        <v>2.1</v>
      </c>
      <c r="G5" s="15" t="s">
        <v>24</v>
      </c>
      <c r="H5" s="16"/>
      <c r="I5" s="15"/>
    </row>
    <row r="6" spans="1:9" x14ac:dyDescent="0.2">
      <c r="B6" s="23">
        <f t="shared" si="0"/>
        <v>4</v>
      </c>
      <c r="C6" s="15" t="s">
        <v>26</v>
      </c>
      <c r="D6" s="15" t="s">
        <v>40</v>
      </c>
      <c r="E6" s="15" t="s">
        <v>41</v>
      </c>
      <c r="F6" s="25">
        <v>1.1000000000000001</v>
      </c>
      <c r="G6" s="15" t="s">
        <v>24</v>
      </c>
      <c r="H6" s="16"/>
      <c r="I6" s="15"/>
    </row>
    <row r="7" spans="1:9" x14ac:dyDescent="0.2">
      <c r="B7" s="23">
        <f t="shared" si="0"/>
        <v>5</v>
      </c>
      <c r="C7" s="15"/>
      <c r="D7" s="15" t="s">
        <v>40</v>
      </c>
      <c r="E7" s="15" t="s">
        <v>42</v>
      </c>
      <c r="F7" s="25">
        <v>1.2</v>
      </c>
      <c r="G7" s="15" t="s">
        <v>24</v>
      </c>
      <c r="H7" s="16"/>
      <c r="I7" s="15"/>
    </row>
    <row r="8" spans="1:9" x14ac:dyDescent="0.2">
      <c r="B8" s="23">
        <f t="shared" si="0"/>
        <v>6</v>
      </c>
      <c r="C8" s="15" t="s">
        <v>53</v>
      </c>
      <c r="D8" s="15" t="s">
        <v>4</v>
      </c>
      <c r="E8" s="15" t="s">
        <v>52</v>
      </c>
      <c r="F8" s="25" t="s">
        <v>54</v>
      </c>
      <c r="G8" s="15" t="s">
        <v>24</v>
      </c>
      <c r="H8" s="16"/>
      <c r="I8" s="15"/>
    </row>
    <row r="9" spans="1:9" x14ac:dyDescent="0.2">
      <c r="B9" s="23">
        <f t="shared" si="0"/>
        <v>7</v>
      </c>
      <c r="C9" s="15" t="s">
        <v>62</v>
      </c>
      <c r="D9" s="15" t="s">
        <v>4</v>
      </c>
      <c r="E9" s="15" t="s">
        <v>81</v>
      </c>
      <c r="F9" s="25" t="s">
        <v>54</v>
      </c>
      <c r="G9" s="15" t="s">
        <v>24</v>
      </c>
      <c r="H9" s="16" t="s">
        <v>73</v>
      </c>
      <c r="I9" s="15"/>
    </row>
    <row r="10" spans="1:9" x14ac:dyDescent="0.2">
      <c r="B10" s="23">
        <f t="shared" si="0"/>
        <v>8</v>
      </c>
      <c r="C10" s="15"/>
      <c r="D10" s="15" t="s">
        <v>4</v>
      </c>
      <c r="E10" s="15" t="s">
        <v>63</v>
      </c>
      <c r="F10" s="25" t="s">
        <v>56</v>
      </c>
      <c r="G10" s="15" t="s">
        <v>24</v>
      </c>
      <c r="H10" s="16" t="s">
        <v>73</v>
      </c>
      <c r="I10" s="15"/>
    </row>
    <row r="11" spans="1:9" x14ac:dyDescent="0.2">
      <c r="B11" s="23">
        <f t="shared" si="0"/>
        <v>9</v>
      </c>
      <c r="C11" s="15"/>
      <c r="D11" s="15" t="s">
        <v>4</v>
      </c>
      <c r="E11" s="15" t="s">
        <v>69</v>
      </c>
      <c r="F11" s="25" t="s">
        <v>59</v>
      </c>
      <c r="G11" s="15" t="s">
        <v>24</v>
      </c>
      <c r="H11" s="16" t="s">
        <v>73</v>
      </c>
      <c r="I11" s="15"/>
    </row>
    <row r="12" spans="1:9" x14ac:dyDescent="0.2">
      <c r="B12" s="23">
        <f t="shared" si="0"/>
        <v>10</v>
      </c>
      <c r="C12" s="15"/>
      <c r="D12" s="15" t="s">
        <v>4</v>
      </c>
      <c r="E12" s="15" t="s">
        <v>64</v>
      </c>
      <c r="F12" s="25" t="s">
        <v>61</v>
      </c>
      <c r="G12" s="15" t="s">
        <v>24</v>
      </c>
      <c r="H12" s="16" t="s">
        <v>73</v>
      </c>
      <c r="I12" s="15"/>
    </row>
    <row r="13" spans="1:9" x14ac:dyDescent="0.2">
      <c r="B13" s="23">
        <f t="shared" si="0"/>
        <v>11</v>
      </c>
      <c r="C13" s="15"/>
      <c r="D13" s="15" t="s">
        <v>4</v>
      </c>
      <c r="E13" s="15" t="s">
        <v>65</v>
      </c>
      <c r="F13" s="25" t="s">
        <v>67</v>
      </c>
      <c r="G13" s="15" t="s">
        <v>24</v>
      </c>
      <c r="H13" s="16" t="s">
        <v>73</v>
      </c>
      <c r="I13" s="15"/>
    </row>
    <row r="14" spans="1:9" x14ac:dyDescent="0.2">
      <c r="B14" s="23">
        <f t="shared" si="0"/>
        <v>12</v>
      </c>
      <c r="C14" s="15"/>
      <c r="D14" s="15" t="s">
        <v>4</v>
      </c>
      <c r="E14" s="15" t="s">
        <v>66</v>
      </c>
      <c r="F14" s="25" t="s">
        <v>68</v>
      </c>
      <c r="G14" s="15" t="s">
        <v>24</v>
      </c>
      <c r="H14" s="16" t="s">
        <v>73</v>
      </c>
      <c r="I14" s="15"/>
    </row>
    <row r="15" spans="1:9" x14ac:dyDescent="0.2">
      <c r="B15" s="23">
        <f t="shared" si="0"/>
        <v>13</v>
      </c>
      <c r="C15" s="15"/>
      <c r="D15" s="15"/>
      <c r="E15" s="15"/>
      <c r="F15" s="25"/>
      <c r="G15" s="15"/>
      <c r="H15" s="16"/>
      <c r="I15" s="15"/>
    </row>
    <row r="16" spans="1:9" x14ac:dyDescent="0.2">
      <c r="B16" s="23">
        <f t="shared" si="0"/>
        <v>14</v>
      </c>
      <c r="C16" s="15"/>
      <c r="D16" s="15"/>
      <c r="E16" s="15"/>
      <c r="F16" s="25"/>
      <c r="G16" s="15"/>
      <c r="H16" s="16"/>
      <c r="I16" s="15"/>
    </row>
    <row r="17" spans="1:9" x14ac:dyDescent="0.2">
      <c r="B17" s="23">
        <f t="shared" si="0"/>
        <v>15</v>
      </c>
      <c r="C17" s="15"/>
      <c r="D17" s="15"/>
      <c r="E17" s="15"/>
      <c r="F17" s="25"/>
      <c r="G17" s="15"/>
      <c r="H17" s="16"/>
      <c r="I17" s="15"/>
    </row>
    <row r="18" spans="1:9" x14ac:dyDescent="0.2">
      <c r="B18" s="23">
        <f t="shared" si="0"/>
        <v>16</v>
      </c>
      <c r="C18" s="15"/>
      <c r="D18" s="15"/>
      <c r="E18" s="15"/>
      <c r="F18" s="25"/>
      <c r="G18" s="15"/>
      <c r="H18" s="16"/>
      <c r="I18" s="15"/>
    </row>
    <row r="19" spans="1:9" x14ac:dyDescent="0.2">
      <c r="B19" s="23">
        <f t="shared" si="0"/>
        <v>17</v>
      </c>
      <c r="C19" s="15"/>
      <c r="D19" s="15"/>
      <c r="E19" s="15"/>
      <c r="F19" s="25"/>
      <c r="G19" s="15"/>
      <c r="H19" s="16"/>
      <c r="I19" s="15"/>
    </row>
    <row r="20" spans="1:9" x14ac:dyDescent="0.2">
      <c r="B20" s="23">
        <f t="shared" si="0"/>
        <v>18</v>
      </c>
      <c r="C20" s="17"/>
      <c r="D20" s="17"/>
      <c r="E20" s="17"/>
      <c r="F20" s="26"/>
      <c r="G20" s="15"/>
      <c r="H20" s="18"/>
      <c r="I20" s="15"/>
    </row>
    <row r="23" spans="1:9" x14ac:dyDescent="0.2">
      <c r="A23" s="15" t="s">
        <v>28</v>
      </c>
    </row>
    <row r="24" spans="1:9" ht="13.5" customHeight="1" x14ac:dyDescent="0.2">
      <c r="B24" s="22" t="s">
        <v>17</v>
      </c>
      <c r="C24" s="19" t="s">
        <v>18</v>
      </c>
      <c r="D24" s="19" t="s">
        <v>19</v>
      </c>
      <c r="E24" s="19" t="s">
        <v>14</v>
      </c>
      <c r="F24" s="24" t="s">
        <v>27</v>
      </c>
      <c r="G24" s="19" t="s">
        <v>20</v>
      </c>
      <c r="H24" s="20" t="s">
        <v>15</v>
      </c>
      <c r="I24" s="19" t="s">
        <v>132</v>
      </c>
    </row>
    <row r="25" spans="1:9" ht="13.5" customHeight="1" x14ac:dyDescent="0.2">
      <c r="B25" s="23">
        <v>1</v>
      </c>
      <c r="C25" s="15" t="s">
        <v>22</v>
      </c>
      <c r="D25" s="15" t="s">
        <v>29</v>
      </c>
      <c r="E25" s="15" t="s">
        <v>32</v>
      </c>
      <c r="F25" s="25">
        <v>2.1</v>
      </c>
      <c r="G25" s="15" t="s">
        <v>24</v>
      </c>
      <c r="H25" s="16"/>
      <c r="I25" s="15"/>
    </row>
    <row r="26" spans="1:9" x14ac:dyDescent="0.2">
      <c r="B26" s="23">
        <f>B25+1</f>
        <v>2</v>
      </c>
      <c r="C26" s="15" t="s">
        <v>26</v>
      </c>
      <c r="D26" s="15" t="s">
        <v>44</v>
      </c>
      <c r="E26" s="15" t="s">
        <v>45</v>
      </c>
      <c r="F26" s="25" t="s">
        <v>46</v>
      </c>
      <c r="G26" s="15" t="s">
        <v>24</v>
      </c>
      <c r="H26" s="16"/>
      <c r="I26" s="15"/>
    </row>
    <row r="27" spans="1:9" x14ac:dyDescent="0.2">
      <c r="B27" s="23">
        <f t="shared" ref="B27:B35" si="1">B26+1</f>
        <v>3</v>
      </c>
      <c r="C27" s="15" t="s">
        <v>53</v>
      </c>
      <c r="D27" s="15" t="s">
        <v>4</v>
      </c>
      <c r="E27" s="15" t="s">
        <v>55</v>
      </c>
      <c r="F27" s="25" t="s">
        <v>57</v>
      </c>
      <c r="G27" s="15" t="s">
        <v>25</v>
      </c>
      <c r="H27" s="16"/>
      <c r="I27" s="15" t="s">
        <v>24</v>
      </c>
    </row>
    <row r="28" spans="1:9" x14ac:dyDescent="0.2">
      <c r="B28" s="23">
        <f t="shared" si="1"/>
        <v>4</v>
      </c>
      <c r="C28" s="15"/>
      <c r="D28" s="15"/>
      <c r="E28" s="15" t="s">
        <v>58</v>
      </c>
      <c r="F28" s="25" t="s">
        <v>59</v>
      </c>
      <c r="G28" s="15" t="s">
        <v>25</v>
      </c>
      <c r="H28" s="16"/>
      <c r="I28" s="15" t="s">
        <v>24</v>
      </c>
    </row>
    <row r="29" spans="1:9" x14ac:dyDescent="0.2">
      <c r="B29" s="23">
        <f t="shared" si="1"/>
        <v>5</v>
      </c>
      <c r="C29" s="15"/>
      <c r="D29" s="15"/>
      <c r="E29" s="15" t="s">
        <v>60</v>
      </c>
      <c r="F29" s="25" t="s">
        <v>61</v>
      </c>
      <c r="G29" s="15" t="s">
        <v>25</v>
      </c>
      <c r="H29" s="16"/>
      <c r="I29" s="15" t="s">
        <v>24</v>
      </c>
    </row>
    <row r="30" spans="1:9" x14ac:dyDescent="0.2">
      <c r="B30" s="23">
        <f t="shared" si="1"/>
        <v>6</v>
      </c>
      <c r="C30" s="15" t="s">
        <v>62</v>
      </c>
      <c r="D30" s="15" t="s">
        <v>70</v>
      </c>
      <c r="E30" s="15" t="s">
        <v>71</v>
      </c>
      <c r="F30" s="25" t="s">
        <v>72</v>
      </c>
      <c r="G30" s="15" t="s">
        <v>24</v>
      </c>
      <c r="H30" s="16" t="s">
        <v>74</v>
      </c>
      <c r="I30" s="15"/>
    </row>
    <row r="31" spans="1:9" x14ac:dyDescent="0.2">
      <c r="B31" s="23">
        <f t="shared" si="1"/>
        <v>7</v>
      </c>
      <c r="C31" s="15" t="s">
        <v>84</v>
      </c>
      <c r="D31" s="15" t="s">
        <v>87</v>
      </c>
      <c r="E31" s="15" t="s">
        <v>88</v>
      </c>
      <c r="F31" s="25">
        <v>3.1</v>
      </c>
      <c r="G31" s="15" t="s">
        <v>24</v>
      </c>
      <c r="H31" s="16"/>
      <c r="I31" s="15"/>
    </row>
    <row r="32" spans="1:9" x14ac:dyDescent="0.2">
      <c r="B32" s="23">
        <f t="shared" si="1"/>
        <v>8</v>
      </c>
      <c r="C32" s="15"/>
      <c r="D32" s="15" t="s">
        <v>85</v>
      </c>
      <c r="E32" s="15" t="s">
        <v>86</v>
      </c>
      <c r="F32" s="25" t="s">
        <v>89</v>
      </c>
      <c r="G32" s="15" t="s">
        <v>24</v>
      </c>
      <c r="H32" s="16"/>
      <c r="I32" s="15"/>
    </row>
    <row r="33" spans="1:9" x14ac:dyDescent="0.2">
      <c r="B33" s="23">
        <f t="shared" si="1"/>
        <v>9</v>
      </c>
      <c r="C33" s="15"/>
      <c r="D33" s="15" t="s">
        <v>90</v>
      </c>
      <c r="E33" s="15" t="s">
        <v>91</v>
      </c>
      <c r="F33" s="25" t="s">
        <v>92</v>
      </c>
      <c r="G33" s="15" t="s">
        <v>24</v>
      </c>
      <c r="H33" s="16"/>
      <c r="I33" s="15"/>
    </row>
    <row r="34" spans="1:9" x14ac:dyDescent="0.2">
      <c r="B34" s="23">
        <f t="shared" si="1"/>
        <v>10</v>
      </c>
      <c r="C34" s="15"/>
      <c r="D34" s="15"/>
      <c r="E34" s="15"/>
      <c r="F34" s="25"/>
      <c r="G34" s="15"/>
      <c r="H34" s="16"/>
      <c r="I34" s="15"/>
    </row>
    <row r="35" spans="1:9" x14ac:dyDescent="0.2">
      <c r="B35" s="23">
        <f t="shared" si="1"/>
        <v>11</v>
      </c>
      <c r="C35" s="17"/>
      <c r="D35" s="17"/>
      <c r="E35" s="17"/>
      <c r="F35" s="26"/>
      <c r="G35" s="15"/>
      <c r="H35" s="18"/>
      <c r="I35" s="15"/>
    </row>
    <row r="38" spans="1:9" x14ac:dyDescent="0.2">
      <c r="A38" s="15" t="s">
        <v>36</v>
      </c>
    </row>
    <row r="39" spans="1:9" ht="13.5" customHeight="1" x14ac:dyDescent="0.2">
      <c r="B39" s="22" t="s">
        <v>17</v>
      </c>
      <c r="C39" s="19" t="s">
        <v>18</v>
      </c>
      <c r="D39" s="19" t="s">
        <v>19</v>
      </c>
      <c r="E39" s="19" t="s">
        <v>14</v>
      </c>
      <c r="F39" s="24" t="s">
        <v>27</v>
      </c>
      <c r="G39" s="19" t="s">
        <v>20</v>
      </c>
      <c r="H39" s="20" t="s">
        <v>15</v>
      </c>
      <c r="I39" s="19" t="s">
        <v>132</v>
      </c>
    </row>
    <row r="40" spans="1:9" ht="13.5" customHeight="1" x14ac:dyDescent="0.2">
      <c r="B40" s="23">
        <v>1</v>
      </c>
      <c r="C40" s="15" t="s">
        <v>22</v>
      </c>
      <c r="D40" s="15" t="s">
        <v>33</v>
      </c>
      <c r="E40" s="15"/>
      <c r="F40" s="25" t="s">
        <v>38</v>
      </c>
      <c r="G40" s="15" t="s">
        <v>24</v>
      </c>
      <c r="H40" s="16"/>
      <c r="I40" s="15"/>
    </row>
    <row r="41" spans="1:9" x14ac:dyDescent="0.2">
      <c r="B41" s="23">
        <f>B40+1</f>
        <v>2</v>
      </c>
      <c r="C41" s="15"/>
      <c r="D41" s="15" t="s">
        <v>37</v>
      </c>
      <c r="E41" s="15" t="s">
        <v>103</v>
      </c>
      <c r="F41" s="25" t="s">
        <v>39</v>
      </c>
      <c r="G41" s="15" t="s">
        <v>24</v>
      </c>
      <c r="H41" s="16"/>
      <c r="I41" s="15"/>
    </row>
    <row r="42" spans="1:9" x14ac:dyDescent="0.2">
      <c r="B42" s="23">
        <f t="shared" ref="B42:B58" si="2">B41+1</f>
        <v>3</v>
      </c>
      <c r="C42" s="15"/>
      <c r="D42" s="15" t="s">
        <v>34</v>
      </c>
      <c r="E42" s="15"/>
      <c r="F42" s="25" t="s">
        <v>35</v>
      </c>
      <c r="G42" s="15" t="s">
        <v>24</v>
      </c>
      <c r="H42" s="16"/>
      <c r="I42" s="15"/>
    </row>
    <row r="43" spans="1:9" x14ac:dyDescent="0.2">
      <c r="B43" s="23">
        <f t="shared" si="2"/>
        <v>4</v>
      </c>
      <c r="C43" s="15" t="s">
        <v>26</v>
      </c>
      <c r="D43" s="15" t="s">
        <v>44</v>
      </c>
      <c r="E43" s="15" t="s">
        <v>47</v>
      </c>
      <c r="F43" s="25" t="s">
        <v>48</v>
      </c>
      <c r="G43" s="15" t="s">
        <v>24</v>
      </c>
      <c r="H43" s="16"/>
      <c r="I43" s="15"/>
    </row>
    <row r="44" spans="1:9" x14ac:dyDescent="0.2">
      <c r="B44" s="23">
        <f t="shared" si="2"/>
        <v>5</v>
      </c>
      <c r="C44" s="15" t="s">
        <v>53</v>
      </c>
      <c r="D44" s="15" t="s">
        <v>77</v>
      </c>
      <c r="E44" s="15" t="s">
        <v>55</v>
      </c>
      <c r="F44" s="25" t="s">
        <v>78</v>
      </c>
      <c r="G44" s="15" t="s">
        <v>25</v>
      </c>
      <c r="H44" s="16"/>
      <c r="I44" s="15" t="s">
        <v>24</v>
      </c>
    </row>
    <row r="45" spans="1:9" x14ac:dyDescent="0.2">
      <c r="B45" s="23">
        <f t="shared" si="2"/>
        <v>6</v>
      </c>
      <c r="C45" s="15"/>
      <c r="D45" s="15"/>
      <c r="E45" s="15" t="s">
        <v>58</v>
      </c>
      <c r="F45" s="25" t="s">
        <v>79</v>
      </c>
      <c r="G45" s="15" t="s">
        <v>25</v>
      </c>
      <c r="H45" s="16"/>
      <c r="I45" s="15" t="s">
        <v>24</v>
      </c>
    </row>
    <row r="46" spans="1:9" x14ac:dyDescent="0.2">
      <c r="B46" s="23">
        <f t="shared" si="2"/>
        <v>7</v>
      </c>
      <c r="C46" s="15"/>
      <c r="D46" s="15"/>
      <c r="E46" s="15" t="s">
        <v>60</v>
      </c>
      <c r="F46" s="25" t="s">
        <v>80</v>
      </c>
      <c r="G46" s="15" t="s">
        <v>25</v>
      </c>
      <c r="H46" s="16"/>
      <c r="I46" s="15" t="s">
        <v>24</v>
      </c>
    </row>
    <row r="47" spans="1:9" x14ac:dyDescent="0.2">
      <c r="B47" s="23">
        <f t="shared" si="2"/>
        <v>8</v>
      </c>
      <c r="C47" s="15" t="s">
        <v>62</v>
      </c>
      <c r="D47" s="15" t="s">
        <v>75</v>
      </c>
      <c r="E47" s="15"/>
      <c r="F47" s="25" t="s">
        <v>76</v>
      </c>
      <c r="G47" s="15" t="s">
        <v>24</v>
      </c>
      <c r="H47" s="16" t="s">
        <v>74</v>
      </c>
      <c r="I47" s="15"/>
    </row>
    <row r="48" spans="1:9" x14ac:dyDescent="0.2">
      <c r="B48" s="23">
        <f t="shared" si="2"/>
        <v>9</v>
      </c>
      <c r="C48" s="15" t="s">
        <v>84</v>
      </c>
      <c r="D48" s="15" t="s">
        <v>90</v>
      </c>
      <c r="E48" s="15" t="s">
        <v>96</v>
      </c>
      <c r="F48" s="25" t="s">
        <v>94</v>
      </c>
      <c r="G48" s="15" t="s">
        <v>24</v>
      </c>
      <c r="H48" s="16"/>
      <c r="I48" s="15"/>
    </row>
    <row r="49" spans="1:9" x14ac:dyDescent="0.2">
      <c r="B49" s="23">
        <f t="shared" si="2"/>
        <v>10</v>
      </c>
      <c r="C49" s="15"/>
      <c r="D49" s="15" t="s">
        <v>90</v>
      </c>
      <c r="E49" s="15" t="s">
        <v>93</v>
      </c>
      <c r="F49" s="25" t="s">
        <v>95</v>
      </c>
      <c r="G49" s="15" t="s">
        <v>24</v>
      </c>
      <c r="H49" s="16"/>
      <c r="I49" s="15"/>
    </row>
    <row r="50" spans="1:9" x14ac:dyDescent="0.2">
      <c r="B50" s="30">
        <f t="shared" si="2"/>
        <v>11</v>
      </c>
      <c r="C50" s="17"/>
      <c r="D50" s="17" t="s">
        <v>90</v>
      </c>
      <c r="E50" s="17" t="s">
        <v>97</v>
      </c>
      <c r="F50" s="26"/>
      <c r="G50" s="17" t="s">
        <v>24</v>
      </c>
      <c r="H50" s="18"/>
      <c r="I50" s="15"/>
    </row>
    <row r="51" spans="1:9" x14ac:dyDescent="0.2">
      <c r="B51" s="30">
        <f t="shared" si="2"/>
        <v>12</v>
      </c>
      <c r="C51" s="15"/>
      <c r="D51" s="31" t="s">
        <v>99</v>
      </c>
      <c r="E51" s="31" t="s">
        <v>100</v>
      </c>
      <c r="F51" s="32">
        <v>5.0999999999999996</v>
      </c>
      <c r="G51" s="31" t="s">
        <v>24</v>
      </c>
      <c r="H51" s="16"/>
      <c r="I51" s="15"/>
    </row>
    <row r="52" spans="1:9" x14ac:dyDescent="0.2">
      <c r="B52" s="30">
        <f t="shared" si="2"/>
        <v>13</v>
      </c>
      <c r="C52" s="15"/>
      <c r="D52" s="31" t="s">
        <v>99</v>
      </c>
      <c r="E52" s="31" t="s">
        <v>102</v>
      </c>
      <c r="F52" s="32">
        <v>5.2</v>
      </c>
      <c r="G52" s="31" t="s">
        <v>24</v>
      </c>
      <c r="H52" s="16"/>
      <c r="I52" s="15"/>
    </row>
    <row r="53" spans="1:9" x14ac:dyDescent="0.2">
      <c r="B53" s="30">
        <f t="shared" si="2"/>
        <v>14</v>
      </c>
      <c r="C53" s="15"/>
      <c r="D53" s="31" t="s">
        <v>99</v>
      </c>
      <c r="E53" s="31" t="s">
        <v>98</v>
      </c>
      <c r="F53" s="32">
        <v>5.2</v>
      </c>
      <c r="G53" s="31" t="s">
        <v>24</v>
      </c>
      <c r="H53" s="16"/>
      <c r="I53" s="15"/>
    </row>
    <row r="54" spans="1:9" x14ac:dyDescent="0.2">
      <c r="B54" s="30">
        <f t="shared" si="2"/>
        <v>15</v>
      </c>
      <c r="C54" s="15"/>
      <c r="D54" s="15"/>
      <c r="E54" s="15"/>
      <c r="F54" s="25"/>
      <c r="G54" s="15"/>
      <c r="H54" s="16"/>
      <c r="I54" s="15"/>
    </row>
    <row r="55" spans="1:9" x14ac:dyDescent="0.2">
      <c r="B55" s="30">
        <f t="shared" si="2"/>
        <v>16</v>
      </c>
      <c r="C55" s="15"/>
      <c r="D55" s="15"/>
      <c r="E55" s="15"/>
      <c r="F55" s="25"/>
      <c r="G55" s="15"/>
      <c r="H55" s="16"/>
      <c r="I55" s="15"/>
    </row>
    <row r="56" spans="1:9" x14ac:dyDescent="0.2">
      <c r="B56" s="30">
        <f t="shared" si="2"/>
        <v>17</v>
      </c>
      <c r="C56" s="15"/>
      <c r="D56" s="15"/>
      <c r="E56" s="15"/>
      <c r="F56" s="25"/>
      <c r="G56" s="15"/>
      <c r="H56" s="16"/>
      <c r="I56" s="15"/>
    </row>
    <row r="57" spans="1:9" x14ac:dyDescent="0.2">
      <c r="B57" s="30">
        <f t="shared" si="2"/>
        <v>18</v>
      </c>
      <c r="C57" s="15"/>
      <c r="D57" s="15"/>
      <c r="E57" s="15"/>
      <c r="F57" s="25"/>
      <c r="G57" s="15"/>
      <c r="H57" s="16"/>
      <c r="I57" s="15"/>
    </row>
    <row r="58" spans="1:9" x14ac:dyDescent="0.2">
      <c r="B58" s="30">
        <f t="shared" si="2"/>
        <v>19</v>
      </c>
      <c r="C58" s="15"/>
      <c r="D58" s="15"/>
      <c r="E58" s="15"/>
      <c r="F58" s="25"/>
      <c r="G58" s="15"/>
      <c r="H58" s="16"/>
      <c r="I58" s="15"/>
    </row>
    <row r="61" spans="1:9" x14ac:dyDescent="0.2">
      <c r="A61" s="15" t="s">
        <v>49</v>
      </c>
    </row>
    <row r="62" spans="1:9" x14ac:dyDescent="0.2">
      <c r="B62" s="22" t="s">
        <v>17</v>
      </c>
      <c r="C62" s="19" t="s">
        <v>18</v>
      </c>
      <c r="D62" s="19" t="s">
        <v>19</v>
      </c>
      <c r="E62" s="19" t="s">
        <v>14</v>
      </c>
      <c r="F62" s="24" t="s">
        <v>27</v>
      </c>
      <c r="G62" s="19" t="s">
        <v>20</v>
      </c>
      <c r="H62" s="20" t="s">
        <v>15</v>
      </c>
      <c r="I62" s="19" t="s">
        <v>132</v>
      </c>
    </row>
    <row r="63" spans="1:9" x14ac:dyDescent="0.2">
      <c r="B63" s="23">
        <v>1</v>
      </c>
      <c r="C63" s="15" t="s">
        <v>22</v>
      </c>
      <c r="D63" s="15" t="s">
        <v>100</v>
      </c>
      <c r="E63" s="15" t="s">
        <v>104</v>
      </c>
      <c r="F63" s="25"/>
      <c r="G63" s="15" t="s">
        <v>24</v>
      </c>
      <c r="H63" s="16"/>
      <c r="I63" s="33"/>
    </row>
    <row r="64" spans="1:9" x14ac:dyDescent="0.2">
      <c r="B64" s="23">
        <f>B63+1</f>
        <v>2</v>
      </c>
      <c r="C64" s="15" t="s">
        <v>84</v>
      </c>
      <c r="D64" s="15" t="s">
        <v>37</v>
      </c>
      <c r="E64" s="15" t="s">
        <v>103</v>
      </c>
      <c r="F64" s="25"/>
      <c r="G64" s="15" t="s">
        <v>24</v>
      </c>
      <c r="H64" s="16"/>
      <c r="I64" s="15"/>
    </row>
    <row r="65" spans="1:9" x14ac:dyDescent="0.2">
      <c r="B65" s="23">
        <f t="shared" ref="B65:B73" si="3">B64+1</f>
        <v>3</v>
      </c>
      <c r="C65" s="17"/>
      <c r="D65" s="15" t="s">
        <v>100</v>
      </c>
      <c r="E65" s="15" t="s">
        <v>104</v>
      </c>
      <c r="F65" s="26"/>
      <c r="G65" s="15" t="s">
        <v>24</v>
      </c>
      <c r="H65" s="16"/>
      <c r="I65" s="15"/>
    </row>
    <row r="66" spans="1:9" x14ac:dyDescent="0.2">
      <c r="B66" s="23">
        <f t="shared" si="3"/>
        <v>4</v>
      </c>
      <c r="C66" s="15" t="s">
        <v>26</v>
      </c>
      <c r="D66" s="15" t="s">
        <v>44</v>
      </c>
      <c r="E66" s="15" t="s">
        <v>50</v>
      </c>
      <c r="F66" s="25">
        <v>2.2000000000000002</v>
      </c>
      <c r="G66" s="15" t="s">
        <v>24</v>
      </c>
      <c r="H66" s="18"/>
      <c r="I66" s="15"/>
    </row>
    <row r="67" spans="1:9" x14ac:dyDescent="0.2">
      <c r="B67" s="23">
        <f t="shared" si="3"/>
        <v>5</v>
      </c>
      <c r="C67" s="15"/>
      <c r="D67" s="15" t="s">
        <v>107</v>
      </c>
      <c r="E67" s="15" t="s">
        <v>108</v>
      </c>
      <c r="F67" s="25"/>
      <c r="G67" s="15" t="s">
        <v>24</v>
      </c>
      <c r="H67" s="16"/>
      <c r="I67" s="15"/>
    </row>
    <row r="68" spans="1:9" x14ac:dyDescent="0.2">
      <c r="B68" s="23">
        <f t="shared" si="3"/>
        <v>6</v>
      </c>
      <c r="C68" s="15"/>
      <c r="D68" s="15" t="s">
        <v>107</v>
      </c>
      <c r="E68" s="15" t="s">
        <v>109</v>
      </c>
      <c r="F68" s="25"/>
      <c r="G68" s="15" t="s">
        <v>24</v>
      </c>
      <c r="H68" s="16"/>
      <c r="I68" s="15"/>
    </row>
    <row r="69" spans="1:9" ht="13.5" customHeight="1" x14ac:dyDescent="0.2">
      <c r="B69" s="23">
        <f t="shared" si="3"/>
        <v>7</v>
      </c>
      <c r="C69" s="15"/>
      <c r="D69" s="15" t="s">
        <v>107</v>
      </c>
      <c r="E69" s="15" t="s">
        <v>110</v>
      </c>
      <c r="F69" s="25"/>
      <c r="G69" s="15" t="s">
        <v>24</v>
      </c>
      <c r="H69" s="16"/>
      <c r="I69" s="15"/>
    </row>
    <row r="70" spans="1:9" ht="13.5" customHeight="1" x14ac:dyDescent="0.2">
      <c r="B70" s="23">
        <f t="shared" si="3"/>
        <v>8</v>
      </c>
      <c r="C70" s="15"/>
      <c r="D70" s="15" t="s">
        <v>107</v>
      </c>
      <c r="E70" s="15" t="s">
        <v>111</v>
      </c>
      <c r="F70" s="25"/>
      <c r="G70" s="15" t="s">
        <v>24</v>
      </c>
      <c r="H70" s="16"/>
      <c r="I70" s="15"/>
    </row>
    <row r="71" spans="1:9" x14ac:dyDescent="0.2">
      <c r="B71" s="23">
        <f t="shared" si="3"/>
        <v>9</v>
      </c>
      <c r="C71" s="15"/>
      <c r="D71" s="15"/>
      <c r="E71" s="15"/>
      <c r="F71" s="25"/>
      <c r="G71" s="15"/>
      <c r="H71" s="16"/>
      <c r="I71" s="15"/>
    </row>
    <row r="72" spans="1:9" x14ac:dyDescent="0.2">
      <c r="B72" s="23">
        <f t="shared" si="3"/>
        <v>10</v>
      </c>
      <c r="C72" s="15"/>
      <c r="D72" s="15"/>
      <c r="E72" s="15"/>
      <c r="F72" s="25"/>
      <c r="G72" s="15"/>
      <c r="H72" s="16"/>
      <c r="I72" s="15"/>
    </row>
    <row r="73" spans="1:9" x14ac:dyDescent="0.2">
      <c r="B73" s="23">
        <f t="shared" si="3"/>
        <v>11</v>
      </c>
      <c r="C73" s="15"/>
      <c r="D73" s="15"/>
      <c r="E73" s="15"/>
      <c r="F73" s="26"/>
      <c r="G73" s="15"/>
      <c r="H73" s="18"/>
      <c r="I73" s="17"/>
    </row>
    <row r="76" spans="1:9" x14ac:dyDescent="0.2">
      <c r="A76" s="15" t="s">
        <v>51</v>
      </c>
    </row>
    <row r="77" spans="1:9" x14ac:dyDescent="0.2">
      <c r="B77" s="22" t="s">
        <v>17</v>
      </c>
      <c r="C77" s="19" t="s">
        <v>18</v>
      </c>
      <c r="D77" s="19" t="s">
        <v>19</v>
      </c>
      <c r="E77" s="19" t="s">
        <v>14</v>
      </c>
      <c r="F77" s="24" t="s">
        <v>27</v>
      </c>
      <c r="G77" s="19" t="s">
        <v>20</v>
      </c>
      <c r="H77" s="20" t="s">
        <v>15</v>
      </c>
      <c r="I77" s="19" t="s">
        <v>132</v>
      </c>
    </row>
    <row r="78" spans="1:9" x14ac:dyDescent="0.2">
      <c r="B78" s="23">
        <v>1</v>
      </c>
      <c r="C78" s="15" t="s">
        <v>22</v>
      </c>
      <c r="D78" s="15" t="s">
        <v>105</v>
      </c>
      <c r="E78" s="15" t="s">
        <v>106</v>
      </c>
      <c r="F78" s="25"/>
      <c r="G78" s="15" t="s">
        <v>24</v>
      </c>
      <c r="H78" s="16"/>
      <c r="I78" s="33"/>
    </row>
    <row r="79" spans="1:9" x14ac:dyDescent="0.2">
      <c r="B79" s="23">
        <f t="shared" ref="B79:B84" si="4">B78+1</f>
        <v>2</v>
      </c>
      <c r="C79" s="15" t="s">
        <v>84</v>
      </c>
      <c r="D79" s="15" t="s">
        <v>105</v>
      </c>
      <c r="E79" s="15" t="s">
        <v>106</v>
      </c>
      <c r="F79" s="25"/>
      <c r="G79" s="15" t="s">
        <v>24</v>
      </c>
      <c r="H79" s="16"/>
      <c r="I79" s="15"/>
    </row>
    <row r="80" spans="1:9" x14ac:dyDescent="0.2">
      <c r="B80" s="23">
        <f t="shared" si="4"/>
        <v>3</v>
      </c>
      <c r="C80" s="15" t="s">
        <v>26</v>
      </c>
      <c r="D80" s="15" t="s">
        <v>107</v>
      </c>
      <c r="E80" s="15" t="s">
        <v>112</v>
      </c>
      <c r="F80" s="25"/>
      <c r="G80" s="15" t="s">
        <v>24</v>
      </c>
      <c r="H80" s="16"/>
      <c r="I80" s="15"/>
    </row>
    <row r="81" spans="1:9" x14ac:dyDescent="0.2">
      <c r="B81" s="23">
        <f t="shared" si="4"/>
        <v>4</v>
      </c>
      <c r="C81" s="15"/>
      <c r="D81" s="15" t="s">
        <v>43</v>
      </c>
      <c r="E81" s="15" t="s">
        <v>113</v>
      </c>
      <c r="F81" s="25"/>
      <c r="G81" s="15" t="s">
        <v>24</v>
      </c>
      <c r="H81" s="16"/>
      <c r="I81" s="15"/>
    </row>
    <row r="82" spans="1:9" x14ac:dyDescent="0.2">
      <c r="B82" s="23">
        <f t="shared" si="4"/>
        <v>5</v>
      </c>
      <c r="C82" s="15" t="s">
        <v>53</v>
      </c>
      <c r="D82" s="15" t="s">
        <v>77</v>
      </c>
      <c r="E82" s="15"/>
      <c r="F82" s="25"/>
      <c r="G82" s="15" t="s">
        <v>24</v>
      </c>
      <c r="H82" s="16"/>
      <c r="I82" s="15"/>
    </row>
    <row r="83" spans="1:9" x14ac:dyDescent="0.2">
      <c r="B83" s="23">
        <f t="shared" si="4"/>
        <v>6</v>
      </c>
      <c r="C83" s="15"/>
      <c r="D83" s="15"/>
      <c r="E83" s="15"/>
      <c r="F83" s="25"/>
      <c r="G83" s="15"/>
      <c r="H83" s="16"/>
      <c r="I83" s="15"/>
    </row>
    <row r="84" spans="1:9" x14ac:dyDescent="0.2">
      <c r="B84" s="23">
        <f t="shared" si="4"/>
        <v>7</v>
      </c>
      <c r="C84" s="15"/>
      <c r="D84" s="15"/>
      <c r="E84" s="15"/>
      <c r="F84" s="25"/>
      <c r="G84" s="15"/>
      <c r="H84" s="16"/>
      <c r="I84" s="17"/>
    </row>
    <row r="86" spans="1:9" x14ac:dyDescent="0.2">
      <c r="A86" s="15" t="s">
        <v>115</v>
      </c>
    </row>
    <row r="87" spans="1:9" x14ac:dyDescent="0.2">
      <c r="B87" s="22" t="s">
        <v>17</v>
      </c>
      <c r="C87" s="19" t="s">
        <v>18</v>
      </c>
      <c r="D87" s="19" t="s">
        <v>19</v>
      </c>
      <c r="E87" s="19" t="s">
        <v>14</v>
      </c>
      <c r="F87" s="24" t="s">
        <v>27</v>
      </c>
      <c r="G87" s="19" t="s">
        <v>20</v>
      </c>
      <c r="H87" s="20" t="s">
        <v>15</v>
      </c>
      <c r="I87" s="19" t="s">
        <v>132</v>
      </c>
    </row>
    <row r="88" spans="1:9" x14ac:dyDescent="0.2">
      <c r="B88" s="23">
        <v>1</v>
      </c>
      <c r="C88" s="15" t="s">
        <v>116</v>
      </c>
      <c r="D88" s="15" t="s">
        <v>117</v>
      </c>
      <c r="E88" s="15" t="s">
        <v>118</v>
      </c>
      <c r="F88" s="25"/>
      <c r="G88" s="15" t="s">
        <v>24</v>
      </c>
      <c r="H88" s="16"/>
      <c r="I88" s="15"/>
    </row>
    <row r="89" spans="1:9" x14ac:dyDescent="0.2">
      <c r="B89" s="23">
        <f t="shared" ref="B89:B94" si="5">B88+1</f>
        <v>2</v>
      </c>
      <c r="C89" s="15"/>
      <c r="D89" s="15" t="s">
        <v>117</v>
      </c>
      <c r="E89" s="15" t="s">
        <v>119</v>
      </c>
      <c r="F89" s="25"/>
      <c r="G89" s="15" t="s">
        <v>114</v>
      </c>
      <c r="H89" s="16"/>
      <c r="I89" s="15" t="s">
        <v>24</v>
      </c>
    </row>
    <row r="90" spans="1:9" x14ac:dyDescent="0.2">
      <c r="B90" s="23">
        <f t="shared" si="5"/>
        <v>3</v>
      </c>
      <c r="C90" s="15"/>
      <c r="D90" s="15"/>
      <c r="E90" s="15" t="s">
        <v>120</v>
      </c>
      <c r="F90" s="25"/>
      <c r="G90" s="15" t="s">
        <v>114</v>
      </c>
      <c r="H90" s="16"/>
      <c r="I90" s="15" t="s">
        <v>24</v>
      </c>
    </row>
    <row r="91" spans="1:9" x14ac:dyDescent="0.2">
      <c r="B91" s="23">
        <f t="shared" si="5"/>
        <v>4</v>
      </c>
      <c r="C91" s="15"/>
      <c r="D91" s="15"/>
      <c r="E91" s="15"/>
      <c r="F91" s="25"/>
      <c r="G91" s="15"/>
      <c r="H91" s="16"/>
      <c r="I91" s="15"/>
    </row>
    <row r="92" spans="1:9" x14ac:dyDescent="0.2">
      <c r="B92" s="23">
        <f t="shared" si="5"/>
        <v>5</v>
      </c>
      <c r="C92" s="15"/>
      <c r="D92" s="15"/>
      <c r="E92" s="15"/>
      <c r="F92" s="25"/>
      <c r="G92" s="15"/>
      <c r="H92" s="16"/>
      <c r="I92" s="15"/>
    </row>
    <row r="93" spans="1:9" x14ac:dyDescent="0.2">
      <c r="B93" s="23">
        <f t="shared" si="5"/>
        <v>6</v>
      </c>
      <c r="C93" s="15"/>
      <c r="D93" s="15"/>
      <c r="E93" s="15"/>
      <c r="F93" s="25"/>
      <c r="G93" s="15"/>
      <c r="H93" s="16"/>
      <c r="I93" s="15"/>
    </row>
    <row r="94" spans="1:9" x14ac:dyDescent="0.2">
      <c r="B94" s="23">
        <f t="shared" si="5"/>
        <v>7</v>
      </c>
      <c r="C94" s="15"/>
      <c r="D94" s="15"/>
      <c r="E94" s="15"/>
      <c r="F94" s="25"/>
      <c r="G94" s="15"/>
      <c r="H94" s="16"/>
      <c r="I94" s="15"/>
    </row>
    <row r="96" spans="1:9" x14ac:dyDescent="0.2">
      <c r="A96" s="15" t="s">
        <v>121</v>
      </c>
    </row>
    <row r="97" spans="1:9" x14ac:dyDescent="0.2">
      <c r="B97" s="22" t="s">
        <v>17</v>
      </c>
      <c r="C97" s="19" t="s">
        <v>18</v>
      </c>
      <c r="D97" s="19" t="s">
        <v>19</v>
      </c>
      <c r="E97" s="19" t="s">
        <v>14</v>
      </c>
      <c r="F97" s="24" t="s">
        <v>27</v>
      </c>
      <c r="G97" s="19" t="s">
        <v>20</v>
      </c>
      <c r="H97" s="20" t="s">
        <v>15</v>
      </c>
      <c r="I97" s="19" t="s">
        <v>132</v>
      </c>
    </row>
    <row r="98" spans="1:9" x14ac:dyDescent="0.2">
      <c r="B98" s="23">
        <v>1</v>
      </c>
      <c r="C98" s="15" t="s">
        <v>116</v>
      </c>
      <c r="D98" s="15" t="s">
        <v>117</v>
      </c>
      <c r="E98" s="15" t="s">
        <v>118</v>
      </c>
      <c r="F98" s="25"/>
      <c r="G98" s="15" t="s">
        <v>24</v>
      </c>
      <c r="H98" s="16"/>
      <c r="I98" s="15"/>
    </row>
    <row r="99" spans="1:9" x14ac:dyDescent="0.2">
      <c r="B99" s="23">
        <f>B98+1</f>
        <v>2</v>
      </c>
      <c r="C99" s="15"/>
      <c r="D99" s="15" t="s">
        <v>117</v>
      </c>
      <c r="E99" s="15" t="s">
        <v>119</v>
      </c>
      <c r="F99" s="25"/>
      <c r="G99" s="15" t="s">
        <v>114</v>
      </c>
      <c r="H99" s="16"/>
      <c r="I99" s="15" t="s">
        <v>24</v>
      </c>
    </row>
    <row r="100" spans="1:9" x14ac:dyDescent="0.2">
      <c r="B100" s="23">
        <f t="shared" ref="B100:B108" si="6">B99+1</f>
        <v>3</v>
      </c>
      <c r="C100" s="15"/>
      <c r="D100" s="15"/>
      <c r="E100" s="15" t="s">
        <v>120</v>
      </c>
      <c r="F100" s="25"/>
      <c r="G100" s="15" t="s">
        <v>24</v>
      </c>
      <c r="H100" s="16"/>
      <c r="I100" s="15"/>
    </row>
    <row r="101" spans="1:9" x14ac:dyDescent="0.2">
      <c r="B101" s="23">
        <f t="shared" si="6"/>
        <v>4</v>
      </c>
      <c r="C101" s="15"/>
      <c r="D101" s="15"/>
      <c r="E101" s="15" t="s">
        <v>123</v>
      </c>
      <c r="F101" s="25"/>
      <c r="G101" s="15" t="s">
        <v>114</v>
      </c>
      <c r="H101" s="16"/>
      <c r="I101" s="15" t="s">
        <v>24</v>
      </c>
    </row>
    <row r="102" spans="1:9" x14ac:dyDescent="0.2">
      <c r="B102" s="23">
        <f t="shared" si="6"/>
        <v>5</v>
      </c>
      <c r="C102" s="15" t="s">
        <v>124</v>
      </c>
      <c r="D102" s="15"/>
      <c r="E102" s="15" t="s">
        <v>125</v>
      </c>
      <c r="F102" s="25"/>
      <c r="G102" s="15" t="s">
        <v>114</v>
      </c>
      <c r="H102" s="16"/>
      <c r="I102" s="15" t="s">
        <v>24</v>
      </c>
    </row>
    <row r="103" spans="1:9" x14ac:dyDescent="0.2">
      <c r="B103" s="23">
        <f t="shared" si="6"/>
        <v>6</v>
      </c>
      <c r="C103" s="15" t="s">
        <v>126</v>
      </c>
      <c r="D103" s="15" t="s">
        <v>127</v>
      </c>
      <c r="E103" s="15" t="s">
        <v>128</v>
      </c>
      <c r="F103" s="25"/>
      <c r="G103" s="15" t="s">
        <v>24</v>
      </c>
      <c r="H103" s="16"/>
      <c r="I103" s="15"/>
    </row>
    <row r="104" spans="1:9" x14ac:dyDescent="0.2">
      <c r="B104" s="23">
        <f t="shared" si="6"/>
        <v>7</v>
      </c>
      <c r="C104" s="15"/>
      <c r="D104" s="15"/>
      <c r="E104" s="15" t="s">
        <v>129</v>
      </c>
      <c r="F104" s="25"/>
      <c r="G104" s="15" t="s">
        <v>25</v>
      </c>
      <c r="H104" s="16"/>
      <c r="I104" s="15"/>
    </row>
    <row r="105" spans="1:9" x14ac:dyDescent="0.2">
      <c r="B105" s="23">
        <f t="shared" si="6"/>
        <v>8</v>
      </c>
      <c r="C105" s="15"/>
      <c r="D105" s="15"/>
      <c r="E105" s="15" t="s">
        <v>131</v>
      </c>
      <c r="F105" s="25"/>
      <c r="G105" s="15" t="s">
        <v>25</v>
      </c>
      <c r="H105" s="16"/>
      <c r="I105" s="15"/>
    </row>
    <row r="106" spans="1:9" x14ac:dyDescent="0.2">
      <c r="B106" s="23">
        <f t="shared" si="6"/>
        <v>9</v>
      </c>
      <c r="C106" s="15"/>
      <c r="D106" s="15"/>
      <c r="E106" s="15" t="s">
        <v>130</v>
      </c>
      <c r="F106" s="25"/>
      <c r="G106" s="15" t="s">
        <v>24</v>
      </c>
      <c r="H106" s="16"/>
      <c r="I106" s="15"/>
    </row>
    <row r="107" spans="1:9" x14ac:dyDescent="0.2">
      <c r="B107" s="23">
        <f t="shared" si="6"/>
        <v>10</v>
      </c>
      <c r="C107" s="15"/>
      <c r="D107" s="15"/>
      <c r="E107" s="15"/>
      <c r="F107" s="25"/>
      <c r="G107" s="15"/>
      <c r="H107" s="16"/>
      <c r="I107" s="15"/>
    </row>
    <row r="108" spans="1:9" x14ac:dyDescent="0.2">
      <c r="B108" s="23">
        <f t="shared" si="6"/>
        <v>11</v>
      </c>
      <c r="C108" s="15"/>
      <c r="D108" s="15"/>
      <c r="E108" s="15"/>
      <c r="F108" s="25"/>
      <c r="G108" s="15"/>
      <c r="H108" s="16"/>
      <c r="I108" s="15"/>
    </row>
    <row r="111" spans="1:9" x14ac:dyDescent="0.2">
      <c r="A111" s="15" t="s">
        <v>133</v>
      </c>
    </row>
    <row r="112" spans="1:9" x14ac:dyDescent="0.2">
      <c r="B112" s="22" t="s">
        <v>17</v>
      </c>
      <c r="C112" s="19" t="s">
        <v>18</v>
      </c>
      <c r="D112" s="19" t="s">
        <v>19</v>
      </c>
      <c r="E112" s="19" t="s">
        <v>14</v>
      </c>
      <c r="F112" s="24" t="s">
        <v>27</v>
      </c>
      <c r="G112" s="19" t="s">
        <v>20</v>
      </c>
      <c r="H112" s="20" t="s">
        <v>15</v>
      </c>
      <c r="I112" s="19" t="s">
        <v>132</v>
      </c>
    </row>
    <row r="113" spans="1:9" x14ac:dyDescent="0.2">
      <c r="B113" s="23">
        <v>1</v>
      </c>
      <c r="C113" s="15" t="s">
        <v>116</v>
      </c>
      <c r="D113" s="15" t="s">
        <v>117</v>
      </c>
      <c r="E113" s="15" t="s">
        <v>119</v>
      </c>
      <c r="F113" s="25"/>
      <c r="G113" s="15" t="s">
        <v>24</v>
      </c>
      <c r="H113" s="16"/>
      <c r="I113" s="15"/>
    </row>
    <row r="114" spans="1:9" x14ac:dyDescent="0.2">
      <c r="B114" s="23">
        <f>B113+1</f>
        <v>2</v>
      </c>
      <c r="C114" s="15"/>
      <c r="D114" s="15"/>
      <c r="E114" s="15" t="s">
        <v>134</v>
      </c>
      <c r="F114" s="25"/>
      <c r="G114" s="15" t="s">
        <v>24</v>
      </c>
      <c r="H114" s="16"/>
      <c r="I114" s="15"/>
    </row>
    <row r="115" spans="1:9" x14ac:dyDescent="0.2">
      <c r="B115" s="23">
        <f t="shared" ref="B115:B124" si="7">B114+1</f>
        <v>3</v>
      </c>
      <c r="C115" s="15"/>
      <c r="D115" s="15"/>
      <c r="E115" s="15" t="s">
        <v>135</v>
      </c>
      <c r="F115" s="25"/>
      <c r="G115" s="15" t="s">
        <v>24</v>
      </c>
      <c r="H115" s="16"/>
      <c r="I115" s="15"/>
    </row>
    <row r="116" spans="1:9" x14ac:dyDescent="0.2">
      <c r="B116" s="23">
        <f t="shared" si="7"/>
        <v>4</v>
      </c>
      <c r="C116" s="15" t="s">
        <v>136</v>
      </c>
      <c r="D116" s="15" t="s">
        <v>137</v>
      </c>
      <c r="E116" s="15" t="s">
        <v>125</v>
      </c>
      <c r="F116" s="25"/>
      <c r="G116" s="15" t="s">
        <v>24</v>
      </c>
      <c r="H116" s="16"/>
      <c r="I116" s="15"/>
    </row>
    <row r="117" spans="1:9" x14ac:dyDescent="0.2">
      <c r="B117" s="23">
        <f t="shared" si="7"/>
        <v>5</v>
      </c>
      <c r="C117" s="15"/>
      <c r="D117" s="15"/>
      <c r="E117" s="15" t="s">
        <v>141</v>
      </c>
      <c r="F117" s="25"/>
      <c r="G117" s="15" t="s">
        <v>25</v>
      </c>
      <c r="H117" s="16"/>
      <c r="I117" s="15" t="s">
        <v>24</v>
      </c>
    </row>
    <row r="118" spans="1:9" x14ac:dyDescent="0.2">
      <c r="B118" s="23">
        <f t="shared" si="7"/>
        <v>6</v>
      </c>
      <c r="C118" s="15"/>
      <c r="D118" s="15"/>
      <c r="E118" s="15" t="s">
        <v>142</v>
      </c>
      <c r="F118" s="25"/>
      <c r="G118" s="15" t="s">
        <v>25</v>
      </c>
      <c r="H118" s="16"/>
      <c r="I118" s="15" t="s">
        <v>24</v>
      </c>
    </row>
    <row r="119" spans="1:9" x14ac:dyDescent="0.2">
      <c r="B119" s="23">
        <f t="shared" si="7"/>
        <v>7</v>
      </c>
      <c r="C119" s="15"/>
      <c r="D119" s="15" t="s">
        <v>138</v>
      </c>
      <c r="E119" s="15"/>
      <c r="F119" s="25"/>
      <c r="G119" s="15" t="s">
        <v>25</v>
      </c>
      <c r="H119" s="16"/>
      <c r="I119" s="15"/>
    </row>
    <row r="120" spans="1:9" x14ac:dyDescent="0.2">
      <c r="B120" s="23">
        <f t="shared" si="7"/>
        <v>8</v>
      </c>
      <c r="C120" s="15" t="s">
        <v>126</v>
      </c>
      <c r="D120" s="15" t="s">
        <v>127</v>
      </c>
      <c r="E120" s="15" t="s">
        <v>131</v>
      </c>
      <c r="F120" s="25"/>
      <c r="G120" s="15"/>
      <c r="H120" s="16"/>
      <c r="I120" s="15"/>
    </row>
    <row r="121" spans="1:9" x14ac:dyDescent="0.2">
      <c r="B121" s="23">
        <f t="shared" si="7"/>
        <v>9</v>
      </c>
      <c r="C121" s="15"/>
      <c r="D121" s="15"/>
      <c r="E121" s="15" t="s">
        <v>129</v>
      </c>
      <c r="F121" s="25"/>
      <c r="G121" s="15"/>
      <c r="H121" s="16"/>
      <c r="I121" s="15"/>
    </row>
    <row r="122" spans="1:9" x14ac:dyDescent="0.2">
      <c r="B122" s="23">
        <f t="shared" si="7"/>
        <v>10</v>
      </c>
      <c r="C122" s="15" t="s">
        <v>139</v>
      </c>
      <c r="D122" s="15"/>
      <c r="E122" s="15" t="s">
        <v>140</v>
      </c>
      <c r="F122" s="25"/>
      <c r="G122" s="15" t="s">
        <v>24</v>
      </c>
      <c r="H122" s="16"/>
      <c r="I122" s="15"/>
    </row>
    <row r="123" spans="1:9" x14ac:dyDescent="0.2">
      <c r="B123" s="23">
        <f t="shared" si="7"/>
        <v>11</v>
      </c>
      <c r="C123" s="15"/>
      <c r="D123" s="15"/>
      <c r="E123" s="15"/>
      <c r="F123" s="25"/>
      <c r="G123" s="15"/>
      <c r="H123" s="16"/>
      <c r="I123" s="15"/>
    </row>
    <row r="124" spans="1:9" x14ac:dyDescent="0.2">
      <c r="B124" s="23">
        <f t="shared" si="7"/>
        <v>12</v>
      </c>
      <c r="C124" s="15"/>
      <c r="D124" s="15"/>
      <c r="E124" s="15"/>
      <c r="F124" s="25"/>
      <c r="G124" s="15"/>
      <c r="H124" s="16"/>
      <c r="I124" s="15"/>
    </row>
    <row r="126" spans="1:9" x14ac:dyDescent="0.2">
      <c r="A126" s="15" t="s">
        <v>143</v>
      </c>
    </row>
    <row r="127" spans="1:9" x14ac:dyDescent="0.2">
      <c r="B127" s="22" t="s">
        <v>17</v>
      </c>
      <c r="C127" s="19" t="s">
        <v>18</v>
      </c>
      <c r="D127" s="19" t="s">
        <v>19</v>
      </c>
      <c r="E127" s="19" t="s">
        <v>14</v>
      </c>
      <c r="F127" s="24" t="s">
        <v>27</v>
      </c>
      <c r="G127" s="19" t="s">
        <v>20</v>
      </c>
      <c r="H127" s="20" t="s">
        <v>15</v>
      </c>
      <c r="I127" s="19" t="s">
        <v>132</v>
      </c>
    </row>
    <row r="128" spans="1:9" x14ac:dyDescent="0.2">
      <c r="B128" s="23">
        <v>1</v>
      </c>
      <c r="C128" s="15" t="s">
        <v>116</v>
      </c>
      <c r="D128" s="15" t="s">
        <v>117</v>
      </c>
      <c r="E128" s="15" t="s">
        <v>144</v>
      </c>
      <c r="F128" s="25"/>
      <c r="G128" s="15" t="s">
        <v>114</v>
      </c>
      <c r="H128" s="16"/>
      <c r="I128" s="15" t="s">
        <v>24</v>
      </c>
    </row>
    <row r="129" spans="2:9" x14ac:dyDescent="0.2">
      <c r="B129" s="23">
        <f>B128+1</f>
        <v>2</v>
      </c>
      <c r="C129" s="15"/>
      <c r="D129" s="15"/>
      <c r="E129" s="15" t="s">
        <v>145</v>
      </c>
      <c r="F129" s="25"/>
      <c r="G129" s="15" t="s">
        <v>114</v>
      </c>
      <c r="H129" s="16"/>
      <c r="I129" s="15" t="s">
        <v>24</v>
      </c>
    </row>
    <row r="130" spans="2:9" x14ac:dyDescent="0.2">
      <c r="B130" s="23">
        <f t="shared" ref="B130:B145" si="8">B129+1</f>
        <v>3</v>
      </c>
      <c r="C130" s="15"/>
      <c r="D130" s="15"/>
      <c r="E130" s="15" t="s">
        <v>146</v>
      </c>
      <c r="F130" s="25"/>
      <c r="G130" s="15" t="s">
        <v>25</v>
      </c>
      <c r="H130" s="16"/>
      <c r="I130" s="15" t="s">
        <v>24</v>
      </c>
    </row>
    <row r="131" spans="2:9" x14ac:dyDescent="0.2">
      <c r="B131" s="23">
        <f t="shared" si="8"/>
        <v>4</v>
      </c>
      <c r="C131" s="15"/>
      <c r="D131" s="15"/>
      <c r="E131" s="15" t="s">
        <v>147</v>
      </c>
      <c r="F131" s="25"/>
      <c r="G131" s="15" t="s">
        <v>25</v>
      </c>
      <c r="H131" s="16"/>
      <c r="I131" s="15" t="s">
        <v>24</v>
      </c>
    </row>
    <row r="132" spans="2:9" x14ac:dyDescent="0.2">
      <c r="B132" s="23">
        <f t="shared" si="8"/>
        <v>5</v>
      </c>
      <c r="C132" s="15"/>
      <c r="D132" s="15"/>
      <c r="E132" s="15" t="s">
        <v>148</v>
      </c>
      <c r="F132" s="25"/>
      <c r="G132" s="15" t="s">
        <v>25</v>
      </c>
      <c r="H132" s="16"/>
      <c r="I132" s="15" t="s">
        <v>24</v>
      </c>
    </row>
    <row r="133" spans="2:9" x14ac:dyDescent="0.2">
      <c r="B133" s="23">
        <f t="shared" si="8"/>
        <v>6</v>
      </c>
      <c r="C133" s="15"/>
      <c r="D133" s="15"/>
      <c r="E133" s="15" t="s">
        <v>149</v>
      </c>
      <c r="F133" s="25"/>
      <c r="G133" s="15" t="s">
        <v>24</v>
      </c>
      <c r="H133" s="16"/>
      <c r="I133" s="15"/>
    </row>
    <row r="134" spans="2:9" x14ac:dyDescent="0.2">
      <c r="B134" s="23">
        <f t="shared" si="8"/>
        <v>7</v>
      </c>
      <c r="C134" s="15"/>
      <c r="D134" s="15"/>
      <c r="E134" s="15" t="s">
        <v>150</v>
      </c>
      <c r="F134" s="25"/>
      <c r="G134" s="15" t="s">
        <v>24</v>
      </c>
      <c r="H134" s="16"/>
      <c r="I134" s="15"/>
    </row>
    <row r="135" spans="2:9" x14ac:dyDescent="0.2">
      <c r="B135" s="23">
        <f t="shared" si="8"/>
        <v>8</v>
      </c>
      <c r="C135" s="15"/>
      <c r="D135" s="15"/>
      <c r="E135" s="15" t="s">
        <v>151</v>
      </c>
      <c r="F135" s="25"/>
      <c r="G135" s="15" t="s">
        <v>24</v>
      </c>
      <c r="H135" s="16"/>
      <c r="I135" s="15"/>
    </row>
    <row r="136" spans="2:9" x14ac:dyDescent="0.2">
      <c r="B136" s="23">
        <f t="shared" si="8"/>
        <v>9</v>
      </c>
      <c r="C136" s="15"/>
      <c r="D136" s="15"/>
      <c r="E136" s="15" t="s">
        <v>152</v>
      </c>
      <c r="F136" s="25"/>
      <c r="G136" s="15" t="s">
        <v>24</v>
      </c>
      <c r="H136" s="16"/>
      <c r="I136" s="15"/>
    </row>
    <row r="137" spans="2:9" x14ac:dyDescent="0.2">
      <c r="B137" s="23">
        <f t="shared" si="8"/>
        <v>10</v>
      </c>
      <c r="C137" s="15"/>
      <c r="D137" s="15"/>
      <c r="E137" s="15" t="s">
        <v>153</v>
      </c>
      <c r="F137" s="25"/>
      <c r="G137" s="15" t="s">
        <v>24</v>
      </c>
      <c r="H137" s="16"/>
      <c r="I137" s="15"/>
    </row>
    <row r="138" spans="2:9" x14ac:dyDescent="0.2">
      <c r="B138" s="23">
        <f t="shared" si="8"/>
        <v>11</v>
      </c>
      <c r="C138" s="15" t="s">
        <v>136</v>
      </c>
      <c r="D138" s="15" t="s">
        <v>137</v>
      </c>
      <c r="E138" s="15" t="s">
        <v>141</v>
      </c>
      <c r="F138" s="25"/>
      <c r="G138" s="15" t="s">
        <v>24</v>
      </c>
      <c r="H138" s="16"/>
      <c r="I138" s="15"/>
    </row>
    <row r="139" spans="2:9" x14ac:dyDescent="0.2">
      <c r="B139" s="23">
        <f t="shared" si="8"/>
        <v>12</v>
      </c>
      <c r="C139" s="15"/>
      <c r="D139" s="15"/>
      <c r="E139" s="15" t="s">
        <v>156</v>
      </c>
      <c r="F139" s="25"/>
      <c r="G139" s="15" t="s">
        <v>24</v>
      </c>
      <c r="H139" s="16"/>
      <c r="I139" s="15"/>
    </row>
    <row r="140" spans="2:9" x14ac:dyDescent="0.2">
      <c r="B140" s="23">
        <f t="shared" si="8"/>
        <v>13</v>
      </c>
      <c r="C140" s="15"/>
      <c r="D140" s="15" t="s">
        <v>138</v>
      </c>
      <c r="E140" s="15"/>
      <c r="F140" s="25"/>
      <c r="G140" s="15" t="s">
        <v>25</v>
      </c>
      <c r="H140" s="16"/>
      <c r="I140" s="15"/>
    </row>
    <row r="141" spans="2:9" x14ac:dyDescent="0.2">
      <c r="B141" s="23">
        <f t="shared" si="8"/>
        <v>14</v>
      </c>
      <c r="C141" s="15" t="s">
        <v>126</v>
      </c>
      <c r="D141" s="15" t="s">
        <v>127</v>
      </c>
      <c r="E141" s="15" t="s">
        <v>131</v>
      </c>
      <c r="F141" s="25"/>
      <c r="G141" s="15" t="s">
        <v>25</v>
      </c>
      <c r="H141" s="16"/>
      <c r="I141" s="15"/>
    </row>
    <row r="142" spans="2:9" x14ac:dyDescent="0.2">
      <c r="B142" s="23">
        <f t="shared" si="8"/>
        <v>15</v>
      </c>
      <c r="C142" s="17"/>
      <c r="D142" s="17"/>
      <c r="E142" s="17" t="s">
        <v>129</v>
      </c>
      <c r="F142" s="25"/>
      <c r="G142" s="15" t="s">
        <v>25</v>
      </c>
      <c r="H142" s="16"/>
      <c r="I142" s="15"/>
    </row>
    <row r="143" spans="2:9" x14ac:dyDescent="0.2">
      <c r="B143" s="23">
        <f t="shared" si="8"/>
        <v>16</v>
      </c>
      <c r="C143" s="15" t="s">
        <v>154</v>
      </c>
      <c r="D143" s="15" t="s">
        <v>117</v>
      </c>
      <c r="E143" s="15" t="s">
        <v>155</v>
      </c>
      <c r="F143" s="25"/>
      <c r="G143" s="15" t="s">
        <v>24</v>
      </c>
      <c r="H143" s="16"/>
      <c r="I143" s="15"/>
    </row>
    <row r="144" spans="2:9" x14ac:dyDescent="0.2">
      <c r="B144" s="23">
        <f t="shared" si="8"/>
        <v>17</v>
      </c>
      <c r="C144" s="15"/>
      <c r="D144" s="15"/>
      <c r="E144" s="15"/>
      <c r="F144" s="25"/>
      <c r="G144" s="15"/>
      <c r="H144" s="16"/>
      <c r="I144" s="15"/>
    </row>
    <row r="145" spans="1:9" x14ac:dyDescent="0.2">
      <c r="B145" s="30">
        <f t="shared" si="8"/>
        <v>18</v>
      </c>
      <c r="C145" s="17"/>
      <c r="D145" s="17"/>
      <c r="E145" s="17"/>
      <c r="F145" s="26"/>
      <c r="G145" s="17"/>
      <c r="H145" s="18"/>
      <c r="I145" s="17"/>
    </row>
    <row r="147" spans="1:9" x14ac:dyDescent="0.2">
      <c r="A147" s="15" t="s">
        <v>157</v>
      </c>
    </row>
    <row r="148" spans="1:9" x14ac:dyDescent="0.2">
      <c r="B148" s="22" t="s">
        <v>17</v>
      </c>
      <c r="C148" s="19" t="s">
        <v>18</v>
      </c>
      <c r="D148" s="19" t="s">
        <v>19</v>
      </c>
      <c r="E148" s="19" t="s">
        <v>14</v>
      </c>
      <c r="F148" s="24" t="s">
        <v>27</v>
      </c>
      <c r="G148" s="19" t="s">
        <v>20</v>
      </c>
      <c r="H148" s="20" t="s">
        <v>15</v>
      </c>
      <c r="I148" s="19" t="s">
        <v>132</v>
      </c>
    </row>
    <row r="149" spans="1:9" x14ac:dyDescent="0.2">
      <c r="B149" s="23">
        <v>1</v>
      </c>
      <c r="C149" s="15" t="s">
        <v>116</v>
      </c>
      <c r="D149" s="15" t="s">
        <v>117</v>
      </c>
      <c r="E149" s="15" t="s">
        <v>144</v>
      </c>
      <c r="F149" s="25"/>
      <c r="G149" s="15" t="s">
        <v>24</v>
      </c>
      <c r="H149" s="16"/>
      <c r="I149" s="15"/>
    </row>
    <row r="150" spans="1:9" x14ac:dyDescent="0.2">
      <c r="B150" s="23">
        <f>B149+1</f>
        <v>2</v>
      </c>
      <c r="C150" s="15"/>
      <c r="D150" s="15"/>
      <c r="E150" s="15" t="s">
        <v>145</v>
      </c>
      <c r="F150" s="25"/>
      <c r="G150" s="15" t="s">
        <v>24</v>
      </c>
      <c r="H150" s="16"/>
      <c r="I150" s="15"/>
    </row>
    <row r="151" spans="1:9" x14ac:dyDescent="0.2">
      <c r="B151" s="23">
        <f t="shared" ref="B151:B185" si="9">B150+1</f>
        <v>3</v>
      </c>
      <c r="C151" s="15"/>
      <c r="D151" s="15"/>
      <c r="E151" s="15" t="s">
        <v>146</v>
      </c>
      <c r="F151" s="25"/>
      <c r="G151" s="15" t="s">
        <v>24</v>
      </c>
      <c r="H151" s="16"/>
      <c r="I151" s="15"/>
    </row>
    <row r="152" spans="1:9" x14ac:dyDescent="0.2">
      <c r="B152" s="23">
        <f t="shared" si="9"/>
        <v>4</v>
      </c>
      <c r="C152" s="15"/>
      <c r="D152" s="15"/>
      <c r="E152" s="15" t="s">
        <v>147</v>
      </c>
      <c r="F152" s="25"/>
      <c r="G152" s="15" t="s">
        <v>24</v>
      </c>
      <c r="H152" s="16"/>
      <c r="I152" s="15"/>
    </row>
    <row r="153" spans="1:9" x14ac:dyDescent="0.2">
      <c r="B153" s="23">
        <f t="shared" si="9"/>
        <v>5</v>
      </c>
      <c r="C153" s="15"/>
      <c r="D153" s="15"/>
      <c r="E153" s="15" t="s">
        <v>148</v>
      </c>
      <c r="F153" s="25"/>
      <c r="G153" s="15" t="s">
        <v>24</v>
      </c>
      <c r="H153" s="16"/>
      <c r="I153" s="15"/>
    </row>
    <row r="154" spans="1:9" x14ac:dyDescent="0.2">
      <c r="B154" s="23">
        <f t="shared" si="9"/>
        <v>6</v>
      </c>
      <c r="C154" s="15"/>
      <c r="D154" s="15"/>
      <c r="E154" s="15" t="s">
        <v>149</v>
      </c>
      <c r="F154" s="25"/>
      <c r="G154" s="15" t="s">
        <v>24</v>
      </c>
      <c r="H154" s="16"/>
      <c r="I154" s="15"/>
    </row>
    <row r="155" spans="1:9" x14ac:dyDescent="0.2">
      <c r="B155" s="23">
        <f t="shared" si="9"/>
        <v>7</v>
      </c>
      <c r="C155" s="15"/>
      <c r="D155" s="15"/>
      <c r="E155" s="15" t="s">
        <v>150</v>
      </c>
      <c r="F155" s="25"/>
      <c r="G155" s="15" t="s">
        <v>24</v>
      </c>
      <c r="H155" s="16"/>
      <c r="I155" s="15"/>
    </row>
    <row r="156" spans="1:9" x14ac:dyDescent="0.2">
      <c r="B156" s="23">
        <f t="shared" si="9"/>
        <v>8</v>
      </c>
      <c r="C156" s="15"/>
      <c r="D156" s="15"/>
      <c r="E156" s="15" t="s">
        <v>151</v>
      </c>
      <c r="F156" s="25"/>
      <c r="G156" s="15" t="s">
        <v>24</v>
      </c>
      <c r="H156" s="16"/>
      <c r="I156" s="15"/>
    </row>
    <row r="157" spans="1:9" x14ac:dyDescent="0.2">
      <c r="B157" s="23">
        <f t="shared" si="9"/>
        <v>9</v>
      </c>
      <c r="C157" s="15"/>
      <c r="D157" s="15"/>
      <c r="E157" s="15" t="s">
        <v>152</v>
      </c>
      <c r="F157" s="25"/>
      <c r="G157" s="15" t="s">
        <v>24</v>
      </c>
      <c r="H157" s="16"/>
      <c r="I157" s="15"/>
    </row>
    <row r="158" spans="1:9" x14ac:dyDescent="0.2">
      <c r="B158" s="23">
        <f t="shared" si="9"/>
        <v>10</v>
      </c>
      <c r="C158" s="15"/>
      <c r="D158" s="15"/>
      <c r="E158" s="15" t="s">
        <v>153</v>
      </c>
      <c r="F158" s="25"/>
      <c r="G158" s="15" t="s">
        <v>24</v>
      </c>
      <c r="H158" s="16"/>
      <c r="I158" s="15"/>
    </row>
    <row r="159" spans="1:9" x14ac:dyDescent="0.2">
      <c r="B159" s="23">
        <f t="shared" si="9"/>
        <v>11</v>
      </c>
      <c r="C159" s="15"/>
      <c r="D159" s="15"/>
      <c r="E159" s="15" t="s">
        <v>160</v>
      </c>
      <c r="F159" s="25"/>
      <c r="G159" s="15" t="s">
        <v>24</v>
      </c>
      <c r="H159" s="16"/>
      <c r="I159" s="15"/>
    </row>
    <row r="160" spans="1:9" x14ac:dyDescent="0.2">
      <c r="B160" s="23">
        <f t="shared" si="9"/>
        <v>12</v>
      </c>
      <c r="C160" s="15"/>
      <c r="D160" s="15"/>
      <c r="E160" s="17" t="s">
        <v>178</v>
      </c>
      <c r="F160" s="25"/>
      <c r="G160" s="15" t="s">
        <v>25</v>
      </c>
      <c r="H160" s="16"/>
      <c r="I160" s="15" t="s">
        <v>24</v>
      </c>
    </row>
    <row r="161" spans="2:9" x14ac:dyDescent="0.2">
      <c r="B161" s="23">
        <f t="shared" si="9"/>
        <v>13</v>
      </c>
      <c r="C161" s="15" t="s">
        <v>136</v>
      </c>
      <c r="D161" s="15" t="s">
        <v>137</v>
      </c>
      <c r="E161" s="15" t="s">
        <v>141</v>
      </c>
      <c r="F161" s="25"/>
      <c r="G161" s="15" t="s">
        <v>24</v>
      </c>
      <c r="H161" s="16"/>
      <c r="I161" s="15"/>
    </row>
    <row r="162" spans="2:9" x14ac:dyDescent="0.2">
      <c r="B162" s="23">
        <f t="shared" si="9"/>
        <v>14</v>
      </c>
      <c r="C162" s="15"/>
      <c r="D162" s="15"/>
      <c r="E162" s="15" t="s">
        <v>156</v>
      </c>
      <c r="F162" s="25"/>
      <c r="G162" s="15" t="s">
        <v>24</v>
      </c>
      <c r="H162" s="16"/>
      <c r="I162" s="15"/>
    </row>
    <row r="163" spans="2:9" x14ac:dyDescent="0.2">
      <c r="B163" s="23">
        <f t="shared" si="9"/>
        <v>15</v>
      </c>
      <c r="C163" s="15"/>
      <c r="D163" s="15"/>
      <c r="E163" s="15" t="s">
        <v>159</v>
      </c>
      <c r="F163" s="25"/>
      <c r="G163" s="15" t="s">
        <v>24</v>
      </c>
      <c r="H163" s="16"/>
      <c r="I163" s="15"/>
    </row>
    <row r="164" spans="2:9" x14ac:dyDescent="0.2">
      <c r="B164" s="23">
        <f t="shared" si="9"/>
        <v>16</v>
      </c>
      <c r="C164" s="15"/>
      <c r="D164" s="15" t="s">
        <v>138</v>
      </c>
      <c r="E164" s="15"/>
      <c r="F164" s="25"/>
      <c r="G164" s="15" t="s">
        <v>25</v>
      </c>
      <c r="H164" s="16"/>
      <c r="I164" s="15"/>
    </row>
    <row r="165" spans="2:9" x14ac:dyDescent="0.2">
      <c r="B165" s="23">
        <f t="shared" si="9"/>
        <v>17</v>
      </c>
      <c r="C165" s="15" t="s">
        <v>126</v>
      </c>
      <c r="D165" s="15" t="s">
        <v>127</v>
      </c>
      <c r="E165" s="15" t="s">
        <v>131</v>
      </c>
      <c r="F165" s="25"/>
      <c r="G165" s="15"/>
      <c r="H165" s="16"/>
      <c r="I165" s="15" t="s">
        <v>24</v>
      </c>
    </row>
    <row r="166" spans="2:9" x14ac:dyDescent="0.2">
      <c r="B166" s="23">
        <f t="shared" si="9"/>
        <v>18</v>
      </c>
      <c r="C166" s="17"/>
      <c r="D166" s="17"/>
      <c r="E166" s="17" t="s">
        <v>129</v>
      </c>
      <c r="F166" s="25"/>
      <c r="G166" s="15"/>
      <c r="H166" s="16"/>
      <c r="I166" s="15" t="s">
        <v>24</v>
      </c>
    </row>
    <row r="167" spans="2:9" x14ac:dyDescent="0.2">
      <c r="B167" s="23">
        <f t="shared" si="9"/>
        <v>19</v>
      </c>
      <c r="C167" s="15" t="s">
        <v>183</v>
      </c>
      <c r="D167" s="15" t="s">
        <v>117</v>
      </c>
      <c r="E167" s="15" t="s">
        <v>155</v>
      </c>
      <c r="F167" s="25"/>
      <c r="G167" s="15" t="s">
        <v>24</v>
      </c>
      <c r="H167" s="16"/>
      <c r="I167" s="15"/>
    </row>
    <row r="168" spans="2:9" x14ac:dyDescent="0.2">
      <c r="B168" s="23">
        <f t="shared" si="9"/>
        <v>20</v>
      </c>
      <c r="C168" s="15"/>
      <c r="D168" s="15"/>
      <c r="E168" s="15" t="s">
        <v>162</v>
      </c>
      <c r="F168" s="25"/>
      <c r="G168" s="15" t="s">
        <v>24</v>
      </c>
      <c r="H168" s="16"/>
      <c r="I168" s="15"/>
    </row>
    <row r="169" spans="2:9" x14ac:dyDescent="0.2">
      <c r="B169" s="23">
        <f t="shared" si="9"/>
        <v>21</v>
      </c>
      <c r="C169" s="15" t="s">
        <v>158</v>
      </c>
      <c r="D169" s="15" t="s">
        <v>100</v>
      </c>
      <c r="E169" s="34" t="s">
        <v>163</v>
      </c>
      <c r="F169" s="25"/>
      <c r="G169" s="15" t="s">
        <v>24</v>
      </c>
      <c r="H169" s="16"/>
      <c r="I169" s="15"/>
    </row>
    <row r="170" spans="2:9" x14ac:dyDescent="0.2">
      <c r="B170" s="23">
        <f t="shared" si="9"/>
        <v>22</v>
      </c>
      <c r="C170" s="15"/>
      <c r="D170" s="15"/>
      <c r="E170" s="34" t="s">
        <v>164</v>
      </c>
      <c r="F170" s="25"/>
      <c r="G170" s="15" t="s">
        <v>24</v>
      </c>
      <c r="H170" s="16"/>
      <c r="I170" s="15"/>
    </row>
    <row r="171" spans="2:9" x14ac:dyDescent="0.2">
      <c r="B171" s="23">
        <f t="shared" si="9"/>
        <v>23</v>
      </c>
      <c r="C171" s="17"/>
      <c r="D171" s="17"/>
      <c r="E171" s="17" t="s">
        <v>169</v>
      </c>
      <c r="F171" s="25"/>
      <c r="G171" s="15" t="s">
        <v>24</v>
      </c>
      <c r="H171" s="16"/>
      <c r="I171" s="15"/>
    </row>
    <row r="172" spans="2:9" x14ac:dyDescent="0.2">
      <c r="B172" s="23">
        <f t="shared" si="9"/>
        <v>24</v>
      </c>
      <c r="C172" s="17"/>
      <c r="D172" s="17"/>
      <c r="E172" s="17" t="s">
        <v>170</v>
      </c>
      <c r="F172" s="25"/>
      <c r="G172" s="15" t="s">
        <v>24</v>
      </c>
      <c r="H172" s="16"/>
      <c r="I172" s="15"/>
    </row>
    <row r="173" spans="2:9" x14ac:dyDescent="0.2">
      <c r="B173" s="23">
        <f t="shared" si="9"/>
        <v>25</v>
      </c>
      <c r="C173" s="17"/>
      <c r="D173" s="17"/>
      <c r="E173" s="17" t="s">
        <v>181</v>
      </c>
      <c r="F173" s="25"/>
      <c r="G173" s="15" t="s">
        <v>114</v>
      </c>
      <c r="H173" s="16"/>
      <c r="I173" s="15" t="s">
        <v>24</v>
      </c>
    </row>
    <row r="174" spans="2:9" x14ac:dyDescent="0.2">
      <c r="B174" s="23">
        <f t="shared" si="9"/>
        <v>26</v>
      </c>
      <c r="C174" s="17"/>
      <c r="D174" s="17"/>
      <c r="E174" s="17" t="s">
        <v>171</v>
      </c>
      <c r="F174" s="25"/>
      <c r="G174" s="15" t="s">
        <v>114</v>
      </c>
      <c r="H174" s="16"/>
      <c r="I174" s="15" t="s">
        <v>24</v>
      </c>
    </row>
    <row r="175" spans="2:9" x14ac:dyDescent="0.2">
      <c r="B175" s="23">
        <f t="shared" si="9"/>
        <v>27</v>
      </c>
      <c r="C175" s="17"/>
      <c r="D175" s="17"/>
      <c r="E175" s="17" t="s">
        <v>172</v>
      </c>
      <c r="F175" s="25"/>
      <c r="G175" s="15" t="s">
        <v>114</v>
      </c>
      <c r="H175" s="16"/>
      <c r="I175" s="15" t="s">
        <v>24</v>
      </c>
    </row>
    <row r="176" spans="2:9" x14ac:dyDescent="0.2">
      <c r="B176" s="23">
        <f t="shared" si="9"/>
        <v>28</v>
      </c>
      <c r="C176" s="17"/>
      <c r="D176" s="17"/>
      <c r="E176" s="17" t="s">
        <v>173</v>
      </c>
      <c r="F176" s="25"/>
      <c r="G176" s="15" t="s">
        <v>114</v>
      </c>
      <c r="H176" s="16"/>
      <c r="I176" s="15" t="s">
        <v>24</v>
      </c>
    </row>
    <row r="177" spans="1:9" x14ac:dyDescent="0.2">
      <c r="B177" s="23">
        <f t="shared" si="9"/>
        <v>29</v>
      </c>
      <c r="C177" s="17"/>
      <c r="D177" s="17"/>
      <c r="E177" s="17" t="s">
        <v>174</v>
      </c>
      <c r="F177" s="25"/>
      <c r="G177" s="15" t="s">
        <v>114</v>
      </c>
      <c r="H177" s="16"/>
      <c r="I177" s="15" t="s">
        <v>24</v>
      </c>
    </row>
    <row r="178" spans="1:9" x14ac:dyDescent="0.2">
      <c r="B178" s="23">
        <f t="shared" si="9"/>
        <v>30</v>
      </c>
      <c r="C178" s="17"/>
      <c r="D178" s="17"/>
      <c r="E178" s="17" t="s">
        <v>175</v>
      </c>
      <c r="F178" s="25"/>
      <c r="G178" s="15" t="s">
        <v>114</v>
      </c>
      <c r="H178" s="16"/>
      <c r="I178" s="15" t="s">
        <v>24</v>
      </c>
    </row>
    <row r="179" spans="1:9" x14ac:dyDescent="0.2">
      <c r="B179" s="23">
        <f t="shared" si="9"/>
        <v>31</v>
      </c>
      <c r="C179" s="17"/>
      <c r="D179" s="17"/>
      <c r="E179" s="17" t="s">
        <v>176</v>
      </c>
      <c r="F179" s="25"/>
      <c r="G179" s="15" t="s">
        <v>24</v>
      </c>
      <c r="H179" s="16"/>
      <c r="I179" s="15"/>
    </row>
    <row r="180" spans="1:9" x14ac:dyDescent="0.2">
      <c r="B180" s="23">
        <f t="shared" si="9"/>
        <v>32</v>
      </c>
      <c r="C180" s="17"/>
      <c r="D180" s="17"/>
      <c r="E180" s="17" t="s">
        <v>177</v>
      </c>
      <c r="F180" s="25"/>
      <c r="G180" s="15" t="s">
        <v>24</v>
      </c>
      <c r="H180" s="16"/>
      <c r="I180" s="15"/>
    </row>
    <row r="181" spans="1:9" x14ac:dyDescent="0.2">
      <c r="B181" s="23">
        <f t="shared" si="9"/>
        <v>33</v>
      </c>
      <c r="C181" s="17"/>
      <c r="D181" s="17"/>
      <c r="E181" s="17" t="s">
        <v>182</v>
      </c>
      <c r="F181" s="25"/>
      <c r="G181" s="15" t="s">
        <v>25</v>
      </c>
      <c r="H181" s="16"/>
      <c r="I181" s="15" t="s">
        <v>24</v>
      </c>
    </row>
    <row r="182" spans="1:9" x14ac:dyDescent="0.2">
      <c r="B182" s="23">
        <f t="shared" si="9"/>
        <v>34</v>
      </c>
      <c r="C182" s="17"/>
      <c r="D182" s="17"/>
      <c r="E182" s="15"/>
      <c r="F182" s="17"/>
      <c r="G182" s="25"/>
      <c r="H182" s="15"/>
      <c r="I182" s="15"/>
    </row>
    <row r="183" spans="1:9" x14ac:dyDescent="0.2">
      <c r="B183" s="23">
        <f t="shared" si="9"/>
        <v>35</v>
      </c>
      <c r="C183" s="17"/>
      <c r="D183" s="17"/>
      <c r="E183" s="17"/>
      <c r="F183" s="25"/>
      <c r="G183" s="15"/>
      <c r="H183" s="16"/>
      <c r="I183" s="15"/>
    </row>
    <row r="184" spans="1:9" x14ac:dyDescent="0.2">
      <c r="B184" s="23">
        <f t="shared" si="9"/>
        <v>36</v>
      </c>
      <c r="C184" s="17"/>
      <c r="D184" s="17"/>
      <c r="E184" s="17"/>
      <c r="F184" s="25"/>
      <c r="G184" s="15"/>
      <c r="H184" s="16"/>
      <c r="I184" s="15"/>
    </row>
    <row r="185" spans="1:9" x14ac:dyDescent="0.2">
      <c r="B185" s="23">
        <f t="shared" si="9"/>
        <v>37</v>
      </c>
      <c r="C185" s="17"/>
      <c r="D185" s="17"/>
      <c r="E185" s="17"/>
      <c r="F185" s="25"/>
      <c r="G185" s="15"/>
      <c r="H185" s="16"/>
      <c r="I185" s="15"/>
    </row>
    <row r="189" spans="1:9" x14ac:dyDescent="0.2">
      <c r="A189" s="15" t="s">
        <v>165</v>
      </c>
    </row>
    <row r="190" spans="1:9" x14ac:dyDescent="0.2">
      <c r="B190" s="22" t="s">
        <v>17</v>
      </c>
      <c r="C190" s="19" t="s">
        <v>18</v>
      </c>
      <c r="D190" s="19" t="s">
        <v>19</v>
      </c>
      <c r="E190" s="19" t="s">
        <v>14</v>
      </c>
      <c r="F190" s="24" t="s">
        <v>27</v>
      </c>
      <c r="G190" s="19" t="s">
        <v>20</v>
      </c>
      <c r="H190" s="20" t="s">
        <v>15</v>
      </c>
      <c r="I190" s="19" t="s">
        <v>132</v>
      </c>
    </row>
    <row r="191" spans="1:9" x14ac:dyDescent="0.2">
      <c r="B191" s="23">
        <v>1</v>
      </c>
      <c r="C191" s="15" t="s">
        <v>158</v>
      </c>
      <c r="D191" s="15" t="s">
        <v>100</v>
      </c>
      <c r="E191" s="15" t="s">
        <v>166</v>
      </c>
      <c r="F191" s="25"/>
      <c r="G191" s="15" t="s">
        <v>24</v>
      </c>
      <c r="H191" s="16"/>
      <c r="I191" s="15"/>
    </row>
    <row r="192" spans="1:9" x14ac:dyDescent="0.2">
      <c r="B192" s="23">
        <f>B191+1</f>
        <v>2</v>
      </c>
      <c r="C192" s="15"/>
      <c r="D192" s="15"/>
      <c r="E192" s="15" t="s">
        <v>161</v>
      </c>
      <c r="F192" s="25"/>
      <c r="G192" s="15" t="s">
        <v>24</v>
      </c>
      <c r="H192" s="16"/>
      <c r="I192" s="15"/>
    </row>
    <row r="193" spans="1:9" x14ac:dyDescent="0.2">
      <c r="B193" s="23">
        <f t="shared" ref="B193:B199" si="10">B192+1</f>
        <v>3</v>
      </c>
      <c r="C193" s="15"/>
      <c r="D193" s="15"/>
      <c r="E193" s="17" t="s">
        <v>181</v>
      </c>
      <c r="F193" s="25"/>
      <c r="G193" s="15" t="s">
        <v>24</v>
      </c>
      <c r="H193" s="16"/>
      <c r="I193" s="15"/>
    </row>
    <row r="194" spans="1:9" x14ac:dyDescent="0.2">
      <c r="B194" s="23">
        <f t="shared" si="10"/>
        <v>4</v>
      </c>
      <c r="C194" s="15"/>
      <c r="D194" s="15"/>
      <c r="E194" s="17" t="s">
        <v>171</v>
      </c>
      <c r="F194" s="25"/>
      <c r="G194" s="15" t="s">
        <v>114</v>
      </c>
      <c r="H194" s="16"/>
      <c r="I194" s="15" t="s">
        <v>24</v>
      </c>
    </row>
    <row r="195" spans="1:9" x14ac:dyDescent="0.2">
      <c r="B195" s="23">
        <f t="shared" si="10"/>
        <v>5</v>
      </c>
      <c r="C195" s="15"/>
      <c r="D195" s="15"/>
      <c r="E195" s="17" t="s">
        <v>172</v>
      </c>
      <c r="F195" s="25"/>
      <c r="G195" s="15" t="s">
        <v>24</v>
      </c>
      <c r="H195" s="16"/>
      <c r="I195" s="15"/>
    </row>
    <row r="196" spans="1:9" x14ac:dyDescent="0.2">
      <c r="B196" s="23">
        <f t="shared" si="10"/>
        <v>6</v>
      </c>
      <c r="C196" s="15"/>
      <c r="D196" s="15"/>
      <c r="E196" s="17" t="s">
        <v>173</v>
      </c>
      <c r="F196" s="25"/>
      <c r="G196" s="15" t="s">
        <v>114</v>
      </c>
      <c r="H196" s="16"/>
      <c r="I196" s="15" t="s">
        <v>24</v>
      </c>
    </row>
    <row r="197" spans="1:9" x14ac:dyDescent="0.2">
      <c r="B197" s="23">
        <f t="shared" si="10"/>
        <v>7</v>
      </c>
      <c r="C197" s="15"/>
      <c r="D197" s="15"/>
      <c r="E197" s="17" t="s">
        <v>200</v>
      </c>
      <c r="F197" s="25"/>
      <c r="G197" s="15" t="s">
        <v>24</v>
      </c>
      <c r="H197" s="16"/>
      <c r="I197" s="15"/>
    </row>
    <row r="198" spans="1:9" x14ac:dyDescent="0.2">
      <c r="B198" s="23">
        <f t="shared" si="10"/>
        <v>8</v>
      </c>
      <c r="C198" s="15"/>
      <c r="D198" s="15"/>
      <c r="E198" s="17" t="s">
        <v>175</v>
      </c>
      <c r="F198" s="25"/>
      <c r="G198" s="15" t="s">
        <v>24</v>
      </c>
      <c r="H198" s="16"/>
      <c r="I198" s="15"/>
    </row>
    <row r="199" spans="1:9" x14ac:dyDescent="0.2">
      <c r="B199" s="23">
        <f t="shared" si="10"/>
        <v>9</v>
      </c>
      <c r="C199" s="15" t="s">
        <v>116</v>
      </c>
      <c r="D199" s="15" t="s">
        <v>117</v>
      </c>
      <c r="E199" s="17" t="s">
        <v>178</v>
      </c>
      <c r="F199" s="25"/>
      <c r="G199" s="15"/>
      <c r="H199" s="16"/>
      <c r="I199" s="15" t="s">
        <v>24</v>
      </c>
    </row>
    <row r="203" spans="1:9" x14ac:dyDescent="0.2">
      <c r="A203" s="15" t="s">
        <v>167</v>
      </c>
    </row>
    <row r="204" spans="1:9" x14ac:dyDescent="0.2">
      <c r="B204" s="22" t="s">
        <v>17</v>
      </c>
      <c r="C204" s="19" t="s">
        <v>18</v>
      </c>
      <c r="D204" s="19" t="s">
        <v>19</v>
      </c>
      <c r="E204" s="19" t="s">
        <v>14</v>
      </c>
      <c r="F204" s="24" t="s">
        <v>27</v>
      </c>
      <c r="G204" s="19" t="s">
        <v>20</v>
      </c>
      <c r="H204" s="20" t="s">
        <v>15</v>
      </c>
      <c r="I204" s="19" t="s">
        <v>132</v>
      </c>
    </row>
    <row r="205" spans="1:9" x14ac:dyDescent="0.2">
      <c r="B205" s="23">
        <v>1</v>
      </c>
      <c r="C205" s="15" t="s">
        <v>158</v>
      </c>
      <c r="D205" s="15" t="s">
        <v>100</v>
      </c>
      <c r="E205" s="15" t="s">
        <v>168</v>
      </c>
      <c r="F205" s="25"/>
      <c r="G205" s="15" t="s">
        <v>24</v>
      </c>
      <c r="H205" s="16"/>
      <c r="I205" s="15"/>
    </row>
    <row r="206" spans="1:9" x14ac:dyDescent="0.2">
      <c r="B206" s="23">
        <f>B205+1</f>
        <v>2</v>
      </c>
      <c r="C206" s="15"/>
      <c r="D206" s="15"/>
      <c r="E206" s="17" t="s">
        <v>179</v>
      </c>
      <c r="F206" s="25"/>
      <c r="G206" s="15" t="s">
        <v>24</v>
      </c>
      <c r="H206" s="16"/>
      <c r="I206" s="15"/>
    </row>
    <row r="207" spans="1:9" x14ac:dyDescent="0.2">
      <c r="B207" s="23">
        <f t="shared" ref="B207:B222" si="11">B206+1</f>
        <v>3</v>
      </c>
      <c r="C207" s="15"/>
      <c r="D207" s="15"/>
      <c r="E207" s="17" t="s">
        <v>180</v>
      </c>
      <c r="F207" s="25"/>
      <c r="G207" s="15" t="s">
        <v>24</v>
      </c>
      <c r="H207" s="16"/>
      <c r="I207" s="15"/>
    </row>
    <row r="208" spans="1:9" x14ac:dyDescent="0.2">
      <c r="B208" s="23">
        <f>B207+1</f>
        <v>4</v>
      </c>
      <c r="C208" s="15"/>
      <c r="D208" s="15"/>
      <c r="E208" s="17" t="s">
        <v>185</v>
      </c>
      <c r="F208" s="25"/>
      <c r="G208" s="15" t="s">
        <v>24</v>
      </c>
      <c r="H208" s="16"/>
      <c r="I208" s="15"/>
    </row>
    <row r="209" spans="2:9" x14ac:dyDescent="0.2">
      <c r="B209" s="23">
        <f>B208+1</f>
        <v>5</v>
      </c>
      <c r="C209" s="15" t="s">
        <v>274</v>
      </c>
      <c r="D209" s="15" t="s">
        <v>184</v>
      </c>
      <c r="E209" s="17" t="s">
        <v>186</v>
      </c>
      <c r="F209" s="25"/>
      <c r="G209" s="15" t="s">
        <v>24</v>
      </c>
      <c r="H209" s="16"/>
      <c r="I209" s="15"/>
    </row>
    <row r="210" spans="2:9" x14ac:dyDescent="0.2">
      <c r="B210" s="23">
        <f t="shared" si="11"/>
        <v>6</v>
      </c>
      <c r="C210" s="15"/>
      <c r="D210" s="15"/>
      <c r="E210" s="34" t="s">
        <v>188</v>
      </c>
      <c r="F210" s="25"/>
      <c r="G210" s="15" t="s">
        <v>24</v>
      </c>
      <c r="H210" s="16" t="s">
        <v>191</v>
      </c>
      <c r="I210" s="15"/>
    </row>
    <row r="211" spans="2:9" x14ac:dyDescent="0.2">
      <c r="B211" s="23">
        <f t="shared" si="11"/>
        <v>7</v>
      </c>
      <c r="C211" s="15"/>
      <c r="D211" s="15"/>
      <c r="E211" s="34" t="s">
        <v>187</v>
      </c>
      <c r="F211" s="25"/>
      <c r="G211" s="15" t="s">
        <v>24</v>
      </c>
      <c r="H211" s="16"/>
      <c r="I211" s="15"/>
    </row>
    <row r="212" spans="2:9" x14ac:dyDescent="0.2">
      <c r="B212" s="23">
        <f t="shared" si="11"/>
        <v>8</v>
      </c>
      <c r="C212" s="15"/>
      <c r="D212" s="15"/>
      <c r="E212" s="15" t="s">
        <v>189</v>
      </c>
      <c r="F212" s="25"/>
      <c r="G212" s="15" t="s">
        <v>24</v>
      </c>
      <c r="H212" s="16" t="s">
        <v>191</v>
      </c>
      <c r="I212" s="15"/>
    </row>
    <row r="213" spans="2:9" ht="25" x14ac:dyDescent="0.2">
      <c r="B213" s="23">
        <f t="shared" si="11"/>
        <v>9</v>
      </c>
      <c r="C213" s="15"/>
      <c r="D213" s="15"/>
      <c r="E213" s="15" t="s">
        <v>190</v>
      </c>
      <c r="F213" s="25"/>
      <c r="G213" s="15" t="s">
        <v>24</v>
      </c>
      <c r="H213" s="36" t="s">
        <v>208</v>
      </c>
      <c r="I213" s="15"/>
    </row>
    <row r="214" spans="2:9" x14ac:dyDescent="0.2">
      <c r="B214" s="23">
        <f t="shared" si="11"/>
        <v>10</v>
      </c>
      <c r="C214" s="15" t="s">
        <v>122</v>
      </c>
      <c r="D214" s="15" t="s">
        <v>206</v>
      </c>
      <c r="E214" s="15" t="s">
        <v>207</v>
      </c>
      <c r="F214" s="25"/>
      <c r="G214" s="15" t="s">
        <v>24</v>
      </c>
      <c r="H214" s="16"/>
      <c r="I214" s="15"/>
    </row>
    <row r="215" spans="2:9" x14ac:dyDescent="0.2">
      <c r="B215" s="23">
        <f t="shared" si="11"/>
        <v>11</v>
      </c>
      <c r="C215" s="15"/>
      <c r="D215" s="15"/>
      <c r="E215" s="15" t="s">
        <v>209</v>
      </c>
      <c r="F215" s="25"/>
      <c r="G215" s="15" t="s">
        <v>24</v>
      </c>
      <c r="H215" s="16"/>
      <c r="I215" s="15"/>
    </row>
    <row r="216" spans="2:9" x14ac:dyDescent="0.2">
      <c r="B216" s="23">
        <f t="shared" si="11"/>
        <v>12</v>
      </c>
      <c r="C216" s="15" t="s">
        <v>210</v>
      </c>
      <c r="D216" s="15" t="s">
        <v>211</v>
      </c>
      <c r="E216" s="15" t="s">
        <v>196</v>
      </c>
      <c r="F216" s="25"/>
      <c r="G216" s="15" t="s">
        <v>114</v>
      </c>
      <c r="H216" s="16" t="s">
        <v>198</v>
      </c>
      <c r="I216" s="15" t="s">
        <v>24</v>
      </c>
    </row>
    <row r="217" spans="2:9" x14ac:dyDescent="0.2">
      <c r="B217" s="23">
        <f t="shared" si="11"/>
        <v>13</v>
      </c>
      <c r="C217" s="15"/>
      <c r="D217" s="15"/>
      <c r="E217" s="15" t="s">
        <v>197</v>
      </c>
      <c r="F217" s="25"/>
      <c r="G217" s="15" t="s">
        <v>114</v>
      </c>
      <c r="H217" s="16" t="s">
        <v>198</v>
      </c>
      <c r="I217" s="15" t="s">
        <v>24</v>
      </c>
    </row>
    <row r="218" spans="2:9" x14ac:dyDescent="0.2">
      <c r="B218" s="23">
        <f t="shared" si="11"/>
        <v>14</v>
      </c>
      <c r="C218" s="15" t="s">
        <v>192</v>
      </c>
      <c r="D218" s="15"/>
      <c r="E218" s="15"/>
      <c r="F218" s="25"/>
      <c r="G218" s="15" t="s">
        <v>24</v>
      </c>
      <c r="H218" s="16" t="s">
        <v>193</v>
      </c>
      <c r="I218" s="15"/>
    </row>
    <row r="219" spans="2:9" x14ac:dyDescent="0.2">
      <c r="B219" s="23">
        <f t="shared" si="11"/>
        <v>15</v>
      </c>
      <c r="C219" s="17"/>
      <c r="D219" s="17"/>
      <c r="E219" s="17"/>
      <c r="F219" s="25"/>
      <c r="G219" s="15"/>
      <c r="H219" s="16"/>
      <c r="I219" s="15"/>
    </row>
    <row r="220" spans="2:9" x14ac:dyDescent="0.2">
      <c r="B220" s="23">
        <f t="shared" si="11"/>
        <v>16</v>
      </c>
      <c r="C220" s="17"/>
      <c r="D220" s="17"/>
      <c r="E220" s="17"/>
      <c r="F220" s="25"/>
      <c r="G220" s="15"/>
      <c r="H220" s="16"/>
      <c r="I220" s="15"/>
    </row>
    <row r="221" spans="2:9" x14ac:dyDescent="0.2">
      <c r="B221" s="23">
        <f t="shared" si="11"/>
        <v>17</v>
      </c>
      <c r="C221" s="17"/>
      <c r="D221" s="17"/>
      <c r="E221" s="17"/>
      <c r="F221" s="25"/>
      <c r="G221" s="15"/>
      <c r="H221" s="16"/>
      <c r="I221" s="15"/>
    </row>
    <row r="222" spans="2:9" x14ac:dyDescent="0.2">
      <c r="B222" s="23">
        <f t="shared" si="11"/>
        <v>18</v>
      </c>
      <c r="C222" s="17"/>
      <c r="D222" s="17"/>
      <c r="E222" s="17"/>
      <c r="F222" s="25"/>
      <c r="G222" s="15"/>
      <c r="H222" s="16"/>
      <c r="I222" s="15"/>
    </row>
    <row r="226" spans="1:9" x14ac:dyDescent="0.2">
      <c r="A226" s="15" t="s">
        <v>199</v>
      </c>
    </row>
    <row r="227" spans="1:9" x14ac:dyDescent="0.2">
      <c r="B227" s="22" t="s">
        <v>17</v>
      </c>
      <c r="C227" s="19" t="s">
        <v>18</v>
      </c>
      <c r="D227" s="19" t="s">
        <v>19</v>
      </c>
      <c r="E227" s="19" t="s">
        <v>14</v>
      </c>
      <c r="F227" s="24" t="s">
        <v>27</v>
      </c>
      <c r="G227" s="19" t="s">
        <v>20</v>
      </c>
      <c r="H227" s="20" t="s">
        <v>15</v>
      </c>
      <c r="I227" s="20" t="s">
        <v>132</v>
      </c>
    </row>
    <row r="228" spans="1:9" x14ac:dyDescent="0.2">
      <c r="B228" s="23">
        <v>1</v>
      </c>
      <c r="C228" s="15" t="s">
        <v>158</v>
      </c>
      <c r="D228" s="15" t="s">
        <v>100</v>
      </c>
      <c r="E228" s="15" t="s">
        <v>201</v>
      </c>
      <c r="F228" s="25"/>
      <c r="G228" s="15" t="s">
        <v>24</v>
      </c>
      <c r="H228" s="16" t="s">
        <v>204</v>
      </c>
      <c r="I228" s="16"/>
    </row>
    <row r="229" spans="1:9" x14ac:dyDescent="0.2">
      <c r="B229" s="23">
        <f t="shared" ref="B229:B235" si="12">B228+1</f>
        <v>2</v>
      </c>
      <c r="C229" s="15"/>
      <c r="D229" s="15"/>
      <c r="E229" s="17" t="s">
        <v>202</v>
      </c>
      <c r="F229" s="25"/>
      <c r="G229" s="15" t="s">
        <v>24</v>
      </c>
      <c r="H229" s="35" t="s">
        <v>203</v>
      </c>
      <c r="I229" s="16"/>
    </row>
    <row r="230" spans="1:9" x14ac:dyDescent="0.2">
      <c r="B230" s="23">
        <f t="shared" si="12"/>
        <v>3</v>
      </c>
      <c r="C230" s="15"/>
      <c r="D230" s="15"/>
      <c r="E230" s="17" t="s">
        <v>205</v>
      </c>
      <c r="F230" s="25"/>
      <c r="G230" s="15" t="s">
        <v>24</v>
      </c>
      <c r="H230" s="16" t="s">
        <v>204</v>
      </c>
      <c r="I230" s="16"/>
    </row>
    <row r="231" spans="1:9" x14ac:dyDescent="0.2">
      <c r="B231" s="23">
        <f t="shared" si="12"/>
        <v>4</v>
      </c>
      <c r="C231" s="15"/>
      <c r="D231" s="15"/>
      <c r="E231" s="17" t="s">
        <v>212</v>
      </c>
      <c r="F231" s="25"/>
      <c r="G231" s="15" t="s">
        <v>24</v>
      </c>
      <c r="H231" s="16"/>
      <c r="I231" s="16"/>
    </row>
    <row r="232" spans="1:9" x14ac:dyDescent="0.2">
      <c r="B232" s="23">
        <f t="shared" si="12"/>
        <v>5</v>
      </c>
      <c r="C232" s="15" t="s">
        <v>194</v>
      </c>
      <c r="D232" s="15" t="s">
        <v>195</v>
      </c>
      <c r="E232" s="17" t="s">
        <v>196</v>
      </c>
      <c r="F232" s="25"/>
      <c r="G232" s="15" t="s">
        <v>114</v>
      </c>
      <c r="H232" s="16" t="s">
        <v>198</v>
      </c>
      <c r="I232" s="16" t="s">
        <v>24</v>
      </c>
    </row>
    <row r="233" spans="1:9" x14ac:dyDescent="0.2">
      <c r="B233" s="23">
        <f t="shared" si="12"/>
        <v>6</v>
      </c>
      <c r="C233" s="15"/>
      <c r="D233" s="15"/>
      <c r="E233" s="17" t="s">
        <v>197</v>
      </c>
      <c r="F233" s="25"/>
      <c r="G233" s="15" t="s">
        <v>114</v>
      </c>
      <c r="H233" s="16" t="s">
        <v>198</v>
      </c>
      <c r="I233" s="16" t="s">
        <v>24</v>
      </c>
    </row>
    <row r="234" spans="1:9" x14ac:dyDescent="0.2">
      <c r="B234" s="23">
        <f t="shared" si="12"/>
        <v>7</v>
      </c>
      <c r="C234" s="15" t="s">
        <v>213</v>
      </c>
      <c r="D234" s="15" t="s">
        <v>214</v>
      </c>
      <c r="E234" s="17" t="s">
        <v>215</v>
      </c>
      <c r="F234" s="25"/>
      <c r="G234" s="15" t="s">
        <v>25</v>
      </c>
      <c r="H234" s="16"/>
      <c r="I234" s="16" t="s">
        <v>24</v>
      </c>
    </row>
    <row r="235" spans="1:9" x14ac:dyDescent="0.2">
      <c r="B235" s="23">
        <f t="shared" si="12"/>
        <v>8</v>
      </c>
      <c r="C235" s="15"/>
      <c r="D235" s="15"/>
      <c r="E235" s="17"/>
      <c r="F235" s="25"/>
      <c r="G235" s="15"/>
      <c r="H235" s="16"/>
      <c r="I235" s="16"/>
    </row>
    <row r="236" spans="1:9" x14ac:dyDescent="0.2">
      <c r="B236" s="23">
        <f>B232+1</f>
        <v>6</v>
      </c>
      <c r="C236" s="15"/>
      <c r="D236" s="15"/>
      <c r="E236" s="34"/>
      <c r="F236" s="25"/>
      <c r="G236" s="15"/>
      <c r="H236" s="16"/>
      <c r="I236" s="16"/>
    </row>
    <row r="237" spans="1:9" x14ac:dyDescent="0.2">
      <c r="B237" s="23">
        <f>B236+1</f>
        <v>7</v>
      </c>
      <c r="C237" s="15"/>
      <c r="D237" s="15"/>
      <c r="E237" s="34"/>
      <c r="F237" s="25"/>
      <c r="G237" s="15"/>
      <c r="H237" s="16"/>
      <c r="I237" s="16"/>
    </row>
    <row r="238" spans="1:9" x14ac:dyDescent="0.2">
      <c r="B238" s="30">
        <f>B237+1</f>
        <v>8</v>
      </c>
      <c r="C238" s="17"/>
      <c r="D238" s="17"/>
      <c r="E238" s="17"/>
      <c r="F238" s="26"/>
      <c r="G238" s="17"/>
      <c r="H238" s="18"/>
      <c r="I238" s="18"/>
    </row>
    <row r="241" spans="1:9" x14ac:dyDescent="0.2">
      <c r="A241" s="15" t="s">
        <v>216</v>
      </c>
    </row>
    <row r="242" spans="1:9" x14ac:dyDescent="0.2">
      <c r="B242" s="22" t="s">
        <v>17</v>
      </c>
      <c r="C242" s="19" t="s">
        <v>18</v>
      </c>
      <c r="D242" s="19" t="s">
        <v>19</v>
      </c>
      <c r="E242" s="19" t="s">
        <v>14</v>
      </c>
      <c r="F242" s="24" t="s">
        <v>27</v>
      </c>
      <c r="G242" s="19" t="s">
        <v>20</v>
      </c>
      <c r="H242" s="20" t="s">
        <v>15</v>
      </c>
      <c r="I242" s="20" t="s">
        <v>132</v>
      </c>
    </row>
    <row r="243" spans="1:9" x14ac:dyDescent="0.2">
      <c r="B243" s="23">
        <v>1</v>
      </c>
      <c r="C243" s="15" t="s">
        <v>194</v>
      </c>
      <c r="D243" s="15" t="s">
        <v>223</v>
      </c>
      <c r="E243" s="15" t="s">
        <v>196</v>
      </c>
      <c r="F243" s="25"/>
      <c r="G243" s="15" t="s">
        <v>24</v>
      </c>
      <c r="H243" s="16"/>
      <c r="I243" s="16"/>
    </row>
    <row r="244" spans="1:9" x14ac:dyDescent="0.2">
      <c r="B244" s="23">
        <f t="shared" ref="B244:B250" si="13">B243+1</f>
        <v>2</v>
      </c>
      <c r="C244" s="15"/>
      <c r="D244" s="15"/>
      <c r="E244" s="17" t="s">
        <v>197</v>
      </c>
      <c r="F244" s="25"/>
      <c r="G244" s="15" t="s">
        <v>24</v>
      </c>
      <c r="H244" s="35" t="s">
        <v>225</v>
      </c>
      <c r="I244" s="16"/>
    </row>
    <row r="245" spans="1:9" x14ac:dyDescent="0.2">
      <c r="B245" s="23">
        <f t="shared" si="13"/>
        <v>3</v>
      </c>
      <c r="C245" s="15"/>
      <c r="D245" s="15" t="s">
        <v>221</v>
      </c>
      <c r="E245" s="17" t="s">
        <v>222</v>
      </c>
      <c r="F245" s="25"/>
      <c r="G245" s="15" t="s">
        <v>24</v>
      </c>
      <c r="H245" s="16"/>
      <c r="I245" s="16"/>
    </row>
    <row r="246" spans="1:9" x14ac:dyDescent="0.2">
      <c r="B246" s="23">
        <f t="shared" si="13"/>
        <v>4</v>
      </c>
      <c r="C246" s="15"/>
      <c r="D246" s="15" t="s">
        <v>224</v>
      </c>
      <c r="E246" s="17" t="s">
        <v>196</v>
      </c>
      <c r="F246" s="25"/>
      <c r="G246" s="15" t="s">
        <v>114</v>
      </c>
      <c r="H246" s="16" t="s">
        <v>226</v>
      </c>
      <c r="I246" s="16" t="s">
        <v>24</v>
      </c>
    </row>
    <row r="247" spans="1:9" x14ac:dyDescent="0.2">
      <c r="B247" s="23">
        <f t="shared" si="13"/>
        <v>5</v>
      </c>
      <c r="C247" s="15"/>
      <c r="D247" s="15"/>
      <c r="E247" s="17" t="s">
        <v>197</v>
      </c>
      <c r="F247" s="25"/>
      <c r="G247" s="15" t="s">
        <v>114</v>
      </c>
      <c r="H247" s="16" t="s">
        <v>226</v>
      </c>
      <c r="I247" s="16" t="s">
        <v>24</v>
      </c>
    </row>
    <row r="248" spans="1:9" x14ac:dyDescent="0.2">
      <c r="B248" s="23">
        <f t="shared" si="13"/>
        <v>6</v>
      </c>
      <c r="C248" s="15" t="s">
        <v>213</v>
      </c>
      <c r="D248" s="15" t="s">
        <v>214</v>
      </c>
      <c r="E248" s="17" t="s">
        <v>215</v>
      </c>
      <c r="F248" s="25"/>
      <c r="G248" s="15" t="s">
        <v>24</v>
      </c>
      <c r="H248" s="16"/>
      <c r="I248" s="16"/>
    </row>
    <row r="249" spans="1:9" x14ac:dyDescent="0.2">
      <c r="B249" s="23">
        <f t="shared" si="13"/>
        <v>7</v>
      </c>
      <c r="C249" s="15" t="s">
        <v>217</v>
      </c>
      <c r="D249" s="15" t="s">
        <v>218</v>
      </c>
      <c r="E249" s="17" t="s">
        <v>219</v>
      </c>
      <c r="F249" s="25"/>
      <c r="G249" s="15" t="s">
        <v>114</v>
      </c>
      <c r="H249" s="16"/>
      <c r="I249" s="16" t="s">
        <v>24</v>
      </c>
    </row>
    <row r="250" spans="1:9" x14ac:dyDescent="0.2">
      <c r="B250" s="23">
        <f t="shared" si="13"/>
        <v>8</v>
      </c>
      <c r="C250" s="15"/>
      <c r="D250" s="15"/>
      <c r="E250" s="17" t="s">
        <v>220</v>
      </c>
      <c r="F250" s="25"/>
      <c r="G250" s="15" t="s">
        <v>114</v>
      </c>
      <c r="H250" s="16"/>
      <c r="I250" s="16" t="s">
        <v>24</v>
      </c>
    </row>
    <row r="251" spans="1:9" x14ac:dyDescent="0.2">
      <c r="B251" s="23">
        <f>B247+1</f>
        <v>6</v>
      </c>
      <c r="C251" s="15"/>
      <c r="D251" s="15"/>
      <c r="E251" s="34" t="s">
        <v>228</v>
      </c>
      <c r="F251" s="25"/>
      <c r="G251" s="15" t="s">
        <v>24</v>
      </c>
      <c r="H251" s="16"/>
      <c r="I251" s="16"/>
    </row>
    <row r="252" spans="1:9" x14ac:dyDescent="0.2">
      <c r="B252" s="23">
        <f>B251+1</f>
        <v>7</v>
      </c>
      <c r="C252" s="15"/>
      <c r="D252" s="15"/>
      <c r="E252" s="34" t="s">
        <v>229</v>
      </c>
      <c r="F252" s="25"/>
      <c r="G252" s="15" t="s">
        <v>24</v>
      </c>
      <c r="H252" s="16"/>
      <c r="I252" s="16"/>
    </row>
    <row r="253" spans="1:9" x14ac:dyDescent="0.2">
      <c r="B253" s="30">
        <f>B252+1</f>
        <v>8</v>
      </c>
      <c r="C253" s="17" t="s">
        <v>122</v>
      </c>
      <c r="D253" s="17" t="s">
        <v>227</v>
      </c>
      <c r="E253" s="17" t="s">
        <v>222</v>
      </c>
      <c r="F253" s="26"/>
      <c r="G253" s="17" t="s">
        <v>114</v>
      </c>
      <c r="H253" s="18"/>
      <c r="I253" s="18" t="s">
        <v>24</v>
      </c>
    </row>
    <row r="256" spans="1:9" x14ac:dyDescent="0.2">
      <c r="A256" s="15" t="s">
        <v>230</v>
      </c>
    </row>
    <row r="257" spans="1:9" x14ac:dyDescent="0.2">
      <c r="B257" s="22" t="s">
        <v>17</v>
      </c>
      <c r="C257" s="19" t="s">
        <v>18</v>
      </c>
      <c r="D257" s="19" t="s">
        <v>19</v>
      </c>
      <c r="E257" s="19" t="s">
        <v>14</v>
      </c>
      <c r="F257" s="24" t="s">
        <v>27</v>
      </c>
      <c r="G257" s="19" t="s">
        <v>20</v>
      </c>
      <c r="H257" s="20" t="s">
        <v>15</v>
      </c>
      <c r="I257" s="20" t="s">
        <v>132</v>
      </c>
    </row>
    <row r="258" spans="1:9" x14ac:dyDescent="0.2">
      <c r="B258" s="23">
        <v>1</v>
      </c>
      <c r="C258" s="15" t="s">
        <v>194</v>
      </c>
      <c r="D258" s="15" t="s">
        <v>231</v>
      </c>
      <c r="E258" s="15" t="s">
        <v>232</v>
      </c>
      <c r="F258" s="25"/>
      <c r="G258" s="15" t="s">
        <v>24</v>
      </c>
      <c r="H258" s="16"/>
      <c r="I258" s="16"/>
    </row>
    <row r="259" spans="1:9" x14ac:dyDescent="0.2">
      <c r="B259" s="23">
        <f t="shared" ref="B259:B265" si="14">B258+1</f>
        <v>2</v>
      </c>
      <c r="C259" s="15"/>
      <c r="D259" s="15"/>
      <c r="E259" s="17" t="s">
        <v>233</v>
      </c>
      <c r="F259" s="25"/>
      <c r="G259" s="15" t="s">
        <v>24</v>
      </c>
      <c r="H259" s="35"/>
      <c r="I259" s="16"/>
    </row>
    <row r="260" spans="1:9" x14ac:dyDescent="0.2">
      <c r="B260" s="23">
        <f t="shared" si="14"/>
        <v>3</v>
      </c>
      <c r="C260" s="15"/>
      <c r="D260" s="15"/>
      <c r="E260" s="17" t="s">
        <v>235</v>
      </c>
      <c r="F260" s="25"/>
      <c r="G260" s="15" t="s">
        <v>24</v>
      </c>
      <c r="H260" s="16"/>
      <c r="I260" s="16"/>
    </row>
    <row r="261" spans="1:9" x14ac:dyDescent="0.2">
      <c r="B261" s="23">
        <f t="shared" si="14"/>
        <v>4</v>
      </c>
      <c r="C261" s="15"/>
      <c r="D261" s="15" t="s">
        <v>234</v>
      </c>
      <c r="E261" s="17" t="s">
        <v>232</v>
      </c>
      <c r="F261" s="25"/>
      <c r="G261" s="15" t="s">
        <v>24</v>
      </c>
      <c r="H261" s="16"/>
      <c r="I261" s="16"/>
    </row>
    <row r="262" spans="1:9" x14ac:dyDescent="0.2">
      <c r="B262" s="23">
        <f t="shared" si="14"/>
        <v>5</v>
      </c>
      <c r="C262" s="15"/>
      <c r="D262" s="15"/>
      <c r="E262" s="17" t="s">
        <v>233</v>
      </c>
      <c r="F262" s="25"/>
      <c r="G262" s="15" t="s">
        <v>24</v>
      </c>
      <c r="H262" s="16"/>
      <c r="I262" s="16"/>
    </row>
    <row r="263" spans="1:9" x14ac:dyDescent="0.2">
      <c r="B263" s="23">
        <f t="shared" si="14"/>
        <v>6</v>
      </c>
      <c r="C263" s="15"/>
      <c r="D263" s="15"/>
      <c r="E263" s="17" t="s">
        <v>235</v>
      </c>
      <c r="F263" s="25"/>
      <c r="G263" s="15" t="s">
        <v>24</v>
      </c>
      <c r="H263" s="16"/>
      <c r="I263" s="16"/>
    </row>
    <row r="264" spans="1:9" x14ac:dyDescent="0.2">
      <c r="B264" s="23">
        <f t="shared" si="14"/>
        <v>7</v>
      </c>
      <c r="C264" s="15" t="s">
        <v>217</v>
      </c>
      <c r="D264" s="15" t="s">
        <v>218</v>
      </c>
      <c r="E264" s="17" t="s">
        <v>219</v>
      </c>
      <c r="F264" s="25"/>
      <c r="G264" s="15" t="s">
        <v>114</v>
      </c>
      <c r="H264" s="16"/>
      <c r="I264" s="16" t="s">
        <v>24</v>
      </c>
    </row>
    <row r="265" spans="1:9" x14ac:dyDescent="0.2">
      <c r="B265" s="23">
        <f t="shared" si="14"/>
        <v>8</v>
      </c>
      <c r="C265" s="15"/>
      <c r="D265" s="15"/>
      <c r="E265" s="17" t="s">
        <v>220</v>
      </c>
      <c r="F265" s="25"/>
      <c r="G265" s="15" t="s">
        <v>114</v>
      </c>
      <c r="H265" s="16"/>
      <c r="I265" s="16" t="s">
        <v>24</v>
      </c>
    </row>
    <row r="266" spans="1:9" x14ac:dyDescent="0.2">
      <c r="B266" s="23">
        <f>B262+1</f>
        <v>6</v>
      </c>
      <c r="C266" s="15" t="s">
        <v>122</v>
      </c>
      <c r="D266" s="15" t="s">
        <v>227</v>
      </c>
      <c r="E266" s="34" t="s">
        <v>222</v>
      </c>
      <c r="F266" s="25"/>
      <c r="G266" s="15" t="s">
        <v>24</v>
      </c>
      <c r="H266" s="16"/>
      <c r="I266" s="16"/>
    </row>
    <row r="267" spans="1:9" x14ac:dyDescent="0.2">
      <c r="B267" s="23">
        <f>B266+1</f>
        <v>7</v>
      </c>
      <c r="C267" s="15"/>
      <c r="D267" s="15" t="s">
        <v>236</v>
      </c>
      <c r="E267" s="34" t="s">
        <v>237</v>
      </c>
      <c r="F267" s="25"/>
      <c r="G267" s="15" t="s">
        <v>25</v>
      </c>
      <c r="H267" s="16"/>
      <c r="I267" s="16" t="s">
        <v>24</v>
      </c>
    </row>
    <row r="268" spans="1:9" x14ac:dyDescent="0.2">
      <c r="B268" s="30">
        <f>B267+1</f>
        <v>8</v>
      </c>
      <c r="C268" s="17"/>
      <c r="D268" s="17"/>
      <c r="E268" s="17"/>
      <c r="F268" s="26"/>
      <c r="G268" s="17"/>
      <c r="H268" s="18"/>
      <c r="I268" s="18"/>
    </row>
    <row r="271" spans="1:9" x14ac:dyDescent="0.2">
      <c r="A271" s="15" t="s">
        <v>238</v>
      </c>
    </row>
    <row r="272" spans="1:9" x14ac:dyDescent="0.2">
      <c r="B272" s="22" t="s">
        <v>17</v>
      </c>
      <c r="C272" s="19" t="s">
        <v>18</v>
      </c>
      <c r="D272" s="19" t="s">
        <v>19</v>
      </c>
      <c r="E272" s="19" t="s">
        <v>14</v>
      </c>
      <c r="F272" s="24" t="s">
        <v>27</v>
      </c>
      <c r="G272" s="19" t="s">
        <v>20</v>
      </c>
      <c r="H272" s="20" t="s">
        <v>15</v>
      </c>
      <c r="I272" s="20" t="s">
        <v>132</v>
      </c>
    </row>
    <row r="273" spans="1:9" x14ac:dyDescent="0.2">
      <c r="B273" s="23">
        <v>1</v>
      </c>
      <c r="C273" s="15" t="s">
        <v>217</v>
      </c>
      <c r="D273" s="15" t="s">
        <v>218</v>
      </c>
      <c r="E273" s="15" t="s">
        <v>219</v>
      </c>
      <c r="F273" s="25"/>
      <c r="G273" s="15" t="s">
        <v>239</v>
      </c>
      <c r="H273" s="16"/>
      <c r="I273" s="16"/>
    </row>
    <row r="274" spans="1:9" x14ac:dyDescent="0.2">
      <c r="B274" s="23">
        <f t="shared" ref="B274:B280" si="15">B273+1</f>
        <v>2</v>
      </c>
      <c r="C274" s="15"/>
      <c r="D274" s="15"/>
      <c r="E274" s="17" t="s">
        <v>220</v>
      </c>
      <c r="F274" s="25"/>
      <c r="G274" s="15" t="s">
        <v>24</v>
      </c>
      <c r="H274" s="35"/>
      <c r="I274" s="16"/>
    </row>
    <row r="275" spans="1:9" x14ac:dyDescent="0.2">
      <c r="B275" s="23">
        <f t="shared" si="15"/>
        <v>3</v>
      </c>
      <c r="C275" s="15" t="s">
        <v>122</v>
      </c>
      <c r="D275" s="15" t="s">
        <v>227</v>
      </c>
      <c r="E275" s="17" t="s">
        <v>222</v>
      </c>
      <c r="F275" s="25"/>
      <c r="G275" s="15" t="s">
        <v>24</v>
      </c>
      <c r="H275" s="16"/>
      <c r="I275" s="16"/>
    </row>
    <row r="276" spans="1:9" x14ac:dyDescent="0.2">
      <c r="B276" s="23">
        <f t="shared" si="15"/>
        <v>4</v>
      </c>
      <c r="C276" s="15"/>
      <c r="D276" s="15" t="s">
        <v>236</v>
      </c>
      <c r="E276" s="17" t="s">
        <v>237</v>
      </c>
      <c r="F276" s="25"/>
      <c r="G276" s="15" t="s">
        <v>114</v>
      </c>
      <c r="H276" s="16"/>
      <c r="I276" s="16" t="s">
        <v>24</v>
      </c>
    </row>
    <row r="277" spans="1:9" x14ac:dyDescent="0.2">
      <c r="B277" s="23">
        <f t="shared" si="15"/>
        <v>5</v>
      </c>
      <c r="C277" s="15"/>
      <c r="D277" s="15"/>
      <c r="E277" s="17"/>
      <c r="F277" s="25"/>
      <c r="G277" s="15"/>
      <c r="H277" s="16"/>
      <c r="I277" s="16"/>
    </row>
    <row r="278" spans="1:9" x14ac:dyDescent="0.2">
      <c r="B278" s="23">
        <f t="shared" si="15"/>
        <v>6</v>
      </c>
      <c r="C278" s="15"/>
      <c r="D278" s="15"/>
      <c r="E278" s="17"/>
      <c r="F278" s="25"/>
      <c r="G278" s="15"/>
      <c r="H278" s="16"/>
      <c r="I278" s="16"/>
    </row>
    <row r="279" spans="1:9" x14ac:dyDescent="0.2">
      <c r="B279" s="23">
        <f t="shared" si="15"/>
        <v>7</v>
      </c>
      <c r="C279" s="15"/>
      <c r="D279" s="15"/>
      <c r="E279" s="17"/>
      <c r="F279" s="25"/>
      <c r="G279" s="15"/>
      <c r="H279" s="16"/>
      <c r="I279" s="16"/>
    </row>
    <row r="280" spans="1:9" x14ac:dyDescent="0.2">
      <c r="B280" s="23">
        <f t="shared" si="15"/>
        <v>8</v>
      </c>
      <c r="C280" s="15"/>
      <c r="D280" s="15"/>
      <c r="E280" s="17"/>
      <c r="F280" s="25"/>
      <c r="G280" s="15"/>
      <c r="H280" s="16"/>
      <c r="I280" s="16"/>
    </row>
    <row r="281" spans="1:9" x14ac:dyDescent="0.2">
      <c r="B281" s="23">
        <f>B277+1</f>
        <v>6</v>
      </c>
      <c r="C281" s="15"/>
      <c r="D281" s="15"/>
      <c r="E281" s="34"/>
      <c r="F281" s="25"/>
      <c r="G281" s="15"/>
      <c r="H281" s="16"/>
      <c r="I281" s="16"/>
    </row>
    <row r="282" spans="1:9" x14ac:dyDescent="0.2">
      <c r="B282" s="23">
        <f>B281+1</f>
        <v>7</v>
      </c>
      <c r="C282" s="15"/>
      <c r="D282" s="15"/>
      <c r="E282" s="34"/>
      <c r="F282" s="25"/>
      <c r="G282" s="15"/>
      <c r="H282" s="16"/>
      <c r="I282" s="16"/>
    </row>
    <row r="283" spans="1:9" x14ac:dyDescent="0.2">
      <c r="B283" s="30">
        <f>B282+1</f>
        <v>8</v>
      </c>
      <c r="C283" s="17"/>
      <c r="D283" s="17"/>
      <c r="E283" s="17"/>
      <c r="F283" s="26"/>
      <c r="G283" s="17"/>
      <c r="H283" s="18"/>
      <c r="I283" s="18"/>
    </row>
    <row r="286" spans="1:9" x14ac:dyDescent="0.2">
      <c r="A286" s="15" t="s">
        <v>240</v>
      </c>
    </row>
    <row r="287" spans="1:9" x14ac:dyDescent="0.2">
      <c r="B287" s="22" t="s">
        <v>17</v>
      </c>
      <c r="C287" s="19" t="s">
        <v>18</v>
      </c>
      <c r="D287" s="19" t="s">
        <v>19</v>
      </c>
      <c r="E287" s="19" t="s">
        <v>14</v>
      </c>
      <c r="F287" s="24" t="s">
        <v>27</v>
      </c>
      <c r="G287" s="19" t="s">
        <v>20</v>
      </c>
      <c r="H287" s="20" t="s">
        <v>15</v>
      </c>
      <c r="I287" s="20" t="s">
        <v>132</v>
      </c>
    </row>
    <row r="288" spans="1:9" x14ac:dyDescent="0.2">
      <c r="B288" s="23">
        <v>1</v>
      </c>
      <c r="C288" s="15" t="s">
        <v>217</v>
      </c>
      <c r="D288" s="15" t="s">
        <v>241</v>
      </c>
      <c r="E288" s="15" t="s">
        <v>242</v>
      </c>
      <c r="F288" s="25"/>
      <c r="G288" s="15" t="s">
        <v>25</v>
      </c>
      <c r="H288" s="16"/>
      <c r="I288" s="16" t="s">
        <v>24</v>
      </c>
    </row>
    <row r="289" spans="1:9" x14ac:dyDescent="0.2">
      <c r="B289" s="23">
        <f t="shared" ref="B289:B295" si="16">B288+1</f>
        <v>2</v>
      </c>
      <c r="C289" s="15"/>
      <c r="D289" s="15"/>
      <c r="E289" s="17" t="s">
        <v>243</v>
      </c>
      <c r="F289" s="25"/>
      <c r="G289" s="15" t="s">
        <v>25</v>
      </c>
      <c r="H289" s="35"/>
      <c r="I289" s="16" t="s">
        <v>24</v>
      </c>
    </row>
    <row r="290" spans="1:9" x14ac:dyDescent="0.2">
      <c r="B290" s="23">
        <f t="shared" si="16"/>
        <v>3</v>
      </c>
      <c r="C290" s="15" t="s">
        <v>122</v>
      </c>
      <c r="D290" s="15" t="s">
        <v>236</v>
      </c>
      <c r="E290" s="17" t="s">
        <v>237</v>
      </c>
      <c r="F290" s="25"/>
      <c r="G290" s="15" t="s">
        <v>24</v>
      </c>
      <c r="H290" s="16"/>
      <c r="I290" s="16"/>
    </row>
    <row r="291" spans="1:9" x14ac:dyDescent="0.2">
      <c r="B291" s="23">
        <f t="shared" si="16"/>
        <v>4</v>
      </c>
      <c r="C291" s="15"/>
      <c r="D291" s="15"/>
      <c r="E291" s="17"/>
      <c r="F291" s="25"/>
      <c r="G291" s="15"/>
      <c r="H291" s="16"/>
      <c r="I291" s="16"/>
    </row>
    <row r="292" spans="1:9" x14ac:dyDescent="0.2">
      <c r="B292" s="23">
        <f t="shared" si="16"/>
        <v>5</v>
      </c>
      <c r="C292" s="15"/>
      <c r="D292" s="15"/>
      <c r="E292" s="17"/>
      <c r="F292" s="25"/>
      <c r="G292" s="15"/>
      <c r="H292" s="16"/>
      <c r="I292" s="16"/>
    </row>
    <row r="293" spans="1:9" x14ac:dyDescent="0.2">
      <c r="B293" s="23">
        <f t="shared" si="16"/>
        <v>6</v>
      </c>
      <c r="C293" s="15"/>
      <c r="D293" s="15"/>
      <c r="E293" s="17"/>
      <c r="F293" s="25"/>
      <c r="G293" s="15"/>
      <c r="H293" s="16"/>
      <c r="I293" s="16"/>
    </row>
    <row r="294" spans="1:9" x14ac:dyDescent="0.2">
      <c r="B294" s="23">
        <f t="shared" si="16"/>
        <v>7</v>
      </c>
      <c r="C294" s="15"/>
      <c r="D294" s="15"/>
      <c r="E294" s="17"/>
      <c r="F294" s="25"/>
      <c r="G294" s="15"/>
      <c r="H294" s="16"/>
      <c r="I294" s="16"/>
    </row>
    <row r="295" spans="1:9" x14ac:dyDescent="0.2">
      <c r="B295" s="23">
        <f t="shared" si="16"/>
        <v>8</v>
      </c>
      <c r="C295" s="15"/>
      <c r="D295" s="15"/>
      <c r="E295" s="17"/>
      <c r="F295" s="25"/>
      <c r="G295" s="15"/>
      <c r="H295" s="16"/>
      <c r="I295" s="16"/>
    </row>
    <row r="296" spans="1:9" x14ac:dyDescent="0.2">
      <c r="B296" s="23">
        <f>B292+1</f>
        <v>6</v>
      </c>
      <c r="C296" s="15"/>
      <c r="D296" s="15"/>
      <c r="E296" s="34"/>
      <c r="F296" s="25"/>
      <c r="G296" s="15"/>
      <c r="H296" s="16"/>
      <c r="I296" s="16"/>
    </row>
    <row r="297" spans="1:9" x14ac:dyDescent="0.2">
      <c r="B297" s="23">
        <f>B296+1</f>
        <v>7</v>
      </c>
      <c r="C297" s="15"/>
      <c r="D297" s="15"/>
      <c r="E297" s="34"/>
      <c r="F297" s="25"/>
      <c r="G297" s="15"/>
      <c r="H297" s="16"/>
      <c r="I297" s="16"/>
    </row>
    <row r="298" spans="1:9" x14ac:dyDescent="0.2">
      <c r="B298" s="30">
        <f>B297+1</f>
        <v>8</v>
      </c>
      <c r="C298" s="17"/>
      <c r="D298" s="17"/>
      <c r="E298" s="17"/>
      <c r="F298" s="26"/>
      <c r="G298" s="17"/>
      <c r="H298" s="18"/>
      <c r="I298" s="18"/>
    </row>
    <row r="301" spans="1:9" x14ac:dyDescent="0.2">
      <c r="A301" s="15" t="s">
        <v>244</v>
      </c>
    </row>
    <row r="302" spans="1:9" x14ac:dyDescent="0.2">
      <c r="B302" s="22" t="s">
        <v>17</v>
      </c>
      <c r="C302" s="19" t="s">
        <v>18</v>
      </c>
      <c r="D302" s="19" t="s">
        <v>19</v>
      </c>
      <c r="E302" s="19" t="s">
        <v>14</v>
      </c>
      <c r="F302" s="24" t="s">
        <v>27</v>
      </c>
      <c r="G302" s="19" t="s">
        <v>20</v>
      </c>
      <c r="H302" s="20" t="s">
        <v>15</v>
      </c>
      <c r="I302" s="20" t="s">
        <v>132</v>
      </c>
    </row>
    <row r="303" spans="1:9" x14ac:dyDescent="0.2">
      <c r="B303" s="23">
        <v>1</v>
      </c>
      <c r="C303" s="15" t="s">
        <v>217</v>
      </c>
      <c r="D303" s="15" t="s">
        <v>241</v>
      </c>
      <c r="E303" s="15" t="s">
        <v>242</v>
      </c>
      <c r="F303" s="25"/>
      <c r="G303" s="15" t="s">
        <v>24</v>
      </c>
      <c r="H303" s="16"/>
      <c r="I303" s="18" t="str">
        <f>IF(テーブル8101617181942[[#This Row],[状況]]="完了","",IF(SUMPRODUCT((テーブル8101617181942[[#This Row],[タスク詳細]]=E:E)*("完了"=G:G))=1,"完了",""))</f>
        <v/>
      </c>
    </row>
    <row r="304" spans="1:9" x14ac:dyDescent="0.2">
      <c r="B304" s="23">
        <f t="shared" ref="B304:B310" si="17">B303+1</f>
        <v>2</v>
      </c>
      <c r="C304" s="15"/>
      <c r="D304" s="15"/>
      <c r="E304" s="17" t="s">
        <v>243</v>
      </c>
      <c r="F304" s="25"/>
      <c r="G304" s="15" t="s">
        <v>24</v>
      </c>
      <c r="H304" s="35"/>
      <c r="I304" s="18" t="str">
        <f>IF(テーブル8101617181942[[#This Row],[状況]]="完了","",IF(SUMPRODUCT((テーブル8101617181942[[#This Row],[タスク詳細]]=E:E)*("完了"=G:G))=1,"完了",""))</f>
        <v/>
      </c>
    </row>
    <row r="305" spans="1:9" x14ac:dyDescent="0.2">
      <c r="B305" s="23">
        <f t="shared" si="17"/>
        <v>3</v>
      </c>
      <c r="C305" s="15" t="s">
        <v>122</v>
      </c>
      <c r="D305" s="15" t="s">
        <v>236</v>
      </c>
      <c r="E305" s="17" t="s">
        <v>264</v>
      </c>
      <c r="F305" s="25"/>
      <c r="G305" s="15" t="s">
        <v>114</v>
      </c>
      <c r="H305" s="16"/>
      <c r="I305" s="18" t="str">
        <f>IF(テーブル8101617181942[[#This Row],[状況]]="完了","",IF(SUMPRODUCT((テーブル8101617181942[[#This Row],[タスク詳細]]=E:E)*("完了"=G:G))=1,"完了",""))</f>
        <v>完了</v>
      </c>
    </row>
    <row r="306" spans="1:9" x14ac:dyDescent="0.2">
      <c r="B306" s="23">
        <f t="shared" si="17"/>
        <v>4</v>
      </c>
      <c r="C306" s="15"/>
      <c r="D306" s="15"/>
      <c r="E306" s="17" t="s">
        <v>247</v>
      </c>
      <c r="F306" s="25"/>
      <c r="G306" s="15" t="s">
        <v>25</v>
      </c>
      <c r="H306" s="16"/>
      <c r="I306" s="18" t="str">
        <f>IF(テーブル8101617181942[[#This Row],[状況]]="完了","",IF(SUMPRODUCT((テーブル8101617181942[[#This Row],[タスク詳細]]=E:E)*("完了"=G:G))=1,"完了",""))</f>
        <v>完了</v>
      </c>
    </row>
    <row r="307" spans="1:9" x14ac:dyDescent="0.2">
      <c r="B307" s="23">
        <f t="shared" si="17"/>
        <v>5</v>
      </c>
      <c r="C307" s="15"/>
      <c r="D307" s="15"/>
      <c r="E307" s="17" t="s">
        <v>246</v>
      </c>
      <c r="F307" s="25"/>
      <c r="G307" s="15" t="s">
        <v>25</v>
      </c>
      <c r="H307" s="16"/>
      <c r="I307" s="18" t="str">
        <f>IF(テーブル8101617181942[[#This Row],[状況]]="完了","",IF(SUMPRODUCT((テーブル8101617181942[[#This Row],[タスク詳細]]=E:E)*("完了"=G:G))=1,"完了",""))</f>
        <v>完了</v>
      </c>
    </row>
    <row r="308" spans="1:9" x14ac:dyDescent="0.2">
      <c r="B308" s="23">
        <f t="shared" si="17"/>
        <v>6</v>
      </c>
      <c r="C308" s="15" t="s">
        <v>245</v>
      </c>
      <c r="D308" s="15" t="s">
        <v>248</v>
      </c>
      <c r="E308" s="17" t="s">
        <v>249</v>
      </c>
      <c r="F308" s="25"/>
      <c r="G308" s="15" t="s">
        <v>24</v>
      </c>
      <c r="H308" s="16"/>
      <c r="I308" s="18" t="str">
        <f>IF(テーブル8101617181942[[#This Row],[状況]]="完了","",IF(SUMPRODUCT((テーブル8101617181942[[#This Row],[タスク詳細]]=E:E)*("完了"=G:G))=1,"完了",""))</f>
        <v/>
      </c>
    </row>
    <row r="309" spans="1:9" x14ac:dyDescent="0.2">
      <c r="B309" s="23">
        <f t="shared" si="17"/>
        <v>7</v>
      </c>
      <c r="C309" s="15"/>
      <c r="D309" s="15"/>
      <c r="E309" s="17" t="s">
        <v>250</v>
      </c>
      <c r="F309" s="25"/>
      <c r="G309" s="15" t="s">
        <v>24</v>
      </c>
      <c r="H309" s="16"/>
      <c r="I309" s="18" t="str">
        <f>IF(テーブル8101617181942[[#This Row],[状況]]="完了","",IF(SUMPRODUCT((テーブル8101617181942[[#This Row],[タスク詳細]]=E:E)*("完了"=G:G))=1,"完了",""))</f>
        <v/>
      </c>
    </row>
    <row r="310" spans="1:9" x14ac:dyDescent="0.2">
      <c r="B310" s="23">
        <f t="shared" si="17"/>
        <v>8</v>
      </c>
      <c r="C310" s="15"/>
      <c r="D310" s="15" t="s">
        <v>251</v>
      </c>
      <c r="E310" s="17" t="s">
        <v>252</v>
      </c>
      <c r="F310" s="25"/>
      <c r="G310" s="15" t="s">
        <v>114</v>
      </c>
      <c r="H310" s="16"/>
      <c r="I310" s="18" t="str">
        <f>IF(テーブル8101617181942[[#This Row],[状況]]="完了","",IF(SUMPRODUCT((テーブル8101617181942[[#This Row],[タスク詳細]]=E:E)*("完了"=G:G))=1,"完了",""))</f>
        <v>完了</v>
      </c>
    </row>
    <row r="311" spans="1:9" x14ac:dyDescent="0.2">
      <c r="B311" s="23">
        <f>B307+1</f>
        <v>6</v>
      </c>
      <c r="C311" s="15"/>
      <c r="D311" s="15"/>
      <c r="E311" s="34" t="s">
        <v>253</v>
      </c>
      <c r="F311" s="25"/>
      <c r="G311" s="15" t="s">
        <v>25</v>
      </c>
      <c r="H311" s="16"/>
      <c r="I311" s="18" t="str">
        <f>IF(テーブル8101617181942[[#This Row],[状況]]="完了","",IF(SUMPRODUCT((テーブル8101617181942[[#This Row],[タスク詳細]]=E:E)*("完了"=G:G))=1,"完了",""))</f>
        <v>完了</v>
      </c>
    </row>
    <row r="312" spans="1:9" x14ac:dyDescent="0.2">
      <c r="B312" s="23">
        <f>B311+1</f>
        <v>7</v>
      </c>
      <c r="C312" s="15"/>
      <c r="D312" s="15"/>
      <c r="E312" s="34"/>
      <c r="F312" s="25"/>
      <c r="G312" s="15"/>
      <c r="H312" s="16"/>
      <c r="I312" s="18" t="str">
        <f>IF(テーブル8101617181942[[#This Row],[状況]]="完了","",IF(SUMPRODUCT((テーブル8101617181942[[#This Row],[タスク詳細]]=E:E)*("完了"=G:G))=1,"完了",""))</f>
        <v/>
      </c>
    </row>
    <row r="313" spans="1:9" x14ac:dyDescent="0.2">
      <c r="B313" s="30">
        <f>B312+1</f>
        <v>8</v>
      </c>
      <c r="C313" s="17"/>
      <c r="D313" s="17"/>
      <c r="E313" s="17"/>
      <c r="F313" s="26"/>
      <c r="G313" s="17"/>
      <c r="H313" s="18"/>
      <c r="I313" s="18" t="str">
        <f>IF(テーブル8101617181942[[#This Row],[状況]]="完了","",IF(SUMPRODUCT((テーブル8101617181942[[#This Row],[タスク詳細]]=E:E)*("完了"=G:G))=1,"完了",""))</f>
        <v/>
      </c>
    </row>
    <row r="314" spans="1:9" x14ac:dyDescent="0.2">
      <c r="B314" s="23"/>
      <c r="C314" s="15"/>
      <c r="D314" s="15"/>
      <c r="E314" s="17"/>
      <c r="F314" s="25"/>
      <c r="G314" s="15"/>
      <c r="H314" s="16"/>
      <c r="I314" s="16"/>
    </row>
    <row r="317" spans="1:9" x14ac:dyDescent="0.2">
      <c r="A317" s="15" t="s">
        <v>254</v>
      </c>
    </row>
    <row r="318" spans="1:9" x14ac:dyDescent="0.2">
      <c r="B318" s="22" t="s">
        <v>17</v>
      </c>
      <c r="C318" s="19" t="s">
        <v>18</v>
      </c>
      <c r="D318" s="19" t="s">
        <v>19</v>
      </c>
      <c r="E318" s="19" t="s">
        <v>14</v>
      </c>
      <c r="F318" s="24" t="s">
        <v>27</v>
      </c>
      <c r="G318" s="19" t="s">
        <v>20</v>
      </c>
      <c r="H318" s="20" t="s">
        <v>15</v>
      </c>
      <c r="I318" s="20" t="s">
        <v>132</v>
      </c>
    </row>
    <row r="319" spans="1:9" x14ac:dyDescent="0.2">
      <c r="B319" s="23">
        <v>1</v>
      </c>
      <c r="C319" s="15" t="s">
        <v>217</v>
      </c>
      <c r="D319" s="15" t="s">
        <v>255</v>
      </c>
      <c r="E319" s="15" t="s">
        <v>256</v>
      </c>
      <c r="F319" s="25"/>
      <c r="G319" s="15" t="s">
        <v>25</v>
      </c>
      <c r="H319" s="16"/>
      <c r="I319" s="16" t="str">
        <f>IF(テーブル810161718192043[[#This Row],[状況]]="完了","",IF(SUMPRODUCT((テーブル810161718192043[[#This Row],[タスク詳細]]=E:E)*(テーブル810161718192043[[#This Row],[タスク]]=D:D)*(テーブル810161718192043[[#This Row],[案件]]=C:C)*("完了"=G:G))=1,"完了",""))</f>
        <v>完了</v>
      </c>
    </row>
    <row r="320" spans="1:9" x14ac:dyDescent="0.2">
      <c r="B320" s="23">
        <f>B319+1</f>
        <v>2</v>
      </c>
      <c r="C320" s="15" t="s">
        <v>122</v>
      </c>
      <c r="D320" s="15" t="s">
        <v>236</v>
      </c>
      <c r="E320" s="17" t="s">
        <v>264</v>
      </c>
      <c r="F320" s="25"/>
      <c r="G320" s="15" t="s">
        <v>114</v>
      </c>
      <c r="H320" s="35"/>
      <c r="I320" s="16" t="str">
        <f>IF(テーブル810161718192043[[#This Row],[状況]]="完了","",IF(SUMPRODUCT((テーブル810161718192043[[#This Row],[タスク詳細]]=E:E)*(テーブル810161718192043[[#This Row],[タスク]]=D:D)*(テーブル810161718192043[[#This Row],[案件]]=C:C)*("完了"=G:G))=1,"完了",""))</f>
        <v>完了</v>
      </c>
    </row>
    <row r="321" spans="2:9" x14ac:dyDescent="0.2">
      <c r="B321" s="23">
        <f t="shared" ref="B321:B335" si="18">B320+1</f>
        <v>3</v>
      </c>
      <c r="C321" s="15"/>
      <c r="D321" s="15"/>
      <c r="E321" s="17" t="s">
        <v>247</v>
      </c>
      <c r="F321" s="25"/>
      <c r="G321" s="15" t="s">
        <v>24</v>
      </c>
      <c r="H321" s="16"/>
      <c r="I321" s="16" t="str">
        <f>IF(テーブル810161718192043[[#This Row],[状況]]="完了","",IF(SUMPRODUCT((テーブル810161718192043[[#This Row],[タスク詳細]]=E:E)*(テーブル810161718192043[[#This Row],[タスク]]=D:D)*(テーブル810161718192043[[#This Row],[案件]]=C:C)*("完了"=G:G))=1,"完了",""))</f>
        <v/>
      </c>
    </row>
    <row r="322" spans="2:9" x14ac:dyDescent="0.2">
      <c r="B322" s="23">
        <f>B321+1</f>
        <v>4</v>
      </c>
      <c r="C322" s="15"/>
      <c r="D322" s="15"/>
      <c r="E322" s="17" t="s">
        <v>257</v>
      </c>
      <c r="F322" s="25"/>
      <c r="G322" s="15" t="s">
        <v>24</v>
      </c>
      <c r="H322" s="16"/>
      <c r="I322" s="16" t="str">
        <f>IF(テーブル810161718192043[[#This Row],[状況]]="完了","",IF(SUMPRODUCT((テーブル810161718192043[[#This Row],[タスク詳細]]=E:E)*(テーブル810161718192043[[#This Row],[タスク]]=D:D)*(テーブル810161718192043[[#This Row],[案件]]=C:C)*("完了"=G:G))=1,"完了",""))</f>
        <v/>
      </c>
    </row>
    <row r="323" spans="2:9" x14ac:dyDescent="0.2">
      <c r="B323" s="23">
        <f>B322+1</f>
        <v>5</v>
      </c>
      <c r="C323" s="15" t="s">
        <v>258</v>
      </c>
      <c r="D323" s="15" t="s">
        <v>251</v>
      </c>
      <c r="E323" s="17" t="s">
        <v>252</v>
      </c>
      <c r="F323" s="25"/>
      <c r="G323" s="15" t="s">
        <v>24</v>
      </c>
      <c r="H323" s="16"/>
      <c r="I323" s="16" t="str">
        <f>IF(テーブル810161718192043[[#This Row],[状況]]="完了","",IF(SUMPRODUCT((テーブル810161718192043[[#This Row],[タスク詳細]]=E:E)*(テーブル810161718192043[[#This Row],[タスク]]=D:D)*(テーブル810161718192043[[#This Row],[案件]]=C:C)*("完了"=G:G))=1,"完了",""))</f>
        <v/>
      </c>
    </row>
    <row r="324" spans="2:9" x14ac:dyDescent="0.2">
      <c r="B324" s="23">
        <f>B323+1</f>
        <v>6</v>
      </c>
      <c r="C324" s="15"/>
      <c r="D324" s="15"/>
      <c r="E324" s="17" t="s">
        <v>253</v>
      </c>
      <c r="F324" s="25"/>
      <c r="G324" s="15" t="s">
        <v>24</v>
      </c>
      <c r="H324" s="16"/>
      <c r="I324" s="16" t="str">
        <f>IF(テーブル810161718192043[[#This Row],[状況]]="完了","",IF(SUMPRODUCT((テーブル810161718192043[[#This Row],[タスク詳細]]=E:E)*(テーブル810161718192043[[#This Row],[タスク]]=D:D)*(テーブル810161718192043[[#This Row],[案件]]=C:C)*("完了"=G:G))=1,"完了",""))</f>
        <v/>
      </c>
    </row>
    <row r="325" spans="2:9" x14ac:dyDescent="0.2">
      <c r="B325" s="23">
        <f>B324+1</f>
        <v>7</v>
      </c>
      <c r="C325" s="15"/>
      <c r="D325" s="15" t="s">
        <v>259</v>
      </c>
      <c r="E325" s="17" t="s">
        <v>260</v>
      </c>
      <c r="F325" s="25"/>
      <c r="G325" s="15" t="s">
        <v>24</v>
      </c>
      <c r="H325" s="16"/>
      <c r="I325" s="16" t="str">
        <f>IF(テーブル810161718192043[[#This Row],[状況]]="完了","",IF(SUMPRODUCT((テーブル810161718192043[[#This Row],[タスク詳細]]=E:E)*(テーブル810161718192043[[#This Row],[タスク]]=D:D)*(テーブル810161718192043[[#This Row],[案件]]=C:C)*("完了"=G:G))=1,"完了",""))</f>
        <v/>
      </c>
    </row>
    <row r="326" spans="2:9" x14ac:dyDescent="0.2">
      <c r="B326" s="23">
        <f>B325+1</f>
        <v>8</v>
      </c>
      <c r="C326" s="15"/>
      <c r="D326" s="15"/>
      <c r="E326" s="17" t="s">
        <v>261</v>
      </c>
      <c r="F326" s="25"/>
      <c r="G326" s="15" t="s">
        <v>24</v>
      </c>
      <c r="H326" s="16"/>
      <c r="I326" s="16" t="str">
        <f>IF(テーブル810161718192043[[#This Row],[状況]]="完了","",IF(SUMPRODUCT((テーブル810161718192043[[#This Row],[タスク詳細]]=E:E)*(テーブル810161718192043[[#This Row],[タスク]]=D:D)*(テーブル810161718192043[[#This Row],[案件]]=C:C)*("完了"=G:G))=1,"完了",""))</f>
        <v/>
      </c>
    </row>
    <row r="327" spans="2:9" x14ac:dyDescent="0.2">
      <c r="B327" s="23">
        <f>B323+1</f>
        <v>6</v>
      </c>
      <c r="C327" s="15"/>
      <c r="D327" s="15" t="s">
        <v>262</v>
      </c>
      <c r="E327" s="34" t="s">
        <v>263</v>
      </c>
      <c r="F327" s="25"/>
      <c r="G327" s="15" t="s">
        <v>24</v>
      </c>
      <c r="H327" s="16"/>
      <c r="I327" s="16" t="str">
        <f>IF(テーブル810161718192043[[#This Row],[状況]]="完了","",IF(SUMPRODUCT((テーブル810161718192043[[#This Row],[タスク詳細]]=E:E)*(テーブル810161718192043[[#This Row],[タスク]]=D:D)*(テーブル810161718192043[[#This Row],[案件]]=C:C)*("完了"=G:G))=1,"完了",""))</f>
        <v/>
      </c>
    </row>
    <row r="328" spans="2:9" x14ac:dyDescent="0.2">
      <c r="B328" s="23">
        <f t="shared" si="18"/>
        <v>7</v>
      </c>
      <c r="C328" s="15"/>
      <c r="D328" s="15" t="s">
        <v>267</v>
      </c>
      <c r="E328" s="34" t="s">
        <v>268</v>
      </c>
      <c r="F328" s="25"/>
      <c r="G328" s="15" t="s">
        <v>24</v>
      </c>
      <c r="H328" s="16"/>
      <c r="I328" s="16" t="str">
        <f>IF(テーブル810161718192043[[#This Row],[状況]]="完了","",IF(SUMPRODUCT((テーブル810161718192043[[#This Row],[タスク詳細]]=E:E)*(テーブル810161718192043[[#This Row],[タスク]]=D:D)*(テーブル810161718192043[[#This Row],[案件]]=C:C)*("完了"=G:G))=1,"完了",""))</f>
        <v/>
      </c>
    </row>
    <row r="329" spans="2:9" x14ac:dyDescent="0.2">
      <c r="B329" s="30">
        <f t="shared" si="18"/>
        <v>8</v>
      </c>
      <c r="C329" s="17"/>
      <c r="D329" s="17"/>
      <c r="E329" s="17" t="s">
        <v>271</v>
      </c>
      <c r="F329" s="26"/>
      <c r="G329" s="17" t="s">
        <v>24</v>
      </c>
      <c r="H329" s="18"/>
      <c r="I329" s="16" t="str">
        <f>IF(テーブル810161718192043[[#This Row],[状況]]="完了","",IF(SUMPRODUCT((テーブル810161718192043[[#This Row],[タスク詳細]]=E:E)*(テーブル810161718192043[[#This Row],[タスク]]=D:D)*(テーブル810161718192043[[#This Row],[案件]]=C:C)*("完了"=G:G))=1,"完了",""))</f>
        <v/>
      </c>
    </row>
    <row r="330" spans="2:9" x14ac:dyDescent="0.2">
      <c r="B330" s="30">
        <f t="shared" si="18"/>
        <v>9</v>
      </c>
      <c r="C330" s="17"/>
      <c r="D330" s="17"/>
      <c r="E330" s="17" t="s">
        <v>272</v>
      </c>
      <c r="F330" s="26"/>
      <c r="G330" s="17" t="s">
        <v>24</v>
      </c>
      <c r="H330" s="18"/>
      <c r="I330" s="16" t="str">
        <f>IF(テーブル810161718192043[[#This Row],[状況]]="完了","",IF(SUMPRODUCT((テーブル810161718192043[[#This Row],[タスク詳細]]=E:E)*(テーブル810161718192043[[#This Row],[タスク]]=D:D)*(テーブル810161718192043[[#This Row],[案件]]=C:C)*("完了"=G:G))=1,"完了",""))</f>
        <v/>
      </c>
    </row>
    <row r="331" spans="2:9" x14ac:dyDescent="0.2">
      <c r="B331" s="30">
        <f t="shared" si="18"/>
        <v>10</v>
      </c>
      <c r="C331" s="17"/>
      <c r="D331" s="17"/>
      <c r="E331" s="17" t="s">
        <v>273</v>
      </c>
      <c r="F331" s="26"/>
      <c r="G331" s="17" t="s">
        <v>24</v>
      </c>
      <c r="H331" s="18"/>
      <c r="I331" s="16" t="str">
        <f>IF(テーブル810161718192043[[#This Row],[状況]]="完了","",IF(SUMPRODUCT((テーブル810161718192043[[#This Row],[タスク詳細]]=E:E)*(テーブル810161718192043[[#This Row],[タスク]]=D:D)*(テーブル810161718192043[[#This Row],[案件]]=C:C)*("完了"=G:G))=1,"完了",""))</f>
        <v/>
      </c>
    </row>
    <row r="332" spans="2:9" x14ac:dyDescent="0.2">
      <c r="B332" s="30">
        <f t="shared" si="18"/>
        <v>11</v>
      </c>
      <c r="C332" s="17"/>
      <c r="D332" s="17" t="s">
        <v>269</v>
      </c>
      <c r="E332" s="17" t="s">
        <v>270</v>
      </c>
      <c r="F332" s="26"/>
      <c r="G332" s="17" t="s">
        <v>24</v>
      </c>
      <c r="H332" s="18"/>
      <c r="I332" s="16" t="str">
        <f>IF(テーブル810161718192043[[#This Row],[状況]]="完了","",IF(SUMPRODUCT((テーブル810161718192043[[#This Row],[タスク詳細]]=E:E)*(テーブル810161718192043[[#This Row],[タスク]]=D:D)*(テーブル810161718192043[[#This Row],[案件]]=C:C)*("完了"=G:G))=1,"完了",""))</f>
        <v/>
      </c>
    </row>
    <row r="333" spans="2:9" x14ac:dyDescent="0.2">
      <c r="B333" s="30">
        <f t="shared" si="18"/>
        <v>12</v>
      </c>
      <c r="C333" s="17" t="s">
        <v>266</v>
      </c>
      <c r="D333" s="17" t="s">
        <v>265</v>
      </c>
      <c r="E333" s="17" t="s">
        <v>305</v>
      </c>
      <c r="F333" s="26"/>
      <c r="G333" s="17" t="s">
        <v>25</v>
      </c>
      <c r="H333" s="18"/>
      <c r="I333" s="16" t="str">
        <f>IF(テーブル810161718192043[[#This Row],[状況]]="完了","",IF(SUMPRODUCT((テーブル810161718192043[[#This Row],[タスク詳細]]=E:E)*(テーブル810161718192043[[#This Row],[タスク]]=D:D)*(テーブル810161718192043[[#This Row],[案件]]=C:C)*("完了"=G:G))=1,"完了",""))</f>
        <v>完了</v>
      </c>
    </row>
    <row r="334" spans="2:9" x14ac:dyDescent="0.2">
      <c r="B334" s="30">
        <f t="shared" si="18"/>
        <v>13</v>
      </c>
      <c r="C334" s="17" t="s">
        <v>274</v>
      </c>
      <c r="D334" s="17" t="s">
        <v>276</v>
      </c>
      <c r="E334" s="17" t="s">
        <v>277</v>
      </c>
      <c r="F334" s="26"/>
      <c r="G334" s="17" t="s">
        <v>114</v>
      </c>
      <c r="H334" s="18"/>
      <c r="I334" s="16" t="str">
        <f>IF(テーブル810161718192043[[#This Row],[状況]]="完了","",IF(SUMPRODUCT((テーブル810161718192043[[#This Row],[タスク詳細]]=E:E)*(テーブル810161718192043[[#This Row],[タスク]]=D:D)*(テーブル810161718192043[[#This Row],[案件]]=C:C)*("完了"=G:G))=1,"完了",""))</f>
        <v>完了</v>
      </c>
    </row>
    <row r="335" spans="2:9" x14ac:dyDescent="0.2">
      <c r="B335" s="30">
        <f t="shared" si="18"/>
        <v>14</v>
      </c>
      <c r="C335" s="17"/>
      <c r="D335" s="17"/>
      <c r="E335" s="17"/>
      <c r="F335" s="26"/>
      <c r="G335" s="17"/>
      <c r="H335" s="18"/>
      <c r="I335" s="16" t="str">
        <f>IF(テーブル810161718192043[[#This Row],[状況]]="完了","",IF(SUMPRODUCT((テーブル810161718192043[[#This Row],[タスク詳細]]=E:E)*(テーブル810161718192043[[#This Row],[タスク]]=D:D)*(テーブル810161718192043[[#This Row],[案件]]=C:C)*("完了"=G:G))=1,"完了",""))</f>
        <v/>
      </c>
    </row>
    <row r="336" spans="2:9" x14ac:dyDescent="0.2">
      <c r="B336" s="23"/>
      <c r="C336" s="15"/>
      <c r="D336" s="15"/>
      <c r="E336" s="17"/>
      <c r="F336" s="25"/>
      <c r="G336" s="15"/>
      <c r="H336" s="16"/>
      <c r="I336" s="16" t="str">
        <f>IF(テーブル810161718192043[[#This Row],[状況]]="完了","",IF(SUMPRODUCT((テーブル810161718192043[[#This Row],[タスク詳細]]=E:E)*(テーブル810161718192043[[#This Row],[タスク]]=D:D)*(テーブル810161718192043[[#This Row],[案件]]=C:C)*("完了"=G:G))=1,"完了",""))</f>
        <v/>
      </c>
    </row>
    <row r="339" spans="1:9" x14ac:dyDescent="0.2">
      <c r="A339" s="15" t="s">
        <v>278</v>
      </c>
    </row>
    <row r="340" spans="1:9" x14ac:dyDescent="0.2">
      <c r="B340" s="22" t="s">
        <v>17</v>
      </c>
      <c r="C340" s="19" t="s">
        <v>18</v>
      </c>
      <c r="D340" s="19" t="s">
        <v>19</v>
      </c>
      <c r="E340" s="19" t="s">
        <v>14</v>
      </c>
      <c r="F340" s="24" t="s">
        <v>27</v>
      </c>
      <c r="G340" s="19" t="s">
        <v>20</v>
      </c>
      <c r="H340" s="20" t="s">
        <v>15</v>
      </c>
      <c r="I340" s="20" t="s">
        <v>132</v>
      </c>
    </row>
    <row r="341" spans="1:9" x14ac:dyDescent="0.2">
      <c r="B341" s="23">
        <v>1</v>
      </c>
      <c r="C341" s="15" t="s">
        <v>217</v>
      </c>
      <c r="D341" s="15" t="s">
        <v>255</v>
      </c>
      <c r="E341" s="15" t="s">
        <v>256</v>
      </c>
      <c r="F341" s="25"/>
      <c r="G341" s="15" t="s">
        <v>24</v>
      </c>
      <c r="H341" s="16"/>
      <c r="I341" s="16" t="str">
        <f>IF(テーブル81016171819202144[[#This Row],[状況]]="完了","",IF(SUMPRODUCT((テーブル81016171819202144[[#This Row],[タスク詳細]]=E:E)*(テーブル81016171819202144[[#This Row],[タスク]]=D:D)*(テーブル81016171819202144[[#This Row],[案件]]=C:C)*("完了"=G:G))=1,"完了",""))</f>
        <v/>
      </c>
    </row>
    <row r="342" spans="1:9" x14ac:dyDescent="0.2">
      <c r="B342" s="23">
        <f>B341+1</f>
        <v>2</v>
      </c>
      <c r="C342" s="15" t="s">
        <v>217</v>
      </c>
      <c r="D342" s="15" t="s">
        <v>291</v>
      </c>
      <c r="E342" s="17" t="s">
        <v>290</v>
      </c>
      <c r="F342" s="25"/>
      <c r="G342" s="15" t="s">
        <v>25</v>
      </c>
      <c r="H342" s="35"/>
      <c r="I342" s="16" t="str">
        <f>IF(テーブル81016171819202144[[#This Row],[状況]]="完了","",IF(SUMPRODUCT((テーブル81016171819202144[[#This Row],[タスク詳細]]=E:E)*(テーブル81016171819202144[[#This Row],[タスク]]=D:D)*(テーブル81016171819202144[[#This Row],[案件]]=C:C)*("完了"=G:G))=1,"完了",""))</f>
        <v>完了</v>
      </c>
    </row>
    <row r="343" spans="1:9" ht="37.5" x14ac:dyDescent="0.2">
      <c r="B343" s="23">
        <f t="shared" ref="B343:B357" si="19">B342+1</f>
        <v>3</v>
      </c>
      <c r="C343" s="15" t="s">
        <v>217</v>
      </c>
      <c r="D343" s="15" t="s">
        <v>291</v>
      </c>
      <c r="E343" s="17" t="s">
        <v>293</v>
      </c>
      <c r="F343" s="25"/>
      <c r="G343" s="15" t="s">
        <v>25</v>
      </c>
      <c r="H343" s="36" t="s">
        <v>292</v>
      </c>
      <c r="I343" s="16" t="str">
        <f>IF(テーブル81016171819202144[[#This Row],[状況]]="完了","",IF(SUMPRODUCT((テーブル81016171819202144[[#This Row],[タスク詳細]]=E:E)*(テーブル81016171819202144[[#This Row],[タスク]]=D:D)*(テーブル81016171819202144[[#This Row],[案件]]=C:C)*("完了"=G:G))=1,"完了",""))</f>
        <v>完了</v>
      </c>
    </row>
    <row r="344" spans="1:9" x14ac:dyDescent="0.2">
      <c r="B344" s="23">
        <f>B343+1</f>
        <v>4</v>
      </c>
      <c r="C344" s="15" t="s">
        <v>122</v>
      </c>
      <c r="D344" s="15" t="s">
        <v>236</v>
      </c>
      <c r="E344" s="17" t="s">
        <v>264</v>
      </c>
      <c r="F344" s="25"/>
      <c r="G344" s="15" t="s">
        <v>24</v>
      </c>
      <c r="H344" s="16"/>
      <c r="I344" s="16" t="str">
        <f>IF(テーブル81016171819202144[[#This Row],[状況]]="完了","",IF(SUMPRODUCT((テーブル81016171819202144[[#This Row],[タスク詳細]]=E:E)*(テーブル81016171819202144[[#This Row],[タスク]]=D:D)*(テーブル81016171819202144[[#This Row],[案件]]=C:C)*("完了"=G:G))=1,"完了",""))</f>
        <v/>
      </c>
    </row>
    <row r="345" spans="1:9" x14ac:dyDescent="0.2">
      <c r="B345" s="23">
        <f>B344+1</f>
        <v>5</v>
      </c>
      <c r="C345" s="15" t="s">
        <v>122</v>
      </c>
      <c r="D345" s="15" t="s">
        <v>236</v>
      </c>
      <c r="E345" s="17" t="s">
        <v>279</v>
      </c>
      <c r="F345" s="25"/>
      <c r="G345" s="15" t="s">
        <v>24</v>
      </c>
      <c r="H345" s="16"/>
      <c r="I345" s="16" t="str">
        <f>IF(テーブル81016171819202144[[#This Row],[状況]]="完了","",IF(SUMPRODUCT((テーブル81016171819202144[[#This Row],[タスク詳細]]=E:E)*(テーブル81016171819202144[[#This Row],[タスク]]=D:D)*(テーブル81016171819202144[[#This Row],[案件]]=C:C)*("完了"=G:G))=1,"完了",""))</f>
        <v/>
      </c>
    </row>
    <row r="346" spans="1:9" x14ac:dyDescent="0.2">
      <c r="B346" s="23">
        <f>B345+1</f>
        <v>6</v>
      </c>
      <c r="C346" s="15" t="s">
        <v>122</v>
      </c>
      <c r="D346" s="15" t="s">
        <v>236</v>
      </c>
      <c r="E346" s="17" t="s">
        <v>286</v>
      </c>
      <c r="F346" s="25"/>
      <c r="G346" s="15" t="s">
        <v>24</v>
      </c>
      <c r="H346" s="16"/>
      <c r="I346" s="16" t="str">
        <f>IF(テーブル81016171819202144[[#This Row],[状況]]="完了","",IF(SUMPRODUCT((テーブル81016171819202144[[#This Row],[タスク詳細]]=E:E)*(テーブル81016171819202144[[#This Row],[タスク]]=D:D)*(テーブル81016171819202144[[#This Row],[案件]]=C:C)*("完了"=G:G))=1,"完了",""))</f>
        <v/>
      </c>
    </row>
    <row r="347" spans="1:9" x14ac:dyDescent="0.2">
      <c r="B347" s="23">
        <f>B346+1</f>
        <v>7</v>
      </c>
      <c r="C347" s="15" t="s">
        <v>122</v>
      </c>
      <c r="D347" s="15" t="s">
        <v>236</v>
      </c>
      <c r="E347" s="17" t="s">
        <v>298</v>
      </c>
      <c r="F347" s="25"/>
      <c r="G347" s="15" t="s">
        <v>114</v>
      </c>
      <c r="H347" s="16" t="s">
        <v>297</v>
      </c>
      <c r="I347" s="16" t="str">
        <f>IF(テーブル81016171819202144[[#This Row],[状況]]="完了","",IF(SUMPRODUCT((テーブル81016171819202144[[#This Row],[タスク詳細]]=E:E)*(テーブル81016171819202144[[#This Row],[タスク]]=D:D)*(テーブル81016171819202144[[#This Row],[案件]]=C:C)*("完了"=G:G))=1,"完了",""))</f>
        <v>完了</v>
      </c>
    </row>
    <row r="348" spans="1:9" x14ac:dyDescent="0.2">
      <c r="B348" s="23">
        <f>B347+1</f>
        <v>8</v>
      </c>
      <c r="C348" s="15" t="s">
        <v>122</v>
      </c>
      <c r="D348" s="15" t="s">
        <v>236</v>
      </c>
      <c r="E348" s="17" t="s">
        <v>294</v>
      </c>
      <c r="F348" s="25"/>
      <c r="G348" s="15" t="s">
        <v>24</v>
      </c>
      <c r="H348" s="16"/>
      <c r="I348" s="16" t="str">
        <f>IF(テーブル81016171819202144[[#This Row],[状況]]="完了","",IF(SUMPRODUCT((テーブル81016171819202144[[#This Row],[タスク詳細]]=E:E)*(テーブル81016171819202144[[#This Row],[タスク]]=D:D)*(テーブル81016171819202144[[#This Row],[案件]]=C:C)*("完了"=G:G))=1,"完了",""))</f>
        <v/>
      </c>
    </row>
    <row r="349" spans="1:9" x14ac:dyDescent="0.2">
      <c r="B349" s="23">
        <f>B345+1</f>
        <v>6</v>
      </c>
      <c r="C349" s="15" t="s">
        <v>122</v>
      </c>
      <c r="D349" s="15" t="s">
        <v>236</v>
      </c>
      <c r="E349" s="34" t="s">
        <v>270</v>
      </c>
      <c r="F349" s="25"/>
      <c r="G349" s="15" t="s">
        <v>24</v>
      </c>
      <c r="H349" s="16"/>
      <c r="I349" s="16" t="str">
        <f>IF(テーブル81016171819202144[[#This Row],[状況]]="完了","",IF(SUMPRODUCT((テーブル81016171819202144[[#This Row],[タスク詳細]]=E:E)*(テーブル81016171819202144[[#This Row],[タスク]]=D:D)*(テーブル81016171819202144[[#This Row],[案件]]=C:C)*("完了"=G:G))=1,"完了",""))</f>
        <v/>
      </c>
    </row>
    <row r="350" spans="1:9" x14ac:dyDescent="0.2">
      <c r="B350" s="23">
        <f t="shared" si="19"/>
        <v>7</v>
      </c>
      <c r="C350" s="15" t="s">
        <v>258</v>
      </c>
      <c r="D350" s="15" t="s">
        <v>259</v>
      </c>
      <c r="E350" s="34" t="s">
        <v>280</v>
      </c>
      <c r="F350" s="25"/>
      <c r="G350" s="15" t="s">
        <v>24</v>
      </c>
      <c r="H350" s="16"/>
      <c r="I350" s="16" t="str">
        <f>IF(テーブル81016171819202144[[#This Row],[状況]]="完了","",IF(SUMPRODUCT((テーブル81016171819202144[[#This Row],[タスク詳細]]=E:E)*(テーブル81016171819202144[[#This Row],[タスク]]=D:D)*(テーブル81016171819202144[[#This Row],[案件]]=C:C)*("完了"=G:G))=1,"完了",""))</f>
        <v/>
      </c>
    </row>
    <row r="351" spans="1:9" x14ac:dyDescent="0.2">
      <c r="B351" s="30">
        <f t="shared" si="19"/>
        <v>8</v>
      </c>
      <c r="C351" s="17" t="s">
        <v>258</v>
      </c>
      <c r="D351" s="17" t="s">
        <v>281</v>
      </c>
      <c r="E351" s="17" t="s">
        <v>282</v>
      </c>
      <c r="F351" s="26"/>
      <c r="G351" s="17" t="s">
        <v>24</v>
      </c>
      <c r="H351" s="18"/>
      <c r="I351" s="16" t="str">
        <f>IF(テーブル81016171819202144[[#This Row],[状況]]="完了","",IF(SUMPRODUCT((テーブル81016171819202144[[#This Row],[タスク詳細]]=E:E)*(テーブル81016171819202144[[#This Row],[タスク]]=D:D)*(テーブル81016171819202144[[#This Row],[案件]]=C:C)*("完了"=G:G))=1,"完了",""))</f>
        <v/>
      </c>
    </row>
    <row r="352" spans="1:9" x14ac:dyDescent="0.2">
      <c r="B352" s="30">
        <f t="shared" si="19"/>
        <v>9</v>
      </c>
      <c r="C352" s="17" t="s">
        <v>258</v>
      </c>
      <c r="D352" s="17" t="s">
        <v>281</v>
      </c>
      <c r="E352" s="17" t="s">
        <v>283</v>
      </c>
      <c r="F352" s="26"/>
      <c r="G352" s="17" t="s">
        <v>25</v>
      </c>
      <c r="H352" s="18"/>
      <c r="I352" s="16" t="str">
        <f>IF(テーブル81016171819202144[[#This Row],[状況]]="完了","",IF(SUMPRODUCT((テーブル81016171819202144[[#This Row],[タスク詳細]]=E:E)*(テーブル81016171819202144[[#This Row],[タスク]]=D:D)*(テーブル81016171819202144[[#This Row],[案件]]=C:C)*("完了"=G:G))=1,"完了",""))</f>
        <v>完了</v>
      </c>
    </row>
    <row r="353" spans="1:9" x14ac:dyDescent="0.2">
      <c r="B353" s="30">
        <f t="shared" si="19"/>
        <v>10</v>
      </c>
      <c r="C353" s="17" t="s">
        <v>266</v>
      </c>
      <c r="D353" s="17" t="s">
        <v>265</v>
      </c>
      <c r="E353" s="17" t="s">
        <v>305</v>
      </c>
      <c r="F353" s="26"/>
      <c r="G353" s="17" t="s">
        <v>25</v>
      </c>
      <c r="H353" s="18"/>
      <c r="I353" s="16" t="str">
        <f>IF(テーブル81016171819202144[[#This Row],[状況]]="完了","",IF(SUMPRODUCT((テーブル81016171819202144[[#This Row],[タスク詳細]]=E:E)*(テーブル81016171819202144[[#This Row],[タスク]]=D:D)*(テーブル81016171819202144[[#This Row],[案件]]=C:C)*("完了"=G:G))=1,"完了",""))</f>
        <v>完了</v>
      </c>
    </row>
    <row r="354" spans="1:9" x14ac:dyDescent="0.2">
      <c r="B354" s="30">
        <f t="shared" si="19"/>
        <v>11</v>
      </c>
      <c r="C354" s="17" t="s">
        <v>284</v>
      </c>
      <c r="D354" s="17" t="s">
        <v>285</v>
      </c>
      <c r="E354" s="17" t="s">
        <v>277</v>
      </c>
      <c r="F354" s="26"/>
      <c r="G354" s="17" t="s">
        <v>114</v>
      </c>
      <c r="H354" s="18"/>
      <c r="I354" s="16" t="str">
        <f>IF(テーブル81016171819202144[[#This Row],[状況]]="完了","",IF(SUMPRODUCT((テーブル81016171819202144[[#This Row],[タスク詳細]]=E:E)*(テーブル81016171819202144[[#This Row],[タスク]]=D:D)*(テーブル81016171819202144[[#This Row],[案件]]=C:C)*("完了"=G:G))=1,"完了",""))</f>
        <v>完了</v>
      </c>
    </row>
    <row r="355" spans="1:9" x14ac:dyDescent="0.2">
      <c r="B355" s="30">
        <f t="shared" si="19"/>
        <v>12</v>
      </c>
      <c r="C355" s="17" t="s">
        <v>287</v>
      </c>
      <c r="D355" s="17"/>
      <c r="E355" s="17" t="s">
        <v>87</v>
      </c>
      <c r="F355" s="26"/>
      <c r="G355" s="17" t="s">
        <v>24</v>
      </c>
      <c r="H355" s="18"/>
      <c r="I355" s="16" t="str">
        <f>IF(テーブル81016171819202144[[#This Row],[状況]]="完了","",IF(SUMPRODUCT((テーブル81016171819202144[[#This Row],[タスク詳細]]=E:E)*(テーブル81016171819202144[[#This Row],[タスク]]=D:D)*(テーブル81016171819202144[[#This Row],[案件]]=C:C)*("完了"=G:G))=1,"完了",""))</f>
        <v/>
      </c>
    </row>
    <row r="356" spans="1:9" x14ac:dyDescent="0.2">
      <c r="B356" s="30">
        <f t="shared" si="19"/>
        <v>13</v>
      </c>
      <c r="C356" s="17" t="s">
        <v>287</v>
      </c>
      <c r="D356" s="17"/>
      <c r="E356" s="17" t="s">
        <v>318</v>
      </c>
      <c r="F356" s="26"/>
      <c r="G356" s="17" t="s">
        <v>25</v>
      </c>
      <c r="H356" s="18"/>
      <c r="I356" s="16" t="str">
        <f>IF(テーブル81016171819202144[[#This Row],[状況]]="完了","",IF(SUMPRODUCT((テーブル81016171819202144[[#This Row],[タスク詳細]]=E:E)*(テーブル81016171819202144[[#This Row],[タスク]]=D:D)*(テーブル81016171819202144[[#This Row],[案件]]=C:C)*("完了"=G:G))=1,"完了",""))</f>
        <v>完了</v>
      </c>
    </row>
    <row r="357" spans="1:9" x14ac:dyDescent="0.2">
      <c r="B357" s="30">
        <f t="shared" si="19"/>
        <v>14</v>
      </c>
      <c r="C357" s="17" t="s">
        <v>287</v>
      </c>
      <c r="D357" s="17"/>
      <c r="E357" s="17" t="s">
        <v>288</v>
      </c>
      <c r="F357" s="26"/>
      <c r="G357" s="17" t="s">
        <v>24</v>
      </c>
      <c r="H357" s="18"/>
      <c r="I357" s="16" t="str">
        <f>IF(テーブル81016171819202144[[#This Row],[状況]]="完了","",IF(SUMPRODUCT((テーブル81016171819202144[[#This Row],[タスク詳細]]=E:E)*(テーブル81016171819202144[[#This Row],[タスク]]=D:D)*(テーブル81016171819202144[[#This Row],[案件]]=C:C)*("完了"=G:G))=1,"完了",""))</f>
        <v/>
      </c>
    </row>
    <row r="358" spans="1:9" x14ac:dyDescent="0.2">
      <c r="B358" s="23"/>
      <c r="C358" s="15"/>
      <c r="D358" s="15"/>
      <c r="E358" s="17"/>
      <c r="F358" s="25"/>
      <c r="G358" s="15"/>
      <c r="H358" s="16"/>
      <c r="I358" s="16" t="str">
        <f>IF(テーブル81016171819202144[[#This Row],[状況]]="完了","",IF(SUMPRODUCT((テーブル81016171819202144[[#This Row],[タスク詳細]]=E:E)*(テーブル81016171819202144[[#This Row],[タスク]]=D:D)*(テーブル81016171819202144[[#This Row],[案件]]=C:C)*("完了"=G:G))=1,"完了",""))</f>
        <v/>
      </c>
    </row>
    <row r="359" spans="1:9" x14ac:dyDescent="0.2">
      <c r="B359" s="23"/>
      <c r="C359" s="15"/>
      <c r="D359" s="15"/>
      <c r="E359" s="17"/>
      <c r="F359" s="25"/>
      <c r="G359" s="15"/>
      <c r="H359" s="16"/>
      <c r="I359" s="16" t="str">
        <f>IF(テーブル81016171819202144[[#This Row],[状況]]="完了","",IF(SUMPRODUCT((テーブル81016171819202144[[#This Row],[タスク詳細]]=E:E)*(テーブル81016171819202144[[#This Row],[タスク]]=D:D)*(テーブル81016171819202144[[#This Row],[案件]]=C:C)*("完了"=G:G))=1,"完了",""))</f>
        <v/>
      </c>
    </row>
    <row r="362" spans="1:9" x14ac:dyDescent="0.2">
      <c r="A362" s="15" t="s">
        <v>295</v>
      </c>
    </row>
    <row r="363" spans="1:9" x14ac:dyDescent="0.2">
      <c r="B363" s="22" t="s">
        <v>17</v>
      </c>
      <c r="C363" s="19" t="s">
        <v>18</v>
      </c>
      <c r="D363" s="19" t="s">
        <v>19</v>
      </c>
      <c r="E363" s="19" t="s">
        <v>14</v>
      </c>
      <c r="F363" s="24" t="s">
        <v>27</v>
      </c>
      <c r="G363" s="19" t="s">
        <v>20</v>
      </c>
      <c r="H363" s="20" t="s">
        <v>15</v>
      </c>
      <c r="I363" s="20" t="s">
        <v>132</v>
      </c>
    </row>
    <row r="364" spans="1:9" x14ac:dyDescent="0.2">
      <c r="B364" s="23">
        <v>1</v>
      </c>
      <c r="C364" s="15" t="s">
        <v>217</v>
      </c>
      <c r="D364" s="15" t="s">
        <v>291</v>
      </c>
      <c r="E364" s="15" t="s">
        <v>290</v>
      </c>
      <c r="F364" s="25"/>
      <c r="G364" s="15" t="s">
        <v>24</v>
      </c>
      <c r="H364" s="16"/>
      <c r="I364" s="16" t="str">
        <f>IF(テーブル8101617181920212245[[#This Row],[状況]]="完了","",IF(SUMPRODUCT((テーブル8101617181920212245[[#This Row],[タスク詳細]]=E:E)*(テーブル8101617181920212245[[#This Row],[タスク]]=D:D)*(テーブル8101617181920212245[[#This Row],[案件]]=C:C)*("完了"=G:G))=1,"完了",""))</f>
        <v/>
      </c>
    </row>
    <row r="365" spans="1:9" ht="37.5" x14ac:dyDescent="0.2">
      <c r="B365" s="23">
        <f>B364+1</f>
        <v>2</v>
      </c>
      <c r="C365" s="15" t="s">
        <v>217</v>
      </c>
      <c r="D365" s="15" t="s">
        <v>291</v>
      </c>
      <c r="E365" s="17" t="s">
        <v>296</v>
      </c>
      <c r="F365" s="25"/>
      <c r="G365" s="15" t="s">
        <v>24</v>
      </c>
      <c r="H365" s="37" t="s">
        <v>292</v>
      </c>
      <c r="I365" s="16" t="str">
        <f>IF(テーブル8101617181920212245[[#This Row],[状況]]="完了","",IF(SUMPRODUCT((テーブル8101617181920212245[[#This Row],[タスク詳細]]=E:E)*(テーブル8101617181920212245[[#This Row],[タスク]]=D:D)*(テーブル8101617181920212245[[#This Row],[案件]]=C:C)*("完了"=G:G))=1,"完了",""))</f>
        <v/>
      </c>
    </row>
    <row r="366" spans="1:9" x14ac:dyDescent="0.2">
      <c r="B366" s="23">
        <f t="shared" ref="B366:B380" si="20">B365+1</f>
        <v>3</v>
      </c>
      <c r="C366" s="15" t="s">
        <v>122</v>
      </c>
      <c r="D366" s="15" t="s">
        <v>236</v>
      </c>
      <c r="E366" s="17" t="s">
        <v>298</v>
      </c>
      <c r="F366" s="25"/>
      <c r="G366" s="15" t="s">
        <v>24</v>
      </c>
      <c r="H366" s="36"/>
      <c r="I366" s="16" t="str">
        <f>IF(テーブル8101617181920212245[[#This Row],[状況]]="完了","",IF(SUMPRODUCT((テーブル8101617181920212245[[#This Row],[タスク詳細]]=E:E)*(テーブル8101617181920212245[[#This Row],[タスク]]=D:D)*(テーブル8101617181920212245[[#This Row],[案件]]=C:C)*("完了"=G:G))=1,"完了",""))</f>
        <v/>
      </c>
    </row>
    <row r="367" spans="1:9" x14ac:dyDescent="0.2">
      <c r="B367" s="23">
        <f>B366+1</f>
        <v>4</v>
      </c>
      <c r="C367" s="15" t="s">
        <v>122</v>
      </c>
      <c r="D367" s="15" t="s">
        <v>236</v>
      </c>
      <c r="E367" s="17" t="s">
        <v>299</v>
      </c>
      <c r="F367" s="25"/>
      <c r="G367" s="15" t="s">
        <v>114</v>
      </c>
      <c r="H367" s="36" t="s">
        <v>301</v>
      </c>
      <c r="I367" s="16" t="str">
        <f>IF(テーブル8101617181920212245[[#This Row],[状況]]="完了","",IF(SUMPRODUCT((テーブル8101617181920212245[[#This Row],[タスク詳細]]=E:E)*(テーブル8101617181920212245[[#This Row],[タスク]]=D:D)*(テーブル8101617181920212245[[#This Row],[案件]]=C:C)*("完了"=G:G))=1,"完了",""))</f>
        <v/>
      </c>
    </row>
    <row r="368" spans="1:9" x14ac:dyDescent="0.2">
      <c r="B368" s="23">
        <f>B367+1</f>
        <v>5</v>
      </c>
      <c r="C368" s="15" t="s">
        <v>122</v>
      </c>
      <c r="D368" s="15" t="s">
        <v>236</v>
      </c>
      <c r="E368" s="17" t="s">
        <v>312</v>
      </c>
      <c r="F368" s="25"/>
      <c r="G368" s="15" t="s">
        <v>24</v>
      </c>
      <c r="H368" s="16"/>
      <c r="I368" s="16" t="str">
        <f>IF(テーブル8101617181920212245[[#This Row],[状況]]="完了","",IF(SUMPRODUCT((テーブル8101617181920212245[[#This Row],[タスク詳細]]=E:E)*(テーブル8101617181920212245[[#This Row],[タスク]]=D:D)*(テーブル8101617181920212245[[#This Row],[案件]]=C:C)*("完了"=G:G))=1,"完了",""))</f>
        <v/>
      </c>
    </row>
    <row r="369" spans="2:9" x14ac:dyDescent="0.2">
      <c r="B369" s="23">
        <f>B368+1</f>
        <v>6</v>
      </c>
      <c r="C369" s="15" t="s">
        <v>122</v>
      </c>
      <c r="D369" s="15" t="s">
        <v>236</v>
      </c>
      <c r="E369" s="17" t="s">
        <v>313</v>
      </c>
      <c r="F369" s="25"/>
      <c r="G369" s="15" t="s">
        <v>24</v>
      </c>
      <c r="H369" s="16"/>
      <c r="I369" s="16" t="str">
        <f>IF(テーブル8101617181920212245[[#This Row],[状況]]="完了","",IF(SUMPRODUCT((テーブル8101617181920212245[[#This Row],[タスク詳細]]=E:E)*(テーブル8101617181920212245[[#This Row],[タスク]]=D:D)*(テーブル8101617181920212245[[#This Row],[案件]]=C:C)*("完了"=G:G))=1,"完了",""))</f>
        <v/>
      </c>
    </row>
    <row r="370" spans="2:9" x14ac:dyDescent="0.2">
      <c r="B370" s="23">
        <f>B369+1</f>
        <v>7</v>
      </c>
      <c r="C370" s="15" t="s">
        <v>122</v>
      </c>
      <c r="D370" s="15" t="s">
        <v>236</v>
      </c>
      <c r="E370" s="17" t="s">
        <v>302</v>
      </c>
      <c r="F370" s="25"/>
      <c r="G370" s="15" t="s">
        <v>24</v>
      </c>
      <c r="H370" s="16"/>
      <c r="I370" s="16" t="str">
        <f>IF(テーブル8101617181920212245[[#This Row],[状況]]="完了","",IF(SUMPRODUCT((テーブル8101617181920212245[[#This Row],[タスク詳細]]=E:E)*(テーブル8101617181920212245[[#This Row],[タスク]]=D:D)*(テーブル8101617181920212245[[#This Row],[案件]]=C:C)*("完了"=G:G))=1,"完了",""))</f>
        <v/>
      </c>
    </row>
    <row r="371" spans="2:9" x14ac:dyDescent="0.2">
      <c r="B371" s="23">
        <f>B370+1</f>
        <v>8</v>
      </c>
      <c r="C371" s="15" t="s">
        <v>122</v>
      </c>
      <c r="D371" s="15" t="s">
        <v>85</v>
      </c>
      <c r="E371" s="17" t="s">
        <v>314</v>
      </c>
      <c r="F371" s="25"/>
      <c r="G371" s="15" t="s">
        <v>24</v>
      </c>
      <c r="H371" s="16"/>
      <c r="I371" s="16" t="str">
        <f>IF(テーブル8101617181920212245[[#This Row],[状況]]="完了","",IF(SUMPRODUCT((テーブル8101617181920212245[[#This Row],[タスク詳細]]=E:E)*(テーブル8101617181920212245[[#This Row],[タスク]]=D:D)*(テーブル8101617181920212245[[#This Row],[案件]]=C:C)*("完了"=G:G))=1,"完了",""))</f>
        <v/>
      </c>
    </row>
    <row r="372" spans="2:9" x14ac:dyDescent="0.2">
      <c r="B372" s="23">
        <f>B368+1</f>
        <v>6</v>
      </c>
      <c r="C372" s="15" t="s">
        <v>258</v>
      </c>
      <c r="D372" s="15" t="s">
        <v>281</v>
      </c>
      <c r="E372" s="34" t="s">
        <v>283</v>
      </c>
      <c r="F372" s="25"/>
      <c r="G372" s="15" t="s">
        <v>24</v>
      </c>
      <c r="H372" s="16"/>
      <c r="I372" s="16" t="str">
        <f>IF(テーブル8101617181920212245[[#This Row],[状況]]="完了","",IF(SUMPRODUCT((テーブル8101617181920212245[[#This Row],[タスク詳細]]=E:E)*(テーブル8101617181920212245[[#This Row],[タスク]]=D:D)*(テーブル8101617181920212245[[#This Row],[案件]]=C:C)*("完了"=G:G))=1,"完了",""))</f>
        <v/>
      </c>
    </row>
    <row r="373" spans="2:9" x14ac:dyDescent="0.2">
      <c r="B373" s="23">
        <f t="shared" si="20"/>
        <v>7</v>
      </c>
      <c r="C373" s="15" t="s">
        <v>325</v>
      </c>
      <c r="D373" s="15" t="s">
        <v>291</v>
      </c>
      <c r="E373" s="34" t="s">
        <v>308</v>
      </c>
      <c r="F373" s="25"/>
      <c r="G373" s="15" t="s">
        <v>25</v>
      </c>
      <c r="H373" s="16" t="s">
        <v>309</v>
      </c>
      <c r="I373" s="16" t="str">
        <f>IF(テーブル8101617181920212245[[#This Row],[状況]]="完了","",IF(SUMPRODUCT((テーブル8101617181920212245[[#This Row],[タスク詳細]]=E:E)*(テーブル8101617181920212245[[#This Row],[タスク]]=D:D)*(テーブル8101617181920212245[[#This Row],[案件]]=C:C)*("完了"=G:G))=1,"完了",""))</f>
        <v/>
      </c>
    </row>
    <row r="374" spans="2:9" x14ac:dyDescent="0.2">
      <c r="B374" s="30">
        <f t="shared" si="20"/>
        <v>8</v>
      </c>
      <c r="C374" s="17" t="s">
        <v>266</v>
      </c>
      <c r="D374" s="17" t="s">
        <v>265</v>
      </c>
      <c r="E374" s="17" t="s">
        <v>305</v>
      </c>
      <c r="F374" s="26"/>
      <c r="G374" s="17" t="s">
        <v>24</v>
      </c>
      <c r="H374" s="18"/>
      <c r="I374" s="16" t="str">
        <f>IF(テーブル8101617181920212245[[#This Row],[状況]]="完了","",IF(SUMPRODUCT((テーブル8101617181920212245[[#This Row],[タスク詳細]]=E:E)*(テーブル8101617181920212245[[#This Row],[タスク]]=D:D)*(テーブル8101617181920212245[[#This Row],[案件]]=C:C)*("完了"=G:G))=1,"完了",""))</f>
        <v/>
      </c>
    </row>
    <row r="375" spans="2:9" x14ac:dyDescent="0.2">
      <c r="B375" s="30">
        <f t="shared" si="20"/>
        <v>9</v>
      </c>
      <c r="C375" s="17" t="s">
        <v>284</v>
      </c>
      <c r="D375" s="17" t="s">
        <v>285</v>
      </c>
      <c r="E375" s="17" t="s">
        <v>277</v>
      </c>
      <c r="F375" s="26"/>
      <c r="G375" s="17" t="s">
        <v>114</v>
      </c>
      <c r="H375" s="18" t="s">
        <v>310</v>
      </c>
      <c r="I375" s="16" t="str">
        <f>IF(テーブル8101617181920212245[[#This Row],[状況]]="完了","",IF(SUMPRODUCT((テーブル8101617181920212245[[#This Row],[タスク詳細]]=E:E)*(テーブル8101617181920212245[[#This Row],[タスク]]=D:D)*(テーブル8101617181920212245[[#This Row],[案件]]=C:C)*("完了"=G:G))=1,"完了",""))</f>
        <v>完了</v>
      </c>
    </row>
    <row r="376" spans="2:9" x14ac:dyDescent="0.2">
      <c r="B376" s="30">
        <f t="shared" si="20"/>
        <v>10</v>
      </c>
      <c r="C376" s="17" t="s">
        <v>284</v>
      </c>
      <c r="D376" s="17" t="s">
        <v>285</v>
      </c>
      <c r="E376" s="17" t="s">
        <v>333</v>
      </c>
      <c r="F376" s="26"/>
      <c r="G376" s="17" t="s">
        <v>24</v>
      </c>
      <c r="H376" s="18"/>
      <c r="I376" s="16" t="str">
        <f>IF(テーブル8101617181920212245[[#This Row],[状況]]="完了","",IF(SUMPRODUCT((テーブル8101617181920212245[[#This Row],[タスク詳細]]=E:E)*(テーブル8101617181920212245[[#This Row],[タスク]]=D:D)*(テーブル8101617181920212245[[#This Row],[案件]]=C:C)*("完了"=G:G))=1,"完了",""))</f>
        <v/>
      </c>
    </row>
    <row r="377" spans="2:9" x14ac:dyDescent="0.2">
      <c r="B377" s="30">
        <f t="shared" si="20"/>
        <v>11</v>
      </c>
      <c r="C377" s="17" t="s">
        <v>287</v>
      </c>
      <c r="D377" s="17"/>
      <c r="E377" s="17" t="s">
        <v>289</v>
      </c>
      <c r="F377" s="26"/>
      <c r="G377" s="17" t="s">
        <v>24</v>
      </c>
      <c r="H377" s="18"/>
      <c r="I377" s="16" t="str">
        <f>IF(テーブル8101617181920212245[[#This Row],[状況]]="完了","",IF(SUMPRODUCT((テーブル8101617181920212245[[#This Row],[タスク詳細]]=E:E)*(テーブル8101617181920212245[[#This Row],[タスク]]=D:D)*(テーブル8101617181920212245[[#This Row],[案件]]=C:C)*("完了"=G:G))=1,"完了",""))</f>
        <v/>
      </c>
    </row>
    <row r="378" spans="2:9" x14ac:dyDescent="0.2">
      <c r="B378" s="30">
        <f t="shared" si="20"/>
        <v>12</v>
      </c>
      <c r="C378" s="17" t="s">
        <v>287</v>
      </c>
      <c r="D378" s="17"/>
      <c r="E378" s="17" t="s">
        <v>288</v>
      </c>
      <c r="F378" s="26"/>
      <c r="G378" s="17" t="s">
        <v>24</v>
      </c>
      <c r="H378" s="18"/>
      <c r="I378" s="16" t="str">
        <f>IF(テーブル8101617181920212245[[#This Row],[状況]]="完了","",IF(SUMPRODUCT((テーブル8101617181920212245[[#This Row],[タスク詳細]]=E:E)*(テーブル8101617181920212245[[#This Row],[タスク]]=D:D)*(テーブル8101617181920212245[[#This Row],[案件]]=C:C)*("完了"=G:G))=1,"完了",""))</f>
        <v/>
      </c>
    </row>
    <row r="379" spans="2:9" x14ac:dyDescent="0.2">
      <c r="B379" s="30">
        <f t="shared" si="20"/>
        <v>13</v>
      </c>
      <c r="C379" s="17" t="s">
        <v>307</v>
      </c>
      <c r="D379" s="17" t="s">
        <v>291</v>
      </c>
      <c r="E379" s="17" t="s">
        <v>303</v>
      </c>
      <c r="F379" s="26"/>
      <c r="G379" s="17" t="s">
        <v>24</v>
      </c>
      <c r="H379" s="18"/>
      <c r="I379" s="16" t="str">
        <f>IF(テーブル8101617181920212245[[#This Row],[状況]]="完了","",IF(SUMPRODUCT((テーブル8101617181920212245[[#This Row],[タスク詳細]]=E:E)*(テーブル8101617181920212245[[#This Row],[タスク]]=D:D)*(テーブル8101617181920212245[[#This Row],[案件]]=C:C)*("完了"=G:G))=1,"完了",""))</f>
        <v/>
      </c>
    </row>
    <row r="380" spans="2:9" x14ac:dyDescent="0.2">
      <c r="B380" s="30">
        <f t="shared" si="20"/>
        <v>14</v>
      </c>
      <c r="C380" s="17" t="s">
        <v>307</v>
      </c>
      <c r="D380" s="17" t="s">
        <v>291</v>
      </c>
      <c r="E380" s="17" t="s">
        <v>304</v>
      </c>
      <c r="F380" s="26"/>
      <c r="G380" s="17" t="s">
        <v>24</v>
      </c>
      <c r="H380" s="18"/>
      <c r="I380" s="16" t="str">
        <f>IF(テーブル8101617181920212245[[#This Row],[状況]]="完了","",IF(SUMPRODUCT((テーブル8101617181920212245[[#This Row],[タスク詳細]]=E:E)*(テーブル8101617181920212245[[#This Row],[タスク]]=D:D)*(テーブル8101617181920212245[[#This Row],[案件]]=C:C)*("完了"=G:G))=1,"完了",""))</f>
        <v/>
      </c>
    </row>
    <row r="381" spans="2:9" x14ac:dyDescent="0.2">
      <c r="B381" s="23">
        <v>15</v>
      </c>
      <c r="C381" s="15" t="s">
        <v>307</v>
      </c>
      <c r="D381" s="15" t="s">
        <v>291</v>
      </c>
      <c r="E381" s="17" t="s">
        <v>306</v>
      </c>
      <c r="F381" s="25"/>
      <c r="G381" s="15" t="s">
        <v>25</v>
      </c>
      <c r="H381" s="16" t="s">
        <v>311</v>
      </c>
      <c r="I381" s="16" t="str">
        <f>IF(テーブル8101617181920212245[[#This Row],[状況]]="完了","",IF(SUMPRODUCT((テーブル8101617181920212245[[#This Row],[タスク詳細]]=E:E)*(テーブル8101617181920212245[[#This Row],[タスク]]=D:D)*(テーブル8101617181920212245[[#This Row],[案件]]=C:C)*("完了"=G:G))=1,"完了",""))</f>
        <v>完了</v>
      </c>
    </row>
    <row r="382" spans="2:9" x14ac:dyDescent="0.2">
      <c r="B382" s="23"/>
      <c r="C382" s="15"/>
      <c r="D382" s="15"/>
      <c r="E382" s="17"/>
      <c r="F382" s="25"/>
      <c r="G382" s="15"/>
      <c r="H382" s="16"/>
      <c r="I382" s="16" t="str">
        <f>IF(テーブル8101617181920212245[[#This Row],[状況]]="完了","",IF(SUMPRODUCT((テーブル8101617181920212245[[#This Row],[タスク詳細]]=E:E)*(テーブル8101617181920212245[[#This Row],[タスク]]=D:D)*(テーブル8101617181920212245[[#This Row],[案件]]=C:C)*("完了"=G:G))=1,"完了",""))</f>
        <v/>
      </c>
    </row>
    <row r="386" spans="1:9" x14ac:dyDescent="0.2">
      <c r="A386" s="15" t="s">
        <v>315</v>
      </c>
    </row>
    <row r="387" spans="1:9" x14ac:dyDescent="0.2">
      <c r="B387" s="22" t="s">
        <v>17</v>
      </c>
      <c r="C387" s="19" t="s">
        <v>18</v>
      </c>
      <c r="D387" s="19" t="s">
        <v>19</v>
      </c>
      <c r="E387" s="19" t="s">
        <v>14</v>
      </c>
      <c r="F387" s="24" t="s">
        <v>27</v>
      </c>
      <c r="G387" s="19" t="s">
        <v>20</v>
      </c>
      <c r="H387" s="20" t="s">
        <v>15</v>
      </c>
      <c r="I387" s="20" t="s">
        <v>132</v>
      </c>
    </row>
    <row r="388" spans="1:9" x14ac:dyDescent="0.2">
      <c r="B388" s="23">
        <v>1</v>
      </c>
      <c r="C388" s="15" t="s">
        <v>284</v>
      </c>
      <c r="D388" s="15" t="s">
        <v>285</v>
      </c>
      <c r="E388" s="15" t="s">
        <v>277</v>
      </c>
      <c r="F388" s="25"/>
      <c r="G388" s="15" t="s">
        <v>24</v>
      </c>
      <c r="H388" s="16" t="s">
        <v>310</v>
      </c>
      <c r="I388" s="16" t="str">
        <f>IF(テーブル810161718192021222346[[#This Row],[状況]]="完了","",IF(SUMPRODUCT((テーブル810161718192021222346[[#This Row],[タスク詳細]]=E:E)*(テーブル810161718192021222346[[#This Row],[タスク]]=D:D)*(テーブル810161718192021222346[[#This Row],[案件]]=C:C)*("完了"=G:G))=1,"完了",""))</f>
        <v/>
      </c>
    </row>
    <row r="389" spans="1:9" x14ac:dyDescent="0.2">
      <c r="B389" s="23">
        <f t="shared" ref="B389:B395" si="21">B388+1</f>
        <v>2</v>
      </c>
      <c r="C389" s="15" t="s">
        <v>284</v>
      </c>
      <c r="D389" s="15" t="s">
        <v>285</v>
      </c>
      <c r="E389" s="17" t="s">
        <v>319</v>
      </c>
      <c r="F389" s="25"/>
      <c r="G389" s="15" t="s">
        <v>24</v>
      </c>
      <c r="H389" s="37"/>
      <c r="I389" s="16" t="str">
        <f>IF(テーブル810161718192021222346[[#This Row],[状況]]="完了","",IF(SUMPRODUCT((テーブル810161718192021222346[[#This Row],[タスク詳細]]=E:E)*(テーブル810161718192021222346[[#This Row],[タスク]]=D:D)*(テーブル810161718192021222346[[#This Row],[案件]]=C:C)*("完了"=G:G))=1,"完了",""))</f>
        <v/>
      </c>
    </row>
    <row r="390" spans="1:9" x14ac:dyDescent="0.2">
      <c r="B390" s="23">
        <f t="shared" si="21"/>
        <v>3</v>
      </c>
      <c r="C390" s="15" t="s">
        <v>122</v>
      </c>
      <c r="D390" s="15" t="s">
        <v>85</v>
      </c>
      <c r="E390" s="17" t="s">
        <v>316</v>
      </c>
      <c r="F390" s="25"/>
      <c r="G390" s="15" t="s">
        <v>114</v>
      </c>
      <c r="H390" s="36" t="s">
        <v>301</v>
      </c>
      <c r="I390" s="16" t="str">
        <f>IF(テーブル810161718192021222346[[#This Row],[状況]]="完了","",IF(SUMPRODUCT((テーブル810161718192021222346[[#This Row],[タスク詳細]]=E:E)*(テーブル810161718192021222346[[#This Row],[タスク]]=D:D)*(テーブル810161718192021222346[[#This Row],[案件]]=C:C)*("完了"=G:G))=1,"完了",""))</f>
        <v/>
      </c>
    </row>
    <row r="391" spans="1:9" x14ac:dyDescent="0.2">
      <c r="B391" s="23">
        <f t="shared" si="21"/>
        <v>4</v>
      </c>
      <c r="C391" s="15" t="s">
        <v>122</v>
      </c>
      <c r="D391" s="15" t="s">
        <v>85</v>
      </c>
      <c r="E391" s="17" t="s">
        <v>327</v>
      </c>
      <c r="F391" s="25"/>
      <c r="G391" s="15" t="s">
        <v>24</v>
      </c>
      <c r="H391" s="36"/>
      <c r="I391" s="16" t="str">
        <f>IF(テーブル810161718192021222346[[#This Row],[状況]]="完了","",IF(SUMPRODUCT((テーブル810161718192021222346[[#This Row],[タスク詳細]]=E:E)*(テーブル810161718192021222346[[#This Row],[タスク]]=D:D)*(テーブル810161718192021222346[[#This Row],[案件]]=C:C)*("完了"=G:G))=1,"完了",""))</f>
        <v/>
      </c>
    </row>
    <row r="392" spans="1:9" x14ac:dyDescent="0.2">
      <c r="B392" s="23">
        <f t="shared" si="21"/>
        <v>5</v>
      </c>
      <c r="C392" s="15" t="s">
        <v>338</v>
      </c>
      <c r="D392" s="15" t="s">
        <v>85</v>
      </c>
      <c r="E392" s="17" t="s">
        <v>326</v>
      </c>
      <c r="F392" s="25"/>
      <c r="G392" s="15" t="s">
        <v>24</v>
      </c>
      <c r="H392" s="16" t="s">
        <v>337</v>
      </c>
      <c r="I392" s="16" t="str">
        <f>IF(テーブル810161718192021222346[[#This Row],[状況]]="完了","",IF(SUMPRODUCT((テーブル810161718192021222346[[#This Row],[タスク詳細]]=E:E)*(テーブル810161718192021222346[[#This Row],[タスク]]=D:D)*(テーブル810161718192021222346[[#This Row],[案件]]=C:C)*("完了"=G:G))=1,"完了",""))</f>
        <v/>
      </c>
    </row>
    <row r="393" spans="1:9" x14ac:dyDescent="0.2">
      <c r="B393" s="23">
        <f t="shared" si="21"/>
        <v>6</v>
      </c>
      <c r="C393" s="15" t="s">
        <v>338</v>
      </c>
      <c r="D393" s="15" t="s">
        <v>291</v>
      </c>
      <c r="E393" s="17" t="s">
        <v>339</v>
      </c>
      <c r="F393" s="25"/>
      <c r="G393" s="15" t="s">
        <v>24</v>
      </c>
      <c r="H393" s="16"/>
      <c r="I393" s="16" t="str">
        <f>IF(テーブル810161718192021222346[[#This Row],[状況]]="完了","",IF(SUMPRODUCT((テーブル810161718192021222346[[#This Row],[タスク詳細]]=E:E)*(テーブル810161718192021222346[[#This Row],[タスク]]=D:D)*(テーブル810161718192021222346[[#This Row],[案件]]=C:C)*("完了"=G:G))=1,"完了",""))</f>
        <v/>
      </c>
    </row>
    <row r="394" spans="1:9" x14ac:dyDescent="0.2">
      <c r="B394" s="23">
        <f t="shared" si="21"/>
        <v>7</v>
      </c>
      <c r="C394" s="15" t="s">
        <v>322</v>
      </c>
      <c r="D394" s="15" t="s">
        <v>291</v>
      </c>
      <c r="E394" s="17" t="s">
        <v>308</v>
      </c>
      <c r="F394" s="25"/>
      <c r="G394" s="15" t="s">
        <v>25</v>
      </c>
      <c r="H394" s="16" t="s">
        <v>309</v>
      </c>
      <c r="I394" s="16" t="str">
        <f>IF(テーブル810161718192021222346[[#This Row],[状況]]="完了","",IF(SUMPRODUCT((テーブル810161718192021222346[[#This Row],[タスク詳細]]=E:E)*(テーブル810161718192021222346[[#This Row],[タスク]]=D:D)*(テーブル810161718192021222346[[#This Row],[案件]]=C:C)*("完了"=G:G))=1,"完了",""))</f>
        <v/>
      </c>
    </row>
    <row r="395" spans="1:9" x14ac:dyDescent="0.2">
      <c r="B395" s="23">
        <f t="shared" si="21"/>
        <v>8</v>
      </c>
      <c r="C395" s="15" t="s">
        <v>322</v>
      </c>
      <c r="D395" s="15" t="s">
        <v>317</v>
      </c>
      <c r="E395" s="17" t="s">
        <v>41</v>
      </c>
      <c r="F395" s="25"/>
      <c r="G395" s="15" t="s">
        <v>24</v>
      </c>
      <c r="H395" s="16"/>
      <c r="I395" s="16" t="str">
        <f>IF(テーブル810161718192021222346[[#This Row],[状況]]="完了","",IF(SUMPRODUCT((テーブル810161718192021222346[[#This Row],[タスク詳細]]=E:E)*(テーブル810161718192021222346[[#This Row],[タスク]]=D:D)*(テーブル810161718192021222346[[#This Row],[案件]]=C:C)*("完了"=G:G))=1,"完了",""))</f>
        <v/>
      </c>
    </row>
    <row r="396" spans="1:9" x14ac:dyDescent="0.2">
      <c r="B396" s="23">
        <f>B392+1</f>
        <v>6</v>
      </c>
      <c r="C396" s="15" t="s">
        <v>340</v>
      </c>
      <c r="D396" s="15" t="s">
        <v>317</v>
      </c>
      <c r="E396" s="34" t="s">
        <v>335</v>
      </c>
      <c r="F396" s="25"/>
      <c r="G396" s="15" t="s">
        <v>25</v>
      </c>
      <c r="H396" s="16"/>
      <c r="I396" s="16" t="str">
        <f>IF(テーブル810161718192021222346[[#This Row],[状況]]="完了","",IF(SUMPRODUCT((テーブル810161718192021222346[[#This Row],[タスク詳細]]=E:E)*(テーブル810161718192021222346[[#This Row],[タスク]]=D:D)*(テーブル810161718192021222346[[#This Row],[案件]]=C:C)*("完了"=G:G))=1,"完了",""))</f>
        <v/>
      </c>
    </row>
    <row r="397" spans="1:9" x14ac:dyDescent="0.2">
      <c r="B397" s="23">
        <f t="shared" ref="B397:B405" si="22">B396+1</f>
        <v>7</v>
      </c>
      <c r="C397" s="15" t="s">
        <v>340</v>
      </c>
      <c r="D397" s="15" t="s">
        <v>291</v>
      </c>
      <c r="E397" s="34" t="s">
        <v>339</v>
      </c>
      <c r="F397" s="25"/>
      <c r="G397" s="15" t="s">
        <v>24</v>
      </c>
      <c r="H397" s="16"/>
      <c r="I397" s="16" t="str">
        <f>IF(テーブル810161718192021222346[[#This Row],[状況]]="完了","",IF(SUMPRODUCT((テーブル810161718192021222346[[#This Row],[タスク詳細]]=E:E)*(テーブル810161718192021222346[[#This Row],[タスク]]=D:D)*(テーブル810161718192021222346[[#This Row],[案件]]=C:C)*("完了"=G:G))=1,"完了",""))</f>
        <v/>
      </c>
    </row>
    <row r="398" spans="1:9" x14ac:dyDescent="0.2">
      <c r="B398" s="30">
        <f t="shared" si="22"/>
        <v>8</v>
      </c>
      <c r="C398" s="17" t="s">
        <v>307</v>
      </c>
      <c r="D398" s="17" t="s">
        <v>291</v>
      </c>
      <c r="E398" s="17" t="s">
        <v>306</v>
      </c>
      <c r="F398" s="26"/>
      <c r="G398" s="17" t="s">
        <v>24</v>
      </c>
      <c r="H398" s="16" t="s">
        <v>311</v>
      </c>
      <c r="I398" s="16" t="str">
        <f>IF(テーブル810161718192021222346[[#This Row],[状況]]="完了","",IF(SUMPRODUCT((テーブル810161718192021222346[[#This Row],[タスク詳細]]=E:E)*(テーブル810161718192021222346[[#This Row],[タスク]]=D:D)*(テーブル810161718192021222346[[#This Row],[案件]]=C:C)*("完了"=G:G))=1,"完了",""))</f>
        <v/>
      </c>
    </row>
    <row r="399" spans="1:9" x14ac:dyDescent="0.2">
      <c r="B399" s="30">
        <f t="shared" si="22"/>
        <v>9</v>
      </c>
      <c r="C399" s="17" t="s">
        <v>307</v>
      </c>
      <c r="D399" s="17" t="s">
        <v>236</v>
      </c>
      <c r="E399" s="17" t="s">
        <v>334</v>
      </c>
      <c r="F399" s="26"/>
      <c r="G399" s="17" t="s">
        <v>24</v>
      </c>
      <c r="H399" s="16" t="s">
        <v>336</v>
      </c>
      <c r="I399" s="16" t="str">
        <f>IF(テーブル810161718192021222346[[#This Row],[状況]]="完了","",IF(SUMPRODUCT((テーブル810161718192021222346[[#This Row],[タスク詳細]]=E:E)*(テーブル810161718192021222346[[#This Row],[タスク]]=D:D)*(テーブル810161718192021222346[[#This Row],[案件]]=C:C)*("完了"=G:G))=1,"完了",""))</f>
        <v/>
      </c>
    </row>
    <row r="400" spans="1:9" x14ac:dyDescent="0.2">
      <c r="B400" s="30">
        <f t="shared" si="22"/>
        <v>10</v>
      </c>
      <c r="C400" s="17" t="s">
        <v>307</v>
      </c>
      <c r="D400" s="17" t="s">
        <v>236</v>
      </c>
      <c r="E400" s="17" t="s">
        <v>328</v>
      </c>
      <c r="F400" s="26"/>
      <c r="G400" s="17" t="s">
        <v>24</v>
      </c>
      <c r="H400" s="18" t="s">
        <v>336</v>
      </c>
      <c r="I400" s="16" t="str">
        <f>IF(テーブル810161718192021222346[[#This Row],[状況]]="完了","",IF(SUMPRODUCT((テーブル810161718192021222346[[#This Row],[タスク詳細]]=E:E)*(テーブル810161718192021222346[[#This Row],[タスク]]=D:D)*(テーブル810161718192021222346[[#This Row],[案件]]=C:C)*("完了"=G:G))=1,"完了",""))</f>
        <v/>
      </c>
    </row>
    <row r="401" spans="1:9" x14ac:dyDescent="0.2">
      <c r="B401" s="30">
        <f t="shared" si="22"/>
        <v>11</v>
      </c>
      <c r="C401" s="17" t="s">
        <v>341</v>
      </c>
      <c r="D401" s="17" t="s">
        <v>236</v>
      </c>
      <c r="E401" s="17" t="s">
        <v>329</v>
      </c>
      <c r="F401" s="26"/>
      <c r="G401" s="17" t="s">
        <v>24</v>
      </c>
      <c r="H401" s="18" t="s">
        <v>336</v>
      </c>
      <c r="I401" s="16" t="str">
        <f>IF(テーブル810161718192021222346[[#This Row],[状況]]="完了","",IF(SUMPRODUCT((テーブル810161718192021222346[[#This Row],[タスク詳細]]=E:E)*(テーブル810161718192021222346[[#This Row],[タスク]]=D:D)*(テーブル810161718192021222346[[#This Row],[案件]]=C:C)*("完了"=G:G))=1,"完了",""))</f>
        <v/>
      </c>
    </row>
    <row r="402" spans="1:9" x14ac:dyDescent="0.2">
      <c r="B402" s="30">
        <f t="shared" si="22"/>
        <v>12</v>
      </c>
      <c r="C402" s="17" t="s">
        <v>342</v>
      </c>
      <c r="D402" s="17" t="s">
        <v>291</v>
      </c>
      <c r="E402" s="17" t="s">
        <v>339</v>
      </c>
      <c r="F402" s="26"/>
      <c r="G402" s="17" t="s">
        <v>24</v>
      </c>
      <c r="H402" s="18"/>
      <c r="I402" s="16" t="str">
        <f>IF(テーブル810161718192021222346[[#This Row],[状況]]="完了","",IF(SUMPRODUCT((テーブル810161718192021222346[[#This Row],[タスク詳細]]=E:E)*(テーブル810161718192021222346[[#This Row],[タスク]]=D:D)*(テーブル810161718192021222346[[#This Row],[案件]]=C:C)*("完了"=G:G))=1,"完了",""))</f>
        <v/>
      </c>
    </row>
    <row r="403" spans="1:9" x14ac:dyDescent="0.2">
      <c r="B403" s="30">
        <f t="shared" si="22"/>
        <v>13</v>
      </c>
      <c r="C403" s="17" t="s">
        <v>342</v>
      </c>
      <c r="D403" s="17" t="s">
        <v>291</v>
      </c>
      <c r="E403" s="17" t="s">
        <v>270</v>
      </c>
      <c r="F403" s="26"/>
      <c r="G403" s="17" t="s">
        <v>24</v>
      </c>
      <c r="H403" s="18"/>
      <c r="I403" s="16" t="s">
        <v>343</v>
      </c>
    </row>
    <row r="404" spans="1:9" x14ac:dyDescent="0.2">
      <c r="B404" s="30">
        <f t="shared" si="22"/>
        <v>14</v>
      </c>
      <c r="C404" s="17" t="s">
        <v>330</v>
      </c>
      <c r="D404" s="17" t="s">
        <v>332</v>
      </c>
      <c r="E404" s="17" t="s">
        <v>331</v>
      </c>
      <c r="F404" s="26"/>
      <c r="G404" s="17" t="s">
        <v>24</v>
      </c>
      <c r="H404" s="18"/>
      <c r="I404" s="16" t="str">
        <f>IF(テーブル810161718192021222346[[#This Row],[状況]]="完了","",IF(SUMPRODUCT((テーブル810161718192021222346[[#This Row],[タスク詳細]]=E:E)*(テーブル810161718192021222346[[#This Row],[タスク]]=D:D)*(テーブル810161718192021222346[[#This Row],[案件]]=C:C)*("完了"=G:G))=1,"完了",""))</f>
        <v/>
      </c>
    </row>
    <row r="405" spans="1:9" x14ac:dyDescent="0.2">
      <c r="B405" s="30">
        <f t="shared" si="22"/>
        <v>15</v>
      </c>
      <c r="C405" s="17" t="s">
        <v>330</v>
      </c>
      <c r="D405" s="17" t="s">
        <v>332</v>
      </c>
      <c r="E405" s="17" t="s">
        <v>331</v>
      </c>
      <c r="F405" s="26"/>
      <c r="G405" s="17" t="s">
        <v>24</v>
      </c>
      <c r="H405" s="18"/>
      <c r="I405" s="16" t="e">
        <f>IF(テーブル810161718192021222346[[#This Row],[状況]]="完了","",IF(SUMPRODUCT((テーブル810161718192021222346[[#This Row],[タスク詳細]]=E:E)*(テーブル810161718192021222346[[#This Row],[タスク]]=D:D)*(テーブル810161718192021222346[[#This Row],[案件]]=C:C)*("完了"=G:G))=1,"完了",""))</f>
        <v>#VALUE!</v>
      </c>
    </row>
    <row r="408" spans="1:9" x14ac:dyDescent="0.2">
      <c r="A408" s="15" t="s">
        <v>344</v>
      </c>
    </row>
    <row r="409" spans="1:9" x14ac:dyDescent="0.2">
      <c r="B409" s="22" t="s">
        <v>17</v>
      </c>
      <c r="C409" s="19" t="s">
        <v>18</v>
      </c>
      <c r="D409" s="19" t="s">
        <v>19</v>
      </c>
      <c r="E409" s="19" t="s">
        <v>14</v>
      </c>
      <c r="F409" s="24" t="s">
        <v>27</v>
      </c>
      <c r="G409" s="19" t="s">
        <v>20</v>
      </c>
      <c r="H409" s="20" t="s">
        <v>15</v>
      </c>
      <c r="I409" s="20" t="s">
        <v>132</v>
      </c>
    </row>
    <row r="410" spans="1:9" x14ac:dyDescent="0.2">
      <c r="B410" s="23">
        <v>1</v>
      </c>
      <c r="C410" s="15" t="s">
        <v>284</v>
      </c>
      <c r="D410" s="15" t="s">
        <v>285</v>
      </c>
      <c r="E410" s="15" t="s">
        <v>345</v>
      </c>
      <c r="F410" s="25"/>
      <c r="G410" s="15" t="s">
        <v>25</v>
      </c>
      <c r="H410" s="16"/>
      <c r="I410" s="16" t="str">
        <f>IF(テーブル81016171819202122232447[[#This Row],[状況]]="完了","",IF(SUMPRODUCT((テーブル81016171819202122232447[[#This Row],[タスク詳細]]=E:E)*(テーブル81016171819202122232447[[#This Row],[タスク]]=D:D)*(テーブル81016171819202122232447[[#This Row],[案件]]=C:C)*("完了"=G:G))=1,"完了",""))</f>
        <v/>
      </c>
    </row>
    <row r="411" spans="1:9" x14ac:dyDescent="0.2">
      <c r="B411" s="23">
        <f t="shared" ref="B411:B417" si="23">B410+1</f>
        <v>2</v>
      </c>
      <c r="C411" s="15" t="s">
        <v>284</v>
      </c>
      <c r="D411" s="15" t="s">
        <v>285</v>
      </c>
      <c r="E411" s="17" t="s">
        <v>346</v>
      </c>
      <c r="F411" s="25"/>
      <c r="G411" s="15" t="s">
        <v>25</v>
      </c>
      <c r="H411" s="37"/>
      <c r="I411" s="16" t="str">
        <f>IF(テーブル81016171819202122232447[[#This Row],[状況]]="完了","",IF(SUMPRODUCT((テーブル81016171819202122232447[[#This Row],[タスク詳細]]=E:E)*(テーブル81016171819202122232447[[#This Row],[タスク]]=D:D)*(テーブル81016171819202122232447[[#This Row],[案件]]=C:C)*("完了"=G:G))=1,"完了",""))</f>
        <v/>
      </c>
    </row>
    <row r="412" spans="1:9" x14ac:dyDescent="0.2">
      <c r="B412" s="23">
        <f t="shared" si="23"/>
        <v>3</v>
      </c>
      <c r="C412" s="15" t="s">
        <v>122</v>
      </c>
      <c r="D412" s="15" t="s">
        <v>85</v>
      </c>
      <c r="E412" s="17" t="s">
        <v>316</v>
      </c>
      <c r="F412" s="25"/>
      <c r="G412" s="15" t="s">
        <v>114</v>
      </c>
      <c r="H412" s="36"/>
      <c r="I412" s="16" t="str">
        <f>IF(テーブル81016171819202122232447[[#This Row],[状況]]="完了","",IF(SUMPRODUCT((テーブル81016171819202122232447[[#This Row],[タスク詳細]]=E:E)*(テーブル81016171819202122232447[[#This Row],[タスク]]=D:D)*(テーブル81016171819202122232447[[#This Row],[案件]]=C:C)*("完了"=G:G))=1,"完了",""))</f>
        <v/>
      </c>
    </row>
    <row r="413" spans="1:9" x14ac:dyDescent="0.2">
      <c r="B413" s="23">
        <f t="shared" si="23"/>
        <v>4</v>
      </c>
      <c r="C413" s="15" t="s">
        <v>122</v>
      </c>
      <c r="D413" s="15" t="s">
        <v>85</v>
      </c>
      <c r="E413" s="17" t="s">
        <v>347</v>
      </c>
      <c r="F413" s="25"/>
      <c r="G413" s="15" t="s">
        <v>25</v>
      </c>
      <c r="H413" s="36"/>
      <c r="I413" s="16" t="str">
        <f>IF(テーブル81016171819202122232447[[#This Row],[状況]]="完了","",IF(SUMPRODUCT((テーブル81016171819202122232447[[#This Row],[タスク詳細]]=E:E)*(テーブル81016171819202122232447[[#This Row],[タスク]]=D:D)*(テーブル81016171819202122232447[[#This Row],[案件]]=C:C)*("完了"=G:G))=1,"完了",""))</f>
        <v/>
      </c>
    </row>
    <row r="414" spans="1:9" x14ac:dyDescent="0.2">
      <c r="B414" s="23">
        <f t="shared" si="23"/>
        <v>5</v>
      </c>
      <c r="C414" s="15" t="s">
        <v>116</v>
      </c>
      <c r="D414" s="15" t="s">
        <v>85</v>
      </c>
      <c r="E414" s="17" t="s">
        <v>348</v>
      </c>
      <c r="F414" s="25"/>
      <c r="G414" s="15" t="s">
        <v>25</v>
      </c>
      <c r="H414" s="16"/>
      <c r="I414" s="16" t="str">
        <f>IF(テーブル81016171819202122232447[[#This Row],[状況]]="完了","",IF(SUMPRODUCT((テーブル81016171819202122232447[[#This Row],[タスク詳細]]=E:E)*(テーブル81016171819202122232447[[#This Row],[タスク]]=D:D)*(テーブル81016171819202122232447[[#This Row],[案件]]=C:C)*("完了"=G:G))=1,"完了",""))</f>
        <v/>
      </c>
    </row>
    <row r="415" spans="1:9" x14ac:dyDescent="0.2">
      <c r="B415" s="23">
        <f t="shared" si="23"/>
        <v>6</v>
      </c>
      <c r="C415" s="15" t="s">
        <v>116</v>
      </c>
      <c r="D415" s="15" t="s">
        <v>291</v>
      </c>
      <c r="E415" s="17" t="s">
        <v>349</v>
      </c>
      <c r="F415" s="25"/>
      <c r="G415" s="15" t="s">
        <v>25</v>
      </c>
      <c r="H415" s="16"/>
      <c r="I415" s="16" t="str">
        <f>IF(テーブル81016171819202122232447[[#This Row],[状況]]="完了","",IF(SUMPRODUCT((テーブル81016171819202122232447[[#This Row],[タスク詳細]]=E:E)*(テーブル81016171819202122232447[[#This Row],[タスク]]=D:D)*(テーブル81016171819202122232447[[#This Row],[案件]]=C:C)*("完了"=G:G))=1,"完了",""))</f>
        <v/>
      </c>
    </row>
    <row r="416" spans="1:9" x14ac:dyDescent="0.2">
      <c r="B416" s="23">
        <f t="shared" si="23"/>
        <v>7</v>
      </c>
      <c r="C416" s="15" t="s">
        <v>322</v>
      </c>
      <c r="D416" s="15" t="s">
        <v>291</v>
      </c>
      <c r="E416" s="17" t="s">
        <v>308</v>
      </c>
      <c r="F416" s="25"/>
      <c r="G416" s="15" t="s">
        <v>25</v>
      </c>
      <c r="H416" s="16" t="s">
        <v>309</v>
      </c>
      <c r="I416" s="16" t="str">
        <f>IF(テーブル81016171819202122232447[[#This Row],[状況]]="完了","",IF(SUMPRODUCT((テーブル81016171819202122232447[[#This Row],[タスク詳細]]=E:E)*(テーブル81016171819202122232447[[#This Row],[タスク]]=D:D)*(テーブル81016171819202122232447[[#This Row],[案件]]=C:C)*("完了"=G:G))=1,"完了",""))</f>
        <v/>
      </c>
    </row>
    <row r="417" spans="2:9" x14ac:dyDescent="0.2">
      <c r="B417" s="23">
        <f t="shared" si="23"/>
        <v>8</v>
      </c>
      <c r="C417" s="15" t="s">
        <v>322</v>
      </c>
      <c r="D417" s="15" t="s">
        <v>317</v>
      </c>
      <c r="E417" s="17" t="s">
        <v>335</v>
      </c>
      <c r="F417" s="25"/>
      <c r="G417" s="15" t="s">
        <v>25</v>
      </c>
      <c r="H417" s="16"/>
      <c r="I417" s="16" t="str">
        <f>IF(テーブル81016171819202122232447[[#This Row],[状況]]="完了","",IF(SUMPRODUCT((テーブル81016171819202122232447[[#This Row],[タスク詳細]]=E:E)*(テーブル81016171819202122232447[[#This Row],[タスク]]=D:D)*(テーブル81016171819202122232447[[#This Row],[案件]]=C:C)*("完了"=G:G))=1,"完了",""))</f>
        <v/>
      </c>
    </row>
    <row r="418" spans="2:9" x14ac:dyDescent="0.2">
      <c r="B418" s="23">
        <f>B414+1</f>
        <v>6</v>
      </c>
      <c r="C418" s="15" t="s">
        <v>322</v>
      </c>
      <c r="D418" s="15" t="s">
        <v>317</v>
      </c>
      <c r="E418" s="34" t="s">
        <v>350</v>
      </c>
      <c r="F418" s="25"/>
      <c r="G418" s="15" t="s">
        <v>25</v>
      </c>
      <c r="H418" s="16"/>
      <c r="I418" s="16" t="str">
        <f>IF(テーブル81016171819202122232447[[#This Row],[状況]]="完了","",IF(SUMPRODUCT((テーブル81016171819202122232447[[#This Row],[タスク詳細]]=E:E)*(テーブル81016171819202122232447[[#This Row],[タスク]]=D:D)*(テーブル81016171819202122232447[[#This Row],[案件]]=C:C)*("完了"=G:G))=1,"完了",""))</f>
        <v/>
      </c>
    </row>
    <row r="419" spans="2:9" x14ac:dyDescent="0.2">
      <c r="B419" s="23">
        <f t="shared" ref="B419:B426" si="24">B418+1</f>
        <v>7</v>
      </c>
      <c r="C419" s="15" t="s">
        <v>322</v>
      </c>
      <c r="D419" s="15" t="s">
        <v>317</v>
      </c>
      <c r="E419" s="34" t="s">
        <v>351</v>
      </c>
      <c r="F419" s="25"/>
      <c r="G419" s="15" t="s">
        <v>25</v>
      </c>
      <c r="H419" s="16"/>
      <c r="I419" s="16" t="str">
        <f>IF(テーブル81016171819202122232447[[#This Row],[状況]]="完了","",IF(SUMPRODUCT((テーブル81016171819202122232447[[#This Row],[タスク詳細]]=E:E)*(テーブル81016171819202122232447[[#This Row],[タスク]]=D:D)*(テーブル81016171819202122232447[[#This Row],[案件]]=C:C)*("完了"=G:G))=1,"完了",""))</f>
        <v/>
      </c>
    </row>
    <row r="420" spans="2:9" x14ac:dyDescent="0.2">
      <c r="B420" s="30">
        <f t="shared" si="24"/>
        <v>8</v>
      </c>
      <c r="C420" s="17" t="s">
        <v>307</v>
      </c>
      <c r="D420" s="17" t="s">
        <v>85</v>
      </c>
      <c r="E420" s="17" t="s">
        <v>352</v>
      </c>
      <c r="F420" s="26"/>
      <c r="G420" s="17" t="s">
        <v>25</v>
      </c>
      <c r="H420" s="16"/>
      <c r="I420" s="16" t="str">
        <f>IF(テーブル81016171819202122232447[[#This Row],[状況]]="完了","",IF(SUMPRODUCT((テーブル81016171819202122232447[[#This Row],[タスク詳細]]=E:E)*(テーブル81016171819202122232447[[#This Row],[タスク]]=D:D)*(テーブル81016171819202122232447[[#This Row],[案件]]=C:C)*("完了"=G:G))=1,"完了",""))</f>
        <v/>
      </c>
    </row>
    <row r="421" spans="2:9" x14ac:dyDescent="0.2">
      <c r="B421" s="30">
        <f t="shared" si="24"/>
        <v>9</v>
      </c>
      <c r="C421" s="17" t="s">
        <v>307</v>
      </c>
      <c r="D421" s="17" t="s">
        <v>85</v>
      </c>
      <c r="E421" s="17" t="s">
        <v>283</v>
      </c>
      <c r="F421" s="26"/>
      <c r="G421" s="17" t="s">
        <v>25</v>
      </c>
      <c r="H421" s="16"/>
      <c r="I421" s="16" t="str">
        <f>IF(テーブル81016171819202122232447[[#This Row],[状況]]="完了","",IF(SUMPRODUCT((テーブル81016171819202122232447[[#This Row],[タスク詳細]]=E:E)*(テーブル81016171819202122232447[[#This Row],[タスク]]=D:D)*(テーブル81016171819202122232447[[#This Row],[案件]]=C:C)*("完了"=G:G))=1,"完了",""))</f>
        <v/>
      </c>
    </row>
    <row r="422" spans="2:9" x14ac:dyDescent="0.2">
      <c r="B422" s="30">
        <f t="shared" si="24"/>
        <v>10</v>
      </c>
      <c r="C422" s="17" t="s">
        <v>342</v>
      </c>
      <c r="D422" s="17" t="s">
        <v>317</v>
      </c>
      <c r="E422" s="17" t="s">
        <v>349</v>
      </c>
      <c r="F422" s="26"/>
      <c r="G422" s="17" t="s">
        <v>25</v>
      </c>
      <c r="H422" s="18"/>
      <c r="I422" s="16" t="str">
        <f>IF(テーブル81016171819202122232447[[#This Row],[状況]]="完了","",IF(SUMPRODUCT((テーブル81016171819202122232447[[#This Row],[タスク詳細]]=E:E)*(テーブル81016171819202122232447[[#This Row],[タスク]]=D:D)*(テーブル81016171819202122232447[[#This Row],[案件]]=C:C)*("完了"=G:G))=1,"完了",""))</f>
        <v/>
      </c>
    </row>
    <row r="423" spans="2:9" x14ac:dyDescent="0.2">
      <c r="B423" s="30">
        <f t="shared" si="24"/>
        <v>11</v>
      </c>
      <c r="C423" s="17"/>
      <c r="D423" s="17"/>
      <c r="E423" s="17"/>
      <c r="F423" s="26"/>
      <c r="G423" s="17"/>
      <c r="H423" s="18"/>
      <c r="I423" s="16" t="str">
        <f>IF(テーブル81016171819202122232447[[#This Row],[状況]]="完了","",IF(SUMPRODUCT((テーブル81016171819202122232447[[#This Row],[タスク詳細]]=E:E)*(テーブル81016171819202122232447[[#This Row],[タスク]]=D:D)*(テーブル81016171819202122232447[[#This Row],[案件]]=C:C)*("完了"=G:G))=1,"完了",""))</f>
        <v/>
      </c>
    </row>
    <row r="424" spans="2:9" x14ac:dyDescent="0.2">
      <c r="B424" s="30">
        <f t="shared" si="24"/>
        <v>12</v>
      </c>
      <c r="C424" s="17"/>
      <c r="D424" s="17"/>
      <c r="E424" s="17"/>
      <c r="F424" s="26"/>
      <c r="G424" s="17"/>
      <c r="H424" s="18"/>
      <c r="I424" s="16" t="str">
        <f>IF(テーブル81016171819202122232447[[#This Row],[状況]]="完了","",IF(SUMPRODUCT((テーブル81016171819202122232447[[#This Row],[タスク詳細]]=E:E)*(テーブル81016171819202122232447[[#This Row],[タスク]]=D:D)*(テーブル81016171819202122232447[[#This Row],[案件]]=C:C)*("完了"=G:G))=1,"完了",""))</f>
        <v/>
      </c>
    </row>
    <row r="425" spans="2:9" x14ac:dyDescent="0.2">
      <c r="B425" s="30">
        <f t="shared" si="24"/>
        <v>13</v>
      </c>
      <c r="C425" s="17"/>
      <c r="D425" s="17"/>
      <c r="E425" s="17"/>
      <c r="F425" s="26"/>
      <c r="G425" s="17"/>
      <c r="H425" s="18"/>
      <c r="I425" s="16" t="s">
        <v>343</v>
      </c>
    </row>
    <row r="426" spans="2:9" x14ac:dyDescent="0.2">
      <c r="B426" s="30">
        <f t="shared" si="24"/>
        <v>14</v>
      </c>
      <c r="C426" s="17"/>
      <c r="D426" s="17"/>
      <c r="E426" s="17"/>
      <c r="F426" s="26"/>
      <c r="G426" s="17"/>
      <c r="H426" s="18"/>
      <c r="I426" s="16" t="str">
        <f>IF(テーブル81016171819202122232447[[#This Row],[状況]]="完了","",IF(SUMPRODUCT((テーブル81016171819202122232447[[#This Row],[タスク詳細]]=E:E)*(テーブル81016171819202122232447[[#This Row],[タスク]]=D:D)*(テーブル81016171819202122232447[[#This Row],[案件]]=C:C)*("完了"=G:G))=1,"完了",""))</f>
        <v/>
      </c>
    </row>
    <row r="427" spans="2:9" x14ac:dyDescent="0.2">
      <c r="B427" s="30">
        <f>B426+1</f>
        <v>15</v>
      </c>
      <c r="C427" s="17"/>
      <c r="D427" s="17"/>
      <c r="E427" s="17"/>
      <c r="F427" s="26"/>
      <c r="G427" s="17"/>
      <c r="H427" s="18"/>
      <c r="I427" s="16" t="e">
        <f>IF(テーブル81016171819202122232447[[#This Row],[状況]]="完了","",IF(SUMPRODUCT((テーブル81016171819202122232447[[#This Row],[タスク詳細]]=E:E)*(テーブル81016171819202122232447[[#This Row],[タスク]]=D:D)*(テーブル81016171819202122232447[[#This Row],[案件]]=C:C)*("完了"=G:G))=1,"完了",""))</f>
        <v>#VALUE!</v>
      </c>
    </row>
  </sheetData>
  <phoneticPr fontId="2"/>
  <dataValidations count="1">
    <dataValidation type="list" allowBlank="1" showInputMessage="1" showErrorMessage="1" sqref="G63:G73 G25:G35 G3:G20 G40:G58 G78:G84 G88:G94 G98:G108 G113:G124 G128:G145 G191:G199 H182 G183:G185 G149:G181 G228:G238 G205:G222 G243:G253 G258:G268 G273:G283 G288:G298 G303:G314 G388:G405 G319:G336 G341:G359 G364:G382 G410:G427" xr:uid="{00000000-0002-0000-0400-000000000000}">
      <formula1>"未着手,実施中,完了"</formula1>
    </dataValidation>
  </dataValidations>
  <pageMargins left="0.7" right="0.7" top="0.75" bottom="0.75" header="0.3" footer="0.3"/>
  <pageSetup paperSize="9" orientation="portrait" r:id="rId1"/>
  <tableParts count="2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改善点</vt:lpstr>
      <vt:lpstr>ToDoタスク</vt:lpstr>
      <vt:lpstr>Sheet3</vt:lpstr>
      <vt:lpstr>案件フォルダへのリンク</vt:lpstr>
      <vt:lpstr>ToDoタスク (bk)</vt:lpstr>
    </vt:vector>
  </TitlesOfParts>
  <Company>D&amp;I情報システム</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DII501173</dc:creator>
  <cp:lastModifiedBy>森山展成</cp:lastModifiedBy>
  <cp:lastPrinted>2019-04-11T05:06:16Z</cp:lastPrinted>
  <dcterms:created xsi:type="dcterms:W3CDTF">2011-06-17T13:15:51Z</dcterms:created>
  <dcterms:modified xsi:type="dcterms:W3CDTF">2019-04-11T08:32:08Z</dcterms:modified>
</cp:coreProperties>
</file>