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shi\Downloads\生産計画表ツール\"/>
    </mc:Choice>
  </mc:AlternateContent>
  <xr:revisionPtr revIDLastSave="0" documentId="13_ncr:1_{B49B88A0-3313-4361-ABA6-8C3F4EBA866D}" xr6:coauthVersionLast="36" xr6:coauthVersionMax="36" xr10:uidLastSave="{00000000-0000-0000-0000-000000000000}"/>
  <bookViews>
    <workbookView xWindow="0" yWindow="0" windowWidth="12800" windowHeight="8370" tabRatio="525" activeTab="2" xr2:uid="{00000000-000D-0000-FFFF-FFFF00000000}"/>
  </bookViews>
  <sheets>
    <sheet name="改訂履歴" sheetId="4" r:id="rId1"/>
    <sheet name="ガイド" sheetId="21" r:id="rId2"/>
    <sheet name="日次管理" sheetId="17" r:id="rId3"/>
    <sheet name="予実管理" sheetId="3" r:id="rId4"/>
  </sheets>
  <functionGroups builtInGroupCount="19"/>
  <calcPr calcId="179021" iterate="1" iterateCount="5"/>
  <customWorkbookViews>
    <customWorkbookView name="仲川 武志 - 個人用ビュー" guid="{C10C481D-786C-49EF-AF5B-F601FFA551BD}" mergeInterval="0" personalView="1" maximized="1" xWindow="-8" yWindow="-8" windowWidth="1936" windowHeight="1096" tabRatio="662" activeSheetId="2"/>
    <customWorkbookView name="Lib管理 - 個人用ビュー" guid="{6842B3AB-F41E-4932-9EBC-CFA0784D336D}" mergeInterval="0" personalView="1" maximized="1" xWindow="-8" yWindow="-8" windowWidth="1296" windowHeight="1000" tabRatio="411" activeSheetId="2"/>
    <customWorkbookView name="趙 見遅 - 個人用ビュー" guid="{7ECDAAC4-34F0-43A8-A4B2-130DA4AD5DD0}" mergeInterval="0" personalView="1" maximized="1" xWindow="-8" yWindow="-8" windowWidth="1936" windowHeight="1056" tabRatio="411" activeSheetId="2"/>
    <customWorkbookView name="王 瑟琳 - 個人用ビュー" guid="{7093C8BF-2EC1-49AC-861D-8EFC794CADA5}" mergeInterval="0" personalView="1" maximized="1" xWindow="-8" yWindow="-8" windowWidth="1936" windowHeight="1096" tabRatio="411" activeSheetId="2"/>
    <customWorkbookView name="DII10303 - 個人用ビュー" guid="{F7C2C936-91B5-4B31-82ED-98507AFD645C}" mergeInterval="0" personalView="1" maximized="1" windowWidth="1282" windowHeight="669" tabRatio="411" activeSheetId="2"/>
    <customWorkbookView name="TMP01729（JMAS西村（内線:3793）） - 個人用ビュー" guid="{95B55486-BD75-4985-9753-024EE2BF93BE}" mergeInterval="0" personalView="1" maximized="1" windowWidth="1362" windowHeight="520" tabRatio="411" activeSheetId="2"/>
    <customWorkbookView name="郭 公羽 - 個人用ビュー" guid="{08FCF471-0DC7-4288-AE6D-786A7B5DF5C3}" mergeInterval="0" personalView="1" maximized="1" xWindow="-8" yWindow="-8" windowWidth="1296" windowHeight="1000" tabRatio="662" activeSheetId="2"/>
    <customWorkbookView name="森山 展成 - 個人用ビュー" guid="{F9AEC056-FB60-47D6-8250-C4CC070C3A06}" mergeInterval="0" personalView="1" maximized="1" xWindow="-8" yWindow="-8" windowWidth="1936" windowHeight="1056" tabRatio="662" activeSheetId="3"/>
    <customWorkbookView name="ルイ 紅建 - 個人用ビュー" guid="{00523DC3-E37D-4462-81FB-00E40301F3BF}" mergeInterval="0" personalView="1" maximized="1" xWindow="-8" yWindow="-8" windowWidth="1296" windowHeight="1000" tabRatio="411" activeSheetId="2"/>
    <customWorkbookView name="DII10183 - 個人用ビュー" guid="{36928E36-9B02-4D5F-96F8-FC0BFDD0E95D}" mergeInterval="0" personalView="1" maximized="1" windowWidth="1302" windowHeight="672" tabRatio="411" activeSheetId="2"/>
    <customWorkbookView name="TMP02439 - 個人用ビュー" guid="{3FE2949A-1B55-45D5-8D70-E4751351BA04}" mergeInterval="0" personalView="1" maximized="1" windowWidth="1676" windowHeight="772" tabRatio="411" activeSheetId="2"/>
    <customWorkbookView name="TMP02403 - 個人用ビュー" guid="{5B824599-7422-4BEF-B6C9-B1346FFE3767}" mergeInterval="0" personalView="1" maximized="1" windowWidth="1676" windowHeight="794" tabRatio="411" activeSheetId="2"/>
    <customWorkbookView name="諏訪 洋一 - 個人用ビュー" guid="{57ADC195-94B3-4E80-ADF4-9DE2EA6E24D4}" mergeInterval="0" personalView="1" maximized="1" xWindow="-8" yWindow="-8" windowWidth="1936" windowHeight="1056" tabRatio="411" activeSheetId="2"/>
    <customWorkbookView name="DII10172 - 個人用ビュー" guid="{8AFB005D-99E7-499E-A120-156A0EDF41A0}" mergeInterval="0" personalView="1" maximized="1" windowWidth="1276" windowHeight="538" tabRatio="411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1" i="3" l="1"/>
  <c r="E7" i="3"/>
  <c r="E6" i="3"/>
  <c r="E5" i="3"/>
  <c r="C7" i="3"/>
  <c r="C6" i="3"/>
  <c r="C5" i="3"/>
  <c r="B7" i="3"/>
  <c r="B6" i="3"/>
  <c r="B5" i="3"/>
  <c r="A3" i="3"/>
  <c r="D5" i="3" s="1"/>
  <c r="AS14" i="17"/>
  <c r="AR14" i="17"/>
  <c r="AQ14" i="17"/>
  <c r="AP14" i="17"/>
  <c r="AO14" i="17"/>
  <c r="AN14" i="17"/>
  <c r="AM14" i="17"/>
  <c r="AL14" i="17"/>
  <c r="AK14" i="17"/>
  <c r="AJ14" i="17"/>
  <c r="AI14" i="17"/>
  <c r="AH14" i="17"/>
  <c r="AG14" i="17"/>
  <c r="AF14" i="17"/>
  <c r="AE14" i="17"/>
  <c r="AD14" i="17"/>
  <c r="AC14" i="17"/>
  <c r="AB14" i="17"/>
  <c r="AA14" i="17"/>
  <c r="Z14" i="17"/>
  <c r="Y14" i="17"/>
  <c r="X14" i="17"/>
  <c r="W14" i="17"/>
  <c r="V14" i="17"/>
  <c r="U14" i="17"/>
  <c r="U15" i="17" s="1"/>
  <c r="T14" i="17"/>
  <c r="T15" i="17" s="1"/>
  <c r="S14" i="17"/>
  <c r="S15" i="17" s="1"/>
  <c r="R14" i="17"/>
  <c r="R15" i="17" s="1"/>
  <c r="AW13" i="17"/>
  <c r="AW12" i="17"/>
  <c r="AW11" i="17"/>
  <c r="AW10" i="17"/>
  <c r="AW9" i="17"/>
  <c r="AW8" i="17"/>
  <c r="AW7" i="17"/>
  <c r="AW6" i="17"/>
  <c r="AW5" i="17"/>
  <c r="AW4" i="17"/>
  <c r="AW14" i="17" s="1"/>
  <c r="AV13" i="17"/>
  <c r="AV12" i="17"/>
  <c r="AV11" i="17"/>
  <c r="AV10" i="17"/>
  <c r="AV9" i="17"/>
  <c r="AV8" i="17"/>
  <c r="AV7" i="17"/>
  <c r="AV6" i="17"/>
  <c r="AV5" i="17"/>
  <c r="AV4" i="17"/>
  <c r="AV14" i="17" s="1"/>
  <c r="AU13" i="17"/>
  <c r="AU12" i="17"/>
  <c r="AU11" i="17"/>
  <c r="AU10" i="17"/>
  <c r="AU9" i="17"/>
  <c r="AU8" i="17"/>
  <c r="AU7" i="17"/>
  <c r="AU6" i="17"/>
  <c r="AU5" i="17"/>
  <c r="AU4" i="17"/>
  <c r="AU14" i="17" s="1"/>
  <c r="AT13" i="17"/>
  <c r="AT12" i="17"/>
  <c r="AT11" i="17"/>
  <c r="AT10" i="17"/>
  <c r="AT9" i="17"/>
  <c r="AT8" i="17"/>
  <c r="AT7" i="17"/>
  <c r="AT6" i="17"/>
  <c r="AT5" i="17"/>
  <c r="AT4" i="17"/>
  <c r="AT14" i="17" s="1"/>
  <c r="D7" i="3" l="1"/>
  <c r="D6" i="3"/>
  <c r="V15" i="17"/>
  <c r="Z15" i="17"/>
  <c r="AD15" i="17"/>
  <c r="W15" i="17"/>
  <c r="AA15" i="17"/>
  <c r="AE15" i="17"/>
  <c r="AI15" i="17" s="1"/>
  <c r="AM15" i="17" s="1"/>
  <c r="AQ15" i="17" s="1"/>
  <c r="AH15" i="17"/>
  <c r="AL15" i="17" s="1"/>
  <c r="AP15" i="17" s="1"/>
  <c r="X15" i="17"/>
  <c r="AB15" i="17" s="1"/>
  <c r="AF15" i="17" s="1"/>
  <c r="AJ15" i="17" s="1"/>
  <c r="AN15" i="17" s="1"/>
  <c r="AR15" i="17" s="1"/>
  <c r="Y15" i="17"/>
  <c r="AC15" i="17" s="1"/>
  <c r="AG15" i="17" s="1"/>
  <c r="AK15" i="17" s="1"/>
  <c r="AO15" i="17" s="1"/>
  <c r="AS15" i="17" s="1"/>
  <c r="B13" i="3"/>
  <c r="C13" i="3"/>
  <c r="D13" i="3"/>
  <c r="E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DII10172</author>
  </authors>
  <commentList>
    <comment ref="Q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実施者、精査者双方で、状況が更新される度に入力して下さい。
例）
①実施中：実施者が入力
②精査中：実施者が実施完了時、入力
③再実施中：精査者が指摘した時に、入力
④再精査中；実施者が再実施完了時、入力
⑤完了：精査者が指摘無し 又は指摘内容が修正した事を確認して入力
</t>
        </r>
      </text>
    </comment>
    <comment ref="O2" authorId="0" shapeId="0" xr:uid="{00000000-0006-0000-02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指摘が繰り返し行われる場合は、その都度、日付と状況を更新して下さい。</t>
        </r>
      </text>
    </comment>
    <comment ref="M3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指摘有無に関わらず、初回の精査実績日を入力して下さい。
</t>
        </r>
      </text>
    </comment>
  </commentList>
</comments>
</file>

<file path=xl/sharedStrings.xml><?xml version="1.0" encoding="utf-8"?>
<sst xmlns="http://schemas.openxmlformats.org/spreadsheetml/2006/main" count="231" uniqueCount="137">
  <si>
    <t>精査者</t>
    <rPh sb="0" eb="2">
      <t>セイサ</t>
    </rPh>
    <rPh sb="2" eb="3">
      <t>シャ</t>
    </rPh>
    <phoneticPr fontId="2"/>
  </si>
  <si>
    <t>着手</t>
    <rPh sb="0" eb="2">
      <t>チャクシュ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</si>
  <si>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</si>
  <si>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</si>
  <si>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完了</t>
    <rPh sb="0" eb="2">
      <t>カンリョウ</t>
    </rPh>
    <phoneticPr fontId="2"/>
  </si>
  <si>
    <t>実施者</t>
    <rPh sb="0" eb="2">
      <t>ジッシ</t>
    </rPh>
    <rPh sb="2" eb="3">
      <t>シャ</t>
    </rPh>
    <phoneticPr fontId="2"/>
  </si>
  <si>
    <t>指摘対応</t>
    <rPh sb="0" eb="2">
      <t>シテキ</t>
    </rPh>
    <rPh sb="2" eb="4">
      <t>タイオウ</t>
    </rPh>
    <phoneticPr fontId="2"/>
  </si>
  <si>
    <t>指摘有無</t>
    <rPh sb="0" eb="2">
      <t>シテキ</t>
    </rPh>
    <rPh sb="2" eb="4">
      <t>ウム</t>
    </rPh>
    <phoneticPr fontId="2"/>
  </si>
  <si>
    <t>状況</t>
    <rPh sb="0" eb="2">
      <t>ジョウキョウ</t>
    </rPh>
    <phoneticPr fontId="2"/>
  </si>
  <si>
    <t>(実施者)
指摘修正日</t>
    <rPh sb="1" eb="3">
      <t>ジッシ</t>
    </rPh>
    <rPh sb="3" eb="4">
      <t>シャ</t>
    </rPh>
    <rPh sb="6" eb="8">
      <t>シテキ</t>
    </rPh>
    <rPh sb="8" eb="10">
      <t>シュウセイ</t>
    </rPh>
    <rPh sb="10" eb="11">
      <t>ヒ</t>
    </rPh>
    <phoneticPr fontId="2"/>
  </si>
  <si>
    <t>(精査者)
指摘確認日</t>
    <rPh sb="1" eb="3">
      <t>セイサ</t>
    </rPh>
    <rPh sb="3" eb="4">
      <t>シャ</t>
    </rPh>
    <rPh sb="6" eb="8">
      <t>シテキ</t>
    </rPh>
    <rPh sb="8" eb="10">
      <t>カクニン</t>
    </rPh>
    <rPh sb="10" eb="11">
      <t>ビ</t>
    </rPh>
    <phoneticPr fontId="2"/>
  </si>
  <si>
    <t>ID</t>
    <phoneticPr fontId="39"/>
  </si>
  <si>
    <t>ケース数</t>
    <rPh sb="3" eb="4">
      <t>スウ</t>
    </rPh>
    <phoneticPr fontId="39"/>
  </si>
  <si>
    <t>案件名</t>
  </si>
  <si>
    <t>改訂履歴</t>
    <rPh sb="0" eb="2">
      <t>カイテイ</t>
    </rPh>
    <rPh sb="2" eb="4">
      <t>リレキ</t>
    </rPh>
    <phoneticPr fontId="2"/>
  </si>
  <si>
    <t>システム名</t>
  </si>
  <si>
    <t>サブシステム名</t>
  </si>
  <si>
    <t>文書番号</t>
    <rPh sb="0" eb="2">
      <t>ブンショ</t>
    </rPh>
    <rPh sb="2" eb="4">
      <t>バンゴウ</t>
    </rPh>
    <phoneticPr fontId="2"/>
  </si>
  <si>
    <t>文書名</t>
    <rPh sb="0" eb="2">
      <t>ブンショ</t>
    </rPh>
    <rPh sb="2" eb="3">
      <t>ナ</t>
    </rPh>
    <phoneticPr fontId="2"/>
  </si>
  <si>
    <t>№</t>
    <phoneticPr fontId="2"/>
  </si>
  <si>
    <t>改訂日</t>
    <rPh sb="0" eb="2">
      <t>カイテイ</t>
    </rPh>
    <rPh sb="2" eb="3">
      <t>ビ</t>
    </rPh>
    <phoneticPr fontId="2"/>
  </si>
  <si>
    <t>改訂内容</t>
    <rPh sb="0" eb="2">
      <t>カイテイ</t>
    </rPh>
    <rPh sb="2" eb="4">
      <t>ナイヨウ</t>
    </rPh>
    <phoneticPr fontId="2"/>
  </si>
  <si>
    <t>改訂者</t>
    <rPh sb="0" eb="2">
      <t>カイテイ</t>
    </rPh>
    <rPh sb="2" eb="3">
      <t>シャ</t>
    </rPh>
    <phoneticPr fontId="2"/>
  </si>
  <si>
    <t>備考</t>
    <rPh sb="0" eb="2">
      <t>ビコウ</t>
    </rPh>
    <phoneticPr fontId="2"/>
  </si>
  <si>
    <t>1</t>
    <phoneticPr fontId="2"/>
  </si>
  <si>
    <t>新規作成</t>
    <rPh sb="0" eb="2">
      <t>シンキ</t>
    </rPh>
    <rPh sb="2" eb="4">
      <t>サクセイ</t>
    </rPh>
    <phoneticPr fontId="2"/>
  </si>
  <si>
    <t>森山</t>
    <rPh sb="0" eb="2">
      <t>モリヤマ</t>
    </rPh>
    <phoneticPr fontId="2"/>
  </si>
  <si>
    <t>2</t>
    <phoneticPr fontId="2"/>
  </si>
  <si>
    <t>・ケース数を追記
・ITシナリオを一部マージ</t>
    <rPh sb="4" eb="5">
      <t>スウ</t>
    </rPh>
    <rPh sb="6" eb="8">
      <t>ツイキ</t>
    </rPh>
    <rPh sb="17" eb="19">
      <t>イチブ</t>
    </rPh>
    <phoneticPr fontId="2"/>
  </si>
  <si>
    <t>3</t>
    <phoneticPr fontId="2"/>
  </si>
  <si>
    <t>・ケース数を追記</t>
    <rPh sb="4" eb="5">
      <t>スウ</t>
    </rPh>
    <rPh sb="6" eb="8">
      <t>ツイキ</t>
    </rPh>
    <phoneticPr fontId="2"/>
  </si>
  <si>
    <t>4</t>
    <phoneticPr fontId="2"/>
  </si>
  <si>
    <t>5</t>
    <phoneticPr fontId="2"/>
  </si>
  <si>
    <t>6</t>
    <phoneticPr fontId="2"/>
  </si>
  <si>
    <t>7</t>
    <phoneticPr fontId="2"/>
  </si>
  <si>
    <t>8</t>
    <phoneticPr fontId="2"/>
  </si>
  <si>
    <t>9</t>
    <phoneticPr fontId="2"/>
  </si>
  <si>
    <t>10</t>
    <phoneticPr fontId="2"/>
  </si>
  <si>
    <t>11</t>
    <phoneticPr fontId="2"/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</si>
  <si>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</si>
  <si>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</si>
  <si>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</si>
  <si>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</si>
  <si>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</si>
  <si>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</si>
  <si>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</si>
  <si>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</si>
  <si>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</si>
  <si>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・以下の予定を見直し（バッチイベントと同期を取る）
　・1010～_030-102-94_(新型)連合会移換連絡票-～
　・2010～_030-102-94_(新型)連合会移換連絡票-～</t>
    <rPh sb="1" eb="3">
      <t>イカ</t>
    </rPh>
    <rPh sb="4" eb="6">
      <t>ヨテイ</t>
    </rPh>
    <rPh sb="7" eb="9">
      <t>ミナオ</t>
    </rPh>
    <rPh sb="19" eb="21">
      <t>ドウキ</t>
    </rPh>
    <rPh sb="22" eb="23">
      <t>ト</t>
    </rPh>
    <phoneticPr fontId="2"/>
  </si>
  <si>
    <t>・担当者がJMASからGDへ変更
　・2010～_030-102-94_(新型)連合会移換連絡票-～</t>
    <rPh sb="1" eb="4">
      <t>タントウシャ</t>
    </rPh>
    <rPh sb="14" eb="16">
      <t>ヘンコウ</t>
    </rPh>
    <phoneticPr fontId="2"/>
  </si>
  <si>
    <t>杜</t>
    <rPh sb="0" eb="1">
      <t>ト</t>
    </rPh>
    <phoneticPr fontId="2"/>
  </si>
  <si>
    <t>年金制度管理システム更改</t>
  </si>
  <si>
    <t>年金管理システム</t>
  </si>
  <si>
    <t>加入員記録管理</t>
  </si>
  <si>
    <t>G030-102-92</t>
  </si>
  <si>
    <t>ver8</t>
    <phoneticPr fontId="2"/>
  </si>
  <si>
    <t>仲川</t>
    <rPh sb="0" eb="2">
      <t>ナカガワ</t>
    </rPh>
    <phoneticPr fontId="2"/>
  </si>
  <si>
    <t>・以下の予定を見直し（3/23週がデータ準備とデータ作成支援により実施できなかった分の再計画）
　・6010_業務_移換（移換取消含む）
  ・6020_業務_受換（受換取消含む）</t>
    <rPh sb="15" eb="16">
      <t>シュウ</t>
    </rPh>
    <rPh sb="20" eb="22">
      <t>ジュンビ</t>
    </rPh>
    <rPh sb="26" eb="28">
      <t>サクセイ</t>
    </rPh>
    <rPh sb="28" eb="30">
      <t>シエン</t>
    </rPh>
    <rPh sb="33" eb="35">
      <t>ジッシ</t>
    </rPh>
    <rPh sb="41" eb="42">
      <t>ブン</t>
    </rPh>
    <rPh sb="43" eb="46">
      <t>サイケイカク</t>
    </rPh>
    <phoneticPr fontId="2"/>
  </si>
  <si>
    <t>山内</t>
    <rPh sb="0" eb="1">
      <t>ヤマ</t>
    </rPh>
    <rPh sb="1" eb="2">
      <t>ウチ</t>
    </rPh>
    <phoneticPr fontId="2"/>
  </si>
  <si>
    <t>・1010、1040、1050、1060　の連合会移換連絡票のテストについてテストケース数を36から34に修正</t>
    <rPh sb="29" eb="30">
      <t>ヒョウ</t>
    </rPh>
    <rPh sb="44" eb="45">
      <t>スウ</t>
    </rPh>
    <rPh sb="53" eb="55">
      <t>シュウセイ</t>
    </rPh>
    <phoneticPr fontId="2"/>
  </si>
  <si>
    <t>2018.04.04</t>
    <phoneticPr fontId="2"/>
  </si>
  <si>
    <t>ver9</t>
    <phoneticPr fontId="2"/>
  </si>
  <si>
    <t>無影響テストの予定開始日を変更
2020～2060
2090
2100
2130～2150</t>
    <rPh sb="0" eb="1">
      <t>ム</t>
    </rPh>
    <rPh sb="1" eb="3">
      <t>エイキョウ</t>
    </rPh>
    <rPh sb="7" eb="9">
      <t>ヨテイ</t>
    </rPh>
    <rPh sb="9" eb="12">
      <t>カイシビ</t>
    </rPh>
    <rPh sb="13" eb="15">
      <t>ヘンコウ</t>
    </rPh>
    <phoneticPr fontId="2"/>
  </si>
  <si>
    <t>杜</t>
    <phoneticPr fontId="2"/>
  </si>
  <si>
    <t>2018.04.08</t>
    <phoneticPr fontId="2"/>
  </si>
  <si>
    <t>ver10</t>
    <phoneticPr fontId="2"/>
  </si>
  <si>
    <t>以下テストケースの見直し
・機能確認
　・1080_移換完了通知書　９→１１（テストケースの追加）
・無影響確認
　・2130,2140,2150　５→４
　・2160_ダウンロードファイル作成　１２→０（元々、当機能の無影響確認は、機能確認に含めていた。）</t>
    <rPh sb="0" eb="2">
      <t>イカ</t>
    </rPh>
    <rPh sb="9" eb="11">
      <t>ミナオ</t>
    </rPh>
    <rPh sb="14" eb="16">
      <t>キノウ</t>
    </rPh>
    <rPh sb="16" eb="18">
      <t>カクニン</t>
    </rPh>
    <rPh sb="46" eb="48">
      <t>ツイカ</t>
    </rPh>
    <rPh sb="51" eb="52">
      <t>ム</t>
    </rPh>
    <rPh sb="52" eb="54">
      <t>エイキョウ</t>
    </rPh>
    <rPh sb="54" eb="56">
      <t>カクニン</t>
    </rPh>
    <rPh sb="103" eb="105">
      <t>モトモト</t>
    </rPh>
    <rPh sb="106" eb="107">
      <t>トウ</t>
    </rPh>
    <rPh sb="107" eb="109">
      <t>キノウ</t>
    </rPh>
    <rPh sb="110" eb="111">
      <t>ム</t>
    </rPh>
    <rPh sb="111" eb="113">
      <t>エイキョウ</t>
    </rPh>
    <rPh sb="113" eb="115">
      <t>カクニン</t>
    </rPh>
    <rPh sb="117" eb="119">
      <t>キノウ</t>
    </rPh>
    <rPh sb="119" eb="121">
      <t>カクニン</t>
    </rPh>
    <rPh sb="122" eb="123">
      <t>フク</t>
    </rPh>
    <phoneticPr fontId="2"/>
  </si>
  <si>
    <t>諏訪/森山</t>
    <rPh sb="0" eb="2">
      <t>スワ</t>
    </rPh>
    <rPh sb="3" eb="5">
      <t>モリヤマ</t>
    </rPh>
    <phoneticPr fontId="2"/>
  </si>
  <si>
    <t>2018.04.11</t>
    <phoneticPr fontId="2"/>
  </si>
  <si>
    <t>諏訪</t>
    <rPh sb="0" eb="2">
      <t>スワ</t>
    </rPh>
    <phoneticPr fontId="2"/>
  </si>
  <si>
    <t xml:space="preserve">以下テストケースの見直し
・機能確認
　・1110_1 中途脱退者選択書（確定給付）出力確認　１８→１３（実施不可のテストケース削除）
担当者変更
・機能確認
　・1110_1 中途脱退者選択書（確定給付）出力確認　精査：D&amp;I仲川→D&amp;I諏訪
</t>
    <rPh sb="0" eb="2">
      <t>イカ</t>
    </rPh>
    <rPh sb="9" eb="11">
      <t>ミナオ</t>
    </rPh>
    <rPh sb="14" eb="16">
      <t>キノウ</t>
    </rPh>
    <rPh sb="16" eb="18">
      <t>カクニン</t>
    </rPh>
    <rPh sb="53" eb="55">
      <t>ジッシ</t>
    </rPh>
    <rPh sb="55" eb="57">
      <t>フカ</t>
    </rPh>
    <rPh sb="64" eb="66">
      <t>サクジョ</t>
    </rPh>
    <rPh sb="68" eb="71">
      <t>タントウシャ</t>
    </rPh>
    <rPh sb="71" eb="73">
      <t>ヘンコウ</t>
    </rPh>
    <rPh sb="108" eb="110">
      <t>セイサ</t>
    </rPh>
    <rPh sb="114" eb="116">
      <t>ナカガワ</t>
    </rPh>
    <rPh sb="120" eb="122">
      <t>スワ</t>
    </rPh>
    <phoneticPr fontId="2"/>
  </si>
  <si>
    <t>4/16-4/20の予実管理欄を追加</t>
    <rPh sb="10" eb="12">
      <t>ヨジツ</t>
    </rPh>
    <rPh sb="12" eb="14">
      <t>カンリ</t>
    </rPh>
    <rPh sb="14" eb="15">
      <t>ラン</t>
    </rPh>
    <rPh sb="16" eb="18">
      <t>ツイカ</t>
    </rPh>
    <phoneticPr fontId="2"/>
  </si>
  <si>
    <t>森山</t>
    <rPh sb="0" eb="2">
      <t>モリヤマ</t>
    </rPh>
    <phoneticPr fontId="2"/>
  </si>
  <si>
    <t>ver11</t>
    <phoneticPr fontId="2"/>
  </si>
  <si>
    <t>予定</t>
  </si>
  <si>
    <t>実績</t>
  </si>
  <si>
    <t>１．「初期化」ボタン押下</t>
    <rPh sb="3" eb="6">
      <t>ショキカ</t>
    </rPh>
    <rPh sb="10" eb="12">
      <t>オウカ</t>
    </rPh>
    <phoneticPr fontId="2"/>
  </si>
  <si>
    <t>２．「行数指定フォーム」にて、作成する行数を入力</t>
    <rPh sb="3" eb="5">
      <t>ギョウスウ</t>
    </rPh>
    <rPh sb="5" eb="7">
      <t>シテイ</t>
    </rPh>
    <rPh sb="15" eb="17">
      <t>サクセイ</t>
    </rPh>
    <rPh sb="19" eb="21">
      <t>ギョウスウ</t>
    </rPh>
    <rPh sb="20" eb="21">
      <t>ニュウコウ</t>
    </rPh>
    <rPh sb="22" eb="24">
      <t>ニュウリョク</t>
    </rPh>
    <phoneticPr fontId="2"/>
  </si>
  <si>
    <t>３．以下項目を入力</t>
    <rPh sb="2" eb="4">
      <t>イカ</t>
    </rPh>
    <rPh sb="4" eb="6">
      <t>コウモク</t>
    </rPh>
    <rPh sb="7" eb="9">
      <t>ニュウリョク</t>
    </rPh>
    <phoneticPr fontId="2"/>
  </si>
  <si>
    <t>・(B列)ID</t>
    <rPh sb="3" eb="4">
      <t>レツ</t>
    </rPh>
    <phoneticPr fontId="2"/>
  </si>
  <si>
    <t>・(E列)ケース数</t>
    <rPh sb="3" eb="4">
      <t>レツ</t>
    </rPh>
    <rPh sb="8" eb="9">
      <t>スウ</t>
    </rPh>
    <phoneticPr fontId="2"/>
  </si>
  <si>
    <t>★</t>
    <phoneticPr fontId="2"/>
  </si>
  <si>
    <t>４．「進捗管理」ボタン押下</t>
    <rPh sb="3" eb="5">
      <t>シンチョク</t>
    </rPh>
    <rPh sb="5" eb="7">
      <t>カンリ</t>
    </rPh>
    <rPh sb="11" eb="13">
      <t>オウカ</t>
    </rPh>
    <phoneticPr fontId="2"/>
  </si>
  <si>
    <t>１．「行Copy」ボタン押下</t>
    <rPh sb="3" eb="4">
      <t>ギョウ</t>
    </rPh>
    <rPh sb="12" eb="14">
      <t>オウカ</t>
    </rPh>
    <phoneticPr fontId="2"/>
  </si>
  <si>
    <t>２．「行数指定フォーム」にて、追加する行数を入力</t>
    <rPh sb="3" eb="5">
      <t>ギョウスウ</t>
    </rPh>
    <rPh sb="5" eb="7">
      <t>シテイ</t>
    </rPh>
    <rPh sb="15" eb="17">
      <t>ツイカ</t>
    </rPh>
    <rPh sb="19" eb="21">
      <t>ギョウスウ</t>
    </rPh>
    <rPh sb="20" eb="21">
      <t>ニュウコウ</t>
    </rPh>
    <rPh sb="22" eb="24">
      <t>ニュウリョク</t>
    </rPh>
    <phoneticPr fontId="2"/>
  </si>
  <si>
    <t>⇒　進捗管理したい行について、★の項目は必ず入力してください</t>
    <rPh sb="2" eb="4">
      <t>シンチョク</t>
    </rPh>
    <rPh sb="4" eb="6">
      <t>カンリ</t>
    </rPh>
    <rPh sb="9" eb="10">
      <t>ギョウ</t>
    </rPh>
    <rPh sb="17" eb="19">
      <t>コウモク</t>
    </rPh>
    <rPh sb="20" eb="21">
      <t>カナラ</t>
    </rPh>
    <rPh sb="22" eb="24">
      <t>ニュウリョク</t>
    </rPh>
    <phoneticPr fontId="2"/>
  </si>
  <si>
    <t>　　　（月曜日を週初として１週間単位でタイトルの背景色を塗り分けます）</t>
    <rPh sb="4" eb="7">
      <t>ゲツヨウビ</t>
    </rPh>
    <rPh sb="8" eb="9">
      <t>シュウ</t>
    </rPh>
    <rPh sb="9" eb="10">
      <t>ショ</t>
    </rPh>
    <rPh sb="14" eb="18">
      <t>シュウカンタンイ</t>
    </rPh>
    <rPh sb="24" eb="27">
      <t>ハイケイショク</t>
    </rPh>
    <rPh sb="28" eb="29">
      <t>ヌ</t>
    </rPh>
    <rPh sb="30" eb="31">
      <t>ワ</t>
    </rPh>
    <phoneticPr fontId="2"/>
  </si>
  <si>
    <t>３．追加された行に進捗管理したい内容を入力（上記★の項目を入力）</t>
    <rPh sb="2" eb="4">
      <t>ツイカ</t>
    </rPh>
    <rPh sb="7" eb="8">
      <t>ギョウ</t>
    </rPh>
    <rPh sb="9" eb="11">
      <t>シンチョク</t>
    </rPh>
    <rPh sb="11" eb="13">
      <t>カンリ</t>
    </rPh>
    <rPh sb="16" eb="18">
      <t>ナイヨウ</t>
    </rPh>
    <rPh sb="19" eb="21">
      <t>ニュウリョク</t>
    </rPh>
    <rPh sb="22" eb="24">
      <t>ジョウキ</t>
    </rPh>
    <rPh sb="26" eb="28">
      <t>コウモク</t>
    </rPh>
    <rPh sb="29" eb="31">
      <t>ニュウリョク</t>
    </rPh>
    <phoneticPr fontId="2"/>
  </si>
  <si>
    <t>１．削除したい行の(A列)チェックボックスにチェックを入れる</t>
    <rPh sb="2" eb="4">
      <t>サクジョ</t>
    </rPh>
    <rPh sb="7" eb="8">
      <t>ギョウ</t>
    </rPh>
    <rPh sb="11" eb="12">
      <t>レツ</t>
    </rPh>
    <rPh sb="27" eb="28">
      <t>イ</t>
    </rPh>
    <phoneticPr fontId="2"/>
  </si>
  <si>
    <t>２．「行削除」ボタンを押下</t>
    <rPh sb="3" eb="4">
      <t>ギョウ</t>
    </rPh>
    <rPh sb="4" eb="6">
      <t>サクジョ</t>
    </rPh>
    <rPh sb="11" eb="13">
      <t>オウカ</t>
    </rPh>
    <phoneticPr fontId="2"/>
  </si>
  <si>
    <t>…テストケース数</t>
    <rPh sb="7" eb="8">
      <t>スウ</t>
    </rPh>
    <phoneticPr fontId="2"/>
  </si>
  <si>
    <t>担当</t>
  </si>
  <si>
    <t>合計</t>
  </si>
  <si>
    <t>進捗率</t>
  </si>
  <si>
    <t>完了率</t>
  </si>
  <si>
    <t>実績日による管理_x000D_
(指摘有無に関わらず_x000D_
初回の実績入力日で管理)</t>
  </si>
  <si>
    <t>(累積管理)</t>
  </si>
  <si>
    <t>予実管理</t>
  </si>
  <si>
    <t>(金曜日を週末基準とする)</t>
  </si>
  <si>
    <t>⇒　B列(ID)の値の有無で最終行を判断しています</t>
    <phoneticPr fontId="2"/>
  </si>
  <si>
    <t>⇒　2回目以降「進捗管理」ボタンを押下する時、既に日次明細列が作成されている状態です</t>
    <rPh sb="3" eb="5">
      <t>カイメ</t>
    </rPh>
    <rPh sb="5" eb="7">
      <t>イコウ</t>
    </rPh>
    <rPh sb="17" eb="19">
      <t>オウカ</t>
    </rPh>
    <rPh sb="21" eb="22">
      <t>トキ</t>
    </rPh>
    <rPh sb="23" eb="24">
      <t>スデ</t>
    </rPh>
    <rPh sb="25" eb="27">
      <t>ニチジ</t>
    </rPh>
    <rPh sb="27" eb="29">
      <t>メイサイ</t>
    </rPh>
    <rPh sb="29" eb="30">
      <t>レツ</t>
    </rPh>
    <rPh sb="31" eb="33">
      <t>サクセイ</t>
    </rPh>
    <rPh sb="38" eb="40">
      <t>ジョウタイ</t>
    </rPh>
    <phoneticPr fontId="2"/>
  </si>
  <si>
    <t>　　 日次明細列の値を消して日次明細列を作成したい時は、</t>
    <rPh sb="3" eb="5">
      <t>ニチジ</t>
    </rPh>
    <rPh sb="5" eb="7">
      <t>メイサイ</t>
    </rPh>
    <rPh sb="7" eb="8">
      <t>レツ</t>
    </rPh>
    <rPh sb="9" eb="10">
      <t>アタイ</t>
    </rPh>
    <rPh sb="11" eb="12">
      <t>ケ</t>
    </rPh>
    <rPh sb="14" eb="16">
      <t>ニチジ</t>
    </rPh>
    <rPh sb="16" eb="18">
      <t>メイサイ</t>
    </rPh>
    <rPh sb="18" eb="19">
      <t>レツ</t>
    </rPh>
    <rPh sb="20" eb="22">
      <t>サクセイ</t>
    </rPh>
    <rPh sb="25" eb="26">
      <t>トキ</t>
    </rPh>
    <phoneticPr fontId="2"/>
  </si>
  <si>
    <t>　　「日次明細列の値削除」にチェックを入れた状態で、「進捗管理」ボタン押下してください</t>
    <phoneticPr fontId="2"/>
  </si>
  <si>
    <t>【初回時】</t>
    <rPh sb="1" eb="3">
      <t>ショカイ</t>
    </rPh>
    <rPh sb="3" eb="4">
      <t>ジ</t>
    </rPh>
    <phoneticPr fontId="2"/>
  </si>
  <si>
    <t>【行を追加したいとき】</t>
    <rPh sb="1" eb="2">
      <t>ギョウ</t>
    </rPh>
    <rPh sb="3" eb="5">
      <t>ツイカ</t>
    </rPh>
    <phoneticPr fontId="2"/>
  </si>
  <si>
    <t>【行を削除したいとき】</t>
    <rPh sb="1" eb="2">
      <t>ギョウ</t>
    </rPh>
    <rPh sb="3" eb="5">
      <t>サクジョ</t>
    </rPh>
    <phoneticPr fontId="2"/>
  </si>
  <si>
    <t>&lt;使用方法&gt;</t>
    <rPh sb="1" eb="3">
      <t>シヨウ</t>
    </rPh>
    <rPh sb="3" eb="5">
      <t>ホウホウ</t>
    </rPh>
    <phoneticPr fontId="2"/>
  </si>
  <si>
    <t>⇒　予定日のうち、最小の日付から最大の日付について１日単位で日次明細列を作成します</t>
    <rPh sb="2" eb="5">
      <t>ヨテイビ</t>
    </rPh>
    <rPh sb="9" eb="11">
      <t>サイショウ</t>
    </rPh>
    <rPh sb="12" eb="14">
      <t>ヒヅケ</t>
    </rPh>
    <rPh sb="16" eb="18">
      <t>サイダイ</t>
    </rPh>
    <rPh sb="19" eb="21">
      <t>ヒヅケ</t>
    </rPh>
    <rPh sb="26" eb="27">
      <t>ニチ</t>
    </rPh>
    <rPh sb="27" eb="29">
      <t>タンイ</t>
    </rPh>
    <rPh sb="30" eb="32">
      <t>ニチジ</t>
    </rPh>
    <rPh sb="32" eb="34">
      <t>メイサイ</t>
    </rPh>
    <rPh sb="34" eb="35">
      <t>レツ</t>
    </rPh>
    <rPh sb="36" eb="38">
      <t>サクセイ</t>
    </rPh>
    <phoneticPr fontId="2"/>
  </si>
  <si>
    <t>&lt;当ツールについて&gt;</t>
    <rPh sb="1" eb="2">
      <t>トウ</t>
    </rPh>
    <phoneticPr fontId="2"/>
  </si>
  <si>
    <t>　　　　　　シナリオ名</t>
    <rPh sb="10" eb="11">
      <t>メイ</t>
    </rPh>
    <phoneticPr fontId="2"/>
  </si>
  <si>
    <t>テスト実施</t>
  </si>
  <si>
    <t>テスト実施</t>
    <rPh sb="3" eb="5">
      <t>ジッシ</t>
    </rPh>
    <phoneticPr fontId="2"/>
  </si>
  <si>
    <t>テスト精査</t>
  </si>
  <si>
    <t>テスト精査</t>
    <rPh sb="3" eb="5">
      <t>セイサ</t>
    </rPh>
    <phoneticPr fontId="2"/>
  </si>
  <si>
    <t>・テスト実施ケース数、精査ケース数の進捗管理を行います</t>
    <rPh sb="4" eb="6">
      <t>ジッシ</t>
    </rPh>
    <rPh sb="9" eb="10">
      <t>スウ</t>
    </rPh>
    <rPh sb="11" eb="13">
      <t>セイサ</t>
    </rPh>
    <rPh sb="16" eb="17">
      <t>スウ</t>
    </rPh>
    <rPh sb="18" eb="20">
      <t>シンチョク</t>
    </rPh>
    <rPh sb="20" eb="22">
      <t>カンリ</t>
    </rPh>
    <rPh sb="23" eb="24">
      <t>オコナ</t>
    </rPh>
    <phoneticPr fontId="2"/>
  </si>
  <si>
    <t>・(C列)シナリオ名</t>
    <rPh sb="3" eb="4">
      <t>レツ</t>
    </rPh>
    <rPh sb="9" eb="10">
      <t>メイ</t>
    </rPh>
    <phoneticPr fontId="2"/>
  </si>
  <si>
    <t>・(F列)テスト実施 - 実施者</t>
    <rPh sb="3" eb="4">
      <t>レツ</t>
    </rPh>
    <rPh sb="8" eb="10">
      <t>ジッシ</t>
    </rPh>
    <rPh sb="13" eb="15">
      <t>ジッシ</t>
    </rPh>
    <rPh sb="15" eb="16">
      <t>シャ</t>
    </rPh>
    <phoneticPr fontId="2"/>
  </si>
  <si>
    <t>・(G列)テスト実施 - 着手 - 予定</t>
    <rPh sb="3" eb="4">
      <t>レツ</t>
    </rPh>
    <rPh sb="8" eb="10">
      <t>ジッシ</t>
    </rPh>
    <rPh sb="13" eb="15">
      <t>チャクシュ</t>
    </rPh>
    <rPh sb="18" eb="20">
      <t>ヨテイ</t>
    </rPh>
    <phoneticPr fontId="2"/>
  </si>
  <si>
    <t>…テスト実施の着手予定日</t>
    <rPh sb="4" eb="6">
      <t>ジッシ</t>
    </rPh>
    <rPh sb="7" eb="9">
      <t>チャクシュ</t>
    </rPh>
    <rPh sb="9" eb="12">
      <t>ヨテイビ</t>
    </rPh>
    <phoneticPr fontId="2"/>
  </si>
  <si>
    <t>・(K列)テスト精査 - 実施者</t>
    <rPh sb="3" eb="4">
      <t>レツ</t>
    </rPh>
    <rPh sb="8" eb="10">
      <t>セイサ</t>
    </rPh>
    <rPh sb="13" eb="15">
      <t>ジッシ</t>
    </rPh>
    <rPh sb="15" eb="16">
      <t>シャ</t>
    </rPh>
    <phoneticPr fontId="2"/>
  </si>
  <si>
    <t>・(L列)テスト精査 - 完了 - 予定</t>
    <rPh sb="3" eb="4">
      <t>レツ</t>
    </rPh>
    <rPh sb="8" eb="10">
      <t>セイサ</t>
    </rPh>
    <rPh sb="13" eb="15">
      <t>カンリョウ</t>
    </rPh>
    <rPh sb="18" eb="20">
      <t>ヨテイ</t>
    </rPh>
    <phoneticPr fontId="2"/>
  </si>
  <si>
    <t>…テスト精査の完了予定日</t>
    <rPh sb="4" eb="6">
      <t>セイサ</t>
    </rPh>
    <rPh sb="7" eb="9">
      <t>カンリョウ</t>
    </rPh>
    <rPh sb="9" eb="12">
      <t>ヨテイビ</t>
    </rPh>
    <phoneticPr fontId="2"/>
  </si>
  <si>
    <t>　　　（(C列)シナリオ名に、サブタイトル入力して下さい）</t>
    <rPh sb="21" eb="23">
      <t>ニュウリョク</t>
    </rPh>
    <rPh sb="25" eb="26">
      <t>クダ</t>
    </rPh>
    <phoneticPr fontId="2"/>
  </si>
  <si>
    <t>…テスト実施の完了予定日</t>
    <rPh sb="4" eb="6">
      <t>ジッシ</t>
    </rPh>
    <rPh sb="7" eb="9">
      <t>カンリョウ</t>
    </rPh>
    <rPh sb="9" eb="12">
      <t>ヨテイビ</t>
    </rPh>
    <phoneticPr fontId="2"/>
  </si>
  <si>
    <t>・(I列)テスト実施 - 完了 - 予定</t>
    <rPh sb="3" eb="4">
      <t>レツ</t>
    </rPh>
    <rPh sb="8" eb="10">
      <t>ジッシ</t>
    </rPh>
    <rPh sb="13" eb="15">
      <t>カンリョウ</t>
    </rPh>
    <rPh sb="18" eb="20">
      <t>ヨテイ</t>
    </rPh>
    <phoneticPr fontId="2"/>
  </si>
  <si>
    <t>…管理対象のテストシナリオNo</t>
    <rPh sb="1" eb="3">
      <t>カンリ</t>
    </rPh>
    <rPh sb="3" eb="5">
      <t>タイショウ</t>
    </rPh>
    <phoneticPr fontId="2"/>
  </si>
  <si>
    <t>実施完了</t>
  </si>
  <si>
    <t>精査完了</t>
  </si>
  <si>
    <t>累積</t>
  </si>
  <si>
    <t>・予実管理シートにて、担当者毎にテスト実施数、精査数を週単位で進捗率を表示します</t>
    <rPh sb="1" eb="3">
      <t>ヨジツ</t>
    </rPh>
    <rPh sb="3" eb="5">
      <t>カンリ</t>
    </rPh>
    <rPh sb="11" eb="14">
      <t>タントウシャ</t>
    </rPh>
    <rPh sb="14" eb="15">
      <t>ゴト</t>
    </rPh>
    <rPh sb="19" eb="21">
      <t>ジッシ</t>
    </rPh>
    <rPh sb="21" eb="22">
      <t>スウ</t>
    </rPh>
    <rPh sb="23" eb="25">
      <t>セイサ</t>
    </rPh>
    <rPh sb="25" eb="26">
      <t>スウ</t>
    </rPh>
    <rPh sb="27" eb="28">
      <t>シュウ</t>
    </rPh>
    <rPh sb="28" eb="30">
      <t>タンイ</t>
    </rPh>
    <rPh sb="31" eb="33">
      <t>シンチョク</t>
    </rPh>
    <rPh sb="33" eb="34">
      <t>リツ</t>
    </rPh>
    <rPh sb="35" eb="37">
      <t>ヒョウジ</t>
    </rPh>
    <phoneticPr fontId="2"/>
  </si>
  <si>
    <t>・日次管理シートにて、テスト実施完了予定/完了実績、テスト精査完了予定/完了実績を日次で入力して下さい、最終列にて累積数を表示します</t>
    <rPh sb="1" eb="3">
      <t>ニチジ</t>
    </rPh>
    <rPh sb="3" eb="5">
      <t>カンリ</t>
    </rPh>
    <rPh sb="14" eb="16">
      <t>ジッシ</t>
    </rPh>
    <rPh sb="16" eb="18">
      <t>カンリョウ</t>
    </rPh>
    <rPh sb="18" eb="20">
      <t>ヨテイ</t>
    </rPh>
    <rPh sb="21" eb="23">
      <t>カンリョウ</t>
    </rPh>
    <rPh sb="23" eb="25">
      <t>ジッセキ</t>
    </rPh>
    <rPh sb="29" eb="31">
      <t>セイサ</t>
    </rPh>
    <rPh sb="31" eb="33">
      <t>カンリョウ</t>
    </rPh>
    <rPh sb="33" eb="35">
      <t>ヨテイ</t>
    </rPh>
    <rPh sb="36" eb="38">
      <t>カンリョウ</t>
    </rPh>
    <rPh sb="38" eb="40">
      <t>ジッセキ</t>
    </rPh>
    <rPh sb="41" eb="43">
      <t>ニチジ</t>
    </rPh>
    <rPh sb="44" eb="46">
      <t>ニュウリョク</t>
    </rPh>
    <rPh sb="48" eb="49">
      <t>クダ</t>
    </rPh>
    <rPh sb="52" eb="54">
      <t>サイシュウ</t>
    </rPh>
    <rPh sb="54" eb="55">
      <t>レツ</t>
    </rPh>
    <rPh sb="57" eb="59">
      <t>ルイセキ</t>
    </rPh>
    <rPh sb="59" eb="60">
      <t>スウ</t>
    </rPh>
    <rPh sb="61" eb="63">
      <t>ヒョウジ</t>
    </rPh>
    <phoneticPr fontId="2"/>
  </si>
  <si>
    <t>　　　★(B列)ID項目に入力ない場合は、サブタイトルを意味する明細行となり、背景色を設定します</t>
    <rPh sb="10" eb="12">
      <t>コウモク</t>
    </rPh>
    <rPh sb="13" eb="15">
      <t>ニュウリョク</t>
    </rPh>
    <rPh sb="17" eb="19">
      <t>バアイ</t>
    </rPh>
    <rPh sb="28" eb="30">
      <t>イミ</t>
    </rPh>
    <rPh sb="32" eb="34">
      <t>メイサイ</t>
    </rPh>
    <rPh sb="34" eb="35">
      <t>ギョウ</t>
    </rPh>
    <rPh sb="39" eb="42">
      <t>ハイケイショク</t>
    </rPh>
    <rPh sb="43" eb="45">
      <t>セッテイ</t>
    </rPh>
    <phoneticPr fontId="2"/>
  </si>
  <si>
    <t>　　 「進捗管理」ボタン押下時、存在している日次明細列の値を保管、新規の日次明細列に反映します</t>
    <rPh sb="12" eb="14">
      <t>オウカ</t>
    </rPh>
    <rPh sb="14" eb="15">
      <t>ジ</t>
    </rPh>
    <rPh sb="16" eb="18">
      <t>ソンザイ</t>
    </rPh>
    <rPh sb="22" eb="24">
      <t>ニチジ</t>
    </rPh>
    <rPh sb="24" eb="26">
      <t>メイサイ</t>
    </rPh>
    <rPh sb="26" eb="27">
      <t>レツ</t>
    </rPh>
    <rPh sb="28" eb="29">
      <t>アタイ</t>
    </rPh>
    <rPh sb="30" eb="32">
      <t>ホカン</t>
    </rPh>
    <rPh sb="33" eb="35">
      <t>シンキ</t>
    </rPh>
    <rPh sb="36" eb="38">
      <t>ニチジ</t>
    </rPh>
    <rPh sb="38" eb="40">
      <t>メイサイ</t>
    </rPh>
    <rPh sb="40" eb="41">
      <t>レツ</t>
    </rPh>
    <rPh sb="42" eb="44">
      <t>ハンエイ</t>
    </rPh>
    <phoneticPr fontId="2"/>
  </si>
  <si>
    <t>a</t>
  </si>
  <si>
    <t>a</t>
    <phoneticPr fontId="2"/>
  </si>
  <si>
    <t>b</t>
  </si>
  <si>
    <t>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</si>
</sst>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#,##0;\-#,##0;&quot;-&quot;"/>
    <numFmt numFmtId="178" formatCode="####"/>
    <numFmt numFmtId="179" formatCode="0.00_)"/>
    <numFmt numFmtId="180" formatCode="\$#,##0.00"/>
    <numFmt numFmtId="181" formatCode="_ &quot;｣､&quot;* #,##0_ ;_ &quot;｣､&quot;* \-#,##0_ ;_ &quot;｣､&quot;* &quot;-&quot;_ ;_ @_ "/>
    <numFmt numFmtId="182" formatCode="#,##0_ ;[Red]\-#,##0\ "/>
    <numFmt numFmtId="183" formatCode="#,##0.0&quot;人月&quot;"/>
    <numFmt numFmtId="184" formatCode="0_);\(0\)"/>
    <numFmt numFmtId="185" formatCode="#,##0&quot; &quot;;[Red]&quot;▲&quot;#,##0&quot; &quot;"/>
    <numFmt numFmtId="186" formatCode="0.0"/>
    <numFmt numFmtId="187" formatCode="#,##0.00;\(#,##0.00\)"/>
    <numFmt numFmtId="188" formatCode="0.000000000"/>
    <numFmt numFmtId="189" formatCode="0%;\(0%\)"/>
    <numFmt numFmtId="190" formatCode="0.0%"/>
    <numFmt numFmtId="191" formatCode="#,##0.0_ "/>
    <numFmt numFmtId="192" formatCode="d&quot;¥&quot;&quot;¥&quot;\.mmm&quot;¥&quot;&quot;¥&quot;\.yy"/>
    <numFmt numFmtId="193" formatCode="&quot;No_&quot;@"/>
    <numFmt numFmtId="194" formatCode="&quot;$&quot;#,##0_);\(&quot;$&quot;#,##0\)"/>
    <numFmt numFmtId="195" formatCode="0.0%;[Red]\(0.0%\)"/>
    <numFmt numFmtId="196" formatCode="#,##0.00\ &quot;f&quot;;\-#,##0.00\ &quot;f&quot;"/>
    <numFmt numFmtId="197" formatCode="0%;[Red]\(0%\)"/>
    <numFmt numFmtId="198" formatCode="0.0%;\(0.0%\)"/>
    <numFmt numFmtId="199" formatCode="&quot;   &quot;@"/>
    <numFmt numFmtId="200" formatCode="&quot;$&quot;#,##0;\-&quot;$&quot;#,##0"/>
    <numFmt numFmtId="201" formatCode="_(* #,##0_);_(* \(#,##0\);_(* &quot;-&quot;_)"/>
    <numFmt numFmtId="202" formatCode="_(* #,##0_);_(* \(#,##0\);_(* &quot;-&quot;_);_(@_)"/>
    <numFmt numFmtId="203" formatCode="#,##0.0_);\(#,##0.0\)"/>
    <numFmt numFmtId="204" formatCode="_-* #,##0.0_-;\-* #,##0.0_-;_-* &quot;-&quot;??_-;_-@_-"/>
    <numFmt numFmtId="205" formatCode="_(&quot;$&quot;* #,##0_);_(&quot;$&quot;* \(#,##0\);_(&quot;$&quot;* &quot;-&quot;_);_(@_)"/>
    <numFmt numFmtId="206" formatCode="&quot;$&quot;#,##0.00_);\(&quot;$&quot;#,##0.00\)"/>
    <numFmt numFmtId="207" formatCode="\(@\)"/>
    <numFmt numFmtId="208" formatCode="#,##0.0"/>
    <numFmt numFmtId="209" formatCode="_-* #,##0\ _F_-;\-* #,##0\ _F_-;_-* &quot;-&quot;\ _F_-;_-@_-"/>
    <numFmt numFmtId="210" formatCode="_-* #,##0.00\ _F_-;\-* #,##0.00\ _F_-;_-* &quot;-&quot;??\ _F_-;_-@_-"/>
    <numFmt numFmtId="211" formatCode="&quot;$&quot;#,##0.00_);[Red]\(&quot;$&quot;#,##0.00\)"/>
    <numFmt numFmtId="212" formatCode="_-* #,##0\ &quot;F&quot;_-;\-* #,##0\ &quot;F&quot;_-;_-* &quot;-&quot;\ &quot;F&quot;_-;_-@_-"/>
    <numFmt numFmtId="213" formatCode="_-* #,##0.00\ &quot;F&quot;_-;\-* #,##0.00\ &quot;F&quot;_-;_-* &quot;-&quot;??\ &quot;F&quot;_-;_-@_-"/>
    <numFmt numFmtId="214" formatCode="_(* #,##0.0000_);_(* \(#,##0.0000\);_(* &quot;-&quot;??_);_(@_)"/>
    <numFmt numFmtId="215" formatCode="_(* #,##0.00_);_(* \(#,##0.00\);_(* &quot;-&quot;??_);_(@_)"/>
    <numFmt numFmtId="216" formatCode="0%_);\(0%\)"/>
    <numFmt numFmtId="217" formatCode="_(* #,##0,_);_(* \(#,##0,\);_(* &quot;-&quot;_)"/>
    <numFmt numFmtId="218" formatCode=";;;"/>
    <numFmt numFmtId="219" formatCode="&quot;(&quot;0%&quot;)   &quot;;[Red]\-&quot;(&quot;0%&quot;)   &quot;;&quot;－    &quot;"/>
    <numFmt numFmtId="220" formatCode="&quot;(&quot;0.00%&quot;)   &quot;;[Red]\-&quot;(&quot;0.00%&quot;)   &quot;;&quot;－    &quot;"/>
    <numFmt numFmtId="221" formatCode="0.00%;[Red]\-0.00%;&quot;－&quot;"/>
    <numFmt numFmtId="222" formatCode="&quot;¥&quot;#,##0.00;\-&quot;¥&quot;#,##0.00"/>
    <numFmt numFmtId="223" formatCode="_-* #,##0_-;\-* #,##0_-;_-* &quot;-&quot;_-;_-@_-"/>
    <numFmt numFmtId="224" formatCode="#,##0_ ;[Red]&quot;¥&quot;\!\-#,##0&quot;¥&quot;\!\ "/>
    <numFmt numFmtId="225" formatCode="0_ ;[Red]&quot;¥&quot;\!\-0&quot;¥&quot;\!\ "/>
    <numFmt numFmtId="226" formatCode="#,##0_ "/>
    <numFmt numFmtId="227" formatCode="&quot;¥&quot;#,##0.00;[Red]\-&quot;¥&quot;#,##0.00"/>
    <numFmt numFmtId="228" formatCode="&quot;¥&quot;#,##0;[Red]\-&quot;¥&quot;#,##0"/>
    <numFmt numFmtId="229" formatCode="m/d"/>
    <numFmt numFmtId="230" formatCode="hh:mm\ \T\K"/>
    <numFmt numFmtId="231" formatCode="yyyy\.mm\.dd"/>
    <numFmt numFmtId="232" formatCode="mm&quot;月&quot;dd&quot;日&quot;"/>
  </numFmts>
  <fonts count="16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1"/>
      <name val="明朝"/>
      <family val="1"/>
      <charset val="128"/>
    </font>
    <font>
      <sz val="11"/>
      <name val="標準明朝"/>
      <family val="1"/>
      <charset val="128"/>
    </font>
    <font>
      <sz val="11"/>
      <name val="ＭＳ Ｐ明朝"/>
      <family val="1"/>
      <charset val="128"/>
    </font>
    <font>
      <sz val="12"/>
      <name val="Tms Rmn"/>
      <family val="1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2"/>
      <name val="Times New Roman"/>
      <family val="1"/>
    </font>
    <font>
      <sz val="10"/>
      <name val="Helv"/>
      <family val="2"/>
    </font>
    <font>
      <sz val="11"/>
      <name val="ＭＳ 明朝"/>
      <family val="1"/>
      <charset val="128"/>
    </font>
    <font>
      <sz val="14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u/>
      <sz val="8.25"/>
      <color indexed="3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6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color indexed="8"/>
      <name val="MS Sans Serif"/>
      <family val="2"/>
    </font>
    <font>
      <sz val="11"/>
      <name val="??"/>
      <family val="1"/>
    </font>
    <font>
      <sz val="11"/>
      <name val="MS ??"/>
      <family val="1"/>
    </font>
    <font>
      <sz val="14"/>
      <name val="AngsanaUPC"/>
      <family val="1"/>
    </font>
    <font>
      <u/>
      <sz val="11"/>
      <color indexed="12"/>
      <name val="MS P????"/>
      <family val="3"/>
    </font>
    <font>
      <u/>
      <sz val="11"/>
      <color indexed="12"/>
      <name val="MS P????"/>
      <family val="2"/>
    </font>
    <font>
      <u/>
      <sz val="11"/>
      <color indexed="36"/>
      <name val="MS P????"/>
      <family val="3"/>
    </font>
    <font>
      <u/>
      <sz val="11"/>
      <color indexed="36"/>
      <name val="MS P????"/>
      <family val="2"/>
    </font>
    <font>
      <b/>
      <sz val="14"/>
      <name val="MS P????"/>
      <family val="3"/>
    </font>
    <font>
      <b/>
      <sz val="14"/>
      <name val="MS P????"/>
      <family val="2"/>
    </font>
    <font>
      <sz val="9"/>
      <name val="ＭＳ 明朝"/>
      <family val="1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8.25"/>
      <color indexed="36"/>
      <name val="lr oSVbN"/>
      <family val="3"/>
    </font>
    <font>
      <u/>
      <sz val="11"/>
      <color indexed="36"/>
      <name val="lr oSVbN"/>
      <family val="3"/>
    </font>
    <font>
      <u/>
      <sz val="8.25"/>
      <color indexed="12"/>
      <name val="lr oSVbN"/>
      <family val="3"/>
    </font>
    <font>
      <sz val="11"/>
      <name val="¾©"/>
      <family val="1"/>
    </font>
    <font>
      <sz val="11"/>
      <name val="lr ¾©"/>
      <family val="2"/>
    </font>
    <font>
      <sz val="11"/>
      <color indexed="12"/>
      <name val="ＭＳ Ｐ明朝"/>
      <family val="1"/>
      <charset val="128"/>
    </font>
    <font>
      <sz val="13"/>
      <name val="Tms Rmn"/>
      <family val="1"/>
    </font>
    <font>
      <sz val="12"/>
      <name val="細明朝体"/>
      <family val="3"/>
      <charset val="128"/>
    </font>
    <font>
      <sz val="12"/>
      <name val="明朝"/>
      <family val="1"/>
      <charset val="128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b/>
      <i/>
      <u/>
      <sz val="10"/>
      <name val="Times New Roman"/>
      <family val="1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b/>
      <sz val="10"/>
      <color indexed="10"/>
      <name val="Arial"/>
      <family val="2"/>
    </font>
    <font>
      <sz val="8"/>
      <name val="ＭＳ ゴシック"/>
      <family val="3"/>
      <charset val="128"/>
    </font>
    <font>
      <sz val="8"/>
      <name val="Times New Roman"/>
      <family val="1"/>
    </font>
    <font>
      <sz val="11"/>
      <color indexed="20"/>
      <name val="Calibri"/>
      <family val="2"/>
    </font>
    <font>
      <sz val="10"/>
      <name val="中ゴシックＢＢＢ"/>
      <family val="1"/>
      <charset val="128"/>
    </font>
    <font>
      <sz val="9"/>
      <name val="Helv"/>
      <family val="2"/>
    </font>
    <font>
      <b/>
      <sz val="11"/>
      <color indexed="52"/>
      <name val="Calibri"/>
      <family val="2"/>
    </font>
    <font>
      <sz val="7"/>
      <name val="Times New Roman"/>
      <family val="1"/>
    </font>
    <font>
      <b/>
      <sz val="11"/>
      <color indexed="9"/>
      <name val="Calibri"/>
      <family val="2"/>
    </font>
    <font>
      <b/>
      <sz val="13"/>
      <name val="Tms Rmn"/>
      <family val="1"/>
    </font>
    <font>
      <sz val="12"/>
      <name val="Arial"/>
      <family val="2"/>
    </font>
    <font>
      <sz val="10"/>
      <color indexed="0"/>
      <name val="MS Sans Serif"/>
      <family val="2"/>
    </font>
    <font>
      <sz val="10"/>
      <name val="MS Serif"/>
      <family val="1"/>
    </font>
    <font>
      <sz val="10"/>
      <color indexed="16"/>
      <name val="Arial"/>
      <family val="2"/>
    </font>
    <font>
      <b/>
      <sz val="8"/>
      <color indexed="14"/>
      <name val="Verdana"/>
      <family val="2"/>
    </font>
    <font>
      <sz val="10"/>
      <name val="Times New Roman"/>
      <family val="1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u/>
      <sz val="13.75"/>
      <color indexed="36"/>
      <name val="ＭＳ Ｐゴシック"/>
      <family val="3"/>
      <charset val="128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10"/>
      <name val="明朝"/>
      <family val="1"/>
      <charset val="128"/>
    </font>
    <font>
      <b/>
      <sz val="10"/>
      <name val="Arial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u/>
      <sz val="10"/>
      <color indexed="12"/>
      <name val="Arial"/>
      <family val="2"/>
    </font>
    <font>
      <u/>
      <sz val="10"/>
      <color theme="10"/>
      <name val="Meiryo UI"/>
      <family val="2"/>
      <charset val="128"/>
    </font>
    <font>
      <sz val="8.5"/>
      <name val="ＭＳ ゴシック"/>
      <family val="3"/>
      <charset val="128"/>
    </font>
    <font>
      <sz val="11"/>
      <color indexed="62"/>
      <name val="Calibri"/>
      <family val="2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b/>
      <sz val="11"/>
      <color indexed="63"/>
      <name val="Calibri"/>
      <family val="2"/>
    </font>
    <font>
      <sz val="10"/>
      <name val="Tms Rmn"/>
      <family val="1"/>
    </font>
    <font>
      <sz val="8"/>
      <color indexed="10"/>
      <name val="Helv"/>
      <family val="2"/>
    </font>
    <font>
      <sz val="8"/>
      <name val="Wingdings"/>
      <charset val="2"/>
    </font>
    <font>
      <sz val="8"/>
      <name val="Helv"/>
      <family val="2"/>
    </font>
    <font>
      <sz val="8"/>
      <name val="MS Sans Serif"/>
      <family val="2"/>
    </font>
    <font>
      <sz val="10"/>
      <color indexed="8"/>
      <name val="ＭＳ Ｐゴシック"/>
      <family val="3"/>
      <charset val="128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sz val="11"/>
      <color indexed="10"/>
      <name val="Calibri"/>
      <family val="2"/>
    </font>
    <font>
      <sz val="9.5"/>
      <name val="ＭＳ ゴシック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10"/>
      <color theme="10"/>
      <name val="Meiryo UI"/>
      <family val="3"/>
      <charset val="128"/>
    </font>
    <font>
      <sz val="9"/>
      <name val="HG丸ｺﾞｼｯｸM-PRO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name val="HG丸ｺﾞｼｯｸM-PRO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16"/>
      <name val="ＭＳ 明朝"/>
      <family val="1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i/>
      <sz val="9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name val="OLF明朝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sz val="11"/>
      <color indexed="12"/>
      <name val="ＭＳ 明朝"/>
      <family val="1"/>
      <charset val="128"/>
    </font>
    <font>
      <sz val="14"/>
      <name val="ＭＳ ・団"/>
      <family val="1"/>
      <charset val="128"/>
    </font>
    <font>
      <sz val="12"/>
      <name val="ＭＳ Ｐゴシック"/>
      <family val="1"/>
      <charset val="128"/>
    </font>
    <font>
      <sz val="11"/>
      <color indexed="17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11"/>
      <name val="Meiryo UI"/>
      <family val="3"/>
      <charset val="128"/>
    </font>
    <font>
      <b/>
      <sz val="10"/>
      <name val="ＭＳ Ｐゴシック"/>
      <family val="3"/>
      <charset val="128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0625"/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5917">
    <xf numFmtId="0" fontId="0" fillId="0" borderId="0"/>
    <xf numFmtId="49" fontId="8" fillId="0" borderId="0"/>
    <xf numFmtId="0" fontId="5" fillId="0" borderId="0"/>
    <xf numFmtId="0" fontId="9" fillId="0" borderId="0" applyFont="0"/>
    <xf numFmtId="8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77" fontId="12" fillId="0" borderId="0" applyFill="0" applyBorder="0" applyAlignment="0"/>
    <xf numFmtId="0" fontId="10" fillId="0" borderId="0"/>
    <xf numFmtId="0" fontId="13" fillId="0" borderId="0">
      <alignment horizontal="left"/>
    </xf>
    <xf numFmtId="38" fontId="14" fillId="6" borderId="0" applyNumberFormat="0" applyBorder="0" applyAlignment="0" applyProtection="0"/>
    <xf numFmtId="0" fontId="15" fillId="7" borderId="0"/>
    <xf numFmtId="0" fontId="16" fillId="0" borderId="8" applyNumberFormat="0" applyAlignment="0" applyProtection="0">
      <alignment horizontal="left" vertical="center"/>
    </xf>
    <xf numFmtId="0" fontId="16" fillId="0" borderId="7">
      <alignment horizontal="left" vertical="center"/>
    </xf>
    <xf numFmtId="0" fontId="6" fillId="0" borderId="0" applyBorder="0"/>
    <xf numFmtId="10" fontId="14" fillId="8" borderId="1" applyNumberFormat="0" applyBorder="0" applyAlignment="0" applyProtection="0"/>
    <xf numFmtId="0" fontId="6" fillId="0" borderId="0"/>
    <xf numFmtId="9" fontId="10" fillId="0" borderId="0" applyFont="0" applyFill="0" applyBorder="0" applyAlignment="0" applyProtection="0"/>
    <xf numFmtId="37" fontId="17" fillId="0" borderId="0"/>
    <xf numFmtId="178" fontId="5" fillId="0" borderId="0"/>
    <xf numFmtId="179" fontId="18" fillId="0" borderId="0"/>
    <xf numFmtId="10" fontId="19" fillId="0" borderId="0" applyFont="0" applyFill="0" applyBorder="0" applyAlignment="0" applyProtection="0"/>
    <xf numFmtId="4" fontId="13" fillId="0" borderId="0">
      <alignment horizontal="right"/>
    </xf>
    <xf numFmtId="0" fontId="20" fillId="0" borderId="0" applyNumberFormat="0" applyFont="0" applyFill="0" applyBorder="0" applyAlignment="0" applyProtection="0">
      <alignment horizontal="left"/>
    </xf>
    <xf numFmtId="0" fontId="21" fillId="0" borderId="9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/>
    <xf numFmtId="0" fontId="25" fillId="0" borderId="0">
      <alignment horizontal="center"/>
    </xf>
    <xf numFmtId="180" fontId="26" fillId="0" borderId="0"/>
    <xf numFmtId="0" fontId="19" fillId="0" borderId="0"/>
    <xf numFmtId="0" fontId="26" fillId="0" borderId="0"/>
    <xf numFmtId="1" fontId="26" fillId="0" borderId="0" applyNumberFormat="0"/>
    <xf numFmtId="181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0" fontId="27" fillId="0" borderId="0"/>
    <xf numFmtId="56" fontId="2" fillId="0" borderId="0" applyNumberFormat="0" applyFill="0" applyBorder="0" applyAlignment="0" applyProtection="0">
      <alignment horizontal="center"/>
    </xf>
    <xf numFmtId="38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1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8" fillId="0" borderId="0"/>
    <xf numFmtId="0" fontId="29" fillId="0" borderId="3"/>
    <xf numFmtId="182" fontId="3" fillId="0" borderId="0" applyBorder="0">
      <alignment horizontal="right"/>
    </xf>
    <xf numFmtId="0" fontId="30" fillId="0" borderId="4" applyNumberFormat="0" applyBorder="0">
      <alignment vertical="center"/>
    </xf>
    <xf numFmtId="49" fontId="5" fillId="0" borderId="0">
      <alignment vertical="center"/>
    </xf>
    <xf numFmtId="49" fontId="5" fillId="0" borderId="0" applyFont="0"/>
    <xf numFmtId="0" fontId="31" fillId="0" borderId="0">
      <alignment vertical="center"/>
    </xf>
    <xf numFmtId="183" fontId="8" fillId="0" borderId="0"/>
    <xf numFmtId="184" fontId="3" fillId="0" borderId="0" applyBorder="0">
      <alignment horizontal="left"/>
    </xf>
    <xf numFmtId="185" fontId="5" fillId="0" borderId="0" applyFont="0" applyFill="0" applyBorder="0" applyProtection="0">
      <alignment vertical="center"/>
    </xf>
    <xf numFmtId="14" fontId="3" fillId="0" borderId="10" applyBorder="0">
      <alignment horizontal="left"/>
    </xf>
    <xf numFmtId="0" fontId="5" fillId="0" borderId="0"/>
    <xf numFmtId="0" fontId="5" fillId="0" borderId="0">
      <alignment vertical="center"/>
    </xf>
    <xf numFmtId="0" fontId="5" fillId="0" borderId="0"/>
    <xf numFmtId="0" fontId="32" fillId="0" borderId="0">
      <alignment vertical="center"/>
    </xf>
    <xf numFmtId="0" fontId="5" fillId="0" borderId="0">
      <alignment vertical="center"/>
    </xf>
    <xf numFmtId="0" fontId="28" fillId="0" borderId="0"/>
    <xf numFmtId="0" fontId="33" fillId="0" borderId="0" applyNumberFormat="0" applyFill="0" applyBorder="0" applyAlignment="0" applyProtection="0">
      <alignment vertical="top"/>
      <protection locked="0"/>
    </xf>
    <xf numFmtId="49" fontId="3" fillId="0" borderId="0" applyBorder="0">
      <alignment horizontal="left"/>
    </xf>
    <xf numFmtId="0" fontId="34" fillId="0" borderId="0"/>
    <xf numFmtId="0" fontId="35" fillId="0" borderId="0"/>
    <xf numFmtId="0" fontId="36" fillId="0" borderId="7">
      <alignment horizontal="left" vertical="center"/>
    </xf>
    <xf numFmtId="0" fontId="37" fillId="0" borderId="0" applyFill="0" applyBorder="0" applyAlignment="0"/>
    <xf numFmtId="0" fontId="36" fillId="0" borderId="8" applyNumberFormat="0" applyAlignment="0" applyProtection="0">
      <alignment horizontal="left" vertical="center"/>
    </xf>
    <xf numFmtId="0" fontId="38" fillId="0" borderId="0"/>
    <xf numFmtId="0" fontId="5" fillId="0" borderId="0"/>
    <xf numFmtId="0" fontId="1" fillId="0" borderId="0">
      <alignment vertical="center"/>
    </xf>
    <xf numFmtId="0" fontId="42" fillId="0" borderId="0"/>
    <xf numFmtId="9" fontId="42" fillId="0" borderId="0" applyFont="0" applyFill="0" applyBorder="0" applyAlignment="0" applyProtection="0"/>
    <xf numFmtId="0" fontId="43" fillId="0" borderId="0"/>
    <xf numFmtId="49" fontId="8" fillId="0" borderId="0"/>
    <xf numFmtId="49" fontId="8" fillId="0" borderId="0"/>
    <xf numFmtId="49" fontId="8" fillId="0" borderId="0"/>
    <xf numFmtId="49" fontId="28" fillId="0" borderId="0">
      <alignment horizontal="left" vertical="center"/>
    </xf>
    <xf numFmtId="0" fontId="28" fillId="0" borderId="0"/>
    <xf numFmtId="0" fontId="19" fillId="0" borderId="0" applyFont="0" applyFill="0" applyBorder="0" applyAlignment="0" applyProtection="0"/>
    <xf numFmtId="8" fontId="44" fillId="0" borderId="0" applyFont="0" applyFill="0" applyBorder="0" applyAlignment="0" applyProtection="0"/>
    <xf numFmtId="0" fontId="45" fillId="0" borderId="0" applyNumberFormat="0" applyFont="0" applyFill="0" applyBorder="0">
      <alignment horizontal="left" vertical="top" wrapText="1"/>
    </xf>
    <xf numFmtId="0" fontId="19" fillId="0" borderId="0" applyFont="0" applyFill="0" applyBorder="0" applyAlignment="0" applyProtection="0"/>
    <xf numFmtId="186" fontId="46" fillId="0" borderId="0" applyFont="0" applyFill="0" applyBorder="0" applyAlignment="0" applyProtection="0"/>
    <xf numFmtId="186" fontId="46" fillId="0" borderId="0" applyFont="0" applyFill="0" applyBorder="0" applyAlignment="0" applyProtection="0"/>
    <xf numFmtId="187" fontId="46" fillId="0" borderId="0" applyFont="0" applyFill="0" applyBorder="0" applyAlignment="0" applyProtection="0">
      <alignment vertical="top"/>
    </xf>
    <xf numFmtId="187" fontId="46" fillId="0" borderId="0" applyFont="0" applyFill="0" applyBorder="0" applyAlignment="0" applyProtection="0">
      <alignment vertical="top"/>
    </xf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 applyNumberFormat="0" applyFill="0" applyBorder="0" applyAlignment="0" applyProtection="0">
      <alignment vertical="top"/>
      <protection locked="0"/>
    </xf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188" fontId="46" fillId="0" borderId="0" applyFont="0" applyFill="0" applyBorder="0" applyAlignment="0" applyProtection="0"/>
    <xf numFmtId="188" fontId="46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51" fillId="0" borderId="0" applyFill="0" applyBorder="0" applyProtection="0"/>
    <xf numFmtId="0" fontId="52" fillId="0" borderId="0" applyFill="0" applyBorder="0" applyProtection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2" fillId="0" borderId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19" fillId="0" borderId="0"/>
    <xf numFmtId="0" fontId="26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>
      <alignment horizontal="right" vertical="top"/>
    </xf>
    <xf numFmtId="0" fontId="53" fillId="0" borderId="15">
      <alignment horizontal="right" vertical="top"/>
    </xf>
    <xf numFmtId="0" fontId="54" fillId="0" borderId="0"/>
    <xf numFmtId="0" fontId="55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/>
    <xf numFmtId="0" fontId="60" fillId="0" borderId="0"/>
    <xf numFmtId="0" fontId="61" fillId="0" borderId="19">
      <alignment vertical="center"/>
    </xf>
    <xf numFmtId="0" fontId="61" fillId="0" borderId="19">
      <alignment vertical="center"/>
    </xf>
    <xf numFmtId="0" fontId="61" fillId="0" borderId="19">
      <alignment vertical="center"/>
    </xf>
    <xf numFmtId="189" fontId="6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26" fillId="0" borderId="0"/>
    <xf numFmtId="3" fontId="63" fillId="0" borderId="0" applyNumberFormat="0" applyAlignment="0">
      <alignment vertical="center"/>
    </xf>
    <xf numFmtId="190" fontId="62" fillId="0" borderId="0" applyFont="0" applyFill="0" applyBorder="0" applyAlignment="0" applyProtection="0"/>
    <xf numFmtId="10" fontId="62" fillId="0" borderId="0" applyFont="0" applyFill="0" applyBorder="0" applyAlignment="0" applyProtection="0"/>
    <xf numFmtId="0" fontId="28" fillId="0" borderId="0" applyFont="0">
      <alignment horizontal="left"/>
    </xf>
    <xf numFmtId="0" fontId="53" fillId="0" borderId="0">
      <alignment vertical="top"/>
    </xf>
    <xf numFmtId="0" fontId="29" fillId="0" borderId="0" applyNumberFormat="0" applyFill="0" applyBorder="0" applyAlignment="0" applyProtection="0"/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5" fillId="10" borderId="0" applyNumberFormat="0" applyBorder="0" applyAlignment="0" applyProtection="0"/>
    <xf numFmtId="0" fontId="65" fillId="11" borderId="0" applyNumberFormat="0" applyBorder="0" applyAlignment="0" applyProtection="0"/>
    <xf numFmtId="0" fontId="65" fillId="12" borderId="0" applyNumberFormat="0" applyBorder="0" applyAlignment="0" applyProtection="0"/>
    <xf numFmtId="0" fontId="65" fillId="13" borderId="0" applyNumberFormat="0" applyBorder="0" applyAlignment="0" applyProtection="0"/>
    <xf numFmtId="0" fontId="65" fillId="14" borderId="0" applyNumberFormat="0" applyBorder="0" applyAlignment="0" applyProtection="0"/>
    <xf numFmtId="0" fontId="65" fillId="15" borderId="0" applyNumberFormat="0" applyBorder="0" applyAlignment="0" applyProtection="0"/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193" fontId="67" fillId="0" borderId="0">
      <alignment horizontal="right"/>
    </xf>
    <xf numFmtId="0" fontId="65" fillId="16" borderId="0" applyNumberFormat="0" applyBorder="0" applyAlignment="0" applyProtection="0"/>
    <xf numFmtId="0" fontId="65" fillId="17" borderId="0" applyNumberFormat="0" applyBorder="0" applyAlignment="0" applyProtection="0"/>
    <xf numFmtId="0" fontId="65" fillId="18" borderId="0" applyNumberFormat="0" applyBorder="0" applyAlignment="0" applyProtection="0"/>
    <xf numFmtId="0" fontId="65" fillId="13" borderId="0" applyNumberFormat="0" applyBorder="0" applyAlignment="0" applyProtection="0"/>
    <xf numFmtId="0" fontId="65" fillId="16" borderId="0" applyNumberFormat="0" applyBorder="0" applyAlignment="0" applyProtection="0"/>
    <xf numFmtId="0" fontId="65" fillId="19" borderId="0" applyNumberFormat="0" applyBorder="0" applyAlignment="0" applyProtection="0"/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8" fillId="20" borderId="0" applyNumberFormat="0" applyBorder="0" applyAlignment="0" applyProtection="0"/>
    <xf numFmtId="0" fontId="68" fillId="17" borderId="0" applyNumberFormat="0" applyBorder="0" applyAlignment="0" applyProtection="0"/>
    <xf numFmtId="0" fontId="68" fillId="18" borderId="0" applyNumberFormat="0" applyBorder="0" applyAlignment="0" applyProtection="0"/>
    <xf numFmtId="0" fontId="68" fillId="21" borderId="0" applyNumberFormat="0" applyBorder="0" applyAlignment="0" applyProtection="0"/>
    <xf numFmtId="0" fontId="68" fillId="22" borderId="0" applyNumberFormat="0" applyBorder="0" applyAlignment="0" applyProtection="0"/>
    <xf numFmtId="0" fontId="68" fillId="23" borderId="0" applyNumberFormat="0" applyBorder="0" applyAlignment="0" applyProtection="0"/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8" borderId="0" applyNumberFormat="0" applyBorder="0" applyAlignment="0" applyProtection="0">
      <alignment vertical="center"/>
    </xf>
    <xf numFmtId="0" fontId="69" fillId="18" borderId="0" applyNumberFormat="0" applyBorder="0" applyAlignment="0" applyProtection="0">
      <alignment vertical="center"/>
    </xf>
    <xf numFmtId="0" fontId="69" fillId="18" borderId="0" applyNumberFormat="0" applyBorder="0" applyAlignment="0" applyProtection="0">
      <alignment vertical="center"/>
    </xf>
    <xf numFmtId="0" fontId="69" fillId="18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68" fillId="24" borderId="0" applyNumberFormat="0" applyBorder="0" applyAlignment="0" applyProtection="0"/>
    <xf numFmtId="0" fontId="68" fillId="25" borderId="0" applyNumberFormat="0" applyBorder="0" applyAlignment="0" applyProtection="0"/>
    <xf numFmtId="0" fontId="68" fillId="26" borderId="0" applyNumberFormat="0" applyBorder="0" applyAlignment="0" applyProtection="0"/>
    <xf numFmtId="0" fontId="68" fillId="21" borderId="0" applyNumberFormat="0" applyBorder="0" applyAlignment="0" applyProtection="0"/>
    <xf numFmtId="0" fontId="68" fillId="22" borderId="0" applyNumberFormat="0" applyBorder="0" applyAlignment="0" applyProtection="0"/>
    <xf numFmtId="0" fontId="68" fillId="27" borderId="0" applyNumberFormat="0" applyBorder="0" applyAlignment="0" applyProtection="0"/>
    <xf numFmtId="0" fontId="70" fillId="0" borderId="14" applyFill="0" applyBorder="0" applyAlignment="0">
      <alignment horizontal="center" wrapText="1"/>
    </xf>
    <xf numFmtId="0" fontId="70" fillId="0" borderId="14" applyFill="0" applyBorder="0" applyAlignment="0">
      <alignment horizontal="center" wrapText="1"/>
    </xf>
    <xf numFmtId="0" fontId="6" fillId="0" borderId="0"/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2" fillId="0" borderId="0">
      <alignment horizontal="center" wrapText="1"/>
      <protection locked="0"/>
    </xf>
    <xf numFmtId="0" fontId="73" fillId="11" borderId="0" applyNumberFormat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197" fontId="27" fillId="0" borderId="0" applyFill="0" applyBorder="0" applyAlignment="0"/>
    <xf numFmtId="0" fontId="19" fillId="0" borderId="0" applyFill="0" applyBorder="0" applyAlignment="0"/>
    <xf numFmtId="198" fontId="27" fillId="0" borderId="0" applyFill="0" applyBorder="0" applyAlignment="0"/>
    <xf numFmtId="0" fontId="19" fillId="0" borderId="0" applyFill="0" applyBorder="0" applyAlignment="0"/>
    <xf numFmtId="199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76" fillId="28" borderId="21" applyNumberFormat="0" applyAlignment="0" applyProtection="0"/>
    <xf numFmtId="0" fontId="76" fillId="28" borderId="21" applyNumberFormat="0" applyAlignment="0" applyProtection="0"/>
    <xf numFmtId="0" fontId="76" fillId="28" borderId="21" applyNumberFormat="0" applyAlignment="0" applyProtection="0"/>
    <xf numFmtId="0" fontId="76" fillId="28" borderId="21" applyNumberFormat="0" applyAlignment="0" applyProtection="0"/>
    <xf numFmtId="0" fontId="76" fillId="28" borderId="21" applyNumberFormat="0" applyAlignment="0" applyProtection="0"/>
    <xf numFmtId="49" fontId="77" fillId="0" borderId="0">
      <alignment horizontal="right" vertical="top"/>
    </xf>
    <xf numFmtId="0" fontId="78" fillId="29" borderId="22" applyNumberFormat="0" applyAlignment="0" applyProtection="0"/>
    <xf numFmtId="0" fontId="79" fillId="0" borderId="17" applyNumberFormat="0" applyFill="0" applyProtection="0">
      <alignment horizontal="center"/>
    </xf>
    <xf numFmtId="202" fontId="80" fillId="0" borderId="0" applyFont="0" applyFill="0" applyBorder="0" applyAlignment="0" applyProtection="0"/>
    <xf numFmtId="196" fontId="6" fillId="0" borderId="0" applyFont="0" applyFill="0" applyBorder="0" applyAlignment="0" applyProtection="0"/>
    <xf numFmtId="200" fontId="27" fillId="0" borderId="0" applyFont="0" applyFill="0" applyBorder="0" applyAlignment="0" applyProtection="0"/>
    <xf numFmtId="37" fontId="62" fillId="0" borderId="0" applyFont="0" applyFill="0" applyBorder="0" applyAlignment="0" applyProtection="0"/>
    <xf numFmtId="203" fontId="62" fillId="0" borderId="0" applyFont="0" applyFill="0" applyBorder="0" applyAlignment="0" applyProtection="0"/>
    <xf numFmtId="39" fontId="62" fillId="0" borderId="0" applyFont="0" applyFill="0" applyBorder="0" applyAlignment="0" applyProtection="0"/>
    <xf numFmtId="204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Alignment="0">
      <alignment horizontal="left"/>
    </xf>
    <xf numFmtId="205" fontId="80" fillId="0" borderId="0" applyFont="0" applyFill="0" applyBorder="0" applyAlignment="0" applyProtection="0"/>
    <xf numFmtId="184" fontId="75" fillId="0" borderId="0" applyFont="0" applyFill="0" applyBorder="0" applyAlignment="0" applyProtection="0"/>
    <xf numFmtId="195" fontId="27" fillId="0" borderId="0" applyFont="0" applyFill="0" applyBorder="0" applyAlignment="0" applyProtection="0"/>
    <xf numFmtId="194" fontId="62" fillId="0" borderId="0" applyFont="0" applyFill="0" applyBorder="0" applyAlignment="0" applyProtection="0"/>
    <xf numFmtId="206" fontId="62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14" applyFill="0" applyBorder="0" applyAlignment="0">
      <alignment horizontal="center" wrapText="1"/>
    </xf>
    <xf numFmtId="0" fontId="83" fillId="0" borderId="14" applyFill="0" applyBorder="0" applyAlignment="0">
      <alignment horizontal="center" wrapText="1"/>
    </xf>
    <xf numFmtId="14" fontId="19" fillId="0" borderId="0"/>
    <xf numFmtId="14" fontId="12" fillId="0" borderId="0" applyFill="0" applyBorder="0" applyAlignment="0"/>
    <xf numFmtId="0" fontId="84" fillId="0" borderId="14" applyFill="0" applyBorder="0" applyAlignment="0">
      <alignment horizontal="center"/>
    </xf>
    <xf numFmtId="0" fontId="84" fillId="0" borderId="14" applyFill="0" applyBorder="0" applyAlignment="0">
      <alignment horizontal="center"/>
    </xf>
    <xf numFmtId="17" fontId="27" fillId="0" borderId="0" applyNumberFormat="0" applyFont="0" applyFill="0" applyBorder="0" applyAlignment="0" applyProtection="0">
      <alignment horizontal="right"/>
    </xf>
    <xf numFmtId="0" fontId="85" fillId="0" borderId="0"/>
    <xf numFmtId="0" fontId="77" fillId="0" borderId="0"/>
    <xf numFmtId="0" fontId="85" fillId="0" borderId="0">
      <alignment horizontal="centerContinuous"/>
    </xf>
    <xf numFmtId="0" fontId="77" fillId="0" borderId="0">
      <alignment horizontal="centerContinuous"/>
    </xf>
    <xf numFmtId="0" fontId="85" fillId="1" borderId="0">
      <alignment horizontal="centerContinuous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86" fillId="0" borderId="0" applyNumberFormat="0" applyAlignment="0">
      <alignment horizontal="left"/>
    </xf>
    <xf numFmtId="0" fontId="87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5" fillId="0" borderId="0">
      <alignment vertical="center"/>
    </xf>
    <xf numFmtId="0" fontId="90" fillId="12" borderId="0" applyNumberFormat="0" applyBorder="0" applyAlignment="0" applyProtection="0"/>
    <xf numFmtId="0" fontId="91" fillId="0" borderId="0"/>
    <xf numFmtId="0" fontId="15" fillId="7" borderId="0"/>
    <xf numFmtId="0" fontId="15" fillId="7" borderId="0"/>
    <xf numFmtId="0" fontId="15" fillId="7" borderId="0"/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14" fontId="92" fillId="4" borderId="9">
      <alignment horizontal="center" vertical="center" wrapText="1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93" fillId="0" borderId="23" applyNumberFormat="0" applyFill="0" applyAlignment="0" applyProtection="0"/>
    <xf numFmtId="0" fontId="93" fillId="0" borderId="0" applyNumberFormat="0" applyFill="0" applyBorder="0" applyAlignment="0" applyProtection="0"/>
    <xf numFmtId="0" fontId="94" fillId="0" borderId="9">
      <alignment horizontal="center"/>
    </xf>
    <xf numFmtId="0" fontId="94" fillId="0" borderId="0">
      <alignment horizontal="center"/>
    </xf>
    <xf numFmtId="0" fontId="95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center"/>
    </xf>
    <xf numFmtId="0" fontId="97" fillId="0" borderId="0">
      <alignment vertical="center"/>
    </xf>
    <xf numFmtId="0" fontId="98" fillId="15" borderId="21" applyNumberFormat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0" fontId="98" fillId="15" borderId="21" applyNumberFormat="0" applyAlignment="0" applyProtection="0"/>
    <xf numFmtId="0" fontId="98" fillId="15" borderId="21" applyNumberFormat="0" applyAlignment="0" applyProtection="0"/>
    <xf numFmtId="0" fontId="98" fillId="15" borderId="21" applyNumberFormat="0" applyAlignment="0" applyProtection="0"/>
    <xf numFmtId="0" fontId="98" fillId="15" borderId="21" applyNumberFormat="0" applyAlignment="0" applyProtection="0"/>
    <xf numFmtId="0" fontId="99" fillId="0" borderId="13" applyFill="0" applyBorder="0">
      <alignment horizontal="center"/>
    </xf>
    <xf numFmtId="0" fontId="16" fillId="0" borderId="0" applyFont="0" applyAlignment="0">
      <alignment horizontal="justify" vertical="top" wrapText="1"/>
    </xf>
    <xf numFmtId="0" fontId="100" fillId="0" borderId="14" applyFill="0" applyBorder="0" applyAlignment="0">
      <alignment horizontal="center"/>
    </xf>
    <xf numFmtId="0" fontId="100" fillId="0" borderId="14" applyFill="0" applyBorder="0" applyAlignment="0">
      <alignment horizontal="center"/>
    </xf>
    <xf numFmtId="0" fontId="101" fillId="0" borderId="14" applyFill="0" applyBorder="0" applyAlignment="0">
      <alignment horizontal="center" wrapText="1"/>
    </xf>
    <xf numFmtId="0" fontId="101" fillId="0" borderId="14" applyFill="0" applyBorder="0" applyAlignment="0">
      <alignment horizontal="center" wrapText="1"/>
    </xf>
    <xf numFmtId="0" fontId="102" fillId="0" borderId="14" applyFill="0" applyBorder="0">
      <alignment horizontal="center" wrapText="1"/>
    </xf>
    <xf numFmtId="0" fontId="102" fillId="0" borderId="14" applyFill="0" applyBorder="0">
      <alignment horizontal="center" wrapText="1"/>
    </xf>
    <xf numFmtId="0" fontId="53" fillId="0" borderId="0">
      <alignment vertical="top"/>
    </xf>
    <xf numFmtId="207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left" vertical="center"/>
    </xf>
    <xf numFmtId="49" fontId="28" fillId="0" borderId="0">
      <alignment horizontal="left"/>
    </xf>
    <xf numFmtId="49" fontId="28" fillId="0" borderId="0">
      <alignment horizontal="left" vertical="top"/>
    </xf>
    <xf numFmtId="49" fontId="28" fillId="0" borderId="0">
      <alignment vertical="center"/>
    </xf>
    <xf numFmtId="49" fontId="28" fillId="30" borderId="0">
      <alignment horizontal="centerContinuous" vertical="center"/>
    </xf>
    <xf numFmtId="49" fontId="85" fillId="0" borderId="0">
      <alignment horizontal="left" vertical="center"/>
    </xf>
    <xf numFmtId="49" fontId="77" fillId="0" borderId="0">
      <alignment horizontal="left" vertical="center"/>
    </xf>
    <xf numFmtId="0" fontId="20" fillId="0" borderId="0"/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103" fillId="0" borderId="24" applyNumberFormat="0" applyFill="0" applyAlignment="0" applyProtection="0"/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208" fontId="5" fillId="0" borderId="0" applyFont="0" applyFill="0" applyBorder="0" applyAlignment="0" applyProtection="0"/>
    <xf numFmtId="4" fontId="27" fillId="0" borderId="0" applyFont="0" applyFill="0" applyBorder="0" applyAlignment="0" applyProtection="0"/>
    <xf numFmtId="209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05" fontId="19" fillId="0" borderId="0" applyFont="0" applyFill="0" applyBorder="0" applyAlignment="0" applyProtection="0"/>
    <xf numFmtId="211" fontId="27" fillId="0" borderId="0" applyFont="0" applyFill="0" applyBorder="0" applyAlignment="0" applyProtection="0"/>
    <xf numFmtId="212" fontId="19" fillId="0" borderId="0" applyFont="0" applyFill="0" applyBorder="0" applyAlignment="0" applyProtection="0"/>
    <xf numFmtId="213" fontId="19" fillId="0" borderId="0" applyFont="0" applyFill="0" applyBorder="0" applyAlignment="0" applyProtection="0"/>
    <xf numFmtId="0" fontId="53" fillId="0" borderId="0"/>
    <xf numFmtId="0" fontId="28" fillId="0" borderId="0" applyNumberFormat="0" applyFont="0" applyBorder="0" applyProtection="0">
      <alignment vertical="center"/>
    </xf>
    <xf numFmtId="0" fontId="104" fillId="31" borderId="0" applyNumberFormat="0" applyBorder="0" applyAlignment="0" applyProtection="0"/>
    <xf numFmtId="193" fontId="67" fillId="0" borderId="0">
      <alignment horizontal="right"/>
    </xf>
    <xf numFmtId="179" fontId="18" fillId="0" borderId="0"/>
    <xf numFmtId="178" fontId="5" fillId="0" borderId="0"/>
    <xf numFmtId="214" fontId="8" fillId="0" borderId="0"/>
    <xf numFmtId="0" fontId="19" fillId="0" borderId="0"/>
    <xf numFmtId="0" fontId="20" fillId="0" borderId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5" fillId="32" borderId="25" applyNumberFormat="0" applyFont="0" applyAlignment="0" applyProtection="0"/>
    <xf numFmtId="0" fontId="105" fillId="0" borderId="11" applyNumberFormat="0" applyFont="0" applyFill="0" applyBorder="0">
      <alignment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215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0" fontId="91" fillId="0" borderId="0"/>
    <xf numFmtId="0" fontId="91" fillId="0" borderId="0"/>
    <xf numFmtId="0" fontId="8" fillId="0" borderId="0"/>
    <xf numFmtId="0" fontId="19" fillId="0" borderId="0"/>
    <xf numFmtId="0" fontId="107" fillId="28" borderId="26" applyNumberFormat="0" applyAlignment="0" applyProtection="0"/>
    <xf numFmtId="0" fontId="107" fillId="28" borderId="26" applyNumberFormat="0" applyAlignment="0" applyProtection="0"/>
    <xf numFmtId="0" fontId="107" fillId="28" borderId="26" applyNumberFormat="0" applyAlignment="0" applyProtection="0"/>
    <xf numFmtId="0" fontId="107" fillId="28" borderId="26" applyNumberFormat="0" applyAlignment="0" applyProtection="0"/>
    <xf numFmtId="0" fontId="107" fillId="28" borderId="26" applyNumberFormat="0" applyAlignment="0" applyProtection="0"/>
    <xf numFmtId="14" fontId="72" fillId="0" borderId="0">
      <alignment horizontal="center" wrapText="1"/>
      <protection locked="0"/>
    </xf>
    <xf numFmtId="216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99" fontId="27" fillId="0" borderId="0" applyFont="0" applyFill="0" applyBorder="0" applyAlignment="0" applyProtection="0"/>
    <xf numFmtId="204" fontId="19" fillId="0" borderId="0" applyFont="0" applyFill="0" applyBorder="0" applyAlignment="0" applyProtection="0"/>
    <xf numFmtId="214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77" fillId="0" borderId="0">
      <alignment horizontal="left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4" fontId="27" fillId="0" borderId="0">
      <alignment horizontal="right"/>
    </xf>
    <xf numFmtId="200" fontId="108" fillId="0" borderId="0"/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3" fontId="20" fillId="0" borderId="0" applyFont="0" applyFill="0" applyBorder="0" applyAlignment="0" applyProtection="0"/>
    <xf numFmtId="0" fontId="20" fillId="33" borderId="0" applyNumberFormat="0" applyFont="0" applyBorder="0" applyAlignment="0" applyProtection="0"/>
    <xf numFmtId="49" fontId="85" fillId="0" borderId="0">
      <alignment horizontal="right" vertical="center"/>
    </xf>
    <xf numFmtId="49" fontId="77" fillId="0" borderId="0">
      <alignment horizontal="right" vertical="center"/>
    </xf>
    <xf numFmtId="0" fontId="109" fillId="0" borderId="0"/>
    <xf numFmtId="0" fontId="110" fillId="34" borderId="0" applyNumberFormat="0" applyFont="0" applyBorder="0" applyAlignment="0">
      <alignment horizontal="center"/>
    </xf>
    <xf numFmtId="30" fontId="111" fillId="0" borderId="0" applyNumberFormat="0" applyFill="0" applyBorder="0" applyAlignment="0" applyProtection="0">
      <alignment horizontal="left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2" fillId="0" borderId="0" applyNumberFormat="0" applyFill="0" applyBorder="0" applyAlignment="0">
      <alignment horizontal="center"/>
    </xf>
    <xf numFmtId="0" fontId="113" fillId="35" borderId="0">
      <alignment horizontal="left" vertical="top"/>
    </xf>
    <xf numFmtId="0" fontId="14" fillId="0" borderId="0" applyNumberFormat="0" applyFill="0" applyBorder="0" applyProtection="0">
      <alignment horizontal="left" vertical="top" wrapText="1"/>
    </xf>
    <xf numFmtId="40" fontId="114" fillId="0" borderId="0" applyBorder="0">
      <alignment horizontal="right"/>
    </xf>
    <xf numFmtId="0" fontId="115" fillId="0" borderId="0" applyNumberFormat="0" applyFill="0" applyBorder="0"/>
    <xf numFmtId="49" fontId="12" fillId="0" borderId="0" applyFill="0" applyBorder="0" applyAlignment="0"/>
    <xf numFmtId="0" fontId="19" fillId="0" borderId="0" applyFill="0" applyBorder="0" applyAlignment="0"/>
    <xf numFmtId="217" fontId="27" fillId="0" borderId="0" applyFill="0" applyBorder="0" applyAlignment="0"/>
    <xf numFmtId="0" fontId="19" fillId="0" borderId="0" applyFill="0" applyBorder="0" applyAlignment="0"/>
    <xf numFmtId="218" fontId="27" fillId="0" borderId="0" applyFill="0" applyBorder="0" applyAlignment="0"/>
    <xf numFmtId="0" fontId="70" fillId="0" borderId="0" applyFill="0" applyBorder="0" applyProtection="0">
      <alignment horizontal="left" vertical="top"/>
    </xf>
    <xf numFmtId="0" fontId="53" fillId="0" borderId="0">
      <alignment vertical="top"/>
    </xf>
    <xf numFmtId="0" fontId="81" fillId="0" borderId="0" applyNumberFormat="0" applyFill="0" applyBorder="0" applyAlignment="0" applyProtection="0"/>
    <xf numFmtId="0" fontId="31" fillId="0" borderId="0"/>
    <xf numFmtId="0" fontId="30" fillId="0" borderId="0">
      <protection locked="0"/>
    </xf>
    <xf numFmtId="0" fontId="116" fillId="0" borderId="0" applyNumberFormat="0" applyFill="0" applyBorder="0" applyAlignment="0" applyProtection="0"/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7" borderId="0" applyNumberFormat="0" applyBorder="0" applyAlignment="0" applyProtection="0">
      <alignment vertical="center"/>
    </xf>
    <xf numFmtId="0" fontId="69" fillId="27" borderId="0" applyNumberFormat="0" applyBorder="0" applyAlignment="0" applyProtection="0">
      <alignment vertical="center"/>
    </xf>
    <xf numFmtId="0" fontId="69" fillId="27" borderId="0" applyNumberFormat="0" applyBorder="0" applyAlignment="0" applyProtection="0">
      <alignment vertical="center"/>
    </xf>
    <xf numFmtId="0" fontId="69" fillId="27" borderId="0" applyNumberFormat="0" applyBorder="0" applyAlignment="0" applyProtection="0">
      <alignment vertical="center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0" applyProtection="0"/>
    <xf numFmtId="0" fontId="71" fillId="0" borderId="0" applyFill="0" applyBorder="0" applyProtection="0"/>
    <xf numFmtId="0" fontId="27" fillId="0" borderId="0"/>
    <xf numFmtId="0" fontId="3" fillId="0" borderId="27">
      <alignment vertical="center"/>
    </xf>
    <xf numFmtId="6" fontId="14" fillId="0" borderId="0" applyFont="0" applyFill="0" applyBorder="0" applyAlignment="0" applyProtection="0"/>
    <xf numFmtId="0" fontId="5" fillId="0" borderId="0"/>
    <xf numFmtId="0" fontId="118" fillId="0" borderId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29" borderId="22" applyNumberFormat="0" applyAlignment="0" applyProtection="0">
      <alignment vertical="center"/>
    </xf>
    <xf numFmtId="0" fontId="120" fillId="29" borderId="22" applyNumberFormat="0" applyAlignment="0" applyProtection="0">
      <alignment vertical="center"/>
    </xf>
    <xf numFmtId="0" fontId="120" fillId="29" borderId="22" applyNumberFormat="0" applyAlignment="0" applyProtection="0">
      <alignment vertical="center"/>
    </xf>
    <xf numFmtId="0" fontId="120" fillId="29" borderId="22" applyNumberFormat="0" applyAlignment="0" applyProtection="0">
      <alignment vertical="center"/>
    </xf>
    <xf numFmtId="0" fontId="121" fillId="31" borderId="0" applyNumberFormat="0" applyBorder="0" applyAlignment="0" applyProtection="0">
      <alignment vertical="center"/>
    </xf>
    <xf numFmtId="0" fontId="121" fillId="31" borderId="0" applyNumberFormat="0" applyBorder="0" applyAlignment="0" applyProtection="0">
      <alignment vertical="center"/>
    </xf>
    <xf numFmtId="0" fontId="121" fillId="31" borderId="0" applyNumberFormat="0" applyBorder="0" applyAlignment="0" applyProtection="0">
      <alignment vertical="center"/>
    </xf>
    <xf numFmtId="0" fontId="121" fillId="31" borderId="0" applyNumberFormat="0" applyBorder="0" applyAlignment="0" applyProtection="0">
      <alignment vertical="center"/>
    </xf>
    <xf numFmtId="56" fontId="2" fillId="0" borderId="0" applyNumberFormat="0" applyFill="0" applyBorder="0" applyAlignment="0" applyProtection="0">
      <alignment horizont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219" fontId="42" fillId="0" borderId="0" applyFont="0" applyFill="0" applyBorder="0" applyAlignment="0" applyProtection="0"/>
    <xf numFmtId="220" fontId="42" fillId="0" borderId="0" applyFont="0" applyFill="0" applyBorder="0" applyAlignment="0" applyProtection="0">
      <alignment vertical="top"/>
    </xf>
    <xf numFmtId="221" fontId="42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center"/>
    </xf>
    <xf numFmtId="49" fontId="28" fillId="0" borderId="0">
      <alignment horizontal="left"/>
    </xf>
    <xf numFmtId="49" fontId="28" fillId="0" borderId="15">
      <alignment horizontal="left"/>
    </xf>
    <xf numFmtId="0" fontId="123" fillId="36" borderId="10" applyBorder="0">
      <alignment horizontal="center" vertical="center" wrapText="1"/>
    </xf>
    <xf numFmtId="0" fontId="123" fillId="36" borderId="10" applyBorder="0">
      <alignment horizontal="center" vertical="center" wrapText="1"/>
    </xf>
    <xf numFmtId="0" fontId="123" fillId="36" borderId="10" applyBorder="0">
      <alignment horizontal="center" vertical="center" wrapText="1"/>
    </xf>
    <xf numFmtId="0" fontId="123" fillId="36" borderId="10" applyBorder="0">
      <alignment horizontal="center" vertical="center" wrapText="1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6" fillId="32" borderId="25" applyNumberFormat="0" applyFont="0" applyAlignment="0" applyProtection="0">
      <alignment vertical="center"/>
    </xf>
    <xf numFmtId="0" fontId="6" fillId="32" borderId="25" applyNumberFormat="0" applyFont="0" applyAlignment="0" applyProtection="0">
      <alignment vertical="center"/>
    </xf>
    <xf numFmtId="0" fontId="6" fillId="32" borderId="25" applyNumberFormat="0" applyFont="0" applyAlignment="0" applyProtection="0">
      <alignment vertical="center"/>
    </xf>
    <xf numFmtId="0" fontId="6" fillId="32" borderId="25" applyNumberFormat="0" applyFont="0" applyAlignment="0" applyProtection="0">
      <alignment vertical="center"/>
    </xf>
    <xf numFmtId="0" fontId="6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5" fillId="32" borderId="25" applyNumberFormat="0" applyFont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31" fillId="0" borderId="0" applyNumberFormat="0" applyFont="0" applyBorder="0" applyAlignment="0" applyProtection="0"/>
    <xf numFmtId="0" fontId="28" fillId="0" borderId="0"/>
    <xf numFmtId="0" fontId="8" fillId="0" borderId="0"/>
    <xf numFmtId="0" fontId="8" fillId="0" borderId="0"/>
    <xf numFmtId="0" fontId="125" fillId="11" borderId="0" applyNumberFormat="0" applyBorder="0" applyAlignment="0" applyProtection="0">
      <alignment vertical="center"/>
    </xf>
    <xf numFmtId="0" fontId="125" fillId="11" borderId="0" applyNumberFormat="0" applyBorder="0" applyAlignment="0" applyProtection="0">
      <alignment vertical="center"/>
    </xf>
    <xf numFmtId="0" fontId="125" fillId="11" borderId="0" applyNumberFormat="0" applyBorder="0" applyAlignment="0" applyProtection="0">
      <alignment vertical="center"/>
    </xf>
    <xf numFmtId="0" fontId="125" fillId="11" borderId="0" applyNumberFormat="0" applyBorder="0" applyAlignment="0" applyProtection="0">
      <alignment vertical="center"/>
    </xf>
    <xf numFmtId="0" fontId="41" fillId="0" borderId="0">
      <alignment vertical="center"/>
    </xf>
    <xf numFmtId="0" fontId="31" fillId="0" borderId="0">
      <alignment vertical="top"/>
    </xf>
    <xf numFmtId="0" fontId="5" fillId="0" borderId="28"/>
    <xf numFmtId="0" fontId="5" fillId="0" borderId="28"/>
    <xf numFmtId="0" fontId="31" fillId="0" borderId="0">
      <alignment vertical="top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6" fillId="0" borderId="0"/>
    <xf numFmtId="49" fontId="5" fillId="0" borderId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7" fillId="28" borderId="21" applyNumberFormat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43" fontId="129" fillId="0" borderId="0" applyFont="0" applyFill="0" applyBorder="0" applyAlignment="0" applyProtection="0"/>
    <xf numFmtId="41" fontId="129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41" fillId="0" borderId="0" applyFont="0" applyFill="0" applyBorder="0" applyAlignment="0" applyProtection="0">
      <alignment vertical="center"/>
    </xf>
    <xf numFmtId="38" fontId="32" fillId="0" borderId="0" applyFont="0" applyFill="0" applyBorder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3" fillId="0" borderId="0"/>
    <xf numFmtId="0" fontId="134" fillId="0" borderId="0" applyFill="0" applyBorder="0" applyProtection="0"/>
    <xf numFmtId="0" fontId="133" fillId="0" borderId="0"/>
    <xf numFmtId="0" fontId="135" fillId="0" borderId="0">
      <alignment horizontal="center"/>
    </xf>
    <xf numFmtId="0" fontId="136" fillId="0" borderId="0"/>
    <xf numFmtId="0" fontId="137" fillId="0" borderId="0"/>
    <xf numFmtId="0" fontId="138" fillId="0" borderId="0"/>
    <xf numFmtId="0" fontId="139" fillId="0" borderId="0"/>
    <xf numFmtId="0" fontId="140" fillId="0" borderId="0"/>
    <xf numFmtId="14" fontId="141" fillId="0" borderId="0">
      <alignment horizontal="right" vertical="center" wrapText="1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43" fillId="28" borderId="26" applyNumberFormat="0" applyAlignment="0" applyProtection="0">
      <alignment vertical="center"/>
    </xf>
    <xf numFmtId="0" fontId="126" fillId="0" borderId="0" applyBorder="0">
      <alignment vertical="center"/>
    </xf>
    <xf numFmtId="0" fontId="5" fillId="0" borderId="0">
      <alignment vertical="center"/>
    </xf>
    <xf numFmtId="0" fontId="5" fillId="0" borderId="0">
      <alignment vertical="center"/>
    </xf>
    <xf numFmtId="222" fontId="71" fillId="0" borderId="0">
      <alignment vertical="center"/>
    </xf>
    <xf numFmtId="223" fontId="71" fillId="0" borderId="0" applyFont="0" applyFill="0" applyBorder="0" applyProtection="0">
      <alignment vertical="center"/>
    </xf>
    <xf numFmtId="0" fontId="144" fillId="0" borderId="0" applyFont="0"/>
    <xf numFmtId="0" fontId="5" fillId="0" borderId="0">
      <alignment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183" fontId="8" fillId="0" borderId="0"/>
    <xf numFmtId="183" fontId="8" fillId="0" borderId="0"/>
    <xf numFmtId="224" fontId="3" fillId="0" borderId="0" applyFill="0" applyBorder="0"/>
    <xf numFmtId="225" fontId="3" fillId="0" borderId="0" applyFill="0" applyBorder="0"/>
    <xf numFmtId="185" fontId="5" fillId="0" borderId="0" applyFont="0" applyFill="0" applyBorder="0" applyProtection="0">
      <alignment vertical="center"/>
    </xf>
    <xf numFmtId="185" fontId="5" fillId="0" borderId="0" applyFont="0" applyFill="0" applyBorder="0" applyProtection="0">
      <alignment vertical="center"/>
    </xf>
    <xf numFmtId="49" fontId="3" fillId="35" borderId="32">
      <alignment horizontal="center"/>
    </xf>
    <xf numFmtId="226" fontId="3" fillId="35" borderId="32">
      <alignment horizontal="right"/>
    </xf>
    <xf numFmtId="14" fontId="3" fillId="35" borderId="0" applyBorder="0">
      <alignment horizontal="center"/>
    </xf>
    <xf numFmtId="49" fontId="3" fillId="0" borderId="32"/>
    <xf numFmtId="0" fontId="28" fillId="0" borderId="0" applyNumberFormat="0" applyFont="0" applyFill="0" applyBorder="0">
      <alignment horizontal="left" vertical="top" wrapText="1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0" borderId="0">
      <alignment vertical="center"/>
    </xf>
    <xf numFmtId="227" fontId="5" fillId="0" borderId="0" applyFont="0" applyFill="0" applyBorder="0" applyAlignment="0" applyProtection="0"/>
    <xf numFmtId="228" fontId="5" fillId="0" borderId="0" applyFont="0" applyFill="0" applyBorder="0" applyAlignment="0" applyProtection="0"/>
    <xf numFmtId="0" fontId="105" fillId="0" borderId="9"/>
    <xf numFmtId="0" fontId="34" fillId="0" borderId="0">
      <alignment vertical="center"/>
    </xf>
    <xf numFmtId="0" fontId="30" fillId="0" borderId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53" fillId="0" borderId="0">
      <alignment horizontal="center" vertical="center"/>
    </xf>
    <xf numFmtId="8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0" fontId="105" fillId="0" borderId="9"/>
    <xf numFmtId="229" fontId="126" fillId="0" borderId="0" applyBorder="0">
      <alignment horizontal="center" vertical="center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0"/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0" fontId="147" fillId="15" borderId="21" applyNumberFormat="0" applyAlignment="0" applyProtection="0">
      <alignment vertical="center"/>
    </xf>
    <xf numFmtId="14" fontId="3" fillId="0" borderId="0" applyFill="0" applyBorder="0"/>
    <xf numFmtId="0" fontId="20" fillId="0" borderId="0"/>
    <xf numFmtId="0" fontId="5" fillId="0" borderId="0"/>
    <xf numFmtId="0" fontId="5" fillId="0" borderId="0"/>
    <xf numFmtId="0" fontId="32" fillId="0" borderId="0"/>
    <xf numFmtId="0" fontId="66" fillId="0" borderId="0"/>
    <xf numFmtId="0" fontId="148" fillId="0" borderId="0">
      <alignment vertical="center"/>
    </xf>
    <xf numFmtId="0" fontId="42" fillId="0" borderId="0">
      <alignment horizontal="left" vertical="top"/>
    </xf>
    <xf numFmtId="0" fontId="6" fillId="0" borderId="0"/>
    <xf numFmtId="0" fontId="149" fillId="0" borderId="0">
      <alignment vertical="center"/>
    </xf>
    <xf numFmtId="0" fontId="5" fillId="0" borderId="0"/>
    <xf numFmtId="0" fontId="150" fillId="0" borderId="0">
      <alignment vertical="center"/>
    </xf>
    <xf numFmtId="0" fontId="32" fillId="0" borderId="0">
      <alignment vertical="center"/>
    </xf>
    <xf numFmtId="0" fontId="150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129" fillId="0" borderId="0">
      <alignment vertical="center"/>
    </xf>
    <xf numFmtId="0" fontId="32" fillId="0" borderId="0">
      <alignment vertical="center"/>
    </xf>
    <xf numFmtId="0" fontId="5" fillId="0" borderId="0">
      <alignment vertical="center"/>
    </xf>
    <xf numFmtId="0" fontId="5" fillId="0" borderId="0"/>
    <xf numFmtId="0" fontId="41" fillId="0" borderId="0"/>
    <xf numFmtId="0" fontId="66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1" fillId="0" borderId="0">
      <alignment vertical="center"/>
    </xf>
    <xf numFmtId="0" fontId="32" fillId="0" borderId="0">
      <alignment vertical="center"/>
    </xf>
    <xf numFmtId="0" fontId="32" fillId="0" borderId="0"/>
    <xf numFmtId="0" fontId="5" fillId="0" borderId="0"/>
    <xf numFmtId="0" fontId="5" fillId="0" borderId="0"/>
    <xf numFmtId="0" fontId="5" fillId="0" borderId="0"/>
    <xf numFmtId="0" fontId="66" fillId="0" borderId="0">
      <alignment vertical="center"/>
    </xf>
    <xf numFmtId="0" fontId="148" fillId="0" borderId="0">
      <alignment vertical="center"/>
    </xf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2" fillId="0" borderId="0">
      <alignment vertical="center"/>
    </xf>
    <xf numFmtId="0" fontId="32" fillId="0" borderId="0"/>
    <xf numFmtId="0" fontId="66" fillId="0" borderId="0"/>
    <xf numFmtId="0" fontId="32" fillId="0" borderId="0"/>
    <xf numFmtId="0" fontId="66" fillId="0" borderId="0"/>
    <xf numFmtId="0" fontId="28" fillId="0" borderId="0">
      <alignment vertical="top" wrapText="1"/>
    </xf>
    <xf numFmtId="49" fontId="53" fillId="0" borderId="0">
      <alignment vertical="center" wrapText="1"/>
    </xf>
    <xf numFmtId="0" fontId="151" fillId="0" borderId="0"/>
    <xf numFmtId="230" fontId="28" fillId="0" borderId="0"/>
    <xf numFmtId="0" fontId="28" fillId="0" borderId="0">
      <alignment horizontal="centerContinuous" vertical="center"/>
    </xf>
    <xf numFmtId="0" fontId="8" fillId="0" borderId="0"/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6" fillId="0" borderId="0" applyNumberFormat="0" applyFill="0" applyBorder="0" applyAlignment="0"/>
    <xf numFmtId="0" fontId="31" fillId="0" borderId="18" applyBorder="0">
      <alignment vertical="top"/>
    </xf>
    <xf numFmtId="0" fontId="152" fillId="0" borderId="0" applyNumberFormat="0" applyFill="0" applyBorder="0" applyAlignment="0" applyProtection="0">
      <alignment vertical="top"/>
      <protection locked="0"/>
    </xf>
    <xf numFmtId="0" fontId="31" fillId="6" borderId="0" applyNumberFormat="0" applyAlignment="0"/>
    <xf numFmtId="0" fontId="152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49" fontId="30" fillId="0" borderId="0">
      <alignment horizontal="center" vertical="center"/>
    </xf>
    <xf numFmtId="0" fontId="154" fillId="0" borderId="12">
      <alignment horizontal="left"/>
      <protection locked="0"/>
    </xf>
    <xf numFmtId="0" fontId="31" fillId="0" borderId="0"/>
    <xf numFmtId="0" fontId="155" fillId="0" borderId="0"/>
    <xf numFmtId="0" fontId="156" fillId="0" borderId="0"/>
    <xf numFmtId="0" fontId="34" fillId="0" borderId="0"/>
    <xf numFmtId="0" fontId="34" fillId="0" borderId="0"/>
    <xf numFmtId="0" fontId="35" fillId="0" borderId="0"/>
    <xf numFmtId="1" fontId="35" fillId="0" borderId="0"/>
    <xf numFmtId="0" fontId="28" fillId="0" borderId="0"/>
    <xf numFmtId="0" fontId="6" fillId="0" borderId="0"/>
    <xf numFmtId="0" fontId="157" fillId="12" borderId="0" applyNumberFormat="0" applyBorder="0" applyAlignment="0" applyProtection="0">
      <alignment vertical="center"/>
    </xf>
    <xf numFmtId="0" fontId="157" fillId="12" borderId="0" applyNumberFormat="0" applyBorder="0" applyAlignment="0" applyProtection="0">
      <alignment vertical="center"/>
    </xf>
    <xf numFmtId="0" fontId="157" fillId="12" borderId="0" applyNumberFormat="0" applyBorder="0" applyAlignment="0" applyProtection="0">
      <alignment vertical="center"/>
    </xf>
    <xf numFmtId="0" fontId="157" fillId="12" borderId="0" applyNumberFormat="0" applyBorder="0" applyAlignment="0" applyProtection="0">
      <alignment vertical="center"/>
    </xf>
    <xf numFmtId="0" fontId="28" fillId="0" borderId="0">
      <alignment horizontal="centerContinuous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33">
      <alignment horizontal="left" vertical="center"/>
    </xf>
    <xf numFmtId="0" fontId="37" fillId="0" borderId="0" applyFill="0" applyBorder="0" applyAlignment="0"/>
    <xf numFmtId="0" fontId="36" fillId="0" borderId="34" applyNumberFormat="0" applyAlignment="0" applyProtection="0"/>
    <xf numFmtId="0" fontId="38" fillId="0" borderId="0"/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</cellStyleXfs>
  <cellXfs count="216">
    <xf numFmtId="0" fontId="0" fillId="0" borderId="0" xfId="0"/>
    <xf numFmtId="0" fontId="3" fillId="0" borderId="0" xfId="0" applyFont="1"/>
    <xf numFmtId="0" fontId="0" fillId="9" borderId="0" xfId="0" applyFill="1"/>
    <xf numFmtId="0" fontId="3" fillId="0" borderId="0" xfId="0" applyNumberFormat="1" applyFont="1" applyAlignment="1">
      <alignment vertical="center"/>
    </xf>
    <xf numFmtId="49" fontId="3" fillId="0" borderId="0" xfId="0" applyNumberFormat="1" applyFont="1" applyBorder="1"/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left" vertical="center"/>
    </xf>
    <xf numFmtId="49" fontId="3" fillId="0" borderId="0" xfId="0" applyNumberFormat="1" applyFont="1"/>
    <xf numFmtId="49" fontId="3" fillId="6" borderId="5" xfId="0" applyNumberFormat="1" applyFont="1" applyFill="1" applyBorder="1" applyAlignment="1">
      <alignment horizontal="centerContinuous"/>
    </xf>
    <xf numFmtId="49" fontId="3" fillId="6" borderId="7" xfId="0" applyNumberFormat="1" applyFont="1" applyFill="1" applyBorder="1" applyAlignment="1">
      <alignment horizontal="centerContinuous"/>
    </xf>
    <xf numFmtId="49" fontId="3" fillId="6" borderId="6" xfId="0" applyNumberFormat="1" applyFont="1" applyFill="1" applyBorder="1" applyAlignment="1">
      <alignment horizontal="centerContinuous"/>
    </xf>
    <xf numFmtId="49" fontId="3" fillId="9" borderId="0" xfId="0" applyNumberFormat="1" applyFont="1" applyFill="1"/>
    <xf numFmtId="0" fontId="0" fillId="0" borderId="0" xfId="0" applyFill="1"/>
    <xf numFmtId="49" fontId="3" fillId="0" borderId="0" xfId="0" applyNumberFormat="1" applyFont="1" applyFill="1"/>
    <xf numFmtId="0" fontId="16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61" fillId="0" borderId="0" xfId="0" applyFont="1" applyAlignment="1">
      <alignment horizontal="left" vertical="center"/>
    </xf>
    <xf numFmtId="14" fontId="120" fillId="37" borderId="42" xfId="0" applyNumberFormat="1" applyFont="1" applyFill="1" applyBorder="1" applyAlignment="1">
      <alignment horizontal="center" vertical="center"/>
    </xf>
    <xf numFmtId="14" fontId="0" fillId="37" borderId="43" xfId="0" applyNumberFormat="1" applyFill="1" applyBorder="1" applyAlignment="1">
      <alignment horizontal="center" vertical="center"/>
    </xf>
    <xf numFmtId="0" fontId="163" fillId="0" borderId="0" xfId="0" applyFont="1"/>
    <xf numFmtId="0" fontId="163" fillId="41" borderId="49" xfId="0" applyFont="1" applyFill="1" applyBorder="1"/>
    <xf numFmtId="0" fontId="163" fillId="41" borderId="35" xfId="0" applyFont="1" applyFill="1" applyBorder="1"/>
    <xf numFmtId="0" fontId="163" fillId="41" borderId="46" xfId="0" applyFont="1" applyFill="1" applyBorder="1"/>
    <xf numFmtId="0" fontId="163" fillId="41" borderId="15" xfId="0" applyFont="1" applyFill="1" applyBorder="1"/>
    <xf numFmtId="0" fontId="163" fillId="41" borderId="0" xfId="0" applyFont="1" applyFill="1" applyBorder="1"/>
    <xf numFmtId="0" fontId="163" fillId="41" borderId="36" xfId="0" applyFont="1" applyFill="1" applyBorder="1"/>
    <xf numFmtId="0" fontId="163" fillId="41" borderId="0" xfId="0" applyFont="1" applyFill="1" applyBorder="1" applyAlignment="1">
      <alignment horizontal="right"/>
    </xf>
    <xf numFmtId="0" fontId="163" fillId="41" borderId="0" xfId="0" applyFont="1" applyFill="1" applyBorder="1" applyAlignment="1">
      <alignment horizontal="left"/>
    </xf>
    <xf numFmtId="0" fontId="163" fillId="41" borderId="12" xfId="0" applyFont="1" applyFill="1" applyBorder="1"/>
    <xf numFmtId="0" fontId="163" fillId="41" borderId="17" xfId="0" applyFont="1" applyFill="1" applyBorder="1"/>
    <xf numFmtId="0" fontId="163" fillId="41" borderId="47" xfId="0" applyFont="1" applyFill="1" applyBorder="1"/>
    <xf numFmtId="0" fontId="163" fillId="41" borderId="50" xfId="0" applyFont="1" applyFill="1" applyBorder="1"/>
    <xf numFmtId="0" fontId="163" fillId="41" borderId="51" xfId="0" applyFont="1" applyFill="1" applyBorder="1"/>
    <xf numFmtId="0" fontId="163" fillId="41" borderId="52" xfId="0" applyFont="1" applyFill="1" applyBorder="1"/>
    <xf numFmtId="0" fontId="163" fillId="41" borderId="53" xfId="0" applyFont="1" applyFill="1" applyBorder="1"/>
    <xf numFmtId="0" fontId="163" fillId="41" borderId="54" xfId="0" applyFont="1" applyFill="1" applyBorder="1"/>
    <xf numFmtId="0" fontId="163" fillId="41" borderId="55" xfId="0" applyFont="1" applyFill="1" applyBorder="1"/>
    <xf numFmtId="0" fontId="163" fillId="41" borderId="56" xfId="0" applyFont="1" applyFill="1" applyBorder="1"/>
    <xf numFmtId="0" fontId="163" fillId="41" borderId="57" xfId="0" applyFont="1" applyFill="1" applyBorder="1"/>
    <xf numFmtId="0" fontId="163" fillId="41" borderId="58" xfId="0" applyFont="1" applyFill="1" applyBorder="1"/>
    <xf numFmtId="0" fontId="163" fillId="42" borderId="4" xfId="0" applyFont="1" applyFill="1" applyBorder="1"/>
    <xf numFmtId="0" fontId="163" fillId="42" borderId="16" xfId="0" applyFont="1" applyFill="1" applyBorder="1"/>
    <xf numFmtId="0" fontId="163" fillId="42" borderId="10" xfId="0" applyFont="1" applyFill="1" applyBorder="1"/>
    <xf numFmtId="0" fontId="163" fillId="42" borderId="15" xfId="0" applyFont="1" applyFill="1" applyBorder="1"/>
    <xf numFmtId="0" fontId="163" fillId="42" borderId="0" xfId="0" applyFont="1" applyFill="1" applyBorder="1"/>
    <xf numFmtId="0" fontId="163" fillId="42" borderId="36" xfId="0" applyFont="1" applyFill="1" applyBorder="1"/>
    <xf numFmtId="0" fontId="163" fillId="42" borderId="12" xfId="0" applyFont="1" applyFill="1" applyBorder="1"/>
    <xf numFmtId="0" fontId="163" fillId="42" borderId="17" xfId="0" applyFont="1" applyFill="1" applyBorder="1"/>
    <xf numFmtId="0" fontId="163" fillId="42" borderId="47" xfId="0" applyFont="1" applyFill="1" applyBorder="1"/>
    <xf numFmtId="0" fontId="163" fillId="40" borderId="4" xfId="0" applyFont="1" applyFill="1" applyBorder="1"/>
    <xf numFmtId="0" fontId="163" fillId="40" borderId="16" xfId="0" applyFont="1" applyFill="1" applyBorder="1"/>
    <xf numFmtId="0" fontId="163" fillId="40" borderId="10" xfId="0" applyFont="1" applyFill="1" applyBorder="1"/>
    <xf numFmtId="0" fontId="163" fillId="40" borderId="15" xfId="0" applyFont="1" applyFill="1" applyBorder="1"/>
    <xf numFmtId="0" fontId="163" fillId="40" borderId="0" xfId="0" applyFont="1" applyFill="1" applyBorder="1"/>
    <xf numFmtId="0" fontId="163" fillId="40" borderId="36" xfId="0" applyFont="1" applyFill="1" applyBorder="1"/>
    <xf numFmtId="0" fontId="163" fillId="40" borderId="12" xfId="0" applyFont="1" applyFill="1" applyBorder="1"/>
    <xf numFmtId="0" fontId="163" fillId="40" borderId="17" xfId="0" applyFont="1" applyFill="1" applyBorder="1"/>
    <xf numFmtId="0" fontId="163" fillId="40" borderId="47" xfId="0" applyFont="1" applyFill="1" applyBorder="1"/>
    <xf numFmtId="0" fontId="163" fillId="42" borderId="35" xfId="0" applyFont="1" applyFill="1" applyBorder="1"/>
    <xf numFmtId="0" fontId="163" fillId="40" borderId="35" xfId="0" applyFont="1" applyFill="1" applyBorder="1"/>
    <xf numFmtId="176" fontId="41" fillId="2" borderId="59" xfId="0" applyNumberFormat="1" applyFont="1" applyFill="1" applyBorder="1" applyAlignment="1">
      <alignment horizontal="center" vertical="center"/>
    </xf>
    <xf numFmtId="176" fontId="41" fillId="2" borderId="48" xfId="0" applyNumberFormat="1" applyFont="1" applyFill="1" applyBorder="1" applyAlignment="1">
      <alignment horizontal="center" vertical="center"/>
    </xf>
    <xf numFmtId="0" fontId="41" fillId="2" borderId="37" xfId="65" applyFont="1" applyFill="1" applyBorder="1" applyAlignment="1">
      <alignment horizontal="center" vertical="center" wrapText="1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232" fontId="158" fillId="2" borderId="4" xfId="65" applyNumberFormat="1" applyFont="1" applyFill="1" applyBorder="1" applyAlignment="1">
      <alignment horizontal="center" vertical="center" wrapText="1"/>
    </xf>
    <xf numFmtId="0" fontId="158" fillId="2" borderId="5" xfId="65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35" borderId="37" xfId="0" applyFont="1" applyFill="1" applyBorder="1" applyAlignment="1">
      <alignment horizontal="center" vertical="center"/>
    </xf>
    <xf numFmtId="0" fontId="40" fillId="35" borderId="37" xfId="0" applyFont="1" applyFill="1" applyBorder="1" applyAlignment="1">
      <alignment horizontal="center" vertical="center"/>
    </xf>
    <xf numFmtId="232" fontId="3" fillId="35" borderId="37" xfId="0" applyNumberFormat="1" applyFont="1" applyFill="1" applyBorder="1" applyAlignment="1">
      <alignment horizontal="center" vertical="center"/>
    </xf>
    <xf numFmtId="0" fontId="3" fillId="8" borderId="37" xfId="0" applyFont="1" applyFill="1" applyBorder="1" applyAlignment="1">
      <alignment horizontal="center" vertical="center"/>
    </xf>
    <xf numFmtId="0" fontId="3" fillId="8" borderId="37" xfId="0" applyFont="1" applyFill="1" applyBorder="1" applyAlignment="1">
      <alignment horizontal="left" vertical="center"/>
    </xf>
    <xf numFmtId="232" fontId="3" fillId="8" borderId="37" xfId="0" applyNumberFormat="1" applyFont="1" applyFill="1" applyBorder="1" applyAlignment="1">
      <alignment horizontal="center" vertical="center"/>
    </xf>
    <xf numFmtId="176" fontId="3" fillId="8" borderId="37" xfId="0" applyNumberFormat="1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37" borderId="37" xfId="0" applyFont="1" applyFill="1" applyBorder="1" applyAlignment="1">
      <alignment horizontal="center" vertical="center"/>
    </xf>
    <xf numFmtId="0" fontId="3" fillId="37" borderId="48" xfId="0" applyFont="1" applyFill="1" applyBorder="1" applyAlignment="1">
      <alignment horizontal="center" vertical="center"/>
    </xf>
    <xf numFmtId="0" fontId="3" fillId="38" borderId="37" xfId="0" applyFont="1" applyFill="1" applyBorder="1" applyAlignment="1">
      <alignment horizontal="center" vertical="center"/>
    </xf>
    <xf numFmtId="0" fontId="3" fillId="38" borderId="48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232" fontId="3" fillId="43" borderId="15" xfId="0" applyNumberFormat="1" applyFont="1" applyFill="1" applyBorder="1" applyAlignment="1">
      <alignment horizontal="center" vertical="center"/>
    </xf>
    <xf numFmtId="232" fontId="3" fillId="43" borderId="0" xfId="0" applyNumberFormat="1" applyFont="1" applyFill="1" applyBorder="1" applyAlignment="1">
      <alignment horizontal="center" vertical="center"/>
    </xf>
    <xf numFmtId="0" fontId="3" fillId="43" borderId="37" xfId="0" applyFont="1" applyFill="1" applyBorder="1" applyAlignment="1">
      <alignment horizontal="center" vertical="center"/>
    </xf>
    <xf numFmtId="0" fontId="164" fillId="38" borderId="37" xfId="0" applyFont="1" applyFill="1" applyBorder="1" applyAlignment="1">
      <alignment horizontal="center" vertical="center"/>
    </xf>
    <xf numFmtId="0" fontId="164" fillId="38" borderId="48" xfId="0" applyFont="1" applyFill="1" applyBorder="1" applyAlignment="1">
      <alignment horizontal="center" vertical="center"/>
    </xf>
    <xf numFmtId="0" fontId="164" fillId="3" borderId="37" xfId="0" applyFont="1" applyFill="1" applyBorder="1" applyAlignment="1">
      <alignment horizontal="center" vertical="center"/>
    </xf>
    <xf numFmtId="0" fontId="164" fillId="3" borderId="48" xfId="0" applyFont="1" applyFill="1" applyBorder="1" applyAlignment="1">
      <alignment horizontal="center" vertical="center"/>
    </xf>
    <xf numFmtId="0" fontId="3" fillId="44" borderId="0" xfId="0" applyFont="1" applyFill="1" applyBorder="1" applyAlignment="1">
      <alignment horizontal="center" vertical="center"/>
    </xf>
    <xf numFmtId="0" fontId="3" fillId="44" borderId="37" xfId="0" applyFont="1" applyFill="1" applyBorder="1" applyAlignment="1">
      <alignment horizontal="center" vertical="center"/>
    </xf>
    <xf numFmtId="0" fontId="164" fillId="45" borderId="60" xfId="0" applyFont="1" applyFill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47" borderId="37" xfId="0" applyFont="1" applyFill="1" applyBorder="1" applyAlignment="1">
      <alignment horizontal="center" vertical="center"/>
    </xf>
    <xf numFmtId="232" fontId="3" fillId="47" borderId="37" xfId="0" applyNumberFormat="1" applyFont="1" applyFill="1" applyBorder="1" applyAlignment="1">
      <alignment horizontal="center" vertical="center"/>
    </xf>
    <xf numFmtId="176" fontId="3" fillId="8" borderId="44" xfId="0" applyNumberFormat="1" applyFont="1" applyFill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74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232" fontId="3" fillId="43" borderId="64" xfId="0" applyNumberFormat="1" applyFont="1" applyFill="1" applyBorder="1" applyAlignment="1">
      <alignment horizontal="center" vertical="center"/>
    </xf>
    <xf numFmtId="232" fontId="3" fillId="43" borderId="66" xfId="0" applyNumberFormat="1" applyFont="1" applyFill="1" applyBorder="1" applyAlignment="1">
      <alignment horizontal="center" vertical="center"/>
    </xf>
    <xf numFmtId="0" fontId="3" fillId="43" borderId="65" xfId="0" applyFont="1" applyFill="1" applyBorder="1" applyAlignment="1">
      <alignment horizontal="center" vertical="center"/>
    </xf>
    <xf numFmtId="0" fontId="3" fillId="43" borderId="67" xfId="0" applyFont="1" applyFill="1" applyBorder="1" applyAlignment="1">
      <alignment horizontal="center" vertical="center"/>
    </xf>
    <xf numFmtId="0" fontId="3" fillId="37" borderId="67" xfId="0" applyFont="1" applyFill="1" applyBorder="1" applyAlignment="1">
      <alignment horizontal="center" vertical="center"/>
    </xf>
    <xf numFmtId="0" fontId="3" fillId="37" borderId="70" xfId="0" applyFont="1" applyFill="1" applyBorder="1" applyAlignment="1">
      <alignment horizontal="center" vertical="center"/>
    </xf>
    <xf numFmtId="0" fontId="164" fillId="37" borderId="67" xfId="0" applyFont="1" applyFill="1" applyBorder="1" applyAlignment="1">
      <alignment horizontal="center" vertical="center"/>
    </xf>
    <xf numFmtId="0" fontId="164" fillId="37" borderId="70" xfId="0" applyFont="1" applyFill="1" applyBorder="1" applyAlignment="1">
      <alignment horizontal="center" vertical="center"/>
    </xf>
    <xf numFmtId="0" fontId="164" fillId="4" borderId="65" xfId="0" applyFont="1" applyFill="1" applyBorder="1" applyAlignment="1">
      <alignment horizontal="center" vertical="center"/>
    </xf>
    <xf numFmtId="0" fontId="164" fillId="4" borderId="69" xfId="0" applyFont="1" applyFill="1" applyBorder="1" applyAlignment="1">
      <alignment horizontal="center" vertical="center"/>
    </xf>
    <xf numFmtId="0" fontId="3" fillId="44" borderId="66" xfId="0" applyFont="1" applyFill="1" applyBorder="1" applyAlignment="1">
      <alignment horizontal="center" vertical="center"/>
    </xf>
    <xf numFmtId="0" fontId="3" fillId="44" borderId="64" xfId="0" applyFont="1" applyFill="1" applyBorder="1" applyAlignment="1">
      <alignment horizontal="center" vertical="center"/>
    </xf>
    <xf numFmtId="0" fontId="3" fillId="44" borderId="67" xfId="0" applyFont="1" applyFill="1" applyBorder="1" applyAlignment="1">
      <alignment horizontal="center" vertical="center"/>
    </xf>
    <xf numFmtId="0" fontId="3" fillId="44" borderId="65" xfId="0" applyFont="1" applyFill="1" applyBorder="1" applyAlignment="1">
      <alignment horizontal="center" vertical="center"/>
    </xf>
    <xf numFmtId="0" fontId="164" fillId="45" borderId="72" xfId="0" applyFont="1" applyFill="1" applyBorder="1" applyAlignment="1">
      <alignment horizontal="center" vertical="center"/>
    </xf>
    <xf numFmtId="0" fontId="164" fillId="45" borderId="71" xfId="0" applyFont="1" applyFill="1" applyBorder="1" applyAlignment="1">
      <alignment horizontal="center" vertical="center"/>
    </xf>
    <xf numFmtId="14" fontId="0" fillId="37" borderId="63" xfId="0" applyNumberFormat="1" applyFill="1" applyBorder="1" applyAlignment="1">
      <alignment horizontal="center" vertical="center"/>
    </xf>
    <xf numFmtId="0" fontId="0" fillId="39" borderId="80" xfId="0" applyFill="1" applyBorder="1" applyAlignment="1">
      <alignment horizontal="center" vertical="center"/>
    </xf>
    <xf numFmtId="0" fontId="0" fillId="39" borderId="73" xfId="0" applyFill="1" applyBorder="1" applyAlignment="1">
      <alignment horizontal="center" vertical="center"/>
    </xf>
    <xf numFmtId="0" fontId="0" fillId="39" borderId="83" xfId="0" applyFill="1" applyBorder="1" applyAlignment="1">
      <alignment horizontal="center" vertical="center"/>
    </xf>
    <xf numFmtId="0" fontId="0" fillId="39" borderId="77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9" fontId="0" fillId="0" borderId="78" xfId="0" applyNumberFormat="1" applyBorder="1" applyAlignment="1">
      <alignment horizontal="center" vertical="center"/>
    </xf>
    <xf numFmtId="9" fontId="0" fillId="0" borderId="79" xfId="0" applyNumberFormat="1" applyBorder="1" applyAlignment="1">
      <alignment horizontal="center" vertical="center"/>
    </xf>
    <xf numFmtId="0" fontId="0" fillId="38" borderId="82" xfId="0" applyFill="1" applyBorder="1" applyAlignment="1">
      <alignment horizontal="center" vertical="center"/>
    </xf>
    <xf numFmtId="0" fontId="0" fillId="38" borderId="68" xfId="0" applyFill="1" applyBorder="1" applyAlignment="1">
      <alignment horizontal="center" vertical="center"/>
    </xf>
    <xf numFmtId="0" fontId="0" fillId="38" borderId="44" xfId="0" applyFill="1" applyBorder="1" applyAlignment="1">
      <alignment horizontal="center" vertical="center"/>
    </xf>
    <xf numFmtId="9" fontId="0" fillId="38" borderId="68" xfId="0" applyNumberFormat="1" applyFill="1" applyBorder="1" applyAlignment="1">
      <alignment horizontal="center" vertical="center"/>
    </xf>
    <xf numFmtId="9" fontId="0" fillId="38" borderId="61" xfId="0" applyNumberForma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9" fontId="0" fillId="0" borderId="73" xfId="0" applyNumberFormat="1" applyBorder="1" applyAlignment="1">
      <alignment horizontal="center" vertical="center"/>
    </xf>
    <xf numFmtId="9" fontId="0" fillId="0" borderId="77" xfId="0" applyNumberFormat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9" fontId="0" fillId="0" borderId="84" xfId="0" applyNumberFormat="1" applyBorder="1" applyAlignment="1">
      <alignment horizontal="center" vertical="center"/>
    </xf>
    <xf numFmtId="9" fontId="0" fillId="0" borderId="85" xfId="0" applyNumberForma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top"/>
    </xf>
    <xf numFmtId="49" fontId="3" fillId="0" borderId="7" xfId="0" applyNumberFormat="1" applyFont="1" applyBorder="1" applyAlignment="1">
      <alignment horizontal="center" vertical="top"/>
    </xf>
    <xf numFmtId="49" fontId="3" fillId="0" borderId="6" xfId="0" applyNumberFormat="1" applyFont="1" applyBorder="1" applyAlignment="1">
      <alignment horizontal="center" vertical="top"/>
    </xf>
    <xf numFmtId="231" fontId="3" fillId="0" borderId="5" xfId="0" applyNumberFormat="1" applyFont="1" applyBorder="1" applyAlignment="1">
      <alignment horizontal="center" vertical="top"/>
    </xf>
    <xf numFmtId="231" fontId="3" fillId="0" borderId="7" xfId="0" applyNumberFormat="1" applyFont="1" applyBorder="1" applyAlignment="1">
      <alignment horizontal="center" vertical="top"/>
    </xf>
    <xf numFmtId="49" fontId="3" fillId="0" borderId="5" xfId="0" applyNumberFormat="1" applyFont="1" applyBorder="1" applyAlignment="1">
      <alignment horizontal="left" vertical="top"/>
    </xf>
    <xf numFmtId="49" fontId="3" fillId="0" borderId="7" xfId="0" applyNumberFormat="1" applyFont="1" applyBorder="1" applyAlignment="1">
      <alignment horizontal="left" vertical="top"/>
    </xf>
    <xf numFmtId="49" fontId="3" fillId="0" borderId="6" xfId="0" applyNumberFormat="1" applyFont="1" applyBorder="1" applyAlignment="1">
      <alignment horizontal="left" vertical="top"/>
    </xf>
    <xf numFmtId="49" fontId="3" fillId="0" borderId="5" xfId="0" applyNumberFormat="1" applyFont="1" applyBorder="1" applyAlignment="1">
      <alignment vertical="top"/>
    </xf>
    <xf numFmtId="49" fontId="3" fillId="0" borderId="7" xfId="0" applyNumberFormat="1" applyFont="1" applyBorder="1" applyAlignment="1">
      <alignment vertical="top"/>
    </xf>
    <xf numFmtId="49" fontId="3" fillId="0" borderId="6" xfId="0" applyNumberFormat="1" applyFont="1" applyBorder="1" applyAlignment="1">
      <alignment vertical="top"/>
    </xf>
    <xf numFmtId="49" fontId="3" fillId="0" borderId="5" xfId="0" applyNumberFormat="1" applyFont="1" applyBorder="1" applyAlignment="1">
      <alignment horizontal="left" vertical="top" wrapText="1"/>
    </xf>
    <xf numFmtId="49" fontId="3" fillId="9" borderId="5" xfId="0" applyNumberFormat="1" applyFont="1" applyFill="1" applyBorder="1" applyAlignment="1">
      <alignment horizontal="left" vertical="top" wrapText="1"/>
    </xf>
    <xf numFmtId="49" fontId="3" fillId="9" borderId="7" xfId="0" applyNumberFormat="1" applyFont="1" applyFill="1" applyBorder="1" applyAlignment="1">
      <alignment horizontal="left" vertical="top"/>
    </xf>
    <xf numFmtId="49" fontId="3" fillId="9" borderId="6" xfId="0" applyNumberFormat="1" applyFont="1" applyFill="1" applyBorder="1" applyAlignment="1">
      <alignment horizontal="left" vertical="top"/>
    </xf>
    <xf numFmtId="49" fontId="3" fillId="9" borderId="5" xfId="0" applyNumberFormat="1" applyFont="1" applyFill="1" applyBorder="1" applyAlignment="1">
      <alignment vertical="top"/>
    </xf>
    <xf numFmtId="49" fontId="3" fillId="9" borderId="7" xfId="0" applyNumberFormat="1" applyFont="1" applyFill="1" applyBorder="1" applyAlignment="1">
      <alignment vertical="top"/>
    </xf>
    <xf numFmtId="49" fontId="3" fillId="9" borderId="6" xfId="0" applyNumberFormat="1" applyFont="1" applyFill="1" applyBorder="1" applyAlignment="1">
      <alignment vertical="top"/>
    </xf>
    <xf numFmtId="49" fontId="3" fillId="9" borderId="5" xfId="0" applyNumberFormat="1" applyFont="1" applyFill="1" applyBorder="1" applyAlignment="1">
      <alignment horizontal="center" vertical="top"/>
    </xf>
    <xf numFmtId="49" fontId="3" fillId="9" borderId="7" xfId="0" applyNumberFormat="1" applyFont="1" applyFill="1" applyBorder="1" applyAlignment="1">
      <alignment horizontal="center" vertical="top"/>
    </xf>
    <xf numFmtId="49" fontId="3" fillId="9" borderId="6" xfId="0" applyNumberFormat="1" applyFont="1" applyFill="1" applyBorder="1" applyAlignment="1">
      <alignment horizontal="center" vertical="top"/>
    </xf>
    <xf numFmtId="231" fontId="3" fillId="9" borderId="5" xfId="0" applyNumberFormat="1" applyFont="1" applyFill="1" applyBorder="1" applyAlignment="1">
      <alignment horizontal="center" vertical="top"/>
    </xf>
    <xf numFmtId="231" fontId="3" fillId="9" borderId="7" xfId="0" applyNumberFormat="1" applyFont="1" applyFill="1" applyBorder="1" applyAlignment="1">
      <alignment horizontal="center" vertical="top"/>
    </xf>
    <xf numFmtId="49" fontId="3" fillId="0" borderId="5" xfId="0" applyNumberFormat="1" applyFont="1" applyFill="1" applyBorder="1" applyAlignment="1">
      <alignment horizontal="center" vertical="top"/>
    </xf>
    <xf numFmtId="49" fontId="3" fillId="0" borderId="7" xfId="0" applyNumberFormat="1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49" fontId="3" fillId="0" borderId="5" xfId="0" applyNumberFormat="1" applyFont="1" applyFill="1" applyBorder="1" applyAlignment="1">
      <alignment vertical="top"/>
    </xf>
    <xf numFmtId="49" fontId="3" fillId="0" borderId="7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0" fontId="3" fillId="0" borderId="7" xfId="0" applyNumberFormat="1" applyFont="1" applyBorder="1" applyAlignment="1">
      <alignment vertical="center"/>
    </xf>
    <xf numFmtId="0" fontId="3" fillId="0" borderId="6" xfId="0" applyNumberFormat="1" applyFont="1" applyBorder="1" applyAlignment="1">
      <alignment vertical="center"/>
    </xf>
    <xf numFmtId="49" fontId="3" fillId="1" borderId="5" xfId="0" applyNumberFormat="1" applyFont="1" applyFill="1" applyBorder="1" applyAlignment="1">
      <alignment vertical="center" shrinkToFit="1"/>
    </xf>
    <xf numFmtId="0" fontId="3" fillId="1" borderId="7" xfId="0" applyFont="1" applyFill="1" applyBorder="1" applyAlignment="1">
      <alignment vertical="center" shrinkToFit="1"/>
    </xf>
    <xf numFmtId="0" fontId="3" fillId="1" borderId="6" xfId="0" applyFont="1" applyFill="1" applyBorder="1" applyAlignment="1">
      <alignment vertical="center" shrinkToFit="1"/>
    </xf>
    <xf numFmtId="49" fontId="3" fillId="0" borderId="5" xfId="0" applyNumberFormat="1" applyFont="1" applyBorder="1" applyAlignment="1">
      <alignment vertical="center" shrinkToFit="1"/>
    </xf>
    <xf numFmtId="0" fontId="3" fillId="0" borderId="7" xfId="0" applyNumberFormat="1" applyFont="1" applyBorder="1" applyAlignment="1">
      <alignment vertical="center" shrinkToFit="1"/>
    </xf>
    <xf numFmtId="0" fontId="3" fillId="0" borderId="6" xfId="0" applyNumberFormat="1" applyFont="1" applyBorder="1" applyAlignment="1">
      <alignment vertical="center" shrinkToFit="1"/>
    </xf>
    <xf numFmtId="49" fontId="3" fillId="1" borderId="5" xfId="0" applyNumberFormat="1" applyFont="1" applyFill="1" applyBorder="1" applyAlignment="1">
      <alignment horizontal="center" vertical="center"/>
    </xf>
    <xf numFmtId="49" fontId="3" fillId="1" borderId="7" xfId="0" applyNumberFormat="1" applyFont="1" applyFill="1" applyBorder="1" applyAlignment="1">
      <alignment horizontal="center" vertical="center"/>
    </xf>
    <xf numFmtId="49" fontId="3" fillId="1" borderId="6" xfId="0" applyNumberFormat="1" applyFont="1" applyFill="1" applyBorder="1" applyAlignment="1">
      <alignment horizontal="center" vertical="center"/>
    </xf>
    <xf numFmtId="0" fontId="3" fillId="0" borderId="5" xfId="0" applyNumberFormat="1" applyFont="1" applyBorder="1" applyAlignment="1">
      <alignment vertical="center"/>
    </xf>
    <xf numFmtId="176" fontId="41" fillId="46" borderId="46" xfId="0" applyNumberFormat="1" applyFont="1" applyFill="1" applyBorder="1" applyAlignment="1">
      <alignment horizontal="center" vertical="center"/>
    </xf>
    <xf numFmtId="176" fontId="41" fillId="46" borderId="36" xfId="0" applyNumberFormat="1" applyFont="1" applyFill="1" applyBorder="1" applyAlignment="1">
      <alignment horizontal="center" vertical="center"/>
    </xf>
    <xf numFmtId="176" fontId="41" fillId="46" borderId="47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/>
    </xf>
    <xf numFmtId="232" fontId="3" fillId="2" borderId="36" xfId="0" applyNumberFormat="1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232" fontId="41" fillId="2" borderId="4" xfId="65" applyNumberFormat="1" applyFont="1" applyFill="1" applyBorder="1" applyAlignment="1">
      <alignment horizontal="center" vertical="center" wrapText="1"/>
    </xf>
    <xf numFmtId="232" fontId="41" fillId="2" borderId="10" xfId="65" applyNumberFormat="1" applyFont="1" applyFill="1" applyBorder="1" applyAlignment="1">
      <alignment horizontal="center" vertical="center" wrapText="1"/>
    </xf>
    <xf numFmtId="0" fontId="41" fillId="2" borderId="37" xfId="65" applyFont="1" applyFill="1" applyBorder="1" applyAlignment="1">
      <alignment horizontal="center" vertical="center" wrapText="1"/>
    </xf>
    <xf numFmtId="232" fontId="159" fillId="2" borderId="2" xfId="65" applyNumberFormat="1" applyFont="1" applyFill="1" applyBorder="1" applyAlignment="1">
      <alignment horizontal="center" vertical="center" wrapText="1"/>
    </xf>
    <xf numFmtId="0" fontId="159" fillId="2" borderId="37" xfId="65" applyFont="1" applyFill="1" applyBorder="1" applyAlignment="1">
      <alignment horizontal="center" vertical="center" wrapText="1"/>
    </xf>
    <xf numFmtId="232" fontId="41" fillId="2" borderId="5" xfId="0" applyNumberFormat="1" applyFont="1" applyFill="1" applyBorder="1" applyAlignment="1">
      <alignment horizontal="center" vertical="center"/>
    </xf>
    <xf numFmtId="232" fontId="41" fillId="2" borderId="7" xfId="0" applyNumberFormat="1" applyFont="1" applyFill="1" applyBorder="1" applyAlignment="1">
      <alignment horizontal="center" vertical="center"/>
    </xf>
    <xf numFmtId="232" fontId="41" fillId="2" borderId="38" xfId="0" applyNumberFormat="1" applyFont="1" applyFill="1" applyBorder="1" applyAlignment="1">
      <alignment horizontal="center" vertical="center"/>
    </xf>
    <xf numFmtId="232" fontId="41" fillId="2" borderId="39" xfId="0" applyNumberFormat="1" applyFont="1" applyFill="1" applyBorder="1" applyAlignment="1">
      <alignment horizontal="center" vertical="center"/>
    </xf>
    <xf numFmtId="232" fontId="41" fillId="2" borderId="6" xfId="0" applyNumberFormat="1" applyFont="1" applyFill="1" applyBorder="1" applyAlignment="1">
      <alignment horizontal="center" vertical="center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0" fontId="41" fillId="2" borderId="37" xfId="0" applyFont="1" applyFill="1" applyBorder="1" applyAlignment="1">
      <alignment horizontal="center" vertical="center"/>
    </xf>
    <xf numFmtId="176" fontId="41" fillId="2" borderId="40" xfId="0" applyNumberFormat="1" applyFont="1" applyFill="1" applyBorder="1" applyAlignment="1">
      <alignment horizontal="center" vertical="center"/>
    </xf>
    <xf numFmtId="176" fontId="41" fillId="2" borderId="41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232" fontId="41" fillId="2" borderId="44" xfId="0" applyNumberFormat="1" applyFont="1" applyFill="1" applyBorder="1" applyAlignment="1">
      <alignment horizontal="center" vertical="center"/>
    </xf>
    <xf numFmtId="232" fontId="41" fillId="2" borderId="45" xfId="0" applyNumberFormat="1" applyFont="1" applyFill="1" applyBorder="1" applyAlignment="1">
      <alignment horizontal="center" vertical="center"/>
    </xf>
    <xf numFmtId="0" fontId="0" fillId="37" borderId="63" xfId="0" applyFill="1" applyBorder="1" applyAlignment="1">
      <alignment horizontal="center" vertical="center" wrapText="1"/>
    </xf>
    <xf numFmtId="0" fontId="0" fillId="37" borderId="62" xfId="0" applyFill="1" applyBorder="1" applyAlignment="1">
      <alignment horizontal="center" vertical="center" wrapText="1"/>
    </xf>
  </cellXfs>
  <cellStyles count="5917">
    <cellStyle name=" LBP-830 LIPS4" xfId="67" xr:uid="{00000000-0005-0000-0000-000000000000}"/>
    <cellStyle name="_x000c_ーセン_x000c_" xfId="68" xr:uid="{00000000-0005-0000-0000-000001000000}"/>
    <cellStyle name="_x000d__x000a_JournalTemplate=C:\COMFO\CTALK\JOURSTD.TPL_x000d__x000a_LbStateAddress=3 3 0 251 1 89 2 311_x000d__x000a_LbStateJou" xfId="69" xr:uid="{00000000-0005-0000-0000-000002000000}"/>
    <cellStyle name="####" xfId="1" xr:uid="{00000000-0005-0000-0000-000003000000}"/>
    <cellStyle name="#### 2" xfId="70" xr:uid="{00000000-0005-0000-0000-000004000000}"/>
    <cellStyle name="#### 2 2" xfId="71" xr:uid="{00000000-0005-0000-0000-000005000000}"/>
    <cellStyle name="#### 3" xfId="72" xr:uid="{00000000-0005-0000-0000-000006000000}"/>
    <cellStyle name="*JOB標準" xfId="73" xr:uid="{00000000-0005-0000-0000-000007000000}"/>
    <cellStyle name="*標準" xfId="74" xr:uid="{00000000-0005-0000-0000-000008000000}"/>
    <cellStyle name="??" xfId="75" xr:uid="{00000000-0005-0000-0000-000009000000}"/>
    <cellStyle name="?? [0.00]_??????????" xfId="76" xr:uid="{00000000-0005-0000-0000-00000A000000}"/>
    <cellStyle name="????" xfId="77" xr:uid="{00000000-0005-0000-0000-00000B000000}"/>
    <cellStyle name="???? [0.00]_??????????FunctionsApps " xfId="78" xr:uid="{00000000-0005-0000-0000-00000C000000}"/>
    <cellStyle name="?????()" xfId="79" xr:uid="{00000000-0005-0000-0000-00000D000000}"/>
    <cellStyle name="?????() 2" xfId="80" xr:uid="{00000000-0005-0000-0000-00000E000000}"/>
    <cellStyle name="?????(0.00)" xfId="81" xr:uid="{00000000-0005-0000-0000-00000F000000}"/>
    <cellStyle name="?????(0.00) 2" xfId="82" xr:uid="{00000000-0005-0000-0000-000010000000}"/>
    <cellStyle name="???????" xfId="83" xr:uid="{00000000-0005-0000-0000-000011000000}"/>
    <cellStyle name="??????? 2" xfId="84" xr:uid="{00000000-0005-0000-0000-000012000000}"/>
    <cellStyle name="????????????at match the" xfId="85" xr:uid="{00000000-0005-0000-0000-000013000000}"/>
    <cellStyle name="????????????at match the 2" xfId="86" xr:uid="{00000000-0005-0000-0000-000014000000}"/>
    <cellStyle name="?????[0.00]" xfId="87" xr:uid="{00000000-0005-0000-0000-000015000000}"/>
    <cellStyle name="?????[0.00] 2" xfId="88" xr:uid="{00000000-0005-0000-0000-000016000000}"/>
    <cellStyle name="????_??????????FunctionsApps " xfId="89" xr:uid="{00000000-0005-0000-0000-000017000000}"/>
    <cellStyle name="???1" xfId="90" xr:uid="{00000000-0005-0000-0000-000018000000}"/>
    <cellStyle name="???1 2" xfId="91" xr:uid="{00000000-0005-0000-0000-000019000000}"/>
    <cellStyle name="??_???? (?)??_Y2K Ve" xfId="92" xr:uid="{00000000-0005-0000-0000-00001A000000}"/>
    <cellStyle name="_(資源配布) 【20090611】千里導入明細資料_２１年度fj分" xfId="93" xr:uid="{00000000-0005-0000-0000-00001B000000}"/>
    <cellStyle name="_(資源配布) 【20090611】千里導入明細資料_２１年度fj分 2" xfId="94" xr:uid="{00000000-0005-0000-0000-00001C000000}"/>
    <cellStyle name="_(資源配布) 【20090611】千里導入明細資料_２１年度fj分_【20091218】千里導入明細資料_２１年度分（ネットワーク敷設）" xfId="95" xr:uid="{00000000-0005-0000-0000-00001D000000}"/>
    <cellStyle name="_(資源配布) 【20090611】千里導入明細資料_２１年度fj分_【20091218】千里導入明細資料_２１年度分（ネットワーク敷設） 2" xfId="96" xr:uid="{00000000-0005-0000-0000-00001E000000}"/>
    <cellStyle name="_(資源配布) 【20090611】千里導入明細資料_２１年度fj分_【20091218】千里導入明細資料_２１年度分（ネットワーク敷設）_Ⅹ_課題と対応策_20121211" xfId="97" xr:uid="{00000000-0005-0000-0000-00001F000000}"/>
    <cellStyle name="_(資源配布) 【20090611】千里導入明細資料_２１年度fj分_【20091218】千里導入明細資料_２１年度分（ネットワーク敷設）_Ⅹ_課題と対応策_20121211 2" xfId="98" xr:uid="{00000000-0005-0000-0000-000020000000}"/>
    <cellStyle name="_(資源配布) 【20090611】千里導入明細資料_２１年度fj分_Ⅹ_課題と対応策_20121211" xfId="99" xr:uid="{00000000-0005-0000-0000-000021000000}"/>
    <cellStyle name="_(資源配布) 【20090611】千里導入明細資料_２１年度fj分_Ⅹ_課題と対応策_20121211 2" xfId="100" xr:uid="{00000000-0005-0000-0000-000022000000}"/>
    <cellStyle name="_(資源配布) 【20090611】千里導入明細資料_２１年度fj分_千里導入明細資料_２２年度分（ネットワーク敷設）_fj" xfId="101" xr:uid="{00000000-0005-0000-0000-000023000000}"/>
    <cellStyle name="_(資源配布) 【20090611】千里導入明細資料_２１年度fj分_千里導入明細資料_２２年度分（ネットワーク敷設）_fj 2" xfId="102" xr:uid="{00000000-0005-0000-0000-000024000000}"/>
    <cellStyle name="_(資源配布) 【20090611】千里導入明細資料_２１年度fj分_千里導入明細資料_２２年度分（ネットワーク敷設）_fj_Ⅹ_課題と対応策_20121211" xfId="103" xr:uid="{00000000-0005-0000-0000-000025000000}"/>
    <cellStyle name="_(資源配布) 【20090611】千里導入明細資料_２１年度fj分_千里導入明細資料_２２年度分（ネットワーク敷設）_fj_Ⅹ_課題と対応策_20121211 2" xfId="104" xr:uid="{00000000-0005-0000-0000-000026000000}"/>
    <cellStyle name="_(自動機監視GW) 【20090611】千里導入明細資料_２１年度fj分" xfId="105" xr:uid="{00000000-0005-0000-0000-000027000000}"/>
    <cellStyle name="_(自動機監視GW) 【20090611】千里導入明細資料_２１年度fj分 2" xfId="106" xr:uid="{00000000-0005-0000-0000-000028000000}"/>
    <cellStyle name="_(自動機監視GW) 【20090611】千里導入明細資料_２１年度fj分_【20091218】千里導入明細資料_２１年度分（ネットワーク敷設）" xfId="107" xr:uid="{00000000-0005-0000-0000-000029000000}"/>
    <cellStyle name="_(自動機監視GW) 【20090611】千里導入明細資料_２１年度fj分_【20091218】千里導入明細資料_２１年度分（ネットワーク敷設） 2" xfId="108" xr:uid="{00000000-0005-0000-0000-00002A000000}"/>
    <cellStyle name="_(自動機監視GW) 【20090611】千里導入明細資料_２１年度fj分_【20091218】千里導入明細資料_２１年度分（ネットワーク敷設）_Ⅹ_課題と対応策_20121211" xfId="109" xr:uid="{00000000-0005-0000-0000-00002B000000}"/>
    <cellStyle name="_(自動機監視GW) 【20090611】千里導入明細資料_２１年度fj分_【20091218】千里導入明細資料_２１年度分（ネットワーク敷設）_Ⅹ_課題と対応策_20121211 2" xfId="110" xr:uid="{00000000-0005-0000-0000-00002C000000}"/>
    <cellStyle name="_(自動機監視GW) 【20090611】千里導入明細資料_２１年度fj分_Ⅹ_課題と対応策_20121211" xfId="111" xr:uid="{00000000-0005-0000-0000-00002D000000}"/>
    <cellStyle name="_(自動機監視GW) 【20090611】千里導入明細資料_２１年度fj分_Ⅹ_課題と対応策_20121211 2" xfId="112" xr:uid="{00000000-0005-0000-0000-00002E000000}"/>
    <cellStyle name="_(自動機監視GW) 【20090611】千里導入明細資料_２１年度fj分_千里導入明細資料_２２年度分（ネットワーク敷設）_fj" xfId="113" xr:uid="{00000000-0005-0000-0000-00002F000000}"/>
    <cellStyle name="_(自動機監視GW) 【20090611】千里導入明細資料_２１年度fj分_千里導入明細資料_２２年度分（ネットワーク敷設）_fj 2" xfId="114" xr:uid="{00000000-0005-0000-0000-000030000000}"/>
    <cellStyle name="_(自動機監視GW) 【20090611】千里導入明細資料_２１年度fj分_千里導入明細資料_２２年度分（ネットワーク敷設）_fj_Ⅹ_課題と対応策_20121211" xfId="115" xr:uid="{00000000-0005-0000-0000-000031000000}"/>
    <cellStyle name="_(自動機監視GW) 【20090611】千里導入明細資料_２１年度fj分_千里導入明細資料_２２年度分（ネットワーク敷設）_fj_Ⅹ_課題と対応策_20121211 2" xfId="116" xr:uid="{00000000-0005-0000-0000-000032000000}"/>
    <cellStyle name="_［修正版］【20090708】千里導入明細資料_２１年度分（７月工事分）" xfId="117" xr:uid="{00000000-0005-0000-0000-000033000000}"/>
    <cellStyle name="_［修正版］【20090708】千里導入明細資料_２１年度分（７月工事分） 2" xfId="118" xr:uid="{00000000-0005-0000-0000-000034000000}"/>
    <cellStyle name="_［修正版］【20090708】千里導入明細資料_２１年度分（７月工事分）_【20091218】千里導入明細資料_２１年度分（ネットワーク敷設）" xfId="119" xr:uid="{00000000-0005-0000-0000-000035000000}"/>
    <cellStyle name="_［修正版］【20090708】千里導入明細資料_２１年度分（７月工事分）_【20091218】千里導入明細資料_２１年度分（ネットワーク敷設） 2" xfId="120" xr:uid="{00000000-0005-0000-0000-000036000000}"/>
    <cellStyle name="_［修正版］【20090708】千里導入明細資料_２１年度分（７月工事分）_【20091218】千里導入明細資料_２１年度分（ネットワーク敷設）_Ⅹ_課題と対応策_20121211" xfId="121" xr:uid="{00000000-0005-0000-0000-000037000000}"/>
    <cellStyle name="_［修正版］【20090708】千里導入明細資料_２１年度分（７月工事分）_【20091218】千里導入明細資料_２１年度分（ネットワーク敷設）_Ⅹ_課題と対応策_20121211 2" xfId="122" xr:uid="{00000000-0005-0000-0000-000038000000}"/>
    <cellStyle name="_［修正版］【20090708】千里導入明細資料_２１年度分（７月工事分）_【20091224】千里導入明細資料_２２年度上期分_営業店DB" xfId="123" xr:uid="{00000000-0005-0000-0000-000039000000}"/>
    <cellStyle name="_［修正版］【20090708】千里導入明細資料_２１年度分（７月工事分）_【20091224】千里導入明細資料_２２年度上期分_営業店DB 2" xfId="124" xr:uid="{00000000-0005-0000-0000-00003A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" xfId="125" xr:uid="{00000000-0005-0000-0000-00003B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 2" xfId="126" xr:uid="{00000000-0005-0000-0000-00003C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" xfId="127" xr:uid="{00000000-0005-0000-0000-00003D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 2" xfId="128" xr:uid="{00000000-0005-0000-0000-00003E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9" xr:uid="{00000000-0005-0000-0000-00003F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30" xr:uid="{00000000-0005-0000-0000-000040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" xfId="131" xr:uid="{00000000-0005-0000-0000-000041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 2" xfId="132" xr:uid="{00000000-0005-0000-0000-000042000000}"/>
    <cellStyle name="_［修正版］【20090708】千里導入明細資料_２１年度分（７月工事分）_【20091224】千里導入明細資料_２２年度上期分_営業店DB_【20091225】千里導入明細資料_２２年度上期分_営業店DB" xfId="133" xr:uid="{00000000-0005-0000-0000-000043000000}"/>
    <cellStyle name="_［修正版］【20090708】千里導入明細資料_２１年度分（７月工事分）_【20091224】千里導入明細資料_２２年度上期分_営業店DB_【20091225】千里導入明細資料_２２年度上期分_営業店DB 2" xfId="134" xr:uid="{00000000-0005-0000-0000-000044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" xfId="135" xr:uid="{00000000-0005-0000-0000-000045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 2" xfId="136" xr:uid="{00000000-0005-0000-0000-000046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" xfId="137" xr:uid="{00000000-0005-0000-0000-000047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 2" xfId="138" xr:uid="{00000000-0005-0000-0000-000048000000}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" xfId="139" xr:uid="{00000000-0005-0000-0000-000049000000}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 2" xfId="140" xr:uid="{00000000-0005-0000-0000-00004A000000}"/>
    <cellStyle name="_［修正版］【20090708】千里導入明細資料_２１年度分（７月工事分）_【20091224】千里導入明細資料_２２年度上期分_営業店DB_Ⅹ_課題と対応策_20121211" xfId="141" xr:uid="{00000000-0005-0000-0000-00004B000000}"/>
    <cellStyle name="_［修正版］【20090708】千里導入明細資料_２１年度分（７月工事分）_【20091224】千里導入明細資料_２２年度上期分_営業店DB_Ⅹ_課題と対応策_20121211 2" xfId="142" xr:uid="{00000000-0005-0000-0000-00004C000000}"/>
    <cellStyle name="_［修正版］【20090708】千里導入明細資料_２１年度分（７月工事分）_【20091225】千里導入明細資料_２２年度上期分" xfId="143" xr:uid="{00000000-0005-0000-0000-00004D000000}"/>
    <cellStyle name="_［修正版］【20090708】千里導入明細資料_２１年度分（７月工事分）_【20091225】千里導入明細資料_２２年度上期分 2" xfId="144" xr:uid="{00000000-0005-0000-0000-00004E000000}"/>
    <cellStyle name="_［修正版］【20090708】千里導入明細資料_２１年度分（７月工事分）_【20091225】千里導入明細資料_２２年度上期分_Ⅹ_課題と対応策_20121211" xfId="145" xr:uid="{00000000-0005-0000-0000-00004F000000}"/>
    <cellStyle name="_［修正版］【20090708】千里導入明細資料_２１年度分（７月工事分）_【20091225】千里導入明細資料_２２年度上期分_Ⅹ_課題と対応策_20121211 2" xfId="146" xr:uid="{00000000-0005-0000-0000-000050000000}"/>
    <cellStyle name="_［修正版］【20090708】千里導入明細資料_２１年度分（７月工事分）_【20091225】千里導入明細資料_２２年度上期分_営業店DB" xfId="147" xr:uid="{00000000-0005-0000-0000-000051000000}"/>
    <cellStyle name="_［修正版］【20090708】千里導入明細資料_２１年度分（７月工事分）_【20091225】千里導入明細資料_２２年度上期分_営業店DB 2" xfId="148" xr:uid="{00000000-0005-0000-0000-000052000000}"/>
    <cellStyle name="_［修正版］【20090708】千里導入明細資料_２１年度分（７月工事分）_【20091225】千里導入明細資料_２２年度上期分_営業店DB_Ⅹ_課題と対応策_20121211" xfId="149" xr:uid="{00000000-0005-0000-0000-000053000000}"/>
    <cellStyle name="_［修正版］【20090708】千里導入明細資料_２１年度分（７月工事分）_【20091225】千里導入明細資料_２２年度上期分_営業店DB_Ⅹ_課題と対応策_20121211 2" xfId="150" xr:uid="{00000000-0005-0000-0000-000054000000}"/>
    <cellStyle name="_［修正版］【20090708】千里導入明細資料_２１年度分（７月工事分）_【20091225】千里導入明細資料_２２年度上期分_連携DB" xfId="151" xr:uid="{00000000-0005-0000-0000-000055000000}"/>
    <cellStyle name="_［修正版］【20090708】千里導入明細資料_２１年度分（７月工事分）_【20091225】千里導入明細資料_２２年度上期分_連携DB 2" xfId="152" xr:uid="{00000000-0005-0000-0000-000056000000}"/>
    <cellStyle name="_［修正版］【20090708】千里導入明細資料_２１年度分（７月工事分）_【20091225】千里導入明細資料_２２年度上期分_連携DB_Ⅹ_課題と対応策_20121211" xfId="153" xr:uid="{00000000-0005-0000-0000-000057000000}"/>
    <cellStyle name="_［修正版］【20090708】千里導入明細資料_２１年度分（７月工事分）_【20091225】千里導入明細資料_２２年度上期分_連携DB_Ⅹ_課題と対応策_20121211 2" xfId="154" xr:uid="{00000000-0005-0000-0000-000058000000}"/>
    <cellStyle name="_［修正版］【20090708】千里導入明細資料_２１年度分（７月工事分）_【200912xx】千里導入明細資料_２２年度上期分" xfId="155" xr:uid="{00000000-0005-0000-0000-000059000000}"/>
    <cellStyle name="_［修正版］【20090708】千里導入明細資料_２１年度分（７月工事分）_【200912xx】千里導入明細資料_２２年度上期分 2" xfId="156" xr:uid="{00000000-0005-0000-0000-00005A000000}"/>
    <cellStyle name="_［修正版］【20090708】千里導入明細資料_２１年度分（７月工事分）_【200912xx】千里導入明細資料_２２年度上期分（為替分）" xfId="157" xr:uid="{00000000-0005-0000-0000-00005B000000}"/>
    <cellStyle name="_［修正版］【20090708】千里導入明細資料_２１年度分（７月工事分）_【200912xx】千里導入明細資料_２２年度上期分（為替分） 2" xfId="158" xr:uid="{00000000-0005-0000-0000-00005C000000}"/>
    <cellStyle name="_［修正版］【20090708】千里導入明細資料_２１年度分（７月工事分）_【200912xx】千里導入明細資料_２２年度上期分（為替分）_Ⅹ_課題と対応策_20121211" xfId="159" xr:uid="{00000000-0005-0000-0000-00005D000000}"/>
    <cellStyle name="_［修正版］【20090708】千里導入明細資料_２１年度分（７月工事分）_【200912xx】千里導入明細資料_２２年度上期分（為替分）_Ⅹ_課題と対応策_20121211 2" xfId="160" xr:uid="{00000000-0005-0000-0000-00005E000000}"/>
    <cellStyle name="_［修正版］【20090708】千里導入明細資料_２１年度分（７月工事分）_【200912xx】千里導入明細資料_２２年度上期分_【20091225】千里導入明細資料_２２年度上期分（営業店ＡＰ－ＤＢ）" xfId="161" xr:uid="{00000000-0005-0000-0000-00005F000000}"/>
    <cellStyle name="_［修正版］【20090708】千里導入明細資料_２１年度分（７月工事分）_【200912xx】千里導入明細資料_２２年度上期分_【20091225】千里導入明細資料_２２年度上期分（営業店ＡＰ－ＤＢ） 2" xfId="162" xr:uid="{00000000-0005-0000-0000-000060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" xfId="163" xr:uid="{00000000-0005-0000-0000-000061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 2" xfId="164" xr:uid="{00000000-0005-0000-0000-000062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165" xr:uid="{00000000-0005-0000-0000-000063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166" xr:uid="{00000000-0005-0000-0000-000064000000}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" xfId="167" xr:uid="{00000000-0005-0000-0000-000065000000}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 2" xfId="168" xr:uid="{00000000-0005-0000-0000-000066000000}"/>
    <cellStyle name="_［修正版］【20090708】千里導入明細資料_２１年度分（７月工事分）_【200912xx】千里導入明細資料_２２年度上期分_【20091225】千里導入明細資料_２２年度上期分_営業店DB" xfId="169" xr:uid="{00000000-0005-0000-0000-000067000000}"/>
    <cellStyle name="_［修正版］【20090708】千里導入明細資料_２１年度分（７月工事分）_【200912xx】千里導入明細資料_２２年度上期分_【20091225】千里導入明細資料_２２年度上期分_営業店DB 2" xfId="170" xr:uid="{00000000-0005-0000-0000-000068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" xfId="171" xr:uid="{00000000-0005-0000-0000-000069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 2" xfId="172" xr:uid="{00000000-0005-0000-0000-00006A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" xfId="173" xr:uid="{00000000-0005-0000-0000-00006B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 2" xfId="174" xr:uid="{00000000-0005-0000-0000-00006C000000}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" xfId="175" xr:uid="{00000000-0005-0000-0000-00006D000000}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 2" xfId="176" xr:uid="{00000000-0005-0000-0000-00006E000000}"/>
    <cellStyle name="_［修正版］【20090708】千里導入明細資料_２１年度分（７月工事分）_【200912xx】千里導入明細資料_２２年度上期分_【20091225】千里導入明細資料_２２年度上期分_連携DB" xfId="177" xr:uid="{00000000-0005-0000-0000-00006F000000}"/>
    <cellStyle name="_［修正版］【20090708】千里導入明細資料_２１年度分（７月工事分）_【200912xx】千里導入明細資料_２２年度上期分_【20091225】千里導入明細資料_２２年度上期分_連携DB 2" xfId="178" xr:uid="{00000000-0005-0000-0000-000070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" xfId="179" xr:uid="{00000000-0005-0000-0000-000071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 2" xfId="180" xr:uid="{00000000-0005-0000-0000-000072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" xfId="181" xr:uid="{00000000-0005-0000-0000-000073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 2" xfId="182" xr:uid="{00000000-0005-0000-0000-000074000000}"/>
    <cellStyle name="_［修正版］【20090708】千里導入明細資料_２１年度分（７月工事分）_【200912xx】千里導入明細資料_２２年度上期分_【20091225】千里導入明細資料_２２年度上期分_連携DB_Ⅹ_課題と対応策_20121211" xfId="183" xr:uid="{00000000-0005-0000-0000-000075000000}"/>
    <cellStyle name="_［修正版］【20090708】千里導入明細資料_２１年度分（７月工事分）_【200912xx】千里導入明細資料_２２年度上期分_【20091225】千里導入明細資料_２２年度上期分_連携DB_Ⅹ_課題と対応策_20121211 2" xfId="184" xr:uid="{00000000-0005-0000-0000-000076000000}"/>
    <cellStyle name="_［修正版］【20090708】千里導入明細資料_２１年度分（７月工事分）_【200912xx】千里導入明細資料_２２年度上期分_Ⅹ_課題と対応策_20121211" xfId="185" xr:uid="{00000000-0005-0000-0000-000077000000}"/>
    <cellStyle name="_［修正版］【20090708】千里導入明細資料_２１年度分（７月工事分）_【200912xx】千里導入明細資料_２２年度上期分_Ⅹ_課題と対応策_20121211 2" xfId="186" xr:uid="{00000000-0005-0000-0000-000078000000}"/>
    <cellStyle name="_［修正版］【20090708】千里導入明細資料_２１年度分（７月工事分）_【調整中】千里導入明細資料_２２年度上期分_fj_20100127" xfId="187" xr:uid="{00000000-0005-0000-0000-000079000000}"/>
    <cellStyle name="_［修正版］【20090708】千里導入明細資料_２１年度分（７月工事分）_【調整中】千里導入明細資料_２２年度上期分_fj_20100127 2" xfId="188" xr:uid="{00000000-0005-0000-0000-00007A000000}"/>
    <cellStyle name="_［修正版］【20090708】千里導入明細資料_２１年度分（７月工事分）_【調整中】千里導入明細資料_２２年度上期分_fj_20100127_Ⅹ_課題と対応策_20121211" xfId="189" xr:uid="{00000000-0005-0000-0000-00007B000000}"/>
    <cellStyle name="_［修正版］【20090708】千里導入明細資料_２１年度分（７月工事分）_【調整中】千里導入明細資料_２２年度上期分_fj_20100127_Ⅹ_課題と対応策_20121211 2" xfId="190" xr:uid="{00000000-0005-0000-0000-00007C000000}"/>
    <cellStyle name="_［修正版］【20090708】千里導入明細資料_２１年度分（７月工事分）_①【20091225】千里導入明細資料_２２年度上期1分)" xfId="191" xr:uid="{00000000-0005-0000-0000-00007D000000}"/>
    <cellStyle name="_［修正版］【20090708】千里導入明細資料_２１年度分（７月工事分）_①【20091225】千里導入明細資料_２２年度上期1分) 2" xfId="192" xr:uid="{00000000-0005-0000-0000-00007E000000}"/>
    <cellStyle name="_［修正版］【20090708】千里導入明細資料_２１年度分（７月工事分）_①【20091225】千里導入明細資料_２２年度上期1分)_Ⅹ_課題と対応策_20121211" xfId="193" xr:uid="{00000000-0005-0000-0000-00007F000000}"/>
    <cellStyle name="_［修正版］【20090708】千里導入明細資料_２１年度分（７月工事分）_①【20091225】千里導入明細資料_２２年度上期1分)_Ⅹ_課題と対応策_20121211 2" xfId="194" xr:uid="{00000000-0005-0000-0000-000080000000}"/>
    <cellStyle name="_［修正版］【20090708】千里導入明細資料_２１年度分（７月工事分）_Ⅹ_課題と対応策_20121211" xfId="195" xr:uid="{00000000-0005-0000-0000-000081000000}"/>
    <cellStyle name="_［修正版］【20090708】千里導入明細資料_２１年度分（７月工事分）_Ⅹ_課題と対応策_20121211 2" xfId="196" xr:uid="{00000000-0005-0000-0000-000082000000}"/>
    <cellStyle name="_［修正版］【20090708】千里導入明細資料_２１年度分（７月工事分）_千里導入明細資料_２２年度分（ネットワーク敷設）_fj" xfId="197" xr:uid="{00000000-0005-0000-0000-000083000000}"/>
    <cellStyle name="_［修正版］【20090708】千里導入明細資料_２１年度分（７月工事分）_千里導入明細資料_２２年度分（ネットワーク敷設）_fj 2" xfId="198" xr:uid="{00000000-0005-0000-0000-000084000000}"/>
    <cellStyle name="_［修正版］【20090708】千里導入明細資料_２１年度分（７月工事分）_千里導入明細資料_２２年度分（ネットワーク敷設）_fj_Ⅹ_課題と対応策_20121211" xfId="199" xr:uid="{00000000-0005-0000-0000-000085000000}"/>
    <cellStyle name="_［修正版］【20090708】千里導入明細資料_２１年度分（７月工事分）_千里導入明細資料_２２年度分（ネットワーク敷設）_fj_Ⅹ_課題と対応策_20121211 2" xfId="200" xr:uid="{00000000-0005-0000-0000-000086000000}"/>
    <cellStyle name="_［提出版］千里導入明細資料（資源配付・仮想化）20090323" xfId="201" xr:uid="{00000000-0005-0000-0000-000087000000}"/>
    <cellStyle name="_［提出版］千里導入明細資料（資源配付・仮想化）20090323 2" xfId="202" xr:uid="{00000000-0005-0000-0000-000088000000}"/>
    <cellStyle name="_［提出版］千里導入明細資料（資源配付・仮想化）20090323_(自動機監視GW) 【20090602】千里導入明細資料_２１年度fj分" xfId="203" xr:uid="{00000000-0005-0000-0000-000089000000}"/>
    <cellStyle name="_［提出版］千里導入明細資料（資源配付・仮想化）20090323_(自動機監視GW) 【20090602】千里導入明細資料_２１年度fj分 2" xfId="204" xr:uid="{00000000-0005-0000-0000-00008A000000}"/>
    <cellStyle name="_［提出版］千里導入明細資料（資源配付・仮想化）20090323_(自動機監視GW) 【20090602】千里導入明細資料_２１年度fj分_【20091218】千里導入明細資料_２１年度分（ネットワーク敷設）" xfId="205" xr:uid="{00000000-0005-0000-0000-00008B000000}"/>
    <cellStyle name="_［提出版］千里導入明細資料（資源配付・仮想化）20090323_(自動機監視GW) 【20090602】千里導入明細資料_２１年度fj分_【20091218】千里導入明細資料_２１年度分（ネットワーク敷設） 2" xfId="206" xr:uid="{00000000-0005-0000-0000-00008C000000}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" xfId="207" xr:uid="{00000000-0005-0000-0000-00008D000000}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 2" xfId="208" xr:uid="{00000000-0005-0000-0000-00008E000000}"/>
    <cellStyle name="_［提出版］千里導入明細資料（資源配付・仮想化）20090323_(自動機監視GW) 【20090602】千里導入明細資料_２１年度fj分_Ⅹ_課題と対応策_20121211" xfId="209" xr:uid="{00000000-0005-0000-0000-00008F000000}"/>
    <cellStyle name="_［提出版］千里導入明細資料（資源配付・仮想化）20090323_(自動機監視GW) 【20090602】千里導入明細資料_２１年度fj分_Ⅹ_課題と対応策_20121211 2" xfId="210" xr:uid="{00000000-0005-0000-0000-000090000000}"/>
    <cellStyle name="_［提出版］千里導入明細資料（資源配付・仮想化）20090323_(自動機監視GW) 【20090602】千里導入明細資料_２１年度fj分_千里導入明細資料_２２年度分（ネットワーク敷設）_fj" xfId="211" xr:uid="{00000000-0005-0000-0000-000091000000}"/>
    <cellStyle name="_［提出版］千里導入明細資料（資源配付・仮想化）20090323_(自動機監視GW) 【20090602】千里導入明細資料_２１年度fj分_千里導入明細資料_２２年度分（ネットワーク敷設）_fj 2" xfId="212" xr:uid="{00000000-0005-0000-0000-000092000000}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" xfId="213" xr:uid="{00000000-0005-0000-0000-000093000000}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 2" xfId="214" xr:uid="{00000000-0005-0000-0000-000094000000}"/>
    <cellStyle name="_［提出版］千里導入明細資料（資源配付・仮想化）20090323_【20090715】千里導入明細資料_２１年度分（９月工事分）_fj" xfId="215" xr:uid="{00000000-0005-0000-0000-000095000000}"/>
    <cellStyle name="_［提出版］千里導入明細資料（資源配付・仮想化）20090323_【20090715】千里導入明細資料_２１年度分（９月工事分）_fj 2" xfId="216" xr:uid="{00000000-0005-0000-0000-000096000000}"/>
    <cellStyle name="_［提出版］千里導入明細資料（資源配付・仮想化）20090323_【20090715】千里導入明細資料_２１年度分（９月工事分）_fj_【20090721】千里導入明細資料_２１年度分" xfId="217" xr:uid="{00000000-0005-0000-0000-000097000000}"/>
    <cellStyle name="_［提出版］千里導入明細資料（資源配付・仮想化）20090323_【20090715】千里導入明細資料_２１年度分（９月工事分）_fj_【20090721】千里導入明細資料_２１年度分 2" xfId="218" xr:uid="{00000000-0005-0000-0000-00009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" xfId="219" xr:uid="{00000000-0005-0000-0000-00009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 2" xfId="220" xr:uid="{00000000-0005-0000-0000-00009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" xfId="221" xr:uid="{00000000-0005-0000-0000-00009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 2" xfId="222" xr:uid="{00000000-0005-0000-0000-00009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23" xr:uid="{00000000-0005-0000-0000-00009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24" xr:uid="{00000000-0005-0000-0000-00009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25" xr:uid="{00000000-0005-0000-0000-00009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26" xr:uid="{00000000-0005-0000-0000-0000A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27" xr:uid="{00000000-0005-0000-0000-0000A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28" xr:uid="{00000000-0005-0000-0000-0000A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" xfId="229" xr:uid="{00000000-0005-0000-0000-0000A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 2" xfId="230" xr:uid="{00000000-0005-0000-0000-0000A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" xfId="231" xr:uid="{00000000-0005-0000-0000-0000A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 2" xfId="232" xr:uid="{00000000-0005-0000-0000-0000A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" xfId="233" xr:uid="{00000000-0005-0000-0000-0000A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 2" xfId="234" xr:uid="{00000000-0005-0000-0000-0000A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35" xr:uid="{00000000-0005-0000-0000-0000A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36" xr:uid="{00000000-0005-0000-0000-0000A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" xfId="237" xr:uid="{00000000-0005-0000-0000-0000A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 2" xfId="238" xr:uid="{00000000-0005-0000-0000-0000A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39" xr:uid="{00000000-0005-0000-0000-0000A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40" xr:uid="{00000000-0005-0000-0000-0000A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41" xr:uid="{00000000-0005-0000-0000-0000A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42" xr:uid="{00000000-0005-0000-0000-0000B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43" xr:uid="{00000000-0005-0000-0000-0000B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44" xr:uid="{00000000-0005-0000-0000-0000B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45" xr:uid="{00000000-0005-0000-0000-0000B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46" xr:uid="{00000000-0005-0000-0000-0000B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47" xr:uid="{00000000-0005-0000-0000-0000B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48" xr:uid="{00000000-0005-0000-0000-0000B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49" xr:uid="{00000000-0005-0000-0000-0000B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0" xr:uid="{00000000-0005-0000-0000-0000B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1" xr:uid="{00000000-0005-0000-0000-0000B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2" xr:uid="{00000000-0005-0000-0000-0000B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3" xr:uid="{00000000-0005-0000-0000-0000B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4" xr:uid="{00000000-0005-0000-0000-0000B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5" xr:uid="{00000000-0005-0000-0000-0000B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6" xr:uid="{00000000-0005-0000-0000-0000B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" xfId="257" xr:uid="{00000000-0005-0000-0000-0000B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 2" xfId="258" xr:uid="{00000000-0005-0000-0000-0000C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" xfId="259" xr:uid="{00000000-0005-0000-0000-0000C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 2" xfId="260" xr:uid="{00000000-0005-0000-0000-0000C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" xfId="261" xr:uid="{00000000-0005-0000-0000-0000C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 2" xfId="262" xr:uid="{00000000-0005-0000-0000-0000C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63" xr:uid="{00000000-0005-0000-0000-0000C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64" xr:uid="{00000000-0005-0000-0000-0000C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" xfId="265" xr:uid="{00000000-0005-0000-0000-0000C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 2" xfId="266" xr:uid="{00000000-0005-0000-0000-0000C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67" xr:uid="{00000000-0005-0000-0000-0000C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68" xr:uid="{00000000-0005-0000-0000-0000C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" xfId="269" xr:uid="{00000000-0005-0000-0000-0000C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 2" xfId="270" xr:uid="{00000000-0005-0000-0000-0000C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" xfId="271" xr:uid="{00000000-0005-0000-0000-0000C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 2" xfId="272" xr:uid="{00000000-0005-0000-0000-0000C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73" xr:uid="{00000000-0005-0000-0000-0000C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74" xr:uid="{00000000-0005-0000-0000-0000D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75" xr:uid="{00000000-0005-0000-0000-0000D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76" xr:uid="{00000000-0005-0000-0000-0000D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77" xr:uid="{00000000-0005-0000-0000-0000D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78" xr:uid="{00000000-0005-0000-0000-0000D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79" xr:uid="{00000000-0005-0000-0000-0000D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80" xr:uid="{00000000-0005-0000-0000-0000D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81" xr:uid="{00000000-0005-0000-0000-0000D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82" xr:uid="{00000000-0005-0000-0000-0000D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83" xr:uid="{00000000-0005-0000-0000-0000D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84" xr:uid="{00000000-0005-0000-0000-0000D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85" xr:uid="{00000000-0005-0000-0000-0000D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86" xr:uid="{00000000-0005-0000-0000-0000D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87" xr:uid="{00000000-0005-0000-0000-0000D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88" xr:uid="{00000000-0005-0000-0000-0000D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89" xr:uid="{00000000-0005-0000-0000-0000D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90" xr:uid="{00000000-0005-0000-0000-0000E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91" xr:uid="{00000000-0005-0000-0000-0000E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92" xr:uid="{00000000-0005-0000-0000-0000E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93" xr:uid="{00000000-0005-0000-0000-0000E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94" xr:uid="{00000000-0005-0000-0000-0000E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95" xr:uid="{00000000-0005-0000-0000-0000E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96" xr:uid="{00000000-0005-0000-0000-0000E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97" xr:uid="{00000000-0005-0000-0000-0000E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98" xr:uid="{00000000-0005-0000-0000-0000E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" xfId="299" xr:uid="{00000000-0005-0000-0000-0000E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 2" xfId="300" xr:uid="{00000000-0005-0000-0000-0000E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" xfId="301" xr:uid="{00000000-0005-0000-0000-0000E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 2" xfId="302" xr:uid="{00000000-0005-0000-0000-0000E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303" xr:uid="{00000000-0005-0000-0000-0000E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304" xr:uid="{00000000-0005-0000-0000-0000E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" xfId="305" xr:uid="{00000000-0005-0000-0000-0000E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 2" xfId="306" xr:uid="{00000000-0005-0000-0000-0000F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" xfId="307" xr:uid="{00000000-0005-0000-0000-0000F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 2" xfId="308" xr:uid="{00000000-0005-0000-0000-0000F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" xfId="309" xr:uid="{00000000-0005-0000-0000-0000F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 2" xfId="310" xr:uid="{00000000-0005-0000-0000-0000F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" xfId="311" xr:uid="{00000000-0005-0000-0000-0000F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 2" xfId="312" xr:uid="{00000000-0005-0000-0000-0000F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313" xr:uid="{00000000-0005-0000-0000-0000F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314" xr:uid="{00000000-0005-0000-0000-0000F8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" xfId="315" xr:uid="{00000000-0005-0000-0000-0000F9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 2" xfId="316" xr:uid="{00000000-0005-0000-0000-0000FA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" xfId="317" xr:uid="{00000000-0005-0000-0000-0000FB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 2" xfId="318" xr:uid="{00000000-0005-0000-0000-0000FC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" xfId="319" xr:uid="{00000000-0005-0000-0000-0000FD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 2" xfId="320" xr:uid="{00000000-0005-0000-0000-0000FE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321" xr:uid="{00000000-0005-0000-0000-0000FF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322" xr:uid="{00000000-0005-0000-0000-000000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23" xr:uid="{00000000-0005-0000-0000-000001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24" xr:uid="{00000000-0005-0000-0000-000002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25" xr:uid="{00000000-0005-0000-0000-000003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26" xr:uid="{00000000-0005-0000-0000-000004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327" xr:uid="{00000000-0005-0000-0000-000005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328" xr:uid="{00000000-0005-0000-0000-000006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329" xr:uid="{00000000-0005-0000-0000-000007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330" xr:uid="{00000000-0005-0000-0000-000008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31" xr:uid="{00000000-0005-0000-0000-000009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32" xr:uid="{00000000-0005-0000-0000-00000A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33" xr:uid="{00000000-0005-0000-0000-00000B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34" xr:uid="{00000000-0005-0000-0000-00000C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335" xr:uid="{00000000-0005-0000-0000-00000D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336" xr:uid="{00000000-0005-0000-0000-00000E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" xfId="337" xr:uid="{00000000-0005-0000-0000-00000F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 2" xfId="338" xr:uid="{00000000-0005-0000-0000-000010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" xfId="339" xr:uid="{00000000-0005-0000-0000-000011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 2" xfId="340" xr:uid="{00000000-0005-0000-0000-000012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" xfId="341" xr:uid="{00000000-0005-0000-0000-000013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 2" xfId="342" xr:uid="{00000000-0005-0000-0000-000014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" xfId="343" xr:uid="{00000000-0005-0000-0000-000015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 2" xfId="344" xr:uid="{00000000-0005-0000-0000-000016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" xfId="345" xr:uid="{00000000-0005-0000-0000-000017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 2" xfId="346" xr:uid="{00000000-0005-0000-0000-000018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" xfId="347" xr:uid="{00000000-0005-0000-0000-000019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 2" xfId="348" xr:uid="{00000000-0005-0000-0000-00001A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" xfId="349" xr:uid="{00000000-0005-0000-0000-00001B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 2" xfId="350" xr:uid="{00000000-0005-0000-0000-00001C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" xfId="351" xr:uid="{00000000-0005-0000-0000-00001D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 2" xfId="352" xr:uid="{00000000-0005-0000-0000-00001E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" xfId="353" xr:uid="{00000000-0005-0000-0000-00001F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 2" xfId="354" xr:uid="{00000000-0005-0000-0000-000020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" xfId="355" xr:uid="{00000000-0005-0000-0000-000021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 2" xfId="356" xr:uid="{00000000-0005-0000-0000-000022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357" xr:uid="{00000000-0005-0000-0000-000023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358" xr:uid="{00000000-0005-0000-0000-000024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9" xr:uid="{00000000-0005-0000-0000-000025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60" xr:uid="{00000000-0005-0000-0000-000026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61" xr:uid="{00000000-0005-0000-0000-000027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62" xr:uid="{00000000-0005-0000-0000-000028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363" xr:uid="{00000000-0005-0000-0000-000029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364" xr:uid="{00000000-0005-0000-0000-00002A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" xfId="365" xr:uid="{00000000-0005-0000-0000-00002B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 2" xfId="366" xr:uid="{00000000-0005-0000-0000-00002C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367" xr:uid="{00000000-0005-0000-0000-00002D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368" xr:uid="{00000000-0005-0000-0000-00002E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69" xr:uid="{00000000-0005-0000-0000-00002F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70" xr:uid="{00000000-0005-0000-0000-000030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371" xr:uid="{00000000-0005-0000-0000-000031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372" xr:uid="{00000000-0005-0000-0000-000032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" xfId="373" xr:uid="{00000000-0005-0000-0000-000033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 2" xfId="374" xr:uid="{00000000-0005-0000-0000-000034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375" xr:uid="{00000000-0005-0000-0000-000035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376" xr:uid="{00000000-0005-0000-0000-000036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77" xr:uid="{00000000-0005-0000-0000-000037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78" xr:uid="{00000000-0005-0000-0000-000038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379" xr:uid="{00000000-0005-0000-0000-000039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380" xr:uid="{00000000-0005-0000-0000-00003A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" xfId="381" xr:uid="{00000000-0005-0000-0000-00003B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 2" xfId="382" xr:uid="{00000000-0005-0000-0000-00003C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" xfId="383" xr:uid="{00000000-0005-0000-0000-00003D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 2" xfId="384" xr:uid="{00000000-0005-0000-0000-00003E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" xfId="385" xr:uid="{00000000-0005-0000-0000-00003F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 2" xfId="386" xr:uid="{00000000-0005-0000-0000-000040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" xfId="387" xr:uid="{00000000-0005-0000-0000-000041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 2" xfId="388" xr:uid="{00000000-0005-0000-0000-000042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" xfId="389" xr:uid="{00000000-0005-0000-0000-000043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 2" xfId="390" xr:uid="{00000000-0005-0000-0000-000044010000}"/>
    <cellStyle name="_［提出版］千里導入明細資料（資源配付・仮想化）20090323_【20090715】千里導入明細資料_２１年度分（９月工事分）_fj_【20090721】千里導入明細資料_２１年度分_Ⅹ_課題と対応策_20121211" xfId="391" xr:uid="{00000000-0005-0000-0000-000045010000}"/>
    <cellStyle name="_［提出版］千里導入明細資料（資源配付・仮想化）20090323_【20090715】千里導入明細資料_２１年度分（９月工事分）_fj_【20090721】千里導入明細資料_２１年度分_Ⅹ_課題と対応策_20121211 2" xfId="392" xr:uid="{00000000-0005-0000-0000-000046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" xfId="393" xr:uid="{00000000-0005-0000-0000-000047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 2" xfId="394" xr:uid="{00000000-0005-0000-0000-000048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" xfId="395" xr:uid="{00000000-0005-0000-0000-000049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 2" xfId="396" xr:uid="{00000000-0005-0000-0000-00004A010000}"/>
    <cellStyle name="_［提出版］千里導入明細資料（資源配付・仮想化）20090323_【20090715】千里導入明細資料_２１年度分（９月工事分）_fj_【20090821】千里ラック搭載図（NW機器）" xfId="397" xr:uid="{00000000-0005-0000-0000-00004B010000}"/>
    <cellStyle name="_［提出版］千里導入明細資料（資源配付・仮想化）20090323_【20090715】千里導入明細資料_２１年度分（９月工事分）_fj_【20090821】千里ラック搭載図（NW機器） 2" xfId="398" xr:uid="{00000000-0005-0000-0000-00004C010000}"/>
    <cellStyle name="_［提出版］千里導入明細資料（資源配付・仮想化）20090323_【20090715】千里導入明細資料_２１年度分（９月工事分）_fj_【20090821】千里ラック搭載図（NW機器）_Ⅹ_課題と対応策_20121211" xfId="399" xr:uid="{00000000-0005-0000-0000-00004D010000}"/>
    <cellStyle name="_［提出版］千里導入明細資料（資源配付・仮想化）20090323_【20090715】千里導入明細資料_２１年度分（９月工事分）_fj_【20090821】千里ラック搭載図（NW機器）_Ⅹ_課題と対応策_20121211 2" xfId="400" xr:uid="{00000000-0005-0000-0000-00004E010000}"/>
    <cellStyle name="_［提出版］千里導入明細資料（資源配付・仮想化）20090323_【20090715】千里導入明細資料_２１年度分（９月工事分）_fj_【20091207】千里導入明細資料_２１年度分（ネットワーク敷設）" xfId="401" xr:uid="{00000000-0005-0000-0000-00004F010000}"/>
    <cellStyle name="_［提出版］千里導入明細資料（資源配付・仮想化）20090323_【20090715】千里導入明細資料_２１年度分（９月工事分）_fj_【20091207】千里導入明細資料_２１年度分（ネットワーク敷設） 2" xfId="402" xr:uid="{00000000-0005-0000-0000-000050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" xfId="403" xr:uid="{00000000-0005-0000-0000-000051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 2" xfId="404" xr:uid="{00000000-0005-0000-0000-000052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05" xr:uid="{00000000-0005-0000-0000-000053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06" xr:uid="{00000000-0005-0000-0000-000054010000}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" xfId="407" xr:uid="{00000000-0005-0000-0000-000055010000}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 2" xfId="408" xr:uid="{00000000-0005-0000-0000-000056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" xfId="409" xr:uid="{00000000-0005-0000-0000-000057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 2" xfId="410" xr:uid="{00000000-0005-0000-0000-000058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" xfId="411" xr:uid="{00000000-0005-0000-0000-000059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12" xr:uid="{00000000-0005-0000-0000-00005A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" xfId="413" xr:uid="{00000000-0005-0000-0000-00005B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 2" xfId="414" xr:uid="{00000000-0005-0000-0000-00005C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" xfId="415" xr:uid="{00000000-0005-0000-0000-00005D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 2" xfId="416" xr:uid="{00000000-0005-0000-0000-00005E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17" xr:uid="{00000000-0005-0000-0000-00005F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18" xr:uid="{00000000-0005-0000-0000-000060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" xfId="419" xr:uid="{00000000-0005-0000-0000-000061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 2" xfId="420" xr:uid="{00000000-0005-0000-0000-000062010000}"/>
    <cellStyle name="_［提出版］千里導入明細資料（資源配付・仮想化）20090323_【20090715】千里導入明細資料_２１年度分（９月工事分）_fj_【20091225】千里導入明細資料_２２年度上期分_営業店DB" xfId="421" xr:uid="{00000000-0005-0000-0000-000063010000}"/>
    <cellStyle name="_［提出版］千里導入明細資料（資源配付・仮想化）20090323_【20090715】千里導入明細資料_２１年度分（９月工事分）_fj_【20091225】千里導入明細資料_２２年度上期分_営業店DB 2" xfId="422" xr:uid="{00000000-0005-0000-0000-000064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" xfId="423" xr:uid="{00000000-0005-0000-0000-000065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 2" xfId="424" xr:uid="{00000000-0005-0000-0000-000066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" xfId="425" xr:uid="{00000000-0005-0000-0000-000067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 2" xfId="426" xr:uid="{00000000-0005-0000-0000-000068010000}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" xfId="427" xr:uid="{00000000-0005-0000-0000-000069010000}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 2" xfId="428" xr:uid="{00000000-0005-0000-0000-00006A010000}"/>
    <cellStyle name="_［提出版］千里導入明細資料（資源配付・仮想化）20090323_【20090715】千里導入明細資料_２１年度分（９月工事分）_fj_【20091225】千里導入明細資料_２２年度上期分_連携DB" xfId="429" xr:uid="{00000000-0005-0000-0000-00006B010000}"/>
    <cellStyle name="_［提出版］千里導入明細資料（資源配付・仮想化）20090323_【20090715】千里導入明細資料_２１年度分（９月工事分）_fj_【20091225】千里導入明細資料_２２年度上期分_連携DB 2" xfId="430" xr:uid="{00000000-0005-0000-0000-00006C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" xfId="431" xr:uid="{00000000-0005-0000-0000-00006D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 2" xfId="432" xr:uid="{00000000-0005-0000-0000-00006E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" xfId="433" xr:uid="{00000000-0005-0000-0000-00006F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 2" xfId="434" xr:uid="{00000000-0005-0000-0000-000070010000}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" xfId="435" xr:uid="{00000000-0005-0000-0000-000071010000}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 2" xfId="436" xr:uid="{00000000-0005-0000-0000-000072010000}"/>
    <cellStyle name="_［提出版］千里導入明細資料（資源配付・仮想化）20090323_【20090715】千里導入明細資料_２１年度分（９月工事分）_fj_【作成中】千里センター機器配置図（2010年対応分）_20091221" xfId="437" xr:uid="{00000000-0005-0000-0000-000073010000}"/>
    <cellStyle name="_［提出版］千里導入明細資料（資源配付・仮想化）20090323_【20090715】千里導入明細資料_２１年度分（９月工事分）_fj_【作成中】千里センター機器配置図（2010年対応分）_20091221 2" xfId="438" xr:uid="{00000000-0005-0000-0000-000074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" xfId="439" xr:uid="{00000000-0005-0000-0000-000075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 2" xfId="440" xr:uid="{00000000-0005-0000-0000-000076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" xfId="441" xr:uid="{00000000-0005-0000-0000-000077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 2" xfId="442" xr:uid="{00000000-0005-0000-0000-000078010000}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" xfId="443" xr:uid="{00000000-0005-0000-0000-000079010000}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 2" xfId="444" xr:uid="{00000000-0005-0000-0000-00007A010000}"/>
    <cellStyle name="_［提出版］千里導入明細資料（資源配付・仮想化）20090323_【20090715】千里導入明細資料_２１年度分（９月工事分）_fj_Ⅹ_課題と対応策_20121211" xfId="445" xr:uid="{00000000-0005-0000-0000-00007B010000}"/>
    <cellStyle name="_［提出版］千里導入明細資料（資源配付・仮想化）20090323_【20090715】千里導入明細資料_２１年度分（９月工事分）_fj_Ⅹ_課題と対応策_20121211 2" xfId="446" xr:uid="{00000000-0005-0000-0000-00007C010000}"/>
    <cellStyle name="_［提出版］千里導入明細資料（資源配付・仮想化）20090323_【20090715】千里導入明細資料_２１年度分（９月工事分）_fj_千里センター機器構築スケジュール（８月分）_20090731" xfId="447" xr:uid="{00000000-0005-0000-0000-00007D010000}"/>
    <cellStyle name="_［提出版］千里導入明細資料（資源配付・仮想化）20090323_【20090715】千里導入明細資料_２１年度分（９月工事分）_fj_千里センター機器構築スケジュール（８月分）_20090731 2" xfId="448" xr:uid="{00000000-0005-0000-0000-00007E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" xfId="449" xr:uid="{00000000-0005-0000-0000-00007F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 2" xfId="450" xr:uid="{00000000-0005-0000-0000-000080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51" xr:uid="{00000000-0005-0000-0000-000081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52" xr:uid="{00000000-0005-0000-0000-000082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53" xr:uid="{00000000-0005-0000-0000-000083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54" xr:uid="{00000000-0005-0000-0000-000084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" xfId="455" xr:uid="{00000000-0005-0000-0000-000085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 2" xfId="456" xr:uid="{00000000-0005-0000-0000-000086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" xfId="457" xr:uid="{00000000-0005-0000-0000-000087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 2" xfId="458" xr:uid="{00000000-0005-0000-0000-000088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" xfId="459" xr:uid="{00000000-0005-0000-0000-000089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 2" xfId="460" xr:uid="{00000000-0005-0000-0000-00008A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" xfId="461" xr:uid="{00000000-0005-0000-0000-00008B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 2" xfId="462" xr:uid="{00000000-0005-0000-0000-00008C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" xfId="463" xr:uid="{00000000-0005-0000-0000-00008D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64" xr:uid="{00000000-0005-0000-0000-00008E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" xfId="465" xr:uid="{00000000-0005-0000-0000-00008F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 2" xfId="466" xr:uid="{00000000-0005-0000-0000-000090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67" xr:uid="{00000000-0005-0000-0000-000091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68" xr:uid="{00000000-0005-0000-0000-000092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69" xr:uid="{00000000-0005-0000-0000-000093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70" xr:uid="{00000000-0005-0000-0000-000094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1" xr:uid="{00000000-0005-0000-0000-000095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2" xr:uid="{00000000-0005-0000-0000-000096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73" xr:uid="{00000000-0005-0000-0000-000097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74" xr:uid="{00000000-0005-0000-0000-000098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75" xr:uid="{00000000-0005-0000-0000-000099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76" xr:uid="{00000000-0005-0000-0000-00009A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77" xr:uid="{00000000-0005-0000-0000-00009B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78" xr:uid="{00000000-0005-0000-0000-00009C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79" xr:uid="{00000000-0005-0000-0000-00009D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80" xr:uid="{00000000-0005-0000-0000-00009E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81" xr:uid="{00000000-0005-0000-0000-00009F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82" xr:uid="{00000000-0005-0000-0000-0000A0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" xfId="483" xr:uid="{00000000-0005-0000-0000-0000A1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 2" xfId="484" xr:uid="{00000000-0005-0000-0000-0000A2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" xfId="485" xr:uid="{00000000-0005-0000-0000-0000A3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 2" xfId="486" xr:uid="{00000000-0005-0000-0000-0000A4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" xfId="487" xr:uid="{00000000-0005-0000-0000-0000A5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 2" xfId="488" xr:uid="{00000000-0005-0000-0000-0000A6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" xfId="489" xr:uid="{00000000-0005-0000-0000-0000A7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 2" xfId="490" xr:uid="{00000000-0005-0000-0000-0000A8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" xfId="491" xr:uid="{00000000-0005-0000-0000-0000A9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 2" xfId="492" xr:uid="{00000000-0005-0000-0000-0000AA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" xfId="493" xr:uid="{00000000-0005-0000-0000-0000AB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 2" xfId="494" xr:uid="{00000000-0005-0000-0000-0000AC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" xfId="495" xr:uid="{00000000-0005-0000-0000-0000AD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 2" xfId="496" xr:uid="{00000000-0005-0000-0000-0000AE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" xfId="497" xr:uid="{00000000-0005-0000-0000-0000AF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 2" xfId="498" xr:uid="{00000000-0005-0000-0000-0000B0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" xfId="499" xr:uid="{00000000-0005-0000-0000-0000B1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 2" xfId="500" xr:uid="{00000000-0005-0000-0000-0000B2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" xfId="501" xr:uid="{00000000-0005-0000-0000-0000B3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 2" xfId="502" xr:uid="{00000000-0005-0000-0000-0000B4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503" xr:uid="{00000000-0005-0000-0000-0000B5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504" xr:uid="{00000000-0005-0000-0000-0000B6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5" xr:uid="{00000000-0005-0000-0000-0000B7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6" xr:uid="{00000000-0005-0000-0000-0000B8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7" xr:uid="{00000000-0005-0000-0000-0000B9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8" xr:uid="{00000000-0005-0000-0000-0000BA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509" xr:uid="{00000000-0005-0000-0000-0000BB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510" xr:uid="{00000000-0005-0000-0000-0000BC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511" xr:uid="{00000000-0005-0000-0000-0000BD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512" xr:uid="{00000000-0005-0000-0000-0000BE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13" xr:uid="{00000000-0005-0000-0000-0000BF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14" xr:uid="{00000000-0005-0000-0000-0000C0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15" xr:uid="{00000000-0005-0000-0000-0000C1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16" xr:uid="{00000000-0005-0000-0000-0000C2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517" xr:uid="{00000000-0005-0000-0000-0000C3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518" xr:uid="{00000000-0005-0000-0000-0000C4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519" xr:uid="{00000000-0005-0000-0000-0000C5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520" xr:uid="{00000000-0005-0000-0000-0000C6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21" xr:uid="{00000000-0005-0000-0000-0000C7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22" xr:uid="{00000000-0005-0000-0000-0000C8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23" xr:uid="{00000000-0005-0000-0000-0000C9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24" xr:uid="{00000000-0005-0000-0000-0000CA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525" xr:uid="{00000000-0005-0000-0000-0000CB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526" xr:uid="{00000000-0005-0000-0000-0000CC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" xfId="527" xr:uid="{00000000-0005-0000-0000-0000CD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 2" xfId="528" xr:uid="{00000000-0005-0000-0000-0000CE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" xfId="529" xr:uid="{00000000-0005-0000-0000-0000CF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 2" xfId="530" xr:uid="{00000000-0005-0000-0000-0000D0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" xfId="531" xr:uid="{00000000-0005-0000-0000-0000D1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 2" xfId="532" xr:uid="{00000000-0005-0000-0000-0000D2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" xfId="533" xr:uid="{00000000-0005-0000-0000-0000D3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 2" xfId="534" xr:uid="{00000000-0005-0000-0000-0000D4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" xfId="535" xr:uid="{00000000-0005-0000-0000-0000D5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 2" xfId="536" xr:uid="{00000000-0005-0000-0000-0000D6010000}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" xfId="537" xr:uid="{00000000-0005-0000-0000-0000D7010000}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 2" xfId="538" xr:uid="{00000000-0005-0000-0000-0000D8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" xfId="539" xr:uid="{00000000-0005-0000-0000-0000D9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 2" xfId="540" xr:uid="{00000000-0005-0000-0000-0000DA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" xfId="541" xr:uid="{00000000-0005-0000-0000-0000DB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 2" xfId="542" xr:uid="{00000000-0005-0000-0000-0000DC010000}"/>
    <cellStyle name="_［提出版］千里導入明細資料（資源配付・仮想化）20090323_【20090724】千里導入明細資料_２１年度" xfId="543" xr:uid="{00000000-0005-0000-0000-0000DD010000}"/>
    <cellStyle name="_［提出版］千里導入明細資料（資源配付・仮想化）20090323_【20090724】千里導入明細資料_２１年度 2" xfId="544" xr:uid="{00000000-0005-0000-0000-0000DE010000}"/>
    <cellStyle name="_［提出版］千里導入明細資料（資源配付・仮想化）20090323_【20090724】千里導入明細資料_２１年度_【20091207】千里導入明細資料_２１年度分（ネットワーク敷設）" xfId="545" xr:uid="{00000000-0005-0000-0000-0000DF010000}"/>
    <cellStyle name="_［提出版］千里導入明細資料（資源配付・仮想化）20090323_【20090724】千里導入明細資料_２１年度_【20091207】千里導入明細資料_２１年度分（ネットワーク敷設） 2" xfId="546" xr:uid="{00000000-0005-0000-0000-0000E0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" xfId="547" xr:uid="{00000000-0005-0000-0000-0000E1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 2" xfId="548" xr:uid="{00000000-0005-0000-0000-0000E2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" xfId="549" xr:uid="{00000000-0005-0000-0000-0000E3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 2" xfId="550" xr:uid="{00000000-0005-0000-0000-0000E4010000}"/>
    <cellStyle name="_［提出版］千里導入明細資料（資源配付・仮想化）20090323_【20090724】千里導入明細資料_２１年度_【20091207】千里導入明細資料_２１年度分（ネットワーク敷設）_Ⅹ_課題と対応策_20121211" xfId="551" xr:uid="{00000000-0005-0000-0000-0000E5010000}"/>
    <cellStyle name="_［提出版］千里導入明細資料（資源配付・仮想化）20090323_【20090724】千里導入明細資料_２１年度_【20091207】千里導入明細資料_２１年度分（ネットワーク敷設）_Ⅹ_課題と対応策_20121211 2" xfId="552" xr:uid="{00000000-0005-0000-0000-0000E6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" xfId="553" xr:uid="{00000000-0005-0000-0000-0000E7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 2" xfId="554" xr:uid="{00000000-0005-0000-0000-0000E8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" xfId="555" xr:uid="{00000000-0005-0000-0000-0000E9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 2" xfId="556" xr:uid="{00000000-0005-0000-0000-0000EA010000}"/>
    <cellStyle name="_［提出版］千里導入明細資料（資源配付・仮想化）20090323_【20090724】千里導入明細資料_２１年度_【20091225】千里導入明細資料_２２年度上期分（営業店ＡＰ－ＤＢ）" xfId="557" xr:uid="{00000000-0005-0000-0000-0000EB010000}"/>
    <cellStyle name="_［提出版］千里導入明細資料（資源配付・仮想化）20090323_【20090724】千里導入明細資料_２１年度_【20091225】千里導入明細資料_２２年度上期分（営業店ＡＰ－ＤＢ） 2" xfId="558" xr:uid="{00000000-0005-0000-0000-0000EC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" xfId="559" xr:uid="{00000000-0005-0000-0000-0000ED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 2" xfId="560" xr:uid="{00000000-0005-0000-0000-0000EE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" xfId="561" xr:uid="{00000000-0005-0000-0000-0000EF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 2" xfId="562" xr:uid="{00000000-0005-0000-0000-0000F0010000}"/>
    <cellStyle name="_［提出版］千里導入明細資料（資源配付・仮想化）20090323_【20090724】千里導入明細資料_２１年度_【20091225】千里導入明細資料_２２年度上期分（営業店ＡＰ－ＤＢ）_Ⅹ_課題と対応策_20121211" xfId="563" xr:uid="{00000000-0005-0000-0000-0000F1010000}"/>
    <cellStyle name="_［提出版］千里導入明細資料（資源配付・仮想化）20090323_【20090724】千里導入明細資料_２１年度_【20091225】千里導入明細資料_２２年度上期分（営業店ＡＰ－ＤＢ）_Ⅹ_課題と対応策_20121211 2" xfId="564" xr:uid="{00000000-0005-0000-0000-0000F2010000}"/>
    <cellStyle name="_［提出版］千里導入明細資料（資源配付・仮想化）20090323_【20090724】千里導入明細資料_２１年度_【20091225】千里導入明細資料_２２年度上期分_営業店DB" xfId="565" xr:uid="{00000000-0005-0000-0000-0000F3010000}"/>
    <cellStyle name="_［提出版］千里導入明細資料（資源配付・仮想化）20090323_【20090724】千里導入明細資料_２１年度_【20091225】千里導入明細資料_２２年度上期分_営業店DB 2" xfId="566" xr:uid="{00000000-0005-0000-0000-0000F4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" xfId="567" xr:uid="{00000000-0005-0000-0000-0000F5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 2" xfId="568" xr:uid="{00000000-0005-0000-0000-0000F6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" xfId="569" xr:uid="{00000000-0005-0000-0000-0000F7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 2" xfId="570" xr:uid="{00000000-0005-0000-0000-0000F8010000}"/>
    <cellStyle name="_［提出版］千里導入明細資料（資源配付・仮想化）20090323_【20090724】千里導入明細資料_２１年度_【20091225】千里導入明細資料_２２年度上期分_営業店DB_Ⅹ_課題と対応策_20121211" xfId="571" xr:uid="{00000000-0005-0000-0000-0000F9010000}"/>
    <cellStyle name="_［提出版］千里導入明細資料（資源配付・仮想化）20090323_【20090724】千里導入明細資料_２１年度_【20091225】千里導入明細資料_２２年度上期分_営業店DB_Ⅹ_課題と対応策_20121211 2" xfId="572" xr:uid="{00000000-0005-0000-0000-0000FA010000}"/>
    <cellStyle name="_［提出版］千里導入明細資料（資源配付・仮想化）20090323_【20090724】千里導入明細資料_２１年度_【20091225】千里導入明細資料_２２年度上期分_連携DB" xfId="573" xr:uid="{00000000-0005-0000-0000-0000FB010000}"/>
    <cellStyle name="_［提出版］千里導入明細資料（資源配付・仮想化）20090323_【20090724】千里導入明細資料_２１年度_【20091225】千里導入明細資料_２２年度上期分_連携DB 2" xfId="574" xr:uid="{00000000-0005-0000-0000-0000FC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" xfId="575" xr:uid="{00000000-0005-0000-0000-0000FD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 2" xfId="576" xr:uid="{00000000-0005-0000-0000-0000FE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" xfId="577" xr:uid="{00000000-0005-0000-0000-0000FF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 2" xfId="578" xr:uid="{00000000-0005-0000-0000-000000020000}"/>
    <cellStyle name="_［提出版］千里導入明細資料（資源配付・仮想化）20090323_【20090724】千里導入明細資料_２１年度_【20091225】千里導入明細資料_２２年度上期分_連携DB_Ⅹ_課題と対応策_20121211" xfId="579" xr:uid="{00000000-0005-0000-0000-000001020000}"/>
    <cellStyle name="_［提出版］千里導入明細資料（資源配付・仮想化）20090323_【20090724】千里導入明細資料_２１年度_【20091225】千里導入明細資料_２２年度上期分_連携DB_Ⅹ_課題と対応策_20121211 2" xfId="580" xr:uid="{00000000-0005-0000-0000-000002020000}"/>
    <cellStyle name="_［提出版］千里導入明細資料（資源配付・仮想化）20090323_【20090724】千里導入明細資料_２１年度_【作成中】千里センター機器配置図（2010年対応分）_20091221" xfId="581" xr:uid="{00000000-0005-0000-0000-000003020000}"/>
    <cellStyle name="_［提出版］千里導入明細資料（資源配付・仮想化）20090323_【20090724】千里導入明細資料_２１年度_【作成中】千里センター機器配置図（2010年対応分）_20091221 2" xfId="582" xr:uid="{00000000-0005-0000-0000-000004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" xfId="583" xr:uid="{00000000-0005-0000-0000-000005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 2" xfId="584" xr:uid="{00000000-0005-0000-0000-000006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" xfId="585" xr:uid="{00000000-0005-0000-0000-000007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 2" xfId="586" xr:uid="{00000000-0005-0000-0000-000008020000}"/>
    <cellStyle name="_［提出版］千里導入明細資料（資源配付・仮想化）20090323_【20090724】千里導入明細資料_２１年度_【作成中】千里センター機器配置図（2010年対応分）_20091221_Ⅹ_課題と対応策_20121211" xfId="587" xr:uid="{00000000-0005-0000-0000-000009020000}"/>
    <cellStyle name="_［提出版］千里導入明細資料（資源配付・仮想化）20090323_【20090724】千里導入明細資料_２１年度_【作成中】千里センター機器配置図（2010年対応分）_20091221_Ⅹ_課題と対応策_20121211 2" xfId="588" xr:uid="{00000000-0005-0000-0000-00000A020000}"/>
    <cellStyle name="_［提出版］千里導入明細資料（資源配付・仮想化）20090323_【20090724】千里導入明細資料_２１年度_Ⅹ_課題と対応策_20121211" xfId="589" xr:uid="{00000000-0005-0000-0000-00000B020000}"/>
    <cellStyle name="_［提出版］千里導入明細資料（資源配付・仮想化）20090323_【20090724】千里導入明細資料_２１年度_Ⅹ_課題と対応策_20121211 2" xfId="590" xr:uid="{00000000-0005-0000-0000-00000C020000}"/>
    <cellStyle name="_［提出版］千里導入明細資料（資源配付・仮想化）20090323_【20090724】千里導入明細資料_２１年度分（９月工事分）" xfId="591" xr:uid="{00000000-0005-0000-0000-00000D020000}"/>
    <cellStyle name="_［提出版］千里導入明細資料（資源配付・仮想化）20090323_【20090724】千里導入明細資料_２１年度分（９月工事分） 2" xfId="592" xr:uid="{00000000-0005-0000-0000-00000E020000}"/>
    <cellStyle name="_［提出版］千里導入明細資料（資源配付・仮想化）20090323_【20090724】千里導入明細資料_２１年度分（９月工事分）_【20091207】千里導入明細資料_２１年度分（ネットワーク敷設）" xfId="593" xr:uid="{00000000-0005-0000-0000-00000F020000}"/>
    <cellStyle name="_［提出版］千里導入明細資料（資源配付・仮想化）20090323_【20090724】千里導入明細資料_２１年度分（９月工事分）_【20091207】千里導入明細資料_２１年度分（ネットワーク敷設） 2" xfId="594" xr:uid="{00000000-0005-0000-0000-000010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" xfId="595" xr:uid="{00000000-0005-0000-0000-000011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 2" xfId="596" xr:uid="{00000000-0005-0000-0000-000012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597" xr:uid="{00000000-0005-0000-0000-000013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598" xr:uid="{00000000-0005-0000-0000-000014020000}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" xfId="599" xr:uid="{00000000-0005-0000-0000-000015020000}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 2" xfId="600" xr:uid="{00000000-0005-0000-0000-000016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" xfId="601" xr:uid="{00000000-0005-0000-0000-000017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 2" xfId="602" xr:uid="{00000000-0005-0000-0000-000018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" xfId="603" xr:uid="{00000000-0005-0000-0000-000019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 2" xfId="604" xr:uid="{00000000-0005-0000-0000-00001A020000}"/>
    <cellStyle name="_［提出版］千里導入明細資料（資源配付・仮想化）20090323_【20090724】千里導入明細資料_２１年度分（９月工事分）_【20091225】千里導入明細資料_２２年度上期分（営業店ＡＰ－ＤＢ）" xfId="605" xr:uid="{00000000-0005-0000-0000-00001B020000}"/>
    <cellStyle name="_［提出版］千里導入明細資料（資源配付・仮想化）20090323_【20090724】千里導入明細資料_２１年度分（９月工事分）_【20091225】千里導入明細資料_２２年度上期分（営業店ＡＰ－ＤＢ） 2" xfId="606" xr:uid="{00000000-0005-0000-0000-00001C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" xfId="607" xr:uid="{00000000-0005-0000-0000-00001D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 2" xfId="608" xr:uid="{00000000-0005-0000-0000-00001E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609" xr:uid="{00000000-0005-0000-0000-00001F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610" xr:uid="{00000000-0005-0000-0000-000020020000}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" xfId="611" xr:uid="{00000000-0005-0000-0000-000021020000}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 2" xfId="612" xr:uid="{00000000-0005-0000-0000-000022020000}"/>
    <cellStyle name="_［提出版］千里導入明細資料（資源配付・仮想化）20090323_【20090724】千里導入明細資料_２１年度分（９月工事分）_【20091225】千里導入明細資料_２２年度上期分_営業店DB" xfId="613" xr:uid="{00000000-0005-0000-0000-000023020000}"/>
    <cellStyle name="_［提出版］千里導入明細資料（資源配付・仮想化）20090323_【20090724】千里導入明細資料_２１年度分（９月工事分）_【20091225】千里導入明細資料_２２年度上期分_営業店DB 2" xfId="614" xr:uid="{00000000-0005-0000-0000-000024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" xfId="615" xr:uid="{00000000-0005-0000-0000-000025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 2" xfId="616" xr:uid="{00000000-0005-0000-0000-000026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" xfId="617" xr:uid="{00000000-0005-0000-0000-000027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 2" xfId="618" xr:uid="{00000000-0005-0000-0000-000028020000}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" xfId="619" xr:uid="{00000000-0005-0000-0000-000029020000}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 2" xfId="620" xr:uid="{00000000-0005-0000-0000-00002A020000}"/>
    <cellStyle name="_［提出版］千里導入明細資料（資源配付・仮想化）20090323_【20090724】千里導入明細資料_２１年度分（９月工事分）_【20091225】千里導入明細資料_２２年度上期分_連携DB" xfId="621" xr:uid="{00000000-0005-0000-0000-00002B020000}"/>
    <cellStyle name="_［提出版］千里導入明細資料（資源配付・仮想化）20090323_【20090724】千里導入明細資料_２１年度分（９月工事分）_【20091225】千里導入明細資料_２２年度上期分_連携DB 2" xfId="622" xr:uid="{00000000-0005-0000-0000-00002C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" xfId="623" xr:uid="{00000000-0005-0000-0000-00002D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 2" xfId="624" xr:uid="{00000000-0005-0000-0000-00002E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" xfId="625" xr:uid="{00000000-0005-0000-0000-00002F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 2" xfId="626" xr:uid="{00000000-0005-0000-0000-000030020000}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" xfId="627" xr:uid="{00000000-0005-0000-0000-000031020000}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 2" xfId="628" xr:uid="{00000000-0005-0000-0000-000032020000}"/>
    <cellStyle name="_［提出版］千里導入明細資料（資源配付・仮想化）20090323_【20090724】千里導入明細資料_２１年度分（９月工事分）_【作成中】千里センター機器配置図（2010年対応分）_20091221" xfId="629" xr:uid="{00000000-0005-0000-0000-000033020000}"/>
    <cellStyle name="_［提出版］千里導入明細資料（資源配付・仮想化）20090323_【20090724】千里導入明細資料_２１年度分（９月工事分）_【作成中】千里センター機器配置図（2010年対応分）_20091221 2" xfId="630" xr:uid="{00000000-0005-0000-0000-000034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" xfId="631" xr:uid="{00000000-0005-0000-0000-000035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 2" xfId="632" xr:uid="{00000000-0005-0000-0000-000036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" xfId="633" xr:uid="{00000000-0005-0000-0000-000037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 2" xfId="634" xr:uid="{00000000-0005-0000-0000-000038020000}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" xfId="635" xr:uid="{00000000-0005-0000-0000-000039020000}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 2" xfId="636" xr:uid="{00000000-0005-0000-0000-00003A020000}"/>
    <cellStyle name="_［提出版］千里導入明細資料（資源配付・仮想化）20090323_【20090724】千里導入明細資料_２１年度分（９月工事分）_Ⅹ_課題と対応策_20121211" xfId="637" xr:uid="{00000000-0005-0000-0000-00003B020000}"/>
    <cellStyle name="_［提出版］千里導入明細資料（資源配付・仮想化）20090323_【20090724】千里導入明細資料_２１年度分（９月工事分）_Ⅹ_課題と対応策_20121211 2" xfId="638" xr:uid="{00000000-0005-0000-0000-00003C020000}"/>
    <cellStyle name="_［提出版］千里導入明細資料（資源配付・仮想化）20090323_【20090731】千里導入明細資料_２１年度分（９月工事分）" xfId="639" xr:uid="{00000000-0005-0000-0000-00003D020000}"/>
    <cellStyle name="_［提出版］千里導入明細資料（資源配付・仮想化）20090323_【20090731】千里導入明細資料_２１年度分（９月工事分） 2" xfId="640" xr:uid="{00000000-0005-0000-0000-00003E020000}"/>
    <cellStyle name="_［提出版］千里導入明細資料（資源配付・仮想化）20090323_【20090731】千里導入明細資料_２１年度分（９月工事分）_【20090821】千里ラック搭載図（NW機器）" xfId="641" xr:uid="{00000000-0005-0000-0000-00003F020000}"/>
    <cellStyle name="_［提出版］千里導入明細資料（資源配付・仮想化）20090323_【20090731】千里導入明細資料_２１年度分（９月工事分）_【20090821】千里ラック搭載図（NW機器） 2" xfId="642" xr:uid="{00000000-0005-0000-0000-000040020000}"/>
    <cellStyle name="_［提出版］千里導入明細資料（資源配付・仮想化）20090323_【20090731】千里導入明細資料_２１年度分（９月工事分）_【20090821】千里ラック搭載図（NW機器）_Ⅹ_課題と対応策_20121211" xfId="643" xr:uid="{00000000-0005-0000-0000-000041020000}"/>
    <cellStyle name="_［提出版］千里導入明細資料（資源配付・仮想化）20090323_【20090731】千里導入明細資料_２１年度分（９月工事分）_【20090821】千里ラック搭載図（NW機器）_Ⅹ_課題と対応策_20121211 2" xfId="644" xr:uid="{00000000-0005-0000-0000-000042020000}"/>
    <cellStyle name="_［提出版］千里導入明細資料（資源配付・仮想化）20090323_【20090731】千里導入明細資料_２１年度分（９月工事分）_Ⅹ_課題と対応策_20121211" xfId="645" xr:uid="{00000000-0005-0000-0000-000043020000}"/>
    <cellStyle name="_［提出版］千里導入明細資料（資源配付・仮想化）20090323_【20090731】千里導入明細資料_２１年度分（９月工事分）_Ⅹ_課題と対応策_20121211 2" xfId="646" xr:uid="{00000000-0005-0000-0000-000044020000}"/>
    <cellStyle name="_［提出版］千里導入明細資料（資源配付・仮想化）20090323_【20090807】千里導入明細資料" xfId="647" xr:uid="{00000000-0005-0000-0000-000045020000}"/>
    <cellStyle name="_［提出版］千里導入明細資料（資源配付・仮想化）20090323_【20090807】千里導入明細資料 2" xfId="648" xr:uid="{00000000-0005-0000-0000-000046020000}"/>
    <cellStyle name="_［提出版］千里導入明細資料（資源配付・仮想化）20090323_【20090807】千里導入明細資料_【20091207】千里導入明細資料_２１年度分（ネットワーク敷設）" xfId="649" xr:uid="{00000000-0005-0000-0000-000047020000}"/>
    <cellStyle name="_［提出版］千里導入明細資料（資源配付・仮想化）20090323_【20090807】千里導入明細資料_【20091207】千里導入明細資料_２１年度分（ネットワーク敷設） 2" xfId="650" xr:uid="{00000000-0005-0000-0000-000048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" xfId="651" xr:uid="{00000000-0005-0000-0000-000049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 2" xfId="652" xr:uid="{00000000-0005-0000-0000-00004A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" xfId="653" xr:uid="{00000000-0005-0000-0000-00004B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 2" xfId="654" xr:uid="{00000000-0005-0000-0000-00004C020000}"/>
    <cellStyle name="_［提出版］千里導入明細資料（資源配付・仮想化）20090323_【20090807】千里導入明細資料_【20091207】千里導入明細資料_２１年度分（ネットワーク敷設）_Ⅹ_課題と対応策_20121211" xfId="655" xr:uid="{00000000-0005-0000-0000-00004D020000}"/>
    <cellStyle name="_［提出版］千里導入明細資料（資源配付・仮想化）20090323_【20090807】千里導入明細資料_【20091207】千里導入明細資料_２１年度分（ネットワーク敷設）_Ⅹ_課題と対応策_20121211 2" xfId="656" xr:uid="{00000000-0005-0000-0000-00004E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" xfId="657" xr:uid="{00000000-0005-0000-0000-00004F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 2" xfId="658" xr:uid="{00000000-0005-0000-0000-000050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" xfId="659" xr:uid="{00000000-0005-0000-0000-000051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 2" xfId="660" xr:uid="{00000000-0005-0000-0000-000052020000}"/>
    <cellStyle name="_［提出版］千里導入明細資料（資源配付・仮想化）20090323_【20090807】千里導入明細資料_【20091225】千里導入明細資料_２２年度上期分（営業店ＡＰ－ＤＢ）" xfId="661" xr:uid="{00000000-0005-0000-0000-000053020000}"/>
    <cellStyle name="_［提出版］千里導入明細資料（資源配付・仮想化）20090323_【20090807】千里導入明細資料_【20091225】千里導入明細資料_２２年度上期分（営業店ＡＰ－ＤＢ） 2" xfId="662" xr:uid="{00000000-0005-0000-0000-000054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" xfId="663" xr:uid="{00000000-0005-0000-0000-000055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 2" xfId="664" xr:uid="{00000000-0005-0000-0000-000056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" xfId="665" xr:uid="{00000000-0005-0000-0000-000057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 2" xfId="666" xr:uid="{00000000-0005-0000-0000-000058020000}"/>
    <cellStyle name="_［提出版］千里導入明細資料（資源配付・仮想化）20090323_【20090807】千里導入明細資料_【20091225】千里導入明細資料_２２年度上期分（営業店ＡＰ－ＤＢ）_Ⅹ_課題と対応策_20121211" xfId="667" xr:uid="{00000000-0005-0000-0000-000059020000}"/>
    <cellStyle name="_［提出版］千里導入明細資料（資源配付・仮想化）20090323_【20090807】千里導入明細資料_【20091225】千里導入明細資料_２２年度上期分（営業店ＡＰ－ＤＢ）_Ⅹ_課題と対応策_20121211 2" xfId="668" xr:uid="{00000000-0005-0000-0000-00005A020000}"/>
    <cellStyle name="_［提出版］千里導入明細資料（資源配付・仮想化）20090323_【20090807】千里導入明細資料_【20091225】千里導入明細資料_２２年度上期分_営業店DB" xfId="669" xr:uid="{00000000-0005-0000-0000-00005B020000}"/>
    <cellStyle name="_［提出版］千里導入明細資料（資源配付・仮想化）20090323_【20090807】千里導入明細資料_【20091225】千里導入明細資料_２２年度上期分_営業店DB 2" xfId="670" xr:uid="{00000000-0005-0000-0000-00005C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" xfId="671" xr:uid="{00000000-0005-0000-0000-00005D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 2" xfId="672" xr:uid="{00000000-0005-0000-0000-00005E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" xfId="673" xr:uid="{00000000-0005-0000-0000-00005F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 2" xfId="674" xr:uid="{00000000-0005-0000-0000-000060020000}"/>
    <cellStyle name="_［提出版］千里導入明細資料（資源配付・仮想化）20090323_【20090807】千里導入明細資料_【20091225】千里導入明細資料_２２年度上期分_営業店DB_Ⅹ_課題と対応策_20121211" xfId="675" xr:uid="{00000000-0005-0000-0000-000061020000}"/>
    <cellStyle name="_［提出版］千里導入明細資料（資源配付・仮想化）20090323_【20090807】千里導入明細資料_【20091225】千里導入明細資料_２２年度上期分_営業店DB_Ⅹ_課題と対応策_20121211 2" xfId="676" xr:uid="{00000000-0005-0000-0000-000062020000}"/>
    <cellStyle name="_［提出版］千里導入明細資料（資源配付・仮想化）20090323_【20090807】千里導入明細資料_【20091225】千里導入明細資料_２２年度上期分_連携DB" xfId="677" xr:uid="{00000000-0005-0000-0000-000063020000}"/>
    <cellStyle name="_［提出版］千里導入明細資料（資源配付・仮想化）20090323_【20090807】千里導入明細資料_【20091225】千里導入明細資料_２２年度上期分_連携DB 2" xfId="678" xr:uid="{00000000-0005-0000-0000-000064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" xfId="679" xr:uid="{00000000-0005-0000-0000-000065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 2" xfId="680" xr:uid="{00000000-0005-0000-0000-000066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" xfId="681" xr:uid="{00000000-0005-0000-0000-000067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 2" xfId="682" xr:uid="{00000000-0005-0000-0000-000068020000}"/>
    <cellStyle name="_［提出版］千里導入明細資料（資源配付・仮想化）20090323_【20090807】千里導入明細資料_【20091225】千里導入明細資料_２２年度上期分_連携DB_Ⅹ_課題と対応策_20121211" xfId="683" xr:uid="{00000000-0005-0000-0000-000069020000}"/>
    <cellStyle name="_［提出版］千里導入明細資料（資源配付・仮想化）20090323_【20090807】千里導入明細資料_【20091225】千里導入明細資料_２２年度上期分_連携DB_Ⅹ_課題と対応策_20121211 2" xfId="684" xr:uid="{00000000-0005-0000-0000-00006A020000}"/>
    <cellStyle name="_［提出版］千里導入明細資料（資源配付・仮想化）20090323_【20090807】千里導入明細資料_【作成中】千里センター機器配置図（2010年対応分）_20091221" xfId="685" xr:uid="{00000000-0005-0000-0000-00006B020000}"/>
    <cellStyle name="_［提出版］千里導入明細資料（資源配付・仮想化）20090323_【20090807】千里導入明細資料_【作成中】千里センター機器配置図（2010年対応分）_20091221 2" xfId="686" xr:uid="{00000000-0005-0000-0000-00006C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" xfId="687" xr:uid="{00000000-0005-0000-0000-00006D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 2" xfId="688" xr:uid="{00000000-0005-0000-0000-00006E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" xfId="689" xr:uid="{00000000-0005-0000-0000-00006F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 2" xfId="690" xr:uid="{00000000-0005-0000-0000-000070020000}"/>
    <cellStyle name="_［提出版］千里導入明細資料（資源配付・仮想化）20090323_【20090807】千里導入明細資料_【作成中】千里センター機器配置図（2010年対応分）_20091221_Ⅹ_課題と対応策_20121211" xfId="691" xr:uid="{00000000-0005-0000-0000-000071020000}"/>
    <cellStyle name="_［提出版］千里導入明細資料（資源配付・仮想化）20090323_【20090807】千里導入明細資料_【作成中】千里センター機器配置図（2010年対応分）_20091221_Ⅹ_課題と対応策_20121211 2" xfId="692" xr:uid="{00000000-0005-0000-0000-000072020000}"/>
    <cellStyle name="_［提出版］千里導入明細資料（資源配付・仮想化）20090323_【20090807】千里導入明細資料_Ⅹ_課題と対応策_20121211" xfId="693" xr:uid="{00000000-0005-0000-0000-000073020000}"/>
    <cellStyle name="_［提出版］千里導入明細資料（資源配付・仮想化）20090323_【20090807】千里導入明細資料_Ⅹ_課題と対応策_20121211 2" xfId="694" xr:uid="{00000000-0005-0000-0000-000074020000}"/>
    <cellStyle name="_［提出版］千里導入明細資料（資源配付・仮想化）20090323_【20090814】千里導入明細資料_SDB追加" xfId="695" xr:uid="{00000000-0005-0000-0000-000075020000}"/>
    <cellStyle name="_［提出版］千里導入明細資料（資源配付・仮想化）20090323_【20090814】千里導入明細資料_SDB追加 2" xfId="696" xr:uid="{00000000-0005-0000-0000-000076020000}"/>
    <cellStyle name="_［提出版］千里導入明細資料（資源配付・仮想化）20090323_【20090814】千里導入明細資料_SDB追加_【20091207】千里導入明細資料_２１年度分（ネットワーク敷設）" xfId="697" xr:uid="{00000000-0005-0000-0000-000077020000}"/>
    <cellStyle name="_［提出版］千里導入明細資料（資源配付・仮想化）20090323_【20090814】千里導入明細資料_SDB追加_【20091207】千里導入明細資料_２１年度分（ネットワーク敷設） 2" xfId="698" xr:uid="{00000000-0005-0000-0000-000078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" xfId="699" xr:uid="{00000000-0005-0000-0000-000079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 2" xfId="700" xr:uid="{00000000-0005-0000-0000-00007A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" xfId="701" xr:uid="{00000000-0005-0000-0000-00007B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 2" xfId="702" xr:uid="{00000000-0005-0000-0000-00007C020000}"/>
    <cellStyle name="_［提出版］千里導入明細資料（資源配付・仮想化）20090323_【20090814】千里導入明細資料_SDB追加_【20091207】千里導入明細資料_２１年度分（ネットワーク敷設）_Ⅹ_課題と対応策_20121211" xfId="703" xr:uid="{00000000-0005-0000-0000-00007D020000}"/>
    <cellStyle name="_［提出版］千里導入明細資料（資源配付・仮想化）20090323_【20090814】千里導入明細資料_SDB追加_【20091207】千里導入明細資料_２１年度分（ネットワーク敷設）_Ⅹ_課題と対応策_20121211 2" xfId="704" xr:uid="{00000000-0005-0000-0000-00007E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" xfId="705" xr:uid="{00000000-0005-0000-0000-00007F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 2" xfId="706" xr:uid="{00000000-0005-0000-0000-000080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" xfId="707" xr:uid="{00000000-0005-0000-0000-000081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 2" xfId="708" xr:uid="{00000000-0005-0000-0000-000082020000}"/>
    <cellStyle name="_［提出版］千里導入明細資料（資源配付・仮想化）20090323_【20090814】千里導入明細資料_SDB追加_【20091225】千里導入明細資料_２２年度上期分（営業店ＡＰ－ＤＢ）" xfId="709" xr:uid="{00000000-0005-0000-0000-000083020000}"/>
    <cellStyle name="_［提出版］千里導入明細資料（資源配付・仮想化）20090323_【20090814】千里導入明細資料_SDB追加_【20091225】千里導入明細資料_２２年度上期分（営業店ＡＰ－ＤＢ） 2" xfId="710" xr:uid="{00000000-0005-0000-0000-000084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" xfId="711" xr:uid="{00000000-0005-0000-0000-000085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 2" xfId="712" xr:uid="{00000000-0005-0000-0000-000086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" xfId="713" xr:uid="{00000000-0005-0000-0000-000087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 2" xfId="714" xr:uid="{00000000-0005-0000-0000-000088020000}"/>
    <cellStyle name="_［提出版］千里導入明細資料（資源配付・仮想化）20090323_【20090814】千里導入明細資料_SDB追加_【20091225】千里導入明細資料_２２年度上期分（営業店ＡＰ－ＤＢ）_Ⅹ_課題と対応策_20121211" xfId="715" xr:uid="{00000000-0005-0000-0000-000089020000}"/>
    <cellStyle name="_［提出版］千里導入明細資料（資源配付・仮想化）20090323_【20090814】千里導入明細資料_SDB追加_【20091225】千里導入明細資料_２２年度上期分（営業店ＡＰ－ＤＢ）_Ⅹ_課題と対応策_20121211 2" xfId="716" xr:uid="{00000000-0005-0000-0000-00008A020000}"/>
    <cellStyle name="_［提出版］千里導入明細資料（資源配付・仮想化）20090323_【20090814】千里導入明細資料_SDB追加_【20091225】千里導入明細資料_２２年度上期分_営業店DB" xfId="717" xr:uid="{00000000-0005-0000-0000-00008B020000}"/>
    <cellStyle name="_［提出版］千里導入明細資料（資源配付・仮想化）20090323_【20090814】千里導入明細資料_SDB追加_【20091225】千里導入明細資料_２２年度上期分_営業店DB 2" xfId="718" xr:uid="{00000000-0005-0000-0000-00008C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" xfId="719" xr:uid="{00000000-0005-0000-0000-00008D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 2" xfId="720" xr:uid="{00000000-0005-0000-0000-00008E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" xfId="721" xr:uid="{00000000-0005-0000-0000-00008F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 2" xfId="722" xr:uid="{00000000-0005-0000-0000-000090020000}"/>
    <cellStyle name="_［提出版］千里導入明細資料（資源配付・仮想化）20090323_【20090814】千里導入明細資料_SDB追加_【20091225】千里導入明細資料_２２年度上期分_営業店DB_Ⅹ_課題と対応策_20121211" xfId="723" xr:uid="{00000000-0005-0000-0000-000091020000}"/>
    <cellStyle name="_［提出版］千里導入明細資料（資源配付・仮想化）20090323_【20090814】千里導入明細資料_SDB追加_【20091225】千里導入明細資料_２２年度上期分_営業店DB_Ⅹ_課題と対応策_20121211 2" xfId="724" xr:uid="{00000000-0005-0000-0000-000092020000}"/>
    <cellStyle name="_［提出版］千里導入明細資料（資源配付・仮想化）20090323_【20090814】千里導入明細資料_SDB追加_【20091225】千里導入明細資料_２２年度上期分_連携DB" xfId="725" xr:uid="{00000000-0005-0000-0000-000093020000}"/>
    <cellStyle name="_［提出版］千里導入明細資料（資源配付・仮想化）20090323_【20090814】千里導入明細資料_SDB追加_【20091225】千里導入明細資料_２２年度上期分_連携DB 2" xfId="726" xr:uid="{00000000-0005-0000-0000-000094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" xfId="727" xr:uid="{00000000-0005-0000-0000-000095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 2" xfId="728" xr:uid="{00000000-0005-0000-0000-000096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" xfId="729" xr:uid="{00000000-0005-0000-0000-000097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 2" xfId="730" xr:uid="{00000000-0005-0000-0000-000098020000}"/>
    <cellStyle name="_［提出版］千里導入明細資料（資源配付・仮想化）20090323_【20090814】千里導入明細資料_SDB追加_【20091225】千里導入明細資料_２２年度上期分_連携DB_Ⅹ_課題と対応策_20121211" xfId="731" xr:uid="{00000000-0005-0000-0000-000099020000}"/>
    <cellStyle name="_［提出版］千里導入明細資料（資源配付・仮想化）20090323_【20090814】千里導入明細資料_SDB追加_【20091225】千里導入明細資料_２２年度上期分_連携DB_Ⅹ_課題と対応策_20121211 2" xfId="732" xr:uid="{00000000-0005-0000-0000-00009A020000}"/>
    <cellStyle name="_［提出版］千里導入明細資料（資源配付・仮想化）20090323_【20090814】千里導入明細資料_SDB追加_【作成中】千里センター機器配置図（2010年対応分）_20091221" xfId="733" xr:uid="{00000000-0005-0000-0000-00009B020000}"/>
    <cellStyle name="_［提出版］千里導入明細資料（資源配付・仮想化）20090323_【20090814】千里導入明細資料_SDB追加_【作成中】千里センター機器配置図（2010年対応分）_20091221 2" xfId="734" xr:uid="{00000000-0005-0000-0000-00009C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" xfId="735" xr:uid="{00000000-0005-0000-0000-00009D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 2" xfId="736" xr:uid="{00000000-0005-0000-0000-00009E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" xfId="737" xr:uid="{00000000-0005-0000-0000-00009F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 2" xfId="738" xr:uid="{00000000-0005-0000-0000-0000A0020000}"/>
    <cellStyle name="_［提出版］千里導入明細資料（資源配付・仮想化）20090323_【20090814】千里導入明細資料_SDB追加_【作成中】千里センター機器配置図（2010年対応分）_20091221_Ⅹ_課題と対応策_20121211" xfId="739" xr:uid="{00000000-0005-0000-0000-0000A1020000}"/>
    <cellStyle name="_［提出版］千里導入明細資料（資源配付・仮想化）20090323_【20090814】千里導入明細資料_SDB追加_【作成中】千里センター機器配置図（2010年対応分）_20091221_Ⅹ_課題と対応策_20121211 2" xfId="740" xr:uid="{00000000-0005-0000-0000-0000A2020000}"/>
    <cellStyle name="_［提出版］千里導入明細資料（資源配付・仮想化）20090323_【20090814】千里導入明細資料_SDB追加_Ⅹ_課題と対応策_20121211" xfId="741" xr:uid="{00000000-0005-0000-0000-0000A3020000}"/>
    <cellStyle name="_［提出版］千里導入明細資料（資源配付・仮想化）20090323_【20090814】千里導入明細資料_SDB追加_Ⅹ_課題と対応策_20121211 2" xfId="742" xr:uid="{00000000-0005-0000-0000-0000A4020000}"/>
    <cellStyle name="_［提出版］千里導入明細資料（資源配付・仮想化）20090323_【20090821】千里ラック搭載図（NW機器）" xfId="743" xr:uid="{00000000-0005-0000-0000-0000A5020000}"/>
    <cellStyle name="_［提出版］千里導入明細資料（資源配付・仮想化）20090323_【20090821】千里ラック搭載図（NW機器） 2" xfId="744" xr:uid="{00000000-0005-0000-0000-0000A6020000}"/>
    <cellStyle name="_［提出版］千里導入明細資料（資源配付・仮想化）20090323_【20090821】千里ラック搭載図（NW機器）_Ⅹ_課題と対応策_20121211" xfId="745" xr:uid="{00000000-0005-0000-0000-0000A7020000}"/>
    <cellStyle name="_［提出版］千里導入明細資料（資源配付・仮想化）20090323_【20090821】千里ラック搭載図（NW機器）_Ⅹ_課題と対応策_20121211 2" xfId="746" xr:uid="{00000000-0005-0000-0000-0000A8020000}"/>
    <cellStyle name="_［提出版］千里導入明細資料（資源配付・仮想化）20090323_【20091218】千里導入明細資料_２１年度分（ネットワーク敷設）" xfId="747" xr:uid="{00000000-0005-0000-0000-0000A9020000}"/>
    <cellStyle name="_［提出版］千里導入明細資料（資源配付・仮想化）20090323_【20091218】千里導入明細資料_２１年度分（ネットワーク敷設） 2" xfId="748" xr:uid="{00000000-0005-0000-0000-0000AA020000}"/>
    <cellStyle name="_［提出版］千里導入明細資料（資源配付・仮想化）20090323_【20091218】千里導入明細資料_２１年度分（ネットワーク敷設）_Ⅹ_課題と対応策_20121211" xfId="749" xr:uid="{00000000-0005-0000-0000-0000AB020000}"/>
    <cellStyle name="_［提出版］千里導入明細資料（資源配付・仮想化）20090323_【20091218】千里導入明細資料_２１年度分（ネットワーク敷設）_Ⅹ_課題と対応策_20121211 2" xfId="750" xr:uid="{00000000-0005-0000-0000-0000AC020000}"/>
    <cellStyle name="_［提出版］千里導入明細資料（資源配付・仮想化）20090323_【20091224】千里導入明細資料_２２年度上期分_営業店DB" xfId="751" xr:uid="{00000000-0005-0000-0000-0000AD020000}"/>
    <cellStyle name="_［提出版］千里導入明細資料（資源配付・仮想化）20090323_【20091224】千里導入明細資料_２２年度上期分_営業店DB 2" xfId="752" xr:uid="{00000000-0005-0000-0000-0000AE020000}"/>
    <cellStyle name="_［提出版］千里導入明細資料（資源配付・仮想化）20090323_【20091224】千里導入明細資料_２２年度上期分_営業店DB_【20091225】千里導入明細資料_２２年度上期分（営業店ＡＰ－ＤＢ）" xfId="753" xr:uid="{00000000-0005-0000-0000-0000AF020000}"/>
    <cellStyle name="_［提出版］千里導入明細資料（資源配付・仮想化）20090323_【20091224】千里導入明細資料_２２年度上期分_営業店DB_【20091225】千里導入明細資料_２２年度上期分（営業店ＡＰ－ＤＢ） 2" xfId="754" xr:uid="{00000000-0005-0000-0000-0000B0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" xfId="755" xr:uid="{00000000-0005-0000-0000-0000B1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 2" xfId="756" xr:uid="{00000000-0005-0000-0000-0000B2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" xfId="757" xr:uid="{00000000-0005-0000-0000-0000B3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758" xr:uid="{00000000-0005-0000-0000-0000B4020000}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" xfId="759" xr:uid="{00000000-0005-0000-0000-0000B5020000}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 2" xfId="760" xr:uid="{00000000-0005-0000-0000-0000B6020000}"/>
    <cellStyle name="_［提出版］千里導入明細資料（資源配付・仮想化）20090323_【20091224】千里導入明細資料_２２年度上期分_営業店DB_【20091225】千里導入明細資料_２２年度上期分_営業店DB" xfId="761" xr:uid="{00000000-0005-0000-0000-0000B7020000}"/>
    <cellStyle name="_［提出版］千里導入明細資料（資源配付・仮想化）20090323_【20091224】千里導入明細資料_２２年度上期分_営業店DB_【20091225】千里導入明細資料_２２年度上期分_営業店DB 2" xfId="762" xr:uid="{00000000-0005-0000-0000-0000B8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" xfId="763" xr:uid="{00000000-0005-0000-0000-0000B9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 2" xfId="764" xr:uid="{00000000-0005-0000-0000-0000BA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" xfId="765" xr:uid="{00000000-0005-0000-0000-0000BB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 2" xfId="766" xr:uid="{00000000-0005-0000-0000-0000BC020000}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" xfId="767" xr:uid="{00000000-0005-0000-0000-0000BD020000}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 2" xfId="768" xr:uid="{00000000-0005-0000-0000-0000BE020000}"/>
    <cellStyle name="_［提出版］千里導入明細資料（資源配付・仮想化）20090323_【20091224】千里導入明細資料_２２年度上期分_営業店DB_Ⅹ_課題と対応策_20121211" xfId="769" xr:uid="{00000000-0005-0000-0000-0000BF020000}"/>
    <cellStyle name="_［提出版］千里導入明細資料（資源配付・仮想化）20090323_【20091224】千里導入明細資料_２２年度上期分_営業店DB_Ⅹ_課題と対応策_20121211 2" xfId="770" xr:uid="{00000000-0005-0000-0000-0000C0020000}"/>
    <cellStyle name="_［提出版］千里導入明細資料（資源配付・仮想化）20090323_【20091225】千里導入明細資料_２２年度上期分" xfId="771" xr:uid="{00000000-0005-0000-0000-0000C1020000}"/>
    <cellStyle name="_［提出版］千里導入明細資料（資源配付・仮想化）20090323_【20091225】千里導入明細資料_２２年度上期分 2" xfId="772" xr:uid="{00000000-0005-0000-0000-0000C2020000}"/>
    <cellStyle name="_［提出版］千里導入明細資料（資源配付・仮想化）20090323_【20091225】千里導入明細資料_２２年度上期分_Ⅹ_課題と対応策_20121211" xfId="773" xr:uid="{00000000-0005-0000-0000-0000C3020000}"/>
    <cellStyle name="_［提出版］千里導入明細資料（資源配付・仮想化）20090323_【20091225】千里導入明細資料_２２年度上期分_Ⅹ_課題と対応策_20121211 2" xfId="774" xr:uid="{00000000-0005-0000-0000-0000C4020000}"/>
    <cellStyle name="_［提出版］千里導入明細資料（資源配付・仮想化）20090323_【20091225】千里導入明細資料_２２年度上期分_営業店DB" xfId="775" xr:uid="{00000000-0005-0000-0000-0000C5020000}"/>
    <cellStyle name="_［提出版］千里導入明細資料（資源配付・仮想化）20090323_【20091225】千里導入明細資料_２２年度上期分_営業店DB 2" xfId="776" xr:uid="{00000000-0005-0000-0000-0000C6020000}"/>
    <cellStyle name="_［提出版］千里導入明細資料（資源配付・仮想化）20090323_【20091225】千里導入明細資料_２２年度上期分_営業店DB_Ⅹ_課題と対応策_20121211" xfId="777" xr:uid="{00000000-0005-0000-0000-0000C7020000}"/>
    <cellStyle name="_［提出版］千里導入明細資料（資源配付・仮想化）20090323_【20091225】千里導入明細資料_２２年度上期分_営業店DB_Ⅹ_課題と対応策_20121211 2" xfId="778" xr:uid="{00000000-0005-0000-0000-0000C8020000}"/>
    <cellStyle name="_［提出版］千里導入明細資料（資源配付・仮想化）20090323_【20091225】千里導入明細資料_２２年度上期分_連携DB" xfId="779" xr:uid="{00000000-0005-0000-0000-0000C9020000}"/>
    <cellStyle name="_［提出版］千里導入明細資料（資源配付・仮想化）20090323_【20091225】千里導入明細資料_２２年度上期分_連携DB 2" xfId="780" xr:uid="{00000000-0005-0000-0000-0000CA020000}"/>
    <cellStyle name="_［提出版］千里導入明細資料（資源配付・仮想化）20090323_【20091225】千里導入明細資料_２２年度上期分_連携DB_Ⅹ_課題と対応策_20121211" xfId="781" xr:uid="{00000000-0005-0000-0000-0000CB020000}"/>
    <cellStyle name="_［提出版］千里導入明細資料（資源配付・仮想化）20090323_【20091225】千里導入明細資料_２２年度上期分_連携DB_Ⅹ_課題と対応策_20121211 2" xfId="782" xr:uid="{00000000-0005-0000-0000-0000CC020000}"/>
    <cellStyle name="_［提出版］千里導入明細資料（資源配付・仮想化）20090323_【200912xx】千里導入明細資料_２２年度上期分" xfId="783" xr:uid="{00000000-0005-0000-0000-0000CD020000}"/>
    <cellStyle name="_［提出版］千里導入明細資料（資源配付・仮想化）20090323_【200912xx】千里導入明細資料_２２年度上期分 2" xfId="784" xr:uid="{00000000-0005-0000-0000-0000CE020000}"/>
    <cellStyle name="_［提出版］千里導入明細資料（資源配付・仮想化）20090323_【200912xx】千里導入明細資料_２２年度上期分（為替分）" xfId="785" xr:uid="{00000000-0005-0000-0000-0000CF020000}"/>
    <cellStyle name="_［提出版］千里導入明細資料（資源配付・仮想化）20090323_【200912xx】千里導入明細資料_２２年度上期分（為替分） 2" xfId="786" xr:uid="{00000000-0005-0000-0000-0000D0020000}"/>
    <cellStyle name="_［提出版］千里導入明細資料（資源配付・仮想化）20090323_【200912xx】千里導入明細資料_２２年度上期分（為替分）_Ⅹ_課題と対応策_20121211" xfId="787" xr:uid="{00000000-0005-0000-0000-0000D1020000}"/>
    <cellStyle name="_［提出版］千里導入明細資料（資源配付・仮想化）20090323_【200912xx】千里導入明細資料_２２年度上期分（為替分）_Ⅹ_課題と対応策_20121211 2" xfId="788" xr:uid="{00000000-0005-0000-0000-0000D2020000}"/>
    <cellStyle name="_［提出版］千里導入明細資料（資源配付・仮想化）20090323_【200912xx】千里導入明細資料_２２年度上期分_【20091225】千里導入明細資料_２２年度上期分（営業店ＡＰ－ＤＢ）" xfId="789" xr:uid="{00000000-0005-0000-0000-0000D3020000}"/>
    <cellStyle name="_［提出版］千里導入明細資料（資源配付・仮想化）20090323_【200912xx】千里導入明細資料_２２年度上期分_【20091225】千里導入明細資料_２２年度上期分（営業店ＡＰ－ＤＢ） 2" xfId="790" xr:uid="{00000000-0005-0000-0000-0000D4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" xfId="791" xr:uid="{00000000-0005-0000-0000-0000D5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 2" xfId="792" xr:uid="{00000000-0005-0000-0000-0000D6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" xfId="793" xr:uid="{00000000-0005-0000-0000-0000D7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 2" xfId="794" xr:uid="{00000000-0005-0000-0000-0000D8020000}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" xfId="795" xr:uid="{00000000-0005-0000-0000-0000D9020000}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 2" xfId="796" xr:uid="{00000000-0005-0000-0000-0000DA020000}"/>
    <cellStyle name="_［提出版］千里導入明細資料（資源配付・仮想化）20090323_【200912xx】千里導入明細資料_２２年度上期分_【20091225】千里導入明細資料_２２年度上期分_営業店DB" xfId="797" xr:uid="{00000000-0005-0000-0000-0000DB020000}"/>
    <cellStyle name="_［提出版］千里導入明細資料（資源配付・仮想化）20090323_【200912xx】千里導入明細資料_２２年度上期分_【20091225】千里導入明細資料_２２年度上期分_営業店DB 2" xfId="798" xr:uid="{00000000-0005-0000-0000-0000DC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" xfId="799" xr:uid="{00000000-0005-0000-0000-0000DD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 2" xfId="800" xr:uid="{00000000-0005-0000-0000-0000DE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" xfId="801" xr:uid="{00000000-0005-0000-0000-0000DF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 2" xfId="802" xr:uid="{00000000-0005-0000-0000-0000E0020000}"/>
    <cellStyle name="_［提出版］千里導入明細資料（資源配付・仮想化）20090323_【200912xx】千里導入明細資料_２２年度上期分_【20091225】千里導入明細資料_２２年度上期分_営業店DB_Ⅹ_課題と対応策_20121211" xfId="803" xr:uid="{00000000-0005-0000-0000-0000E1020000}"/>
    <cellStyle name="_［提出版］千里導入明細資料（資源配付・仮想化）20090323_【200912xx】千里導入明細資料_２２年度上期分_【20091225】千里導入明細資料_２２年度上期分_営業店DB_Ⅹ_課題と対応策_20121211 2" xfId="804" xr:uid="{00000000-0005-0000-0000-0000E2020000}"/>
    <cellStyle name="_［提出版］千里導入明細資料（資源配付・仮想化）20090323_【200912xx】千里導入明細資料_２２年度上期分_【20091225】千里導入明細資料_２２年度上期分_連携DB" xfId="805" xr:uid="{00000000-0005-0000-0000-0000E3020000}"/>
    <cellStyle name="_［提出版］千里導入明細資料（資源配付・仮想化）20090323_【200912xx】千里導入明細資料_２２年度上期分_【20091225】千里導入明細資料_２２年度上期分_連携DB 2" xfId="806" xr:uid="{00000000-0005-0000-0000-0000E4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" xfId="807" xr:uid="{00000000-0005-0000-0000-0000E5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 2" xfId="808" xr:uid="{00000000-0005-0000-0000-0000E6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" xfId="809" xr:uid="{00000000-0005-0000-0000-0000E7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 2" xfId="810" xr:uid="{00000000-0005-0000-0000-0000E8020000}"/>
    <cellStyle name="_［提出版］千里導入明細資料（資源配付・仮想化）20090323_【200912xx】千里導入明細資料_２２年度上期分_【20091225】千里導入明細資料_２２年度上期分_連携DB_Ⅹ_課題と対応策_20121211" xfId="811" xr:uid="{00000000-0005-0000-0000-0000E9020000}"/>
    <cellStyle name="_［提出版］千里導入明細資料（資源配付・仮想化）20090323_【200912xx】千里導入明細資料_２２年度上期分_【20091225】千里導入明細資料_２２年度上期分_連携DB_Ⅹ_課題と対応策_20121211 2" xfId="812" xr:uid="{00000000-0005-0000-0000-0000EA020000}"/>
    <cellStyle name="_［提出版］千里導入明細資料（資源配付・仮想化）20090323_【200912xx】千里導入明細資料_２２年度上期分_Ⅹ_課題と対応策_20121211" xfId="813" xr:uid="{00000000-0005-0000-0000-0000EB020000}"/>
    <cellStyle name="_［提出版］千里導入明細資料（資源配付・仮想化）20090323_【200912xx】千里導入明細資料_２２年度上期分_Ⅹ_課題と対応策_20121211 2" xfId="814" xr:uid="{00000000-0005-0000-0000-0000EC020000}"/>
    <cellStyle name="_［提出版］千里導入明細資料（資源配付・仮想化）20090323_【調整中】千里導入明細資料_２２年度上期分_fj_20100127" xfId="815" xr:uid="{00000000-0005-0000-0000-0000ED020000}"/>
    <cellStyle name="_［提出版］千里導入明細資料（資源配付・仮想化）20090323_【調整中】千里導入明細資料_２２年度上期分_fj_20100127 2" xfId="816" xr:uid="{00000000-0005-0000-0000-0000EE020000}"/>
    <cellStyle name="_［提出版］千里導入明細資料（資源配付・仮想化）20090323_【調整中】千里導入明細資料_２２年度上期分_fj_20100127_Ⅹ_課題と対応策_20121211" xfId="817" xr:uid="{00000000-0005-0000-0000-0000EF020000}"/>
    <cellStyle name="_［提出版］千里導入明細資料（資源配付・仮想化）20090323_【調整中】千里導入明細資料_２２年度上期分_fj_20100127_Ⅹ_課題と対応策_20121211 2" xfId="818" xr:uid="{00000000-0005-0000-0000-0000F0020000}"/>
    <cellStyle name="_［提出版］千里導入明細資料（資源配付・仮想化）20090323_①【20091225】千里導入明細資料_２２年度上期1分)" xfId="819" xr:uid="{00000000-0005-0000-0000-0000F1020000}"/>
    <cellStyle name="_［提出版］千里導入明細資料（資源配付・仮想化）20090323_①【20091225】千里導入明細資料_２２年度上期1分) 2" xfId="820" xr:uid="{00000000-0005-0000-0000-0000F2020000}"/>
    <cellStyle name="_［提出版］千里導入明細資料（資源配付・仮想化）20090323_①【20091225】千里導入明細資料_２２年度上期1分)_Ⅹ_課題と対応策_20121211" xfId="821" xr:uid="{00000000-0005-0000-0000-0000F3020000}"/>
    <cellStyle name="_［提出版］千里導入明細資料（資源配付・仮想化）20090323_①【20091225】千里導入明細資料_２２年度上期1分)_Ⅹ_課題と対応策_20121211 2" xfId="822" xr:uid="{00000000-0005-0000-0000-0000F4020000}"/>
    <cellStyle name="_［提出版］千里導入明細資料（資源配付・仮想化）20090323_Ⅹ_課題と対応策_20121211" xfId="823" xr:uid="{00000000-0005-0000-0000-0000F5020000}"/>
    <cellStyle name="_［提出版］千里導入明細資料（資源配付・仮想化）20090323_Ⅹ_課題と対応策_20121211 2" xfId="824" xr:uid="{00000000-0005-0000-0000-0000F6020000}"/>
    <cellStyle name="_［提出版］千里導入明細資料（資源配付・仮想化）20090323_ラック構成図（千里_営業店・新事務）_20090805" xfId="825" xr:uid="{00000000-0005-0000-0000-0000F7020000}"/>
    <cellStyle name="_［提出版］千里導入明細資料（資源配付・仮想化）20090323_ラック構成図（千里_営業店・新事務）_20090805 2" xfId="826" xr:uid="{00000000-0005-0000-0000-0000F8020000}"/>
    <cellStyle name="_［提出版］千里導入明細資料（資源配付・仮想化）20090323_ラック構成図（千里_営業店・新事務）_20090805_【20091207】千里導入明細資料_２１年度分（ネットワーク敷設）" xfId="827" xr:uid="{00000000-0005-0000-0000-0000F9020000}"/>
    <cellStyle name="_［提出版］千里導入明細資料（資源配付・仮想化）20090323_ラック構成図（千里_営業店・新事務）_20090805_【20091207】千里導入明細資料_２１年度分（ネットワーク敷設） 2" xfId="828" xr:uid="{00000000-0005-0000-0000-0000FA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" xfId="829" xr:uid="{00000000-0005-0000-0000-0000FB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 2" xfId="830" xr:uid="{00000000-0005-0000-0000-0000FC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" xfId="831" xr:uid="{00000000-0005-0000-0000-0000FD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 2" xfId="832" xr:uid="{00000000-0005-0000-0000-0000FE020000}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" xfId="833" xr:uid="{00000000-0005-0000-0000-0000FF020000}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 2" xfId="834" xr:uid="{00000000-0005-0000-0000-000000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" xfId="835" xr:uid="{00000000-0005-0000-0000-000001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 2" xfId="836" xr:uid="{00000000-0005-0000-0000-000002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" xfId="837" xr:uid="{00000000-0005-0000-0000-000003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 2" xfId="838" xr:uid="{00000000-0005-0000-0000-000004030000}"/>
    <cellStyle name="_［提出版］千里導入明細資料（資源配付・仮想化）20090323_ラック構成図（千里_営業店・新事務）_20090805_【20091225】千里導入明細資料_２２年度上期分（営業店ＡＰ－ＤＢ）" xfId="839" xr:uid="{00000000-0005-0000-0000-000005030000}"/>
    <cellStyle name="_［提出版］千里導入明細資料（資源配付・仮想化）20090323_ラック構成図（千里_営業店・新事務）_20090805_【20091225】千里導入明細資料_２２年度上期分（営業店ＡＰ－ＤＢ） 2" xfId="840" xr:uid="{00000000-0005-0000-0000-000006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" xfId="841" xr:uid="{00000000-0005-0000-0000-000007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 2" xfId="842" xr:uid="{00000000-0005-0000-0000-000008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" xfId="843" xr:uid="{00000000-0005-0000-0000-000009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 2" xfId="844" xr:uid="{00000000-0005-0000-0000-00000A030000}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" xfId="845" xr:uid="{00000000-0005-0000-0000-00000B030000}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 2" xfId="846" xr:uid="{00000000-0005-0000-0000-00000C030000}"/>
    <cellStyle name="_［提出版］千里導入明細資料（資源配付・仮想化）20090323_ラック構成図（千里_営業店・新事務）_20090805_【20091225】千里導入明細資料_２２年度上期分_営業店DB" xfId="847" xr:uid="{00000000-0005-0000-0000-00000D030000}"/>
    <cellStyle name="_［提出版］千里導入明細資料（資源配付・仮想化）20090323_ラック構成図（千里_営業店・新事務）_20090805_【20091225】千里導入明細資料_２２年度上期分_営業店DB 2" xfId="848" xr:uid="{00000000-0005-0000-0000-00000E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" xfId="849" xr:uid="{00000000-0005-0000-0000-00000F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 2" xfId="850" xr:uid="{00000000-0005-0000-0000-000010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" xfId="851" xr:uid="{00000000-0005-0000-0000-000011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 2" xfId="852" xr:uid="{00000000-0005-0000-0000-000012030000}"/>
    <cellStyle name="_［提出版］千里導入明細資料（資源配付・仮想化）20090323_ラック構成図（千里_営業店・新事務）_20090805_【20091225】千里導入明細資料_２２年度上期分_営業店DB_Ⅹ_課題と対応策_20121211" xfId="853" xr:uid="{00000000-0005-0000-0000-000013030000}"/>
    <cellStyle name="_［提出版］千里導入明細資料（資源配付・仮想化）20090323_ラック構成図（千里_営業店・新事務）_20090805_【20091225】千里導入明細資料_２２年度上期分_営業店DB_Ⅹ_課題と対応策_20121211 2" xfId="854" xr:uid="{00000000-0005-0000-0000-000014030000}"/>
    <cellStyle name="_［提出版］千里導入明細資料（資源配付・仮想化）20090323_ラック構成図（千里_営業店・新事務）_20090805_【20091225】千里導入明細資料_２２年度上期分_連携DB" xfId="855" xr:uid="{00000000-0005-0000-0000-000015030000}"/>
    <cellStyle name="_［提出版］千里導入明細資料（資源配付・仮想化）20090323_ラック構成図（千里_営業店・新事務）_20090805_【20091225】千里導入明細資料_２２年度上期分_連携DB 2" xfId="856" xr:uid="{00000000-0005-0000-0000-000016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" xfId="857" xr:uid="{00000000-0005-0000-0000-000017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 2" xfId="858" xr:uid="{00000000-0005-0000-0000-000018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" xfId="859" xr:uid="{00000000-0005-0000-0000-000019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 2" xfId="860" xr:uid="{00000000-0005-0000-0000-00001A030000}"/>
    <cellStyle name="_［提出版］千里導入明細資料（資源配付・仮想化）20090323_ラック構成図（千里_営業店・新事務）_20090805_【20091225】千里導入明細資料_２２年度上期分_連携DB_Ⅹ_課題と対応策_20121211" xfId="861" xr:uid="{00000000-0005-0000-0000-00001B030000}"/>
    <cellStyle name="_［提出版］千里導入明細資料（資源配付・仮想化）20090323_ラック構成図（千里_営業店・新事務）_20090805_【20091225】千里導入明細資料_２２年度上期分_連携DB_Ⅹ_課題と対応策_20121211 2" xfId="862" xr:uid="{00000000-0005-0000-0000-00001C030000}"/>
    <cellStyle name="_［提出版］千里導入明細資料（資源配付・仮想化）20090323_ラック構成図（千里_営業店・新事務）_20090805_【作成中】千里センター機器配置図（2010年対応分）_20091221" xfId="863" xr:uid="{00000000-0005-0000-0000-00001D030000}"/>
    <cellStyle name="_［提出版］千里導入明細資料（資源配付・仮想化）20090323_ラック構成図（千里_営業店・新事務）_20090805_【作成中】千里センター機器配置図（2010年対応分）_20091221 2" xfId="864" xr:uid="{00000000-0005-0000-0000-00001E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" xfId="865" xr:uid="{00000000-0005-0000-0000-00001F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 2" xfId="866" xr:uid="{00000000-0005-0000-0000-000020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" xfId="867" xr:uid="{00000000-0005-0000-0000-000021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 2" xfId="868" xr:uid="{00000000-0005-0000-0000-000022030000}"/>
    <cellStyle name="_［提出版］千里導入明細資料（資源配付・仮想化）20090323_ラック構成図（千里_営業店・新事務）_20090805_【作成中】千里センター機器配置図（2010年対応分）_20091221_Ⅹ_課題と対応策_20121211" xfId="869" xr:uid="{00000000-0005-0000-0000-000023030000}"/>
    <cellStyle name="_［提出版］千里導入明細資料（資源配付・仮想化）20090323_ラック構成図（千里_営業店・新事務）_20090805_【作成中】千里センター機器配置図（2010年対応分）_20091221_Ⅹ_課題と対応策_20121211 2" xfId="870" xr:uid="{00000000-0005-0000-0000-000024030000}"/>
    <cellStyle name="_［提出版］千里導入明細資料（資源配付・仮想化）20090323_ラック構成図（千里_営業店・新事務）_20090805_Ⅹ_課題と対応策_20121211" xfId="871" xr:uid="{00000000-0005-0000-0000-000025030000}"/>
    <cellStyle name="_［提出版］千里導入明細資料（資源配付・仮想化）20090323_ラック構成図（千里_営業店・新事務）_20090805_Ⅹ_課題と対応策_20121211 2" xfId="872" xr:uid="{00000000-0005-0000-0000-000026030000}"/>
    <cellStyle name="_［提出版］千里導入明細資料（資源配付・仮想化）20090323_ラック構成図_Catalyst直付け（新事務処理）" xfId="873" xr:uid="{00000000-0005-0000-0000-000027030000}"/>
    <cellStyle name="_［提出版］千里導入明細資料（資源配付・仮想化）20090323_ラック構成図_Catalyst直付け（新事務処理） 2" xfId="874" xr:uid="{00000000-0005-0000-0000-000028030000}"/>
    <cellStyle name="_［提出版］千里導入明細資料（資源配付・仮想化）20090323_ラック構成図_Catalyst直付け（新事務処理）_【20091207】千里導入明細資料_２１年度分（ネットワーク敷設）" xfId="875" xr:uid="{00000000-0005-0000-0000-000029030000}"/>
    <cellStyle name="_［提出版］千里導入明細資料（資源配付・仮想化）20090323_ラック構成図_Catalyst直付け（新事務処理）_【20091207】千里導入明細資料_２１年度分（ネットワーク敷設） 2" xfId="876" xr:uid="{00000000-0005-0000-0000-00002A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" xfId="877" xr:uid="{00000000-0005-0000-0000-00002B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 2" xfId="878" xr:uid="{00000000-0005-0000-0000-00002C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" xfId="879" xr:uid="{00000000-0005-0000-0000-00002D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 2" xfId="880" xr:uid="{00000000-0005-0000-0000-00002E030000}"/>
    <cellStyle name="_［提出版］千里導入明細資料（資源配付・仮想化）20090323_ラック構成図_Catalyst直付け（新事務処理）_【20091207】千里導入明細資料_２１年度分（ネットワーク敷設）_Ⅹ_課題と対応策_20121211" xfId="881" xr:uid="{00000000-0005-0000-0000-00002F030000}"/>
    <cellStyle name="_［提出版］千里導入明細資料（資源配付・仮想化）20090323_ラック構成図_Catalyst直付け（新事務処理）_【20091207】千里導入明細資料_２１年度分（ネットワーク敷設）_Ⅹ_課題と対応策_20121211 2" xfId="882" xr:uid="{00000000-0005-0000-0000-000030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" xfId="883" xr:uid="{00000000-0005-0000-0000-000031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 2" xfId="884" xr:uid="{00000000-0005-0000-0000-000032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" xfId="885" xr:uid="{00000000-0005-0000-0000-000033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 2" xfId="886" xr:uid="{00000000-0005-0000-0000-000034030000}"/>
    <cellStyle name="_［提出版］千里導入明細資料（資源配付・仮想化）20090323_ラック構成図_Catalyst直付け（新事務処理）_【20091225】千里導入明細資料_２２年度上期分（営業店ＡＰ－ＤＢ）" xfId="887" xr:uid="{00000000-0005-0000-0000-000035030000}"/>
    <cellStyle name="_［提出版］千里導入明細資料（資源配付・仮想化）20090323_ラック構成図_Catalyst直付け（新事務処理）_【20091225】千里導入明細資料_２２年度上期分（営業店ＡＰ－ＤＢ） 2" xfId="888" xr:uid="{00000000-0005-0000-0000-000036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" xfId="889" xr:uid="{00000000-0005-0000-0000-000037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 2" xfId="890" xr:uid="{00000000-0005-0000-0000-000038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" xfId="891" xr:uid="{00000000-0005-0000-0000-000039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 2" xfId="892" xr:uid="{00000000-0005-0000-0000-00003A030000}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" xfId="893" xr:uid="{00000000-0005-0000-0000-00003B030000}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 2" xfId="894" xr:uid="{00000000-0005-0000-0000-00003C030000}"/>
    <cellStyle name="_［提出版］千里導入明細資料（資源配付・仮想化）20090323_ラック構成図_Catalyst直付け（新事務処理）_【20091225】千里導入明細資料_２２年度上期分_営業店DB" xfId="895" xr:uid="{00000000-0005-0000-0000-00003D030000}"/>
    <cellStyle name="_［提出版］千里導入明細資料（資源配付・仮想化）20090323_ラック構成図_Catalyst直付け（新事務処理）_【20091225】千里導入明細資料_２２年度上期分_営業店DB 2" xfId="896" xr:uid="{00000000-0005-0000-0000-00003E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" xfId="897" xr:uid="{00000000-0005-0000-0000-00003F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 2" xfId="898" xr:uid="{00000000-0005-0000-0000-000040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" xfId="899" xr:uid="{00000000-0005-0000-0000-000041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 2" xfId="900" xr:uid="{00000000-0005-0000-0000-000042030000}"/>
    <cellStyle name="_［提出版］千里導入明細資料（資源配付・仮想化）20090323_ラック構成図_Catalyst直付け（新事務処理）_【20091225】千里導入明細資料_２２年度上期分_営業店DB_Ⅹ_課題と対応策_20121211" xfId="901" xr:uid="{00000000-0005-0000-0000-000043030000}"/>
    <cellStyle name="_［提出版］千里導入明細資料（資源配付・仮想化）20090323_ラック構成図_Catalyst直付け（新事務処理）_【20091225】千里導入明細資料_２２年度上期分_営業店DB_Ⅹ_課題と対応策_20121211 2" xfId="902" xr:uid="{00000000-0005-0000-0000-000044030000}"/>
    <cellStyle name="_［提出版］千里導入明細資料（資源配付・仮想化）20090323_ラック構成図_Catalyst直付け（新事務処理）_【20091225】千里導入明細資料_２２年度上期分_連携DB" xfId="903" xr:uid="{00000000-0005-0000-0000-000045030000}"/>
    <cellStyle name="_［提出版］千里導入明細資料（資源配付・仮想化）20090323_ラック構成図_Catalyst直付け（新事務処理）_【20091225】千里導入明細資料_２２年度上期分_連携DB 2" xfId="904" xr:uid="{00000000-0005-0000-0000-000046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" xfId="905" xr:uid="{00000000-0005-0000-0000-000047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 2" xfId="906" xr:uid="{00000000-0005-0000-0000-000048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" xfId="907" xr:uid="{00000000-0005-0000-0000-000049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 2" xfId="908" xr:uid="{00000000-0005-0000-0000-00004A030000}"/>
    <cellStyle name="_［提出版］千里導入明細資料（資源配付・仮想化）20090323_ラック構成図_Catalyst直付け（新事務処理）_【20091225】千里導入明細資料_２２年度上期分_連携DB_Ⅹ_課題と対応策_20121211" xfId="909" xr:uid="{00000000-0005-0000-0000-00004B030000}"/>
    <cellStyle name="_［提出版］千里導入明細資料（資源配付・仮想化）20090323_ラック構成図_Catalyst直付け（新事務処理）_【20091225】千里導入明細資料_２２年度上期分_連携DB_Ⅹ_課題と対応策_20121211 2" xfId="910" xr:uid="{00000000-0005-0000-0000-00004C030000}"/>
    <cellStyle name="_［提出版］千里導入明細資料（資源配付・仮想化）20090323_ラック構成図_Catalyst直付け（新事務処理）_【作成中】千里センター機器配置図（2010年対応分）_20091221" xfId="911" xr:uid="{00000000-0005-0000-0000-00004D030000}"/>
    <cellStyle name="_［提出版］千里導入明細資料（資源配付・仮想化）20090323_ラック構成図_Catalyst直付け（新事務処理）_【作成中】千里センター機器配置図（2010年対応分）_20091221 2" xfId="912" xr:uid="{00000000-0005-0000-0000-00004E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" xfId="913" xr:uid="{00000000-0005-0000-0000-00004F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 2" xfId="914" xr:uid="{00000000-0005-0000-0000-000050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" xfId="915" xr:uid="{00000000-0005-0000-0000-000051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 2" xfId="916" xr:uid="{00000000-0005-0000-0000-000052030000}"/>
    <cellStyle name="_［提出版］千里導入明細資料（資源配付・仮想化）20090323_ラック構成図_Catalyst直付け（新事務処理）_【作成中】千里センター機器配置図（2010年対応分）_20091221_Ⅹ_課題と対応策_20121211" xfId="917" xr:uid="{00000000-0005-0000-0000-000053030000}"/>
    <cellStyle name="_［提出版］千里導入明細資料（資源配付・仮想化）20090323_ラック構成図_Catalyst直付け（新事務処理）_【作成中】千里センター機器配置図（2010年対応分）_20091221_Ⅹ_課題と対応策_20121211 2" xfId="918" xr:uid="{00000000-0005-0000-0000-000054030000}"/>
    <cellStyle name="_［提出版］千里導入明細資料（資源配付・仮想化）20090323_ラック構成図_Catalyst直付け（新事務処理）_Ⅹ_課題と対応策_20121211" xfId="919" xr:uid="{00000000-0005-0000-0000-000055030000}"/>
    <cellStyle name="_［提出版］千里導入明細資料（資源配付・仮想化）20090323_ラック構成図_Catalyst直付け（新事務処理）_Ⅹ_課題と対応策_20121211 2" xfId="920" xr:uid="{00000000-0005-0000-0000-000056030000}"/>
    <cellStyle name="_［提出版］千里導入明細資料（資源配付・仮想化）20090323_ラック構成図_RX100Si-R削除(新事務処理)" xfId="921" xr:uid="{00000000-0005-0000-0000-000057030000}"/>
    <cellStyle name="_［提出版］千里導入明細資料（資源配付・仮想化）20090323_ラック構成図_RX100Si-R削除(新事務処理) 2" xfId="922" xr:uid="{00000000-0005-0000-0000-000058030000}"/>
    <cellStyle name="_［提出版］千里導入明細資料（資源配付・仮想化）20090323_ラック構成図_RX100Si-R削除(新事務処理)_【20091207】千里導入明細資料_２１年度分（ネットワーク敷設）" xfId="923" xr:uid="{00000000-0005-0000-0000-000059030000}"/>
    <cellStyle name="_［提出版］千里導入明細資料（資源配付・仮想化）20090323_ラック構成図_RX100Si-R削除(新事務処理)_【20091207】千里導入明細資料_２１年度分（ネットワーク敷設） 2" xfId="924" xr:uid="{00000000-0005-0000-0000-00005A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" xfId="925" xr:uid="{00000000-0005-0000-0000-00005B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 2" xfId="926" xr:uid="{00000000-0005-0000-0000-00005C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" xfId="927" xr:uid="{00000000-0005-0000-0000-00005D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 2" xfId="928" xr:uid="{00000000-0005-0000-0000-00005E030000}"/>
    <cellStyle name="_［提出版］千里導入明細資料（資源配付・仮想化）20090323_ラック構成図_RX100Si-R削除(新事務処理)_【20091207】千里導入明細資料_２１年度分（ネットワーク敷設）_Ⅹ_課題と対応策_20121211" xfId="929" xr:uid="{00000000-0005-0000-0000-00005F030000}"/>
    <cellStyle name="_［提出版］千里導入明細資料（資源配付・仮想化）20090323_ラック構成図_RX100Si-R削除(新事務処理)_【20091207】千里導入明細資料_２１年度分（ネットワーク敷設）_Ⅹ_課題と対応策_20121211 2" xfId="930" xr:uid="{00000000-0005-0000-0000-000060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" xfId="931" xr:uid="{00000000-0005-0000-0000-000061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 2" xfId="932" xr:uid="{00000000-0005-0000-0000-000062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" xfId="933" xr:uid="{00000000-0005-0000-0000-000063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 2" xfId="934" xr:uid="{00000000-0005-0000-0000-000064030000}"/>
    <cellStyle name="_［提出版］千里導入明細資料（資源配付・仮想化）20090323_ラック構成図_RX100Si-R削除(新事務処理)_【20091225】千里導入明細資料_２２年度上期分（営業店ＡＰ－ＤＢ）" xfId="935" xr:uid="{00000000-0005-0000-0000-000065030000}"/>
    <cellStyle name="_［提出版］千里導入明細資料（資源配付・仮想化）20090323_ラック構成図_RX100Si-R削除(新事務処理)_【20091225】千里導入明細資料_２２年度上期分（営業店ＡＰ－ＤＢ） 2" xfId="936" xr:uid="{00000000-0005-0000-0000-000066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" xfId="937" xr:uid="{00000000-0005-0000-0000-000067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 2" xfId="938" xr:uid="{00000000-0005-0000-0000-000068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" xfId="939" xr:uid="{00000000-0005-0000-0000-000069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 2" xfId="940" xr:uid="{00000000-0005-0000-0000-00006A030000}"/>
    <cellStyle name="_［提出版］千里導入明細資料（資源配付・仮想化）20090323_ラック構成図_RX100Si-R削除(新事務処理)_【20091225】千里導入明細資料_２２年度上期分（営業店ＡＰ－ＤＢ）_Ⅹ_課題と対応策_20121211" xfId="941" xr:uid="{00000000-0005-0000-0000-00006B030000}"/>
    <cellStyle name="_［提出版］千里導入明細資料（資源配付・仮想化）20090323_ラック構成図_RX100Si-R削除(新事務処理)_【20091225】千里導入明細資料_２２年度上期分（営業店ＡＰ－ＤＢ）_Ⅹ_課題と対応策_20121211 2" xfId="942" xr:uid="{00000000-0005-0000-0000-00006C030000}"/>
    <cellStyle name="_［提出版］千里導入明細資料（資源配付・仮想化）20090323_ラック構成図_RX100Si-R削除(新事務処理)_【20091225】千里導入明細資料_２２年度上期分_営業店DB" xfId="943" xr:uid="{00000000-0005-0000-0000-00006D030000}"/>
    <cellStyle name="_［提出版］千里導入明細資料（資源配付・仮想化）20090323_ラック構成図_RX100Si-R削除(新事務処理)_【20091225】千里導入明細資料_２２年度上期分_営業店DB 2" xfId="944" xr:uid="{00000000-0005-0000-0000-00006E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" xfId="945" xr:uid="{00000000-0005-0000-0000-00006F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 2" xfId="946" xr:uid="{00000000-0005-0000-0000-000070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" xfId="947" xr:uid="{00000000-0005-0000-0000-000071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 2" xfId="948" xr:uid="{00000000-0005-0000-0000-000072030000}"/>
    <cellStyle name="_［提出版］千里導入明細資料（資源配付・仮想化）20090323_ラック構成図_RX100Si-R削除(新事務処理)_【20091225】千里導入明細資料_２２年度上期分_営業店DB_Ⅹ_課題と対応策_20121211" xfId="949" xr:uid="{00000000-0005-0000-0000-000073030000}"/>
    <cellStyle name="_［提出版］千里導入明細資料（資源配付・仮想化）20090323_ラック構成図_RX100Si-R削除(新事務処理)_【20091225】千里導入明細資料_２２年度上期分_営業店DB_Ⅹ_課題と対応策_20121211 2" xfId="950" xr:uid="{00000000-0005-0000-0000-000074030000}"/>
    <cellStyle name="_［提出版］千里導入明細資料（資源配付・仮想化）20090323_ラック構成図_RX100Si-R削除(新事務処理)_【20091225】千里導入明細資料_２２年度上期分_連携DB" xfId="951" xr:uid="{00000000-0005-0000-0000-000075030000}"/>
    <cellStyle name="_［提出版］千里導入明細資料（資源配付・仮想化）20090323_ラック構成図_RX100Si-R削除(新事務処理)_【20091225】千里導入明細資料_２２年度上期分_連携DB 2" xfId="952" xr:uid="{00000000-0005-0000-0000-000076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" xfId="953" xr:uid="{00000000-0005-0000-0000-000077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 2" xfId="954" xr:uid="{00000000-0005-0000-0000-000078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" xfId="955" xr:uid="{00000000-0005-0000-0000-000079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 2" xfId="956" xr:uid="{00000000-0005-0000-0000-00007A030000}"/>
    <cellStyle name="_［提出版］千里導入明細資料（資源配付・仮想化）20090323_ラック構成図_RX100Si-R削除(新事務処理)_【20091225】千里導入明細資料_２２年度上期分_連携DB_Ⅹ_課題と対応策_20121211" xfId="957" xr:uid="{00000000-0005-0000-0000-00007B030000}"/>
    <cellStyle name="_［提出版］千里導入明細資料（資源配付・仮想化）20090323_ラック構成図_RX100Si-R削除(新事務処理)_【20091225】千里導入明細資料_２２年度上期分_連携DB_Ⅹ_課題と対応策_20121211 2" xfId="958" xr:uid="{00000000-0005-0000-0000-00007C030000}"/>
    <cellStyle name="_［提出版］千里導入明細資料（資源配付・仮想化）20090323_ラック構成図_RX100Si-R削除(新事務処理)_【作成中】千里センター機器配置図（2010年対応分）_20091221" xfId="959" xr:uid="{00000000-0005-0000-0000-00007D030000}"/>
    <cellStyle name="_［提出版］千里導入明細資料（資源配付・仮想化）20090323_ラック構成図_RX100Si-R削除(新事務処理)_【作成中】千里センター機器配置図（2010年対応分）_20091221 2" xfId="960" xr:uid="{00000000-0005-0000-0000-00007E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" xfId="961" xr:uid="{00000000-0005-0000-0000-00007F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 2" xfId="962" xr:uid="{00000000-0005-0000-0000-000080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" xfId="963" xr:uid="{00000000-0005-0000-0000-000081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 2" xfId="964" xr:uid="{00000000-0005-0000-0000-000082030000}"/>
    <cellStyle name="_［提出版］千里導入明細資料（資源配付・仮想化）20090323_ラック構成図_RX100Si-R削除(新事務処理)_【作成中】千里センター機器配置図（2010年対応分）_20091221_Ⅹ_課題と対応策_20121211" xfId="965" xr:uid="{00000000-0005-0000-0000-000083030000}"/>
    <cellStyle name="_［提出版］千里導入明細資料（資源配付・仮想化）20090323_ラック構成図_RX100Si-R削除(新事務処理)_【作成中】千里センター機器配置図（2010年対応分）_20091221_Ⅹ_課題と対応策_20121211 2" xfId="966" xr:uid="{00000000-0005-0000-0000-000084030000}"/>
    <cellStyle name="_［提出版］千里導入明細資料（資源配付・仮想化）20090323_ラック構成図_RX100Si-R削除(新事務処理)_Ⅹ_課題と対応策_20121211" xfId="967" xr:uid="{00000000-0005-0000-0000-000085030000}"/>
    <cellStyle name="_［提出版］千里導入明細資料（資源配付・仮想化）20090323_ラック構成図_RX100Si-R削除(新事務処理)_Ⅹ_課題と対応策_20121211 2" xfId="968" xr:uid="{00000000-0005-0000-0000-000086030000}"/>
    <cellStyle name="_［提出版］千里導入明細資料（資源配付・仮想化）20090323_千里導入明細資料_２２年度分（ネットワーク敷設）_fj" xfId="969" xr:uid="{00000000-0005-0000-0000-000087030000}"/>
    <cellStyle name="_［提出版］千里導入明細資料（資源配付・仮想化）20090323_千里導入明細資料_２２年度分（ネットワーク敷設）_fj 2" xfId="970" xr:uid="{00000000-0005-0000-0000-000088030000}"/>
    <cellStyle name="_［提出版］千里導入明細資料（資源配付・仮想化）20090323_千里導入明細資料_２２年度分（ネットワーク敷設）_fj_Ⅹ_課題と対応策_20121211" xfId="971" xr:uid="{00000000-0005-0000-0000-000089030000}"/>
    <cellStyle name="_［提出版］千里導入明細資料（資源配付・仮想化）20090323_千里導入明細資料_２２年度分（ネットワーク敷設）_fj_Ⅹ_課題と対応策_20121211 2" xfId="972" xr:uid="{00000000-0005-0000-0000-00008A030000}"/>
    <cellStyle name="_【20090323_参考資料】千里導入明細資料" xfId="973" xr:uid="{00000000-0005-0000-0000-00008B030000}"/>
    <cellStyle name="_【20090323_参考資料】千里導入明細資料 2" xfId="974" xr:uid="{00000000-0005-0000-0000-00008C030000}"/>
    <cellStyle name="_【20090323_参考資料】千里導入明細資料_(自動機監視GW) 【20090602】千里導入明細資料_２１年度fj分" xfId="975" xr:uid="{00000000-0005-0000-0000-00008D030000}"/>
    <cellStyle name="_【20090323_参考資料】千里導入明細資料_(自動機監視GW) 【20090602】千里導入明細資料_２１年度fj分 2" xfId="976" xr:uid="{00000000-0005-0000-0000-00008E030000}"/>
    <cellStyle name="_【20090323_参考資料】千里導入明細資料_(自動機監視GW) 【20090602】千里導入明細資料_２１年度fj分_【20091218】千里導入明細資料_２１年度分（ネットワーク敷設）" xfId="977" xr:uid="{00000000-0005-0000-0000-00008F030000}"/>
    <cellStyle name="_【20090323_参考資料】千里導入明細資料_(自動機監視GW) 【20090602】千里導入明細資料_２１年度fj分_【20091218】千里導入明細資料_２１年度分（ネットワーク敷設） 2" xfId="978" xr:uid="{00000000-0005-0000-0000-000090030000}"/>
    <cellStyle name="_【20090323_参考資料】千里導入明細資料_(自動機監視GW) 【20090602】千里導入明細資料_２１年度fj分_【20091218】千里導入明細資料_２１年度分（ネットワーク敷設）_Ⅹ_課題と対応策_20121211" xfId="979" xr:uid="{00000000-0005-0000-0000-000091030000}"/>
    <cellStyle name="_【20090323_参考資料】千里導入明細資料_(自動機監視GW) 【20090602】千里導入明細資料_２１年度fj分_【20091218】千里導入明細資料_２１年度分（ネットワーク敷設）_Ⅹ_課題と対応策_20121211 2" xfId="980" xr:uid="{00000000-0005-0000-0000-000092030000}"/>
    <cellStyle name="_【20090323_参考資料】千里導入明細資料_(自動機監視GW) 【20090602】千里導入明細資料_２１年度fj分_Ⅹ_課題と対応策_20121211" xfId="981" xr:uid="{00000000-0005-0000-0000-000093030000}"/>
    <cellStyle name="_【20090323_参考資料】千里導入明細資料_(自動機監視GW) 【20090602】千里導入明細資料_２１年度fj分_Ⅹ_課題と対応策_20121211 2" xfId="982" xr:uid="{00000000-0005-0000-0000-000094030000}"/>
    <cellStyle name="_【20090323_参考資料】千里導入明細資料_(自動機監視GW) 【20090602】千里導入明細資料_２１年度fj分_千里導入明細資料_２２年度分（ネットワーク敷設）_fj" xfId="983" xr:uid="{00000000-0005-0000-0000-000095030000}"/>
    <cellStyle name="_【20090323_参考資料】千里導入明細資料_(自動機監視GW) 【20090602】千里導入明細資料_２１年度fj分_千里導入明細資料_２２年度分（ネットワーク敷設）_fj 2" xfId="984" xr:uid="{00000000-0005-0000-0000-000096030000}"/>
    <cellStyle name="_【20090323_参考資料】千里導入明細資料_(自動機監視GW) 【20090602】千里導入明細資料_２１年度fj分_千里導入明細資料_２２年度分（ネットワーク敷設）_fj_Ⅹ_課題と対応策_20121211" xfId="985" xr:uid="{00000000-0005-0000-0000-000097030000}"/>
    <cellStyle name="_【20090323_参考資料】千里導入明細資料_(自動機監視GW) 【20090602】千里導入明細資料_２１年度fj分_千里導入明細資料_２２年度分（ネットワーク敷設）_fj_Ⅹ_課題と対応策_20121211 2" xfId="986" xr:uid="{00000000-0005-0000-0000-000098030000}"/>
    <cellStyle name="_【20090323_参考資料】千里導入明細資料_【20090715】千里導入明細資料_２１年度分（９月工事分）_fj" xfId="987" xr:uid="{00000000-0005-0000-0000-000099030000}"/>
    <cellStyle name="_【20090323_参考資料】千里導入明細資料_【20090715】千里導入明細資料_２１年度分（９月工事分）_fj 2" xfId="988" xr:uid="{00000000-0005-0000-0000-00009A030000}"/>
    <cellStyle name="_【20090323_参考資料】千里導入明細資料_【20090715】千里導入明細資料_２１年度分（９月工事分）_fj_【20090721】千里導入明細資料_２１年度分" xfId="989" xr:uid="{00000000-0005-0000-0000-00009B030000}"/>
    <cellStyle name="_【20090323_参考資料】千里導入明細資料_【20090715】千里導入明細資料_２１年度分（９月工事分）_fj_【20090721】千里導入明細資料_２１年度分 2" xfId="990" xr:uid="{00000000-0005-0000-0000-00009C030000}"/>
    <cellStyle name="_【20090323_参考資料】千里導入明細資料_【20090715】千里導入明細資料_２１年度分（９月工事分）_fj_【20090721】千里導入明細資料_２１年度分（９月工事分）_ETERNUS追加" xfId="991" xr:uid="{00000000-0005-0000-0000-00009D030000}"/>
    <cellStyle name="_【20090323_参考資料】千里導入明細資料_【20090715】千里導入明細資料_２１年度分（９月工事分）_fj_【20090721】千里導入明細資料_２１年度分（９月工事分）_ETERNUS追加 2" xfId="992" xr:uid="{00000000-0005-0000-0000-00009E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" xfId="993" xr:uid="{00000000-0005-0000-0000-00009F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 2" xfId="994" xr:uid="{00000000-0005-0000-0000-0000A0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995" xr:uid="{00000000-0005-0000-0000-0000A1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996" xr:uid="{00000000-0005-0000-0000-0000A2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997" xr:uid="{00000000-0005-0000-0000-0000A3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998" xr:uid="{00000000-0005-0000-0000-0000A4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999" xr:uid="{00000000-0005-0000-0000-0000A5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000" xr:uid="{00000000-0005-0000-0000-0000A6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" xfId="1001" xr:uid="{00000000-0005-0000-0000-0000A7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 2" xfId="1002" xr:uid="{00000000-0005-0000-0000-0000A8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" xfId="1003" xr:uid="{00000000-0005-0000-0000-0000A9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 2" xfId="1004" xr:uid="{00000000-0005-0000-0000-0000AA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" xfId="1005" xr:uid="{00000000-0005-0000-0000-0000AB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 2" xfId="1006" xr:uid="{00000000-0005-0000-0000-0000AC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007" xr:uid="{00000000-0005-0000-0000-0000AD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008" xr:uid="{00000000-0005-0000-0000-0000AE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" xfId="1009" xr:uid="{00000000-0005-0000-0000-0000AF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 2" xfId="1010" xr:uid="{00000000-0005-0000-0000-0000B0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011" xr:uid="{00000000-0005-0000-0000-0000B1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012" xr:uid="{00000000-0005-0000-0000-0000B2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013" xr:uid="{00000000-0005-0000-0000-0000B3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014" xr:uid="{00000000-0005-0000-0000-0000B4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15" xr:uid="{00000000-0005-0000-0000-0000B5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16" xr:uid="{00000000-0005-0000-0000-0000B6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017" xr:uid="{00000000-0005-0000-0000-0000B7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018" xr:uid="{00000000-0005-0000-0000-0000B8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019" xr:uid="{00000000-0005-0000-0000-0000B9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020" xr:uid="{00000000-0005-0000-0000-0000BA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021" xr:uid="{00000000-0005-0000-0000-0000BB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022" xr:uid="{00000000-0005-0000-0000-0000BC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023" xr:uid="{00000000-0005-0000-0000-0000BD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024" xr:uid="{00000000-0005-0000-0000-0000BE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025" xr:uid="{00000000-0005-0000-0000-0000BF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026" xr:uid="{00000000-0005-0000-0000-0000C0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027" xr:uid="{00000000-0005-0000-0000-0000C1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028" xr:uid="{00000000-0005-0000-0000-0000C2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" xfId="1029" xr:uid="{00000000-0005-0000-0000-0000C3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 2" xfId="1030" xr:uid="{00000000-0005-0000-0000-0000C4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" xfId="1031" xr:uid="{00000000-0005-0000-0000-0000C5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 2" xfId="1032" xr:uid="{00000000-0005-0000-0000-0000C6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" xfId="1033" xr:uid="{00000000-0005-0000-0000-0000C7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 2" xfId="1034" xr:uid="{00000000-0005-0000-0000-0000C8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035" xr:uid="{00000000-0005-0000-0000-0000C9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036" xr:uid="{00000000-0005-0000-0000-0000CA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" xfId="1037" xr:uid="{00000000-0005-0000-0000-0000CB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 2" xfId="1038" xr:uid="{00000000-0005-0000-0000-0000CC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039" xr:uid="{00000000-0005-0000-0000-0000CD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040" xr:uid="{00000000-0005-0000-0000-0000CE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" xfId="1041" xr:uid="{00000000-0005-0000-0000-0000CF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 2" xfId="1042" xr:uid="{00000000-0005-0000-0000-0000D0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" xfId="1043" xr:uid="{00000000-0005-0000-0000-0000D1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 2" xfId="1044" xr:uid="{00000000-0005-0000-0000-0000D2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045" xr:uid="{00000000-0005-0000-0000-0000D3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046" xr:uid="{00000000-0005-0000-0000-0000D4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047" xr:uid="{00000000-0005-0000-0000-0000D5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048" xr:uid="{00000000-0005-0000-0000-0000D6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049" xr:uid="{00000000-0005-0000-0000-0000D7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050" xr:uid="{00000000-0005-0000-0000-0000D8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051" xr:uid="{00000000-0005-0000-0000-0000D9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052" xr:uid="{00000000-0005-0000-0000-0000DA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053" xr:uid="{00000000-0005-0000-0000-0000DB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054" xr:uid="{00000000-0005-0000-0000-0000DC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055" xr:uid="{00000000-0005-0000-0000-0000DD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056" xr:uid="{00000000-0005-0000-0000-0000DE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057" xr:uid="{00000000-0005-0000-0000-0000DF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058" xr:uid="{00000000-0005-0000-0000-0000E0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059" xr:uid="{00000000-0005-0000-0000-0000E1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060" xr:uid="{00000000-0005-0000-0000-0000E2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061" xr:uid="{00000000-0005-0000-0000-0000E3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062" xr:uid="{00000000-0005-0000-0000-0000E4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063" xr:uid="{00000000-0005-0000-0000-0000E5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064" xr:uid="{00000000-0005-0000-0000-0000E6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065" xr:uid="{00000000-0005-0000-0000-0000E7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066" xr:uid="{00000000-0005-0000-0000-0000E8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067" xr:uid="{00000000-0005-0000-0000-0000E9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068" xr:uid="{00000000-0005-0000-0000-0000EA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069" xr:uid="{00000000-0005-0000-0000-0000EB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070" xr:uid="{00000000-0005-0000-0000-0000EC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" xfId="1071" xr:uid="{00000000-0005-0000-0000-0000ED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 2" xfId="1072" xr:uid="{00000000-0005-0000-0000-0000EE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" xfId="1073" xr:uid="{00000000-0005-0000-0000-0000EF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 2" xfId="1074" xr:uid="{00000000-0005-0000-0000-0000F0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075" xr:uid="{00000000-0005-0000-0000-0000F1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076" xr:uid="{00000000-0005-0000-0000-0000F2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" xfId="1077" xr:uid="{00000000-0005-0000-0000-0000F3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 2" xfId="1078" xr:uid="{00000000-0005-0000-0000-0000F4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" xfId="1079" xr:uid="{00000000-0005-0000-0000-0000F5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 2" xfId="1080" xr:uid="{00000000-0005-0000-0000-0000F6030000}"/>
    <cellStyle name="_【20090323_参考資料】千里導入明細資料_【20090715】千里導入明細資料_２１年度分（９月工事分）_fj_【20090721】千里導入明細資料_２１年度分（９月工事分）_ETERNUS追加_Ⅹ_課題と対応策_20121211" xfId="1081" xr:uid="{00000000-0005-0000-0000-0000F7030000}"/>
    <cellStyle name="_【20090323_参考資料】千里導入明細資料_【20090715】千里導入明細資料_２１年度分（９月工事分）_fj_【20090721】千里導入明細資料_２１年度分（９月工事分）_ETERNUS追加_Ⅹ_課題と対応策_20121211 2" xfId="1082" xr:uid="{00000000-0005-0000-0000-0000F8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" xfId="1083" xr:uid="{00000000-0005-0000-0000-0000F9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 2" xfId="1084" xr:uid="{00000000-0005-0000-0000-0000FA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085" xr:uid="{00000000-0005-0000-0000-0000FB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086" xr:uid="{00000000-0005-0000-0000-0000FC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" xfId="1087" xr:uid="{00000000-0005-0000-0000-0000FD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 2" xfId="1088" xr:uid="{00000000-0005-0000-0000-0000FE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" xfId="1089" xr:uid="{00000000-0005-0000-0000-0000FF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 2" xfId="1090" xr:uid="{00000000-0005-0000-0000-000000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" xfId="1091" xr:uid="{00000000-0005-0000-0000-000001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 2" xfId="1092" xr:uid="{00000000-0005-0000-0000-000002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093" xr:uid="{00000000-0005-0000-0000-000003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094" xr:uid="{00000000-0005-0000-0000-000004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095" xr:uid="{00000000-0005-0000-0000-000005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096" xr:uid="{00000000-0005-0000-0000-000006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97" xr:uid="{00000000-0005-0000-0000-000007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98" xr:uid="{00000000-0005-0000-0000-000008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099" xr:uid="{00000000-0005-0000-0000-000009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100" xr:uid="{00000000-0005-0000-0000-00000A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101" xr:uid="{00000000-0005-0000-0000-00000B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102" xr:uid="{00000000-0005-0000-0000-00000C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103" xr:uid="{00000000-0005-0000-0000-00000D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104" xr:uid="{00000000-0005-0000-0000-00000E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105" xr:uid="{00000000-0005-0000-0000-00000F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106" xr:uid="{00000000-0005-0000-0000-000010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107" xr:uid="{00000000-0005-0000-0000-000011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108" xr:uid="{00000000-0005-0000-0000-000012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" xfId="1109" xr:uid="{00000000-0005-0000-0000-000013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 2" xfId="1110" xr:uid="{00000000-0005-0000-0000-000014040000}"/>
    <cellStyle name="_【20090323_参考資料】千里導入明細資料_【20090715】千里導入明細資料_２１年度分（９月工事分）_fj_【20090721】千里導入明細資料_２１年度分_【20091225】千里導入明細資料_２２年度上期分" xfId="1111" xr:uid="{00000000-0005-0000-0000-000015040000}"/>
    <cellStyle name="_【20090323_参考資料】千里導入明細資料_【20090715】千里導入明細資料_２１年度分（９月工事分）_fj_【20090721】千里導入明細資料_２１年度分_【20091225】千里導入明細資料_２２年度上期分 2" xfId="1112" xr:uid="{00000000-0005-0000-0000-000016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" xfId="1113" xr:uid="{00000000-0005-0000-0000-000017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 2" xfId="1114" xr:uid="{00000000-0005-0000-0000-000018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" xfId="1115" xr:uid="{00000000-0005-0000-0000-000019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 2" xfId="1116" xr:uid="{00000000-0005-0000-0000-00001A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" xfId="1117" xr:uid="{00000000-0005-0000-0000-00001B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 2" xfId="1118" xr:uid="{00000000-0005-0000-0000-00001C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" xfId="1119" xr:uid="{00000000-0005-0000-0000-00001D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 2" xfId="1120" xr:uid="{00000000-0005-0000-0000-00001E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" xfId="1121" xr:uid="{00000000-0005-0000-0000-00001F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 2" xfId="1122" xr:uid="{00000000-0005-0000-0000-000020040000}"/>
    <cellStyle name="_【20090323_参考資料】千里導入明細資料_【20090715】千里導入明細資料_２１年度分（９月工事分）_fj_【20090721】千里導入明細資料_２１年度分_【200912xx】千里導入明細資料_２２年度上期分" xfId="1123" xr:uid="{00000000-0005-0000-0000-000021040000}"/>
    <cellStyle name="_【20090323_参考資料】千里導入明細資料_【20090715】千里導入明細資料_２１年度分（９月工事分）_fj_【20090721】千里導入明細資料_２１年度分_【200912xx】千里導入明細資料_２２年度上期分 2" xfId="1124" xr:uid="{00000000-0005-0000-0000-000022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" xfId="1125" xr:uid="{00000000-0005-0000-0000-000023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 2" xfId="1126" xr:uid="{00000000-0005-0000-0000-000024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" xfId="1127" xr:uid="{00000000-0005-0000-0000-000025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 2" xfId="1128" xr:uid="{00000000-0005-0000-0000-000026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129" xr:uid="{00000000-0005-0000-0000-000027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130" xr:uid="{00000000-0005-0000-0000-000028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131" xr:uid="{00000000-0005-0000-0000-000029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132" xr:uid="{00000000-0005-0000-0000-00002A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133" xr:uid="{00000000-0005-0000-0000-00002B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134" xr:uid="{00000000-0005-0000-0000-00002C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135" xr:uid="{00000000-0005-0000-0000-00002D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136" xr:uid="{00000000-0005-0000-0000-00002E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" xfId="1137" xr:uid="{00000000-0005-0000-0000-00002F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 2" xfId="1138" xr:uid="{00000000-0005-0000-0000-000030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139" xr:uid="{00000000-0005-0000-0000-000031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140" xr:uid="{00000000-0005-0000-0000-000032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141" xr:uid="{00000000-0005-0000-0000-000033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142" xr:uid="{00000000-0005-0000-0000-000034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143" xr:uid="{00000000-0005-0000-0000-000035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144" xr:uid="{00000000-0005-0000-0000-000036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" xfId="1145" xr:uid="{00000000-0005-0000-0000-000037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 2" xfId="1146" xr:uid="{00000000-0005-0000-0000-000038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147" xr:uid="{00000000-0005-0000-0000-000039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148" xr:uid="{00000000-0005-0000-0000-00003A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149" xr:uid="{00000000-0005-0000-0000-00003B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150" xr:uid="{00000000-0005-0000-0000-00003C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151" xr:uid="{00000000-0005-0000-0000-00003D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152" xr:uid="{00000000-0005-0000-0000-00003E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" xfId="1153" xr:uid="{00000000-0005-0000-0000-00003F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 2" xfId="1154" xr:uid="{00000000-0005-0000-0000-000040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" xfId="1155" xr:uid="{00000000-0005-0000-0000-000041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 2" xfId="1156" xr:uid="{00000000-0005-0000-0000-000042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" xfId="1157" xr:uid="{00000000-0005-0000-0000-000043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 2" xfId="1158" xr:uid="{00000000-0005-0000-0000-000044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" xfId="1159" xr:uid="{00000000-0005-0000-0000-000045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 2" xfId="1160" xr:uid="{00000000-0005-0000-0000-000046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" xfId="1161" xr:uid="{00000000-0005-0000-0000-000047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 2" xfId="1162" xr:uid="{00000000-0005-0000-0000-000048040000}"/>
    <cellStyle name="_【20090323_参考資料】千里導入明細資料_【20090715】千里導入明細資料_２１年度分（９月工事分）_fj_【20090721】千里導入明細資料_２１年度分_Ⅹ_課題と対応策_20121211" xfId="1163" xr:uid="{00000000-0005-0000-0000-000049040000}"/>
    <cellStyle name="_【20090323_参考資料】千里導入明細資料_【20090715】千里導入明細資料_２１年度分（９月工事分）_fj_【20090721】千里導入明細資料_２１年度分_Ⅹ_課題と対応策_20121211 2" xfId="1164" xr:uid="{00000000-0005-0000-0000-00004A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" xfId="1165" xr:uid="{00000000-0005-0000-0000-00004B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 2" xfId="1166" xr:uid="{00000000-0005-0000-0000-00004C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" xfId="1167" xr:uid="{00000000-0005-0000-0000-00004D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 2" xfId="1168" xr:uid="{00000000-0005-0000-0000-00004E040000}"/>
    <cellStyle name="_【20090323_参考資料】千里導入明細資料_【20090715】千里導入明細資料_２１年度分（９月工事分）_fj_【20090821】千里ラック搭載図（NW機器）" xfId="1169" xr:uid="{00000000-0005-0000-0000-00004F040000}"/>
    <cellStyle name="_【20090323_参考資料】千里導入明細資料_【20090715】千里導入明細資料_２１年度分（９月工事分）_fj_【20090821】千里ラック搭載図（NW機器） 2" xfId="1170" xr:uid="{00000000-0005-0000-0000-000050040000}"/>
    <cellStyle name="_【20090323_参考資料】千里導入明細資料_【20090715】千里導入明細資料_２１年度分（９月工事分）_fj_【20090821】千里ラック搭載図（NW機器）_Ⅹ_課題と対応策_20121211" xfId="1171" xr:uid="{00000000-0005-0000-0000-000051040000}"/>
    <cellStyle name="_【20090323_参考資料】千里導入明細資料_【20090715】千里導入明細資料_２１年度分（９月工事分）_fj_【20090821】千里ラック搭載図（NW機器）_Ⅹ_課題と対応策_20121211 2" xfId="1172" xr:uid="{00000000-0005-0000-0000-000052040000}"/>
    <cellStyle name="_【20090323_参考資料】千里導入明細資料_【20090715】千里導入明細資料_２１年度分（９月工事分）_fj_【20091207】千里導入明細資料_２１年度分（ネットワーク敷設）" xfId="1173" xr:uid="{00000000-0005-0000-0000-000053040000}"/>
    <cellStyle name="_【20090323_参考資料】千里導入明細資料_【20090715】千里導入明細資料_２１年度分（９月工事分）_fj_【20091207】千里導入明細資料_２１年度分（ネットワーク敷設） 2" xfId="1174" xr:uid="{00000000-0005-0000-0000-000054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" xfId="1175" xr:uid="{00000000-0005-0000-0000-000055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 2" xfId="1176" xr:uid="{00000000-0005-0000-0000-000056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177" xr:uid="{00000000-0005-0000-0000-000057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178" xr:uid="{00000000-0005-0000-0000-000058040000}"/>
    <cellStyle name="_【20090323_参考資料】千里導入明細資料_【20090715】千里導入明細資料_２１年度分（９月工事分）_fj_【20091207】千里導入明細資料_２１年度分（ネットワーク敷設）_Ⅹ_課題と対応策_20121211" xfId="1179" xr:uid="{00000000-0005-0000-0000-000059040000}"/>
    <cellStyle name="_【20090323_参考資料】千里導入明細資料_【20090715】千里導入明細資料_２１年度分（９月工事分）_fj_【20091207】千里導入明細資料_２１年度分（ネットワーク敷設）_Ⅹ_課題と対応策_20121211 2" xfId="1180" xr:uid="{00000000-0005-0000-0000-00005A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" xfId="1181" xr:uid="{00000000-0005-0000-0000-00005B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 2" xfId="1182" xr:uid="{00000000-0005-0000-0000-00005C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" xfId="1183" xr:uid="{00000000-0005-0000-0000-00005D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184" xr:uid="{00000000-0005-0000-0000-00005E040000}"/>
    <cellStyle name="_【20090323_参考資料】千里導入明細資料_【20090715】千里導入明細資料_２１年度分（９月工事分）_fj_【20091225】千里導入明細資料_２２年度上期分（営業店ＡＰ－ＤＢ）" xfId="1185" xr:uid="{00000000-0005-0000-0000-00005F040000}"/>
    <cellStyle name="_【20090323_参考資料】千里導入明細資料_【20090715】千里導入明細資料_２１年度分（９月工事分）_fj_【20091225】千里導入明細資料_２２年度上期分（営業店ＡＰ－ＤＢ） 2" xfId="1186" xr:uid="{00000000-0005-0000-0000-000060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" xfId="1187" xr:uid="{00000000-0005-0000-0000-000061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 2" xfId="1188" xr:uid="{00000000-0005-0000-0000-000062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189" xr:uid="{00000000-0005-0000-0000-000063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190" xr:uid="{00000000-0005-0000-0000-000064040000}"/>
    <cellStyle name="_【20090323_参考資料】千里導入明細資料_【20090715】千里導入明細資料_２１年度分（９月工事分）_fj_【20091225】千里導入明細資料_２２年度上期分（営業店ＡＰ－ＤＢ）_Ⅹ_課題と対応策_20121211" xfId="1191" xr:uid="{00000000-0005-0000-0000-000065040000}"/>
    <cellStyle name="_【20090323_参考資料】千里導入明細資料_【20090715】千里導入明細資料_２１年度分（９月工事分）_fj_【20091225】千里導入明細資料_２２年度上期分（営業店ＡＰ－ＤＢ）_Ⅹ_課題と対応策_20121211 2" xfId="1192" xr:uid="{00000000-0005-0000-0000-000066040000}"/>
    <cellStyle name="_【20090323_参考資料】千里導入明細資料_【20090715】千里導入明細資料_２１年度分（９月工事分）_fj_【20091225】千里導入明細資料_２２年度上期分_営業店DB" xfId="1193" xr:uid="{00000000-0005-0000-0000-000067040000}"/>
    <cellStyle name="_【20090323_参考資料】千里導入明細資料_【20090715】千里導入明細資料_２１年度分（９月工事分）_fj_【20091225】千里導入明細資料_２２年度上期分_営業店DB 2" xfId="1194" xr:uid="{00000000-0005-0000-0000-000068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" xfId="1195" xr:uid="{00000000-0005-0000-0000-000069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 2" xfId="1196" xr:uid="{00000000-0005-0000-0000-00006A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" xfId="1197" xr:uid="{00000000-0005-0000-0000-00006B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 2" xfId="1198" xr:uid="{00000000-0005-0000-0000-00006C040000}"/>
    <cellStyle name="_【20090323_参考資料】千里導入明細資料_【20090715】千里導入明細資料_２１年度分（９月工事分）_fj_【20091225】千里導入明細資料_２２年度上期分_営業店DB_Ⅹ_課題と対応策_20121211" xfId="1199" xr:uid="{00000000-0005-0000-0000-00006D040000}"/>
    <cellStyle name="_【20090323_参考資料】千里導入明細資料_【20090715】千里導入明細資料_２１年度分（９月工事分）_fj_【20091225】千里導入明細資料_２２年度上期分_営業店DB_Ⅹ_課題と対応策_20121211 2" xfId="1200" xr:uid="{00000000-0005-0000-0000-00006E040000}"/>
    <cellStyle name="_【20090323_参考資料】千里導入明細資料_【20090715】千里導入明細資料_２１年度分（９月工事分）_fj_【20091225】千里導入明細資料_２２年度上期分_連携DB" xfId="1201" xr:uid="{00000000-0005-0000-0000-00006F040000}"/>
    <cellStyle name="_【20090323_参考資料】千里導入明細資料_【20090715】千里導入明細資料_２１年度分（９月工事分）_fj_【20091225】千里導入明細資料_２２年度上期分_連携DB 2" xfId="1202" xr:uid="{00000000-0005-0000-0000-000070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" xfId="1203" xr:uid="{00000000-0005-0000-0000-000071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 2" xfId="1204" xr:uid="{00000000-0005-0000-0000-000072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" xfId="1205" xr:uid="{00000000-0005-0000-0000-000073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 2" xfId="1206" xr:uid="{00000000-0005-0000-0000-000074040000}"/>
    <cellStyle name="_【20090323_参考資料】千里導入明細資料_【20090715】千里導入明細資料_２１年度分（９月工事分）_fj_【20091225】千里導入明細資料_２２年度上期分_連携DB_Ⅹ_課題と対応策_20121211" xfId="1207" xr:uid="{00000000-0005-0000-0000-000075040000}"/>
    <cellStyle name="_【20090323_参考資料】千里導入明細資料_【20090715】千里導入明細資料_２１年度分（９月工事分）_fj_【20091225】千里導入明細資料_２２年度上期分_連携DB_Ⅹ_課題と対応策_20121211 2" xfId="1208" xr:uid="{00000000-0005-0000-0000-000076040000}"/>
    <cellStyle name="_【20090323_参考資料】千里導入明細資料_【20090715】千里導入明細資料_２１年度分（９月工事分）_fj_【作成中】千里センター機器配置図（2010年対応分）_20091221" xfId="1209" xr:uid="{00000000-0005-0000-0000-000077040000}"/>
    <cellStyle name="_【20090323_参考資料】千里導入明細資料_【20090715】千里導入明細資料_２１年度分（９月工事分）_fj_【作成中】千里センター機器配置図（2010年対応分）_20091221 2" xfId="1210" xr:uid="{00000000-0005-0000-0000-000078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" xfId="1211" xr:uid="{00000000-0005-0000-0000-000079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 2" xfId="1212" xr:uid="{00000000-0005-0000-0000-00007A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" xfId="1213" xr:uid="{00000000-0005-0000-0000-00007B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 2" xfId="1214" xr:uid="{00000000-0005-0000-0000-00007C040000}"/>
    <cellStyle name="_【20090323_参考資料】千里導入明細資料_【20090715】千里導入明細資料_２１年度分（９月工事分）_fj_【作成中】千里センター機器配置図（2010年対応分）_20091221_Ⅹ_課題と対応策_20121211" xfId="1215" xr:uid="{00000000-0005-0000-0000-00007D040000}"/>
    <cellStyle name="_【20090323_参考資料】千里導入明細資料_【20090715】千里導入明細資料_２１年度分（９月工事分）_fj_【作成中】千里センター機器配置図（2010年対応分）_20091221_Ⅹ_課題と対応策_20121211 2" xfId="1216" xr:uid="{00000000-0005-0000-0000-00007E040000}"/>
    <cellStyle name="_【20090323_参考資料】千里導入明細資料_【20090715】千里導入明細資料_２１年度分（９月工事分）_fj_Ⅹ_課題と対応策_20121211" xfId="1217" xr:uid="{00000000-0005-0000-0000-00007F040000}"/>
    <cellStyle name="_【20090323_参考資料】千里導入明細資料_【20090715】千里導入明細資料_２１年度分（９月工事分）_fj_Ⅹ_課題と対応策_20121211 2" xfId="1218" xr:uid="{00000000-0005-0000-0000-000080040000}"/>
    <cellStyle name="_【20090323_参考資料】千里導入明細資料_【20090715】千里導入明細資料_２１年度分（９月工事分）_fj_千里センター機器構築スケジュール（８月分）_20090731" xfId="1219" xr:uid="{00000000-0005-0000-0000-000081040000}"/>
    <cellStyle name="_【20090323_参考資料】千里導入明細資料_【20090715】千里導入明細資料_２１年度分（９月工事分）_fj_千里センター機器構築スケジュール（８月分）_20090731 2" xfId="1220" xr:uid="{00000000-0005-0000-0000-000082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" xfId="1221" xr:uid="{00000000-0005-0000-0000-000083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 2" xfId="1222" xr:uid="{00000000-0005-0000-0000-000084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223" xr:uid="{00000000-0005-0000-0000-000085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224" xr:uid="{00000000-0005-0000-0000-000086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225" xr:uid="{00000000-0005-0000-0000-000087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226" xr:uid="{00000000-0005-0000-0000-000088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" xfId="1227" xr:uid="{00000000-0005-0000-0000-000089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 2" xfId="1228" xr:uid="{00000000-0005-0000-0000-00008A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" xfId="1229" xr:uid="{00000000-0005-0000-0000-00008B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 2" xfId="1230" xr:uid="{00000000-0005-0000-0000-00008C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" xfId="1231" xr:uid="{00000000-0005-0000-0000-00008D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 2" xfId="1232" xr:uid="{00000000-0005-0000-0000-00008E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" xfId="1233" xr:uid="{00000000-0005-0000-0000-00008F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 2" xfId="1234" xr:uid="{00000000-0005-0000-0000-000090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" xfId="1235" xr:uid="{00000000-0005-0000-0000-000091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 2" xfId="1236" xr:uid="{00000000-0005-0000-0000-000092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" xfId="1237" xr:uid="{00000000-0005-0000-0000-000093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 2" xfId="1238" xr:uid="{00000000-0005-0000-0000-000094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1239" xr:uid="{00000000-0005-0000-0000-000095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1240" xr:uid="{00000000-0005-0000-0000-000096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1241" xr:uid="{00000000-0005-0000-0000-000097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1242" xr:uid="{00000000-0005-0000-0000-000098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43" xr:uid="{00000000-0005-0000-0000-000099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244" xr:uid="{00000000-0005-0000-0000-00009A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1245" xr:uid="{00000000-0005-0000-0000-00009B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1246" xr:uid="{00000000-0005-0000-0000-00009C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1247" xr:uid="{00000000-0005-0000-0000-00009D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1248" xr:uid="{00000000-0005-0000-0000-00009E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1249" xr:uid="{00000000-0005-0000-0000-00009F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1250" xr:uid="{00000000-0005-0000-0000-0000A0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1251" xr:uid="{00000000-0005-0000-0000-0000A1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1252" xr:uid="{00000000-0005-0000-0000-0000A2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1253" xr:uid="{00000000-0005-0000-0000-0000A3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1254" xr:uid="{00000000-0005-0000-0000-0000A4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" xfId="1255" xr:uid="{00000000-0005-0000-0000-0000A5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 2" xfId="1256" xr:uid="{00000000-0005-0000-0000-0000A6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" xfId="1257" xr:uid="{00000000-0005-0000-0000-0000A7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 2" xfId="1258" xr:uid="{00000000-0005-0000-0000-0000A8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" xfId="1259" xr:uid="{00000000-0005-0000-0000-0000A9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 2" xfId="1260" xr:uid="{00000000-0005-0000-0000-0000AA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" xfId="1261" xr:uid="{00000000-0005-0000-0000-0000AB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 2" xfId="1262" xr:uid="{00000000-0005-0000-0000-0000AC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" xfId="1263" xr:uid="{00000000-0005-0000-0000-0000AD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 2" xfId="1264" xr:uid="{00000000-0005-0000-0000-0000AE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" xfId="1265" xr:uid="{00000000-0005-0000-0000-0000AF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 2" xfId="1266" xr:uid="{00000000-0005-0000-0000-0000B0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" xfId="1267" xr:uid="{00000000-0005-0000-0000-0000B1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 2" xfId="1268" xr:uid="{00000000-0005-0000-0000-0000B2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" xfId="1269" xr:uid="{00000000-0005-0000-0000-0000B3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 2" xfId="1270" xr:uid="{00000000-0005-0000-0000-0000B4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" xfId="1271" xr:uid="{00000000-0005-0000-0000-0000B5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 2" xfId="1272" xr:uid="{00000000-0005-0000-0000-0000B6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" xfId="1273" xr:uid="{00000000-0005-0000-0000-0000B7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 2" xfId="1274" xr:uid="{00000000-0005-0000-0000-0000B8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1275" xr:uid="{00000000-0005-0000-0000-0000B9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1276" xr:uid="{00000000-0005-0000-0000-0000BA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1277" xr:uid="{00000000-0005-0000-0000-0000BB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1278" xr:uid="{00000000-0005-0000-0000-0000BC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1279" xr:uid="{00000000-0005-0000-0000-0000BD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1280" xr:uid="{00000000-0005-0000-0000-0000BE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1281" xr:uid="{00000000-0005-0000-0000-0000BF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1282" xr:uid="{00000000-0005-0000-0000-0000C0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1283" xr:uid="{00000000-0005-0000-0000-0000C1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1284" xr:uid="{00000000-0005-0000-0000-0000C2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1285" xr:uid="{00000000-0005-0000-0000-0000C3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1286" xr:uid="{00000000-0005-0000-0000-0000C4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1287" xr:uid="{00000000-0005-0000-0000-0000C5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1288" xr:uid="{00000000-0005-0000-0000-0000C6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1289" xr:uid="{00000000-0005-0000-0000-0000C7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1290" xr:uid="{00000000-0005-0000-0000-0000C8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1291" xr:uid="{00000000-0005-0000-0000-0000C9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1292" xr:uid="{00000000-0005-0000-0000-0000CA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1293" xr:uid="{00000000-0005-0000-0000-0000CB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1294" xr:uid="{00000000-0005-0000-0000-0000CC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1295" xr:uid="{00000000-0005-0000-0000-0000CD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1296" xr:uid="{00000000-0005-0000-0000-0000CE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1297" xr:uid="{00000000-0005-0000-0000-0000CF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1298" xr:uid="{00000000-0005-0000-0000-0000D0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" xfId="1299" xr:uid="{00000000-0005-0000-0000-0000D1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 2" xfId="1300" xr:uid="{00000000-0005-0000-0000-0000D2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" xfId="1301" xr:uid="{00000000-0005-0000-0000-0000D3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 2" xfId="1302" xr:uid="{00000000-0005-0000-0000-0000D4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" xfId="1303" xr:uid="{00000000-0005-0000-0000-0000D5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 2" xfId="1304" xr:uid="{00000000-0005-0000-0000-0000D6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" xfId="1305" xr:uid="{00000000-0005-0000-0000-0000D7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 2" xfId="1306" xr:uid="{00000000-0005-0000-0000-0000D8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" xfId="1307" xr:uid="{00000000-0005-0000-0000-0000D9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 2" xfId="1308" xr:uid="{00000000-0005-0000-0000-0000DA040000}"/>
    <cellStyle name="_【20090323_参考資料】千里導入明細資料_【20090715】千里導入明細資料_２１年度分（９月工事分）_fj_千里センター機器構築スケジュール（８月分）_20090731_Ⅹ_課題と対応策_20121211" xfId="1309" xr:uid="{00000000-0005-0000-0000-0000DB040000}"/>
    <cellStyle name="_【20090323_参考資料】千里導入明細資料_【20090715】千里導入明細資料_２１年度分（９月工事分）_fj_千里センター機器構築スケジュール（８月分）_20090731_Ⅹ_課題と対応策_20121211 2" xfId="1310" xr:uid="{00000000-0005-0000-0000-0000DC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" xfId="1311" xr:uid="{00000000-0005-0000-0000-0000DD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 2" xfId="1312" xr:uid="{00000000-0005-0000-0000-0000DE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" xfId="1313" xr:uid="{00000000-0005-0000-0000-0000DF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 2" xfId="1314" xr:uid="{00000000-0005-0000-0000-0000E0040000}"/>
    <cellStyle name="_【20090323_参考資料】千里導入明細資料_【20090724】千里導入明細資料_２１年度" xfId="1315" xr:uid="{00000000-0005-0000-0000-0000E1040000}"/>
    <cellStyle name="_【20090323_参考資料】千里導入明細資料_【20090724】千里導入明細資料_２１年度 2" xfId="1316" xr:uid="{00000000-0005-0000-0000-0000E2040000}"/>
    <cellStyle name="_【20090323_参考資料】千里導入明細資料_【20090724】千里導入明細資料_２１年度_【20091207】千里導入明細資料_２１年度分（ネットワーク敷設）" xfId="1317" xr:uid="{00000000-0005-0000-0000-0000E3040000}"/>
    <cellStyle name="_【20090323_参考資料】千里導入明細資料_【20090724】千里導入明細資料_２１年度_【20091207】千里導入明細資料_２１年度分（ネットワーク敷設） 2" xfId="1318" xr:uid="{00000000-0005-0000-0000-0000E4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" xfId="1319" xr:uid="{00000000-0005-0000-0000-0000E5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 2" xfId="1320" xr:uid="{00000000-0005-0000-0000-0000E6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" xfId="1321" xr:uid="{00000000-0005-0000-0000-0000E7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 2" xfId="1322" xr:uid="{00000000-0005-0000-0000-0000E8040000}"/>
    <cellStyle name="_【20090323_参考資料】千里導入明細資料_【20090724】千里導入明細資料_２１年度_【20091207】千里導入明細資料_２１年度分（ネットワーク敷設）_Ⅹ_課題と対応策_20121211" xfId="1323" xr:uid="{00000000-0005-0000-0000-0000E9040000}"/>
    <cellStyle name="_【20090323_参考資料】千里導入明細資料_【20090724】千里導入明細資料_２１年度_【20091207】千里導入明細資料_２１年度分（ネットワーク敷設）_Ⅹ_課題と対応策_20121211 2" xfId="1324" xr:uid="{00000000-0005-0000-0000-0000EA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" xfId="1325" xr:uid="{00000000-0005-0000-0000-0000EB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 2" xfId="1326" xr:uid="{00000000-0005-0000-0000-0000EC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" xfId="1327" xr:uid="{00000000-0005-0000-0000-0000ED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 2" xfId="1328" xr:uid="{00000000-0005-0000-0000-0000EE040000}"/>
    <cellStyle name="_【20090323_参考資料】千里導入明細資料_【20090724】千里導入明細資料_２１年度_【20091225】千里導入明細資料_２２年度上期分（営業店ＡＰ－ＤＢ）" xfId="1329" xr:uid="{00000000-0005-0000-0000-0000EF040000}"/>
    <cellStyle name="_【20090323_参考資料】千里導入明細資料_【20090724】千里導入明細資料_２１年度_【20091225】千里導入明細資料_２２年度上期分（営業店ＡＰ－ＤＢ） 2" xfId="1330" xr:uid="{00000000-0005-0000-0000-0000F0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" xfId="1331" xr:uid="{00000000-0005-0000-0000-0000F1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 2" xfId="1332" xr:uid="{00000000-0005-0000-0000-0000F2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" xfId="1333" xr:uid="{00000000-0005-0000-0000-0000F3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 2" xfId="1334" xr:uid="{00000000-0005-0000-0000-0000F4040000}"/>
    <cellStyle name="_【20090323_参考資料】千里導入明細資料_【20090724】千里導入明細資料_２１年度_【20091225】千里導入明細資料_２２年度上期分（営業店ＡＰ－ＤＢ）_Ⅹ_課題と対応策_20121211" xfId="1335" xr:uid="{00000000-0005-0000-0000-0000F5040000}"/>
    <cellStyle name="_【20090323_参考資料】千里導入明細資料_【20090724】千里導入明細資料_２１年度_【20091225】千里導入明細資料_２２年度上期分（営業店ＡＰ－ＤＢ）_Ⅹ_課題と対応策_20121211 2" xfId="1336" xr:uid="{00000000-0005-0000-0000-0000F6040000}"/>
    <cellStyle name="_【20090323_参考資料】千里導入明細資料_【20090724】千里導入明細資料_２１年度_【20091225】千里導入明細資料_２２年度上期分_営業店DB" xfId="1337" xr:uid="{00000000-0005-0000-0000-0000F7040000}"/>
    <cellStyle name="_【20090323_参考資料】千里導入明細資料_【20090724】千里導入明細資料_２１年度_【20091225】千里導入明細資料_２２年度上期分_営業店DB 2" xfId="1338" xr:uid="{00000000-0005-0000-0000-0000F8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" xfId="1339" xr:uid="{00000000-0005-0000-0000-0000F9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 2" xfId="1340" xr:uid="{00000000-0005-0000-0000-0000FA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" xfId="1341" xr:uid="{00000000-0005-0000-0000-0000FB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 2" xfId="1342" xr:uid="{00000000-0005-0000-0000-0000FC040000}"/>
    <cellStyle name="_【20090323_参考資料】千里導入明細資料_【20090724】千里導入明細資料_２１年度_【20091225】千里導入明細資料_２２年度上期分_営業店DB_Ⅹ_課題と対応策_20121211" xfId="1343" xr:uid="{00000000-0005-0000-0000-0000FD040000}"/>
    <cellStyle name="_【20090323_参考資料】千里導入明細資料_【20090724】千里導入明細資料_２１年度_【20091225】千里導入明細資料_２２年度上期分_営業店DB_Ⅹ_課題と対応策_20121211 2" xfId="1344" xr:uid="{00000000-0005-0000-0000-0000FE040000}"/>
    <cellStyle name="_【20090323_参考資料】千里導入明細資料_【20090724】千里導入明細資料_２１年度_【20091225】千里導入明細資料_２２年度上期分_連携DB" xfId="1345" xr:uid="{00000000-0005-0000-0000-0000FF040000}"/>
    <cellStyle name="_【20090323_参考資料】千里導入明細資料_【20090724】千里導入明細資料_２１年度_【20091225】千里導入明細資料_２２年度上期分_連携DB 2" xfId="1346" xr:uid="{00000000-0005-0000-0000-000000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" xfId="1347" xr:uid="{00000000-0005-0000-0000-000001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 2" xfId="1348" xr:uid="{00000000-0005-0000-0000-000002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" xfId="1349" xr:uid="{00000000-0005-0000-0000-000003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 2" xfId="1350" xr:uid="{00000000-0005-0000-0000-000004050000}"/>
    <cellStyle name="_【20090323_参考資料】千里導入明細資料_【20090724】千里導入明細資料_２１年度_【20091225】千里導入明細資料_２２年度上期分_連携DB_Ⅹ_課題と対応策_20121211" xfId="1351" xr:uid="{00000000-0005-0000-0000-000005050000}"/>
    <cellStyle name="_【20090323_参考資料】千里導入明細資料_【20090724】千里導入明細資料_２１年度_【20091225】千里導入明細資料_２２年度上期分_連携DB_Ⅹ_課題と対応策_20121211 2" xfId="1352" xr:uid="{00000000-0005-0000-0000-000006050000}"/>
    <cellStyle name="_【20090323_参考資料】千里導入明細資料_【20090724】千里導入明細資料_２１年度_【作成中】千里センター機器配置図（2010年対応分）_20091221" xfId="1353" xr:uid="{00000000-0005-0000-0000-000007050000}"/>
    <cellStyle name="_【20090323_参考資料】千里導入明細資料_【20090724】千里導入明細資料_２１年度_【作成中】千里センター機器配置図（2010年対応分）_20091221 2" xfId="1354" xr:uid="{00000000-0005-0000-0000-000008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" xfId="1355" xr:uid="{00000000-0005-0000-0000-000009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 2" xfId="1356" xr:uid="{00000000-0005-0000-0000-00000A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" xfId="1357" xr:uid="{00000000-0005-0000-0000-00000B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 2" xfId="1358" xr:uid="{00000000-0005-0000-0000-00000C050000}"/>
    <cellStyle name="_【20090323_参考資料】千里導入明細資料_【20090724】千里導入明細資料_２１年度_【作成中】千里センター機器配置図（2010年対応分）_20091221_Ⅹ_課題と対応策_20121211" xfId="1359" xr:uid="{00000000-0005-0000-0000-00000D050000}"/>
    <cellStyle name="_【20090323_参考資料】千里導入明細資料_【20090724】千里導入明細資料_２１年度_【作成中】千里センター機器配置図（2010年対応分）_20091221_Ⅹ_課題と対応策_20121211 2" xfId="1360" xr:uid="{00000000-0005-0000-0000-00000E050000}"/>
    <cellStyle name="_【20090323_参考資料】千里導入明細資料_【20090724】千里導入明細資料_２１年度_Ⅹ_課題と対応策_20121211" xfId="1361" xr:uid="{00000000-0005-0000-0000-00000F050000}"/>
    <cellStyle name="_【20090323_参考資料】千里導入明細資料_【20090724】千里導入明細資料_２１年度_Ⅹ_課題と対応策_20121211 2" xfId="1362" xr:uid="{00000000-0005-0000-0000-000010050000}"/>
    <cellStyle name="_【20090323_参考資料】千里導入明細資料_【20090724】千里導入明細資料_２１年度分（９月工事分）" xfId="1363" xr:uid="{00000000-0005-0000-0000-000011050000}"/>
    <cellStyle name="_【20090323_参考資料】千里導入明細資料_【20090724】千里導入明細資料_２１年度分（９月工事分） 2" xfId="1364" xr:uid="{00000000-0005-0000-0000-000012050000}"/>
    <cellStyle name="_【20090323_参考資料】千里導入明細資料_【20090724】千里導入明細資料_２１年度分（９月工事分）_【20091207】千里導入明細資料_２１年度分（ネットワーク敷設）" xfId="1365" xr:uid="{00000000-0005-0000-0000-000013050000}"/>
    <cellStyle name="_【20090323_参考資料】千里導入明細資料_【20090724】千里導入明細資料_２１年度分（９月工事分）_【20091207】千里導入明細資料_２１年度分（ネットワーク敷設） 2" xfId="1366" xr:uid="{00000000-0005-0000-0000-000014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" xfId="1367" xr:uid="{00000000-0005-0000-0000-000015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 2" xfId="1368" xr:uid="{00000000-0005-0000-0000-000016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1369" xr:uid="{00000000-0005-0000-0000-000017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1370" xr:uid="{00000000-0005-0000-0000-000018050000}"/>
    <cellStyle name="_【20090323_参考資料】千里導入明細資料_【20090724】千里導入明細資料_２１年度分（９月工事分）_【20091207】千里導入明細資料_２１年度分（ネットワーク敷設）_Ⅹ_課題と対応策_20121211" xfId="1371" xr:uid="{00000000-0005-0000-0000-000019050000}"/>
    <cellStyle name="_【20090323_参考資料】千里導入明細資料_【20090724】千里導入明細資料_２１年度分（９月工事分）_【20091207】千里導入明細資料_２１年度分（ネットワーク敷設）_Ⅹ_課題と対応策_20121211 2" xfId="1372" xr:uid="{00000000-0005-0000-0000-00001A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" xfId="1373" xr:uid="{00000000-0005-0000-0000-00001B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 2" xfId="1374" xr:uid="{00000000-0005-0000-0000-00001C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" xfId="1375" xr:uid="{00000000-0005-0000-0000-00001D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 2" xfId="1376" xr:uid="{00000000-0005-0000-0000-00001E050000}"/>
    <cellStyle name="_【20090323_参考資料】千里導入明細資料_【20090724】千里導入明細資料_２１年度分（９月工事分）_【20091225】千里導入明細資料_２２年度上期分（営業店ＡＰ－ＤＢ）" xfId="1377" xr:uid="{00000000-0005-0000-0000-00001F050000}"/>
    <cellStyle name="_【20090323_参考資料】千里導入明細資料_【20090724】千里導入明細資料_２１年度分（９月工事分）_【20091225】千里導入明細資料_２２年度上期分（営業店ＡＰ－ＤＢ） 2" xfId="1378" xr:uid="{00000000-0005-0000-0000-000020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" xfId="1379" xr:uid="{00000000-0005-0000-0000-000021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 2" xfId="1380" xr:uid="{00000000-0005-0000-0000-000022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1381" xr:uid="{00000000-0005-0000-0000-000023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1382" xr:uid="{00000000-0005-0000-0000-000024050000}"/>
    <cellStyle name="_【20090323_参考資料】千里導入明細資料_【20090724】千里導入明細資料_２１年度分（９月工事分）_【20091225】千里導入明細資料_２２年度上期分（営業店ＡＰ－ＤＢ）_Ⅹ_課題と対応策_20121211" xfId="1383" xr:uid="{00000000-0005-0000-0000-000025050000}"/>
    <cellStyle name="_【20090323_参考資料】千里導入明細資料_【20090724】千里導入明細資料_２１年度分（９月工事分）_【20091225】千里導入明細資料_２２年度上期分（営業店ＡＰ－ＤＢ）_Ⅹ_課題と対応策_20121211 2" xfId="1384" xr:uid="{00000000-0005-0000-0000-000026050000}"/>
    <cellStyle name="_【20090323_参考資料】千里導入明細資料_【20090724】千里導入明細資料_２１年度分（９月工事分）_【20091225】千里導入明細資料_２２年度上期分_営業店DB" xfId="1385" xr:uid="{00000000-0005-0000-0000-000027050000}"/>
    <cellStyle name="_【20090323_参考資料】千里導入明細資料_【20090724】千里導入明細資料_２１年度分（９月工事分）_【20091225】千里導入明細資料_２２年度上期分_営業店DB 2" xfId="1386" xr:uid="{00000000-0005-0000-0000-000028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" xfId="1387" xr:uid="{00000000-0005-0000-0000-000029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 2" xfId="1388" xr:uid="{00000000-0005-0000-0000-00002A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" xfId="1389" xr:uid="{00000000-0005-0000-0000-00002B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 2" xfId="1390" xr:uid="{00000000-0005-0000-0000-00002C050000}"/>
    <cellStyle name="_【20090323_参考資料】千里導入明細資料_【20090724】千里導入明細資料_２１年度分（９月工事分）_【20091225】千里導入明細資料_２２年度上期分_営業店DB_Ⅹ_課題と対応策_20121211" xfId="1391" xr:uid="{00000000-0005-0000-0000-00002D050000}"/>
    <cellStyle name="_【20090323_参考資料】千里導入明細資料_【20090724】千里導入明細資料_２１年度分（９月工事分）_【20091225】千里導入明細資料_２２年度上期分_営業店DB_Ⅹ_課題と対応策_20121211 2" xfId="1392" xr:uid="{00000000-0005-0000-0000-00002E050000}"/>
    <cellStyle name="_【20090323_参考資料】千里導入明細資料_【20090724】千里導入明細資料_２１年度分（９月工事分）_【20091225】千里導入明細資料_２２年度上期分_連携DB" xfId="1393" xr:uid="{00000000-0005-0000-0000-00002F050000}"/>
    <cellStyle name="_【20090323_参考資料】千里導入明細資料_【20090724】千里導入明細資料_２１年度分（９月工事分）_【20091225】千里導入明細資料_２２年度上期分_連携DB 2" xfId="1394" xr:uid="{00000000-0005-0000-0000-000030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" xfId="1395" xr:uid="{00000000-0005-0000-0000-000031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 2" xfId="1396" xr:uid="{00000000-0005-0000-0000-000032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" xfId="1397" xr:uid="{00000000-0005-0000-0000-000033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 2" xfId="1398" xr:uid="{00000000-0005-0000-0000-000034050000}"/>
    <cellStyle name="_【20090323_参考資料】千里導入明細資料_【20090724】千里導入明細資料_２１年度分（９月工事分）_【20091225】千里導入明細資料_２２年度上期分_連携DB_Ⅹ_課題と対応策_20121211" xfId="1399" xr:uid="{00000000-0005-0000-0000-000035050000}"/>
    <cellStyle name="_【20090323_参考資料】千里導入明細資料_【20090724】千里導入明細資料_２１年度分（９月工事分）_【20091225】千里導入明細資料_２２年度上期分_連携DB_Ⅹ_課題と対応策_20121211 2" xfId="1400" xr:uid="{00000000-0005-0000-0000-000036050000}"/>
    <cellStyle name="_【20090323_参考資料】千里導入明細資料_【20090724】千里導入明細資料_２１年度分（９月工事分）_【作成中】千里センター機器配置図（2010年対応分）_20091221" xfId="1401" xr:uid="{00000000-0005-0000-0000-000037050000}"/>
    <cellStyle name="_【20090323_参考資料】千里導入明細資料_【20090724】千里導入明細資料_２１年度分（９月工事分）_【作成中】千里センター機器配置図（2010年対応分）_20091221 2" xfId="1402" xr:uid="{00000000-0005-0000-0000-000038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" xfId="1403" xr:uid="{00000000-0005-0000-0000-000039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 2" xfId="1404" xr:uid="{00000000-0005-0000-0000-00003A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" xfId="1405" xr:uid="{00000000-0005-0000-0000-00003B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 2" xfId="1406" xr:uid="{00000000-0005-0000-0000-00003C050000}"/>
    <cellStyle name="_【20090323_参考資料】千里導入明細資料_【20090724】千里導入明細資料_２１年度分（９月工事分）_【作成中】千里センター機器配置図（2010年対応分）_20091221_Ⅹ_課題と対応策_20121211" xfId="1407" xr:uid="{00000000-0005-0000-0000-00003D050000}"/>
    <cellStyle name="_【20090323_参考資料】千里導入明細資料_【20090724】千里導入明細資料_２１年度分（９月工事分）_【作成中】千里センター機器配置図（2010年対応分）_20091221_Ⅹ_課題と対応策_20121211 2" xfId="1408" xr:uid="{00000000-0005-0000-0000-00003E050000}"/>
    <cellStyle name="_【20090323_参考資料】千里導入明細資料_【20090724】千里導入明細資料_２１年度分（９月工事分）_Ⅹ_課題と対応策_20121211" xfId="1409" xr:uid="{00000000-0005-0000-0000-00003F050000}"/>
    <cellStyle name="_【20090323_参考資料】千里導入明細資料_【20090724】千里導入明細資料_２１年度分（９月工事分）_Ⅹ_課題と対応策_20121211 2" xfId="1410" xr:uid="{00000000-0005-0000-0000-000040050000}"/>
    <cellStyle name="_【20090323_参考資料】千里導入明細資料_【20090731】千里導入明細資料_２１年度分（９月工事分）" xfId="1411" xr:uid="{00000000-0005-0000-0000-000041050000}"/>
    <cellStyle name="_【20090323_参考資料】千里導入明細資料_【20090731】千里導入明細資料_２１年度分（９月工事分） 2" xfId="1412" xr:uid="{00000000-0005-0000-0000-000042050000}"/>
    <cellStyle name="_【20090323_参考資料】千里導入明細資料_【20090731】千里導入明細資料_２１年度分（９月工事分）_【20090821】千里ラック搭載図（NW機器）" xfId="1413" xr:uid="{00000000-0005-0000-0000-000043050000}"/>
    <cellStyle name="_【20090323_参考資料】千里導入明細資料_【20090731】千里導入明細資料_２１年度分（９月工事分）_【20090821】千里ラック搭載図（NW機器） 2" xfId="1414" xr:uid="{00000000-0005-0000-0000-000044050000}"/>
    <cellStyle name="_【20090323_参考資料】千里導入明細資料_【20090731】千里導入明細資料_２１年度分（９月工事分）_【20090821】千里ラック搭載図（NW機器）_Ⅹ_課題と対応策_20121211" xfId="1415" xr:uid="{00000000-0005-0000-0000-000045050000}"/>
    <cellStyle name="_【20090323_参考資料】千里導入明細資料_【20090731】千里導入明細資料_２１年度分（９月工事分）_【20090821】千里ラック搭載図（NW機器）_Ⅹ_課題と対応策_20121211 2" xfId="1416" xr:uid="{00000000-0005-0000-0000-000046050000}"/>
    <cellStyle name="_【20090323_参考資料】千里導入明細資料_【20090731】千里導入明細資料_２１年度分（９月工事分）_Ⅹ_課題と対応策_20121211" xfId="1417" xr:uid="{00000000-0005-0000-0000-000047050000}"/>
    <cellStyle name="_【20090323_参考資料】千里導入明細資料_【20090731】千里導入明細資料_２１年度分（９月工事分）_Ⅹ_課題と対応策_20121211 2" xfId="1418" xr:uid="{00000000-0005-0000-0000-000048050000}"/>
    <cellStyle name="_【20090323_参考資料】千里導入明細資料_【20090807】千里導入明細資料" xfId="1419" xr:uid="{00000000-0005-0000-0000-000049050000}"/>
    <cellStyle name="_【20090323_参考資料】千里導入明細資料_【20090807】千里導入明細資料 2" xfId="1420" xr:uid="{00000000-0005-0000-0000-00004A050000}"/>
    <cellStyle name="_【20090323_参考資料】千里導入明細資料_【20090807】千里導入明細資料_【20091207】千里導入明細資料_２１年度分（ネットワーク敷設）" xfId="1421" xr:uid="{00000000-0005-0000-0000-00004B050000}"/>
    <cellStyle name="_【20090323_参考資料】千里導入明細資料_【20090807】千里導入明細資料_【20091207】千里導入明細資料_２１年度分（ネットワーク敷設） 2" xfId="1422" xr:uid="{00000000-0005-0000-0000-00004C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" xfId="1423" xr:uid="{00000000-0005-0000-0000-00004D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 2" xfId="1424" xr:uid="{00000000-0005-0000-0000-00004E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" xfId="1425" xr:uid="{00000000-0005-0000-0000-00004F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 2" xfId="1426" xr:uid="{00000000-0005-0000-0000-000050050000}"/>
    <cellStyle name="_【20090323_参考資料】千里導入明細資料_【20090807】千里導入明細資料_【20091207】千里導入明細資料_２１年度分（ネットワーク敷設）_Ⅹ_課題と対応策_20121211" xfId="1427" xr:uid="{00000000-0005-0000-0000-000051050000}"/>
    <cellStyle name="_【20090323_参考資料】千里導入明細資料_【20090807】千里導入明細資料_【20091207】千里導入明細資料_２１年度分（ネットワーク敷設）_Ⅹ_課題と対応策_20121211 2" xfId="1428" xr:uid="{00000000-0005-0000-0000-000052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" xfId="1429" xr:uid="{00000000-0005-0000-0000-000053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 2" xfId="1430" xr:uid="{00000000-0005-0000-0000-000054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" xfId="1431" xr:uid="{00000000-0005-0000-0000-000055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 2" xfId="1432" xr:uid="{00000000-0005-0000-0000-000056050000}"/>
    <cellStyle name="_【20090323_参考資料】千里導入明細資料_【20090807】千里導入明細資料_【20091225】千里導入明細資料_２２年度上期分（営業店ＡＰ－ＤＢ）" xfId="1433" xr:uid="{00000000-0005-0000-0000-000057050000}"/>
    <cellStyle name="_【20090323_参考資料】千里導入明細資料_【20090807】千里導入明細資料_【20091225】千里導入明細資料_２２年度上期分（営業店ＡＰ－ＤＢ） 2" xfId="1434" xr:uid="{00000000-0005-0000-0000-000058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" xfId="1435" xr:uid="{00000000-0005-0000-0000-000059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 2" xfId="1436" xr:uid="{00000000-0005-0000-0000-00005A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" xfId="1437" xr:uid="{00000000-0005-0000-0000-00005B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 2" xfId="1438" xr:uid="{00000000-0005-0000-0000-00005C050000}"/>
    <cellStyle name="_【20090323_参考資料】千里導入明細資料_【20090807】千里導入明細資料_【20091225】千里導入明細資料_２２年度上期分（営業店ＡＰ－ＤＢ）_Ⅹ_課題と対応策_20121211" xfId="1439" xr:uid="{00000000-0005-0000-0000-00005D050000}"/>
    <cellStyle name="_【20090323_参考資料】千里導入明細資料_【20090807】千里導入明細資料_【20091225】千里導入明細資料_２２年度上期分（営業店ＡＰ－ＤＢ）_Ⅹ_課題と対応策_20121211 2" xfId="1440" xr:uid="{00000000-0005-0000-0000-00005E050000}"/>
    <cellStyle name="_【20090323_参考資料】千里導入明細資料_【20090807】千里導入明細資料_【20091225】千里導入明細資料_２２年度上期分_営業店DB" xfId="1441" xr:uid="{00000000-0005-0000-0000-00005F050000}"/>
    <cellStyle name="_【20090323_参考資料】千里導入明細資料_【20090807】千里導入明細資料_【20091225】千里導入明細資料_２２年度上期分_営業店DB 2" xfId="1442" xr:uid="{00000000-0005-0000-0000-000060050000}"/>
    <cellStyle name="_【20090323_参考資料】千里導入明細資料_【20090807】千里導入明細資料_【20091225】千里導入明細資料_２２年度上期分_営業店DB_【調整中】千里導入明細資料_２２年度上期分_fj_20100127" xfId="1443" xr:uid="{00000000-0005-0000-0000-000061050000}"/>
    <cellStyle name="_【20090323_参考資料】千里導入明細資料_【20090807】千里導入明細資料_【20091225】千里導入明細資料_２２年度上期分_営業店DB_【調整中】千里導入明細資料_２２年度上期分_fj_20100127 2" xfId="1444" xr:uid="{00000000-0005-0000-0000-000062050000}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" xfId="1445" xr:uid="{00000000-0005-0000-0000-000063050000}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 2" xfId="1446" xr:uid="{00000000-0005-0000-0000-000064050000}"/>
    <cellStyle name="_【20090323_参考資料】千里導入明細資料_【20090807】千里導入明細資料_【20091225】千里導入明細資料_２２年度上期分_営業店DB_Ⅹ_課題と対応策_20121211" xfId="1447" xr:uid="{00000000-0005-0000-0000-000065050000}"/>
    <cellStyle name="_【20090323_参考資料】千里導入明細資料_【20090807】千里導入明細資料_【20091225】千里導入明細資料_２２年度上期分_営業店DB_Ⅹ_課題と対応策_20121211 2" xfId="1448" xr:uid="{00000000-0005-0000-0000-000066050000}"/>
    <cellStyle name="_【20090323_参考資料】千里導入明細資料_【20090807】千里導入明細資料_【20091225】千里導入明細資料_２２年度上期分_連携DB" xfId="1449" xr:uid="{00000000-0005-0000-0000-000067050000}"/>
    <cellStyle name="_【20090323_参考資料】千里導入明細資料_【20090807】千里導入明細資料_【20091225】千里導入明細資料_２２年度上期分_連携DB 2" xfId="1450" xr:uid="{00000000-0005-0000-0000-000068050000}"/>
    <cellStyle name="_【20090323_参考資料】千里導入明細資料_【20090807】千里導入明細資料_【20091225】千里導入明細資料_２２年度上期分_連携DB_【調整中】千里導入明細資料_２２年度上期分_fj_20100127" xfId="1451" xr:uid="{00000000-0005-0000-0000-000069050000}"/>
    <cellStyle name="_【20090323_参考資料】千里導入明細資料_【20090807】千里導入明細資料_【20091225】千里導入明細資料_２２年度上期分_連携DB_【調整中】千里導入明細資料_２２年度上期分_fj_20100127 2" xfId="1452" xr:uid="{00000000-0005-0000-0000-00006A050000}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" xfId="1453" xr:uid="{00000000-0005-0000-0000-00006B050000}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 2" xfId="1454" xr:uid="{00000000-0005-0000-0000-00006C050000}"/>
    <cellStyle name="_【20090323_参考資料】千里導入明細資料_【20090807】千里導入明細資料_【20091225】千里導入明細資料_２２年度上期分_連携DB_Ⅹ_課題と対応策_20121211" xfId="1455" xr:uid="{00000000-0005-0000-0000-00006D050000}"/>
    <cellStyle name="_【20090323_参考資料】千里導入明細資料_【20090807】千里導入明細資料_【20091225】千里導入明細資料_２２年度上期分_連携DB_Ⅹ_課題と対応策_20121211 2" xfId="1456" xr:uid="{00000000-0005-0000-0000-00006E050000}"/>
    <cellStyle name="_【20090323_参考資料】千里導入明細資料_【20090807】千里導入明細資料_【作成中】千里センター機器配置図（2010年対応分）_20091221" xfId="1457" xr:uid="{00000000-0005-0000-0000-00006F050000}"/>
    <cellStyle name="_【20090323_参考資料】千里導入明細資料_【20090807】千里導入明細資料_【作成中】千里センター機器配置図（2010年対応分）_20091221 2" xfId="1458" xr:uid="{00000000-0005-0000-0000-000070050000}"/>
    <cellStyle name="_【20090323_参考資料】千里導入明細資料_【20090807】千里導入明細資料_【作成中】千里センター機器配置図（2010年対応分）_20091221_【調整中】千里導入明細資料_２２年度上期分_fj_20100127" xfId="1459" xr:uid="{00000000-0005-0000-0000-000071050000}"/>
    <cellStyle name="_【20090323_参考資料】千里導入明細資料_【20090807】千里導入明細資料_【作成中】千里センター機器配置図（2010年対応分）_20091221_【調整中】千里導入明細資料_２２年度上期分_fj_20100127 2" xfId="1460" xr:uid="{00000000-0005-0000-0000-000072050000}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" xfId="1461" xr:uid="{00000000-0005-0000-0000-000073050000}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 2" xfId="1462" xr:uid="{00000000-0005-0000-0000-000074050000}"/>
    <cellStyle name="_【20090323_参考資料】千里導入明細資料_【20090807】千里導入明細資料_【作成中】千里センター機器配置図（2010年対応分）_20091221_Ⅹ_課題と対応策_20121211" xfId="1463" xr:uid="{00000000-0005-0000-0000-000075050000}"/>
    <cellStyle name="_【20090323_参考資料】千里導入明細資料_【20090807】千里導入明細資料_【作成中】千里センター機器配置図（2010年対応分）_20091221_Ⅹ_課題と対応策_20121211 2" xfId="1464" xr:uid="{00000000-0005-0000-0000-000076050000}"/>
    <cellStyle name="_【20090323_参考資料】千里導入明細資料_【20090807】千里導入明細資料_Ⅹ_課題と対応策_20121211" xfId="1465" xr:uid="{00000000-0005-0000-0000-000077050000}"/>
    <cellStyle name="_【20090323_参考資料】千里導入明細資料_【20090807】千里導入明細資料_Ⅹ_課題と対応策_20121211 2" xfId="1466" xr:uid="{00000000-0005-0000-0000-000078050000}"/>
    <cellStyle name="_【20090323_参考資料】千里導入明細資料_【20090814】千里導入明細資料_SDB追加" xfId="1467" xr:uid="{00000000-0005-0000-0000-000079050000}"/>
    <cellStyle name="_【20090323_参考資料】千里導入明細資料_【20090814】千里導入明細資料_SDB追加 2" xfId="1468" xr:uid="{00000000-0005-0000-0000-00007A050000}"/>
    <cellStyle name="_【20090323_参考資料】千里導入明細資料_【20090814】千里導入明細資料_SDB追加_【20091207】千里導入明細資料_２１年度分（ネットワーク敷設）" xfId="1469" xr:uid="{00000000-0005-0000-0000-00007B050000}"/>
    <cellStyle name="_【20090323_参考資料】千里導入明細資料_【20090814】千里導入明細資料_SDB追加_【20091207】千里導入明細資料_２１年度分（ネットワーク敷設） 2" xfId="1470" xr:uid="{00000000-0005-0000-0000-00007C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" xfId="1471" xr:uid="{00000000-0005-0000-0000-00007D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 2" xfId="1472" xr:uid="{00000000-0005-0000-0000-00007E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" xfId="1473" xr:uid="{00000000-0005-0000-0000-00007F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 2" xfId="1474" xr:uid="{00000000-0005-0000-0000-000080050000}"/>
    <cellStyle name="_【20090323_参考資料】千里導入明細資料_【20090814】千里導入明細資料_SDB追加_【20091207】千里導入明細資料_２１年度分（ネットワーク敷設）_Ⅹ_課題と対応策_20121211" xfId="1475" xr:uid="{00000000-0005-0000-0000-000081050000}"/>
    <cellStyle name="_【20090323_参考資料】千里導入明細資料_【20090814】千里導入明細資料_SDB追加_【20091207】千里導入明細資料_２１年度分（ネットワーク敷設）_Ⅹ_課題と対応策_20121211 2" xfId="1476" xr:uid="{00000000-0005-0000-0000-000082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" xfId="1477" xr:uid="{00000000-0005-0000-0000-000083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 2" xfId="1478" xr:uid="{00000000-0005-0000-0000-000084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" xfId="1479" xr:uid="{00000000-0005-0000-0000-000085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 2" xfId="1480" xr:uid="{00000000-0005-0000-0000-000086050000}"/>
    <cellStyle name="_【20090323_参考資料】千里導入明細資料_【20090814】千里導入明細資料_SDB追加_【20091225】千里導入明細資料_２２年度上期分（営業店ＡＰ－ＤＢ）" xfId="1481" xr:uid="{00000000-0005-0000-0000-000087050000}"/>
    <cellStyle name="_【20090323_参考資料】千里導入明細資料_【20090814】千里導入明細資料_SDB追加_【20091225】千里導入明細資料_２２年度上期分（営業店ＡＰ－ＤＢ） 2" xfId="1482" xr:uid="{00000000-0005-0000-0000-000088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" xfId="1483" xr:uid="{00000000-0005-0000-0000-000089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 2" xfId="1484" xr:uid="{00000000-0005-0000-0000-00008A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" xfId="1485" xr:uid="{00000000-0005-0000-0000-00008B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 2" xfId="1486" xr:uid="{00000000-0005-0000-0000-00008C050000}"/>
    <cellStyle name="_【20090323_参考資料】千里導入明細資料_【20090814】千里導入明細資料_SDB追加_【20091225】千里導入明細資料_２２年度上期分（営業店ＡＰ－ＤＢ）_Ⅹ_課題と対応策_20121211" xfId="1487" xr:uid="{00000000-0005-0000-0000-00008D050000}"/>
    <cellStyle name="_【20090323_参考資料】千里導入明細資料_【20090814】千里導入明細資料_SDB追加_【20091225】千里導入明細資料_２２年度上期分（営業店ＡＰ－ＤＢ）_Ⅹ_課題と対応策_20121211 2" xfId="1488" xr:uid="{00000000-0005-0000-0000-00008E050000}"/>
    <cellStyle name="_【20090323_参考資料】千里導入明細資料_【20090814】千里導入明細資料_SDB追加_【20091225】千里導入明細資料_２２年度上期分_営業店DB" xfId="1489" xr:uid="{00000000-0005-0000-0000-00008F050000}"/>
    <cellStyle name="_【20090323_参考資料】千里導入明細資料_【20090814】千里導入明細資料_SDB追加_【20091225】千里導入明細資料_２２年度上期分_営業店DB 2" xfId="1490" xr:uid="{00000000-0005-0000-0000-000090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" xfId="1491" xr:uid="{00000000-0005-0000-0000-000091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 2" xfId="1492" xr:uid="{00000000-0005-0000-0000-000092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" xfId="1493" xr:uid="{00000000-0005-0000-0000-000093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 2" xfId="1494" xr:uid="{00000000-0005-0000-0000-000094050000}"/>
    <cellStyle name="_【20090323_参考資料】千里導入明細資料_【20090814】千里導入明細資料_SDB追加_【20091225】千里導入明細資料_２２年度上期分_営業店DB_Ⅹ_課題と対応策_20121211" xfId="1495" xr:uid="{00000000-0005-0000-0000-000095050000}"/>
    <cellStyle name="_【20090323_参考資料】千里導入明細資料_【20090814】千里導入明細資料_SDB追加_【20091225】千里導入明細資料_２２年度上期分_営業店DB_Ⅹ_課題と対応策_20121211 2" xfId="1496" xr:uid="{00000000-0005-0000-0000-000096050000}"/>
    <cellStyle name="_【20090323_参考資料】千里導入明細資料_【20090814】千里導入明細資料_SDB追加_【20091225】千里導入明細資料_２２年度上期分_連携DB" xfId="1497" xr:uid="{00000000-0005-0000-0000-000097050000}"/>
    <cellStyle name="_【20090323_参考資料】千里導入明細資料_【20090814】千里導入明細資料_SDB追加_【20091225】千里導入明細資料_２２年度上期分_連携DB 2" xfId="1498" xr:uid="{00000000-0005-0000-0000-000098050000}"/>
    <cellStyle name="_【20090323_参考資料】千里導入明細資料_【20090814】千里導入明細資料_SDB追加_【20091225】千里導入明細資料_２２年度上期分_連携DB_【調整中】千里導入明細資料_２２年度上期分_fj_20100127" xfId="1499" xr:uid="{00000000-0005-0000-0000-000099050000}"/>
    <cellStyle name="_【20090323_参考資料】千里導入明細資料_【20090814】千里導入明細資料_SDB追加_【20091225】千里導入明細資料_２２年度上期分_連携DB_【調整中】千里導入明細資料_２２年度上期分_fj_20100127 2" xfId="1500" xr:uid="{00000000-0005-0000-0000-00009A050000}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" xfId="1501" xr:uid="{00000000-0005-0000-0000-00009B050000}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 2" xfId="1502" xr:uid="{00000000-0005-0000-0000-00009C050000}"/>
    <cellStyle name="_【20090323_参考資料】千里導入明細資料_【20090814】千里導入明細資料_SDB追加_【20091225】千里導入明細資料_２２年度上期分_連携DB_Ⅹ_課題と対応策_20121211" xfId="1503" xr:uid="{00000000-0005-0000-0000-00009D050000}"/>
    <cellStyle name="_【20090323_参考資料】千里導入明細資料_【20090814】千里導入明細資料_SDB追加_【20091225】千里導入明細資料_２２年度上期分_連携DB_Ⅹ_課題と対応策_20121211 2" xfId="1504" xr:uid="{00000000-0005-0000-0000-00009E050000}"/>
    <cellStyle name="_【20090323_参考資料】千里導入明細資料_【20090814】千里導入明細資料_SDB追加_【作成中】千里センター機器配置図（2010年対応分）_20091221" xfId="1505" xr:uid="{00000000-0005-0000-0000-00009F050000}"/>
    <cellStyle name="_【20090323_参考資料】千里導入明細資料_【20090814】千里導入明細資料_SDB追加_【作成中】千里センター機器配置図（2010年対応分）_20091221 2" xfId="1506" xr:uid="{00000000-0005-0000-0000-0000A0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" xfId="1507" xr:uid="{00000000-0005-0000-0000-0000A1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 2" xfId="1508" xr:uid="{00000000-0005-0000-0000-0000A2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" xfId="1509" xr:uid="{00000000-0005-0000-0000-0000A3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 2" xfId="1510" xr:uid="{00000000-0005-0000-0000-0000A4050000}"/>
    <cellStyle name="_【20090323_参考資料】千里導入明細資料_【20090814】千里導入明細資料_SDB追加_【作成中】千里センター機器配置図（2010年対応分）_20091221_Ⅹ_課題と対応策_20121211" xfId="1511" xr:uid="{00000000-0005-0000-0000-0000A5050000}"/>
    <cellStyle name="_【20090323_参考資料】千里導入明細資料_【20090814】千里導入明細資料_SDB追加_【作成中】千里センター機器配置図（2010年対応分）_20091221_Ⅹ_課題と対応策_20121211 2" xfId="1512" xr:uid="{00000000-0005-0000-0000-0000A6050000}"/>
    <cellStyle name="_【20090323_参考資料】千里導入明細資料_【20090814】千里導入明細資料_SDB追加_Ⅹ_課題と対応策_20121211" xfId="1513" xr:uid="{00000000-0005-0000-0000-0000A7050000}"/>
    <cellStyle name="_【20090323_参考資料】千里導入明細資料_【20090814】千里導入明細資料_SDB追加_Ⅹ_課題と対応策_20121211 2" xfId="1514" xr:uid="{00000000-0005-0000-0000-0000A8050000}"/>
    <cellStyle name="_【20090323_参考資料】千里導入明細資料_【20090821】千里ラック搭載図（NW機器）" xfId="1515" xr:uid="{00000000-0005-0000-0000-0000A9050000}"/>
    <cellStyle name="_【20090323_参考資料】千里導入明細資料_【20090821】千里ラック搭載図（NW機器） 2" xfId="1516" xr:uid="{00000000-0005-0000-0000-0000AA050000}"/>
    <cellStyle name="_【20090323_参考資料】千里導入明細資料_【20090821】千里ラック搭載図（NW機器）_Ⅹ_課題と対応策_20121211" xfId="1517" xr:uid="{00000000-0005-0000-0000-0000AB050000}"/>
    <cellStyle name="_【20090323_参考資料】千里導入明細資料_【20090821】千里ラック搭載図（NW機器）_Ⅹ_課題と対応策_20121211 2" xfId="1518" xr:uid="{00000000-0005-0000-0000-0000AC050000}"/>
    <cellStyle name="_【20090323_参考資料】千里導入明細資料_【20091218】千里導入明細資料_２１年度分（ネットワーク敷設）" xfId="1519" xr:uid="{00000000-0005-0000-0000-0000AD050000}"/>
    <cellStyle name="_【20090323_参考資料】千里導入明細資料_【20091218】千里導入明細資料_２１年度分（ネットワーク敷設） 2" xfId="1520" xr:uid="{00000000-0005-0000-0000-0000AE050000}"/>
    <cellStyle name="_【20090323_参考資料】千里導入明細資料_【20091218】千里導入明細資料_２１年度分（ネットワーク敷設）_Ⅹ_課題と対応策_20121211" xfId="1521" xr:uid="{00000000-0005-0000-0000-0000AF050000}"/>
    <cellStyle name="_【20090323_参考資料】千里導入明細資料_【20091218】千里導入明細資料_２１年度分（ネットワーク敷設）_Ⅹ_課題と対応策_20121211 2" xfId="1522" xr:uid="{00000000-0005-0000-0000-0000B0050000}"/>
    <cellStyle name="_【20090323_参考資料】千里導入明細資料_【20091224】千里導入明細資料_２２年度上期分_営業店DB" xfId="1523" xr:uid="{00000000-0005-0000-0000-0000B1050000}"/>
    <cellStyle name="_【20090323_参考資料】千里導入明細資料_【20091224】千里導入明細資料_２２年度上期分_営業店DB 2" xfId="1524" xr:uid="{00000000-0005-0000-0000-0000B2050000}"/>
    <cellStyle name="_【20090323_参考資料】千里導入明細資料_【20091224】千里導入明細資料_２２年度上期分_営業店DB_【20091225】千里導入明細資料_２２年度上期分（営業店ＡＰ－ＤＢ）" xfId="1525" xr:uid="{00000000-0005-0000-0000-0000B3050000}"/>
    <cellStyle name="_【20090323_参考資料】千里導入明細資料_【20091224】千里導入明細資料_２２年度上期分_営業店DB_【20091225】千里導入明細資料_２２年度上期分（営業店ＡＰ－ＤＢ） 2" xfId="1526" xr:uid="{00000000-0005-0000-0000-0000B4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" xfId="1527" xr:uid="{00000000-0005-0000-0000-0000B5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 2" xfId="1528" xr:uid="{00000000-0005-0000-0000-0000B6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" xfId="1529" xr:uid="{00000000-0005-0000-0000-0000B7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530" xr:uid="{00000000-0005-0000-0000-0000B8050000}"/>
    <cellStyle name="_【20090323_参考資料】千里導入明細資料_【20091224】千里導入明細資料_２２年度上期分_営業店DB_【20091225】千里導入明細資料_２２年度上期分（営業店ＡＰ－ＤＢ）_Ⅹ_課題と対応策_20121211" xfId="1531" xr:uid="{00000000-0005-0000-0000-0000B9050000}"/>
    <cellStyle name="_【20090323_参考資料】千里導入明細資料_【20091224】千里導入明細資料_２２年度上期分_営業店DB_【20091225】千里導入明細資料_２２年度上期分（営業店ＡＰ－ＤＢ）_Ⅹ_課題と対応策_20121211 2" xfId="1532" xr:uid="{00000000-0005-0000-0000-0000BA050000}"/>
    <cellStyle name="_【20090323_参考資料】千里導入明細資料_【20091224】千里導入明細資料_２２年度上期分_営業店DB_【20091225】千里導入明細資料_２２年度上期分_営業店DB" xfId="1533" xr:uid="{00000000-0005-0000-0000-0000BB050000}"/>
    <cellStyle name="_【20090323_参考資料】千里導入明細資料_【20091224】千里導入明細資料_２２年度上期分_営業店DB_【20091225】千里導入明細資料_２２年度上期分_営業店DB 2" xfId="1534" xr:uid="{00000000-0005-0000-0000-0000BC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" xfId="1535" xr:uid="{00000000-0005-0000-0000-0000BD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 2" xfId="1536" xr:uid="{00000000-0005-0000-0000-0000BE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" xfId="1537" xr:uid="{00000000-0005-0000-0000-0000BF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 2" xfId="1538" xr:uid="{00000000-0005-0000-0000-0000C0050000}"/>
    <cellStyle name="_【20090323_参考資料】千里導入明細資料_【20091224】千里導入明細資料_２２年度上期分_営業店DB_【20091225】千里導入明細資料_２２年度上期分_営業店DB_Ⅹ_課題と対応策_20121211" xfId="1539" xr:uid="{00000000-0005-0000-0000-0000C1050000}"/>
    <cellStyle name="_【20090323_参考資料】千里導入明細資料_【20091224】千里導入明細資料_２２年度上期分_営業店DB_【20091225】千里導入明細資料_２２年度上期分_営業店DB_Ⅹ_課題と対応策_20121211 2" xfId="1540" xr:uid="{00000000-0005-0000-0000-0000C2050000}"/>
    <cellStyle name="_【20090323_参考資料】千里導入明細資料_【20091224】千里導入明細資料_２２年度上期分_営業店DB_Ⅹ_課題と対応策_20121211" xfId="1541" xr:uid="{00000000-0005-0000-0000-0000C3050000}"/>
    <cellStyle name="_【20090323_参考資料】千里導入明細資料_【20091224】千里導入明細資料_２２年度上期分_営業店DB_Ⅹ_課題と対応策_20121211 2" xfId="1542" xr:uid="{00000000-0005-0000-0000-0000C4050000}"/>
    <cellStyle name="_【20090323_参考資料】千里導入明細資料_【20091225】千里導入明細資料_２２年度上期分" xfId="1543" xr:uid="{00000000-0005-0000-0000-0000C5050000}"/>
    <cellStyle name="_【20090323_参考資料】千里導入明細資料_【20091225】千里導入明細資料_２２年度上期分 2" xfId="1544" xr:uid="{00000000-0005-0000-0000-0000C6050000}"/>
    <cellStyle name="_【20090323_参考資料】千里導入明細資料_【20091225】千里導入明細資料_２２年度上期分_Ⅹ_課題と対応策_20121211" xfId="1545" xr:uid="{00000000-0005-0000-0000-0000C7050000}"/>
    <cellStyle name="_【20090323_参考資料】千里導入明細資料_【20091225】千里導入明細資料_２２年度上期分_Ⅹ_課題と対応策_20121211 2" xfId="1546" xr:uid="{00000000-0005-0000-0000-0000C8050000}"/>
    <cellStyle name="_【20090323_参考資料】千里導入明細資料_【20091225】千里導入明細資料_２２年度上期分_営業店DB" xfId="1547" xr:uid="{00000000-0005-0000-0000-0000C9050000}"/>
    <cellStyle name="_【20090323_参考資料】千里導入明細資料_【20091225】千里導入明細資料_２２年度上期分_営業店DB 2" xfId="1548" xr:uid="{00000000-0005-0000-0000-0000CA050000}"/>
    <cellStyle name="_【20090323_参考資料】千里導入明細資料_【20091225】千里導入明細資料_２２年度上期分_営業店DB_Ⅹ_課題と対応策_20121211" xfId="1549" xr:uid="{00000000-0005-0000-0000-0000CB050000}"/>
    <cellStyle name="_【20090323_参考資料】千里導入明細資料_【20091225】千里導入明細資料_２２年度上期分_営業店DB_Ⅹ_課題と対応策_20121211 2" xfId="1550" xr:uid="{00000000-0005-0000-0000-0000CC050000}"/>
    <cellStyle name="_【20090323_参考資料】千里導入明細資料_【20091225】千里導入明細資料_２２年度上期分_連携DB" xfId="1551" xr:uid="{00000000-0005-0000-0000-0000CD050000}"/>
    <cellStyle name="_【20090323_参考資料】千里導入明細資料_【20091225】千里導入明細資料_２２年度上期分_連携DB 2" xfId="1552" xr:uid="{00000000-0005-0000-0000-0000CE050000}"/>
    <cellStyle name="_【20090323_参考資料】千里導入明細資料_【20091225】千里導入明細資料_２２年度上期分_連携DB_Ⅹ_課題と対応策_20121211" xfId="1553" xr:uid="{00000000-0005-0000-0000-0000CF050000}"/>
    <cellStyle name="_【20090323_参考資料】千里導入明細資料_【20091225】千里導入明細資料_２２年度上期分_連携DB_Ⅹ_課題と対応策_20121211 2" xfId="1554" xr:uid="{00000000-0005-0000-0000-0000D0050000}"/>
    <cellStyle name="_【20090323_参考資料】千里導入明細資料_【200912xx】千里導入明細資料_２２年度上期分" xfId="1555" xr:uid="{00000000-0005-0000-0000-0000D1050000}"/>
    <cellStyle name="_【20090323_参考資料】千里導入明細資料_【200912xx】千里導入明細資料_２２年度上期分 2" xfId="1556" xr:uid="{00000000-0005-0000-0000-0000D2050000}"/>
    <cellStyle name="_【20090323_参考資料】千里導入明細資料_【200912xx】千里導入明細資料_２２年度上期分（為替分）" xfId="1557" xr:uid="{00000000-0005-0000-0000-0000D3050000}"/>
    <cellStyle name="_【20090323_参考資料】千里導入明細資料_【200912xx】千里導入明細資料_２２年度上期分（為替分） 2" xfId="1558" xr:uid="{00000000-0005-0000-0000-0000D4050000}"/>
    <cellStyle name="_【20090323_参考資料】千里導入明細資料_【200912xx】千里導入明細資料_２２年度上期分（為替分）_Ⅹ_課題と対応策_20121211" xfId="1559" xr:uid="{00000000-0005-0000-0000-0000D5050000}"/>
    <cellStyle name="_【20090323_参考資料】千里導入明細資料_【200912xx】千里導入明細資料_２２年度上期分（為替分）_Ⅹ_課題と対応策_20121211 2" xfId="1560" xr:uid="{00000000-0005-0000-0000-0000D6050000}"/>
    <cellStyle name="_【20090323_参考資料】千里導入明細資料_【200912xx】千里導入明細資料_２２年度上期分_【20091225】千里導入明細資料_２２年度上期分（営業店ＡＰ－ＤＢ）" xfId="1561" xr:uid="{00000000-0005-0000-0000-0000D7050000}"/>
    <cellStyle name="_【20090323_参考資料】千里導入明細資料_【200912xx】千里導入明細資料_２２年度上期分_【20091225】千里導入明細資料_２２年度上期分（営業店ＡＰ－ＤＢ） 2" xfId="1562" xr:uid="{00000000-0005-0000-0000-0000D8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" xfId="1563" xr:uid="{00000000-0005-0000-0000-0000D9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 2" xfId="1564" xr:uid="{00000000-0005-0000-0000-0000DA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" xfId="1565" xr:uid="{00000000-0005-0000-0000-0000DB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 2" xfId="1566" xr:uid="{00000000-0005-0000-0000-0000DC050000}"/>
    <cellStyle name="_【20090323_参考資料】千里導入明細資料_【200912xx】千里導入明細資料_２２年度上期分_【20091225】千里導入明細資料_２２年度上期分（営業店ＡＰ－ＤＢ）_Ⅹ_課題と対応策_20121211" xfId="1567" xr:uid="{00000000-0005-0000-0000-0000DD050000}"/>
    <cellStyle name="_【20090323_参考資料】千里導入明細資料_【200912xx】千里導入明細資料_２２年度上期分_【20091225】千里導入明細資料_２２年度上期分（営業店ＡＰ－ＤＢ）_Ⅹ_課題と対応策_20121211 2" xfId="1568" xr:uid="{00000000-0005-0000-0000-0000DE050000}"/>
    <cellStyle name="_【20090323_参考資料】千里導入明細資料_【200912xx】千里導入明細資料_２２年度上期分_【20091225】千里導入明細資料_２２年度上期分_営業店DB" xfId="1569" xr:uid="{00000000-0005-0000-0000-0000DF050000}"/>
    <cellStyle name="_【20090323_参考資料】千里導入明細資料_【200912xx】千里導入明細資料_２２年度上期分_【20091225】千里導入明細資料_２２年度上期分_営業店DB 2" xfId="1570" xr:uid="{00000000-0005-0000-0000-0000E0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" xfId="1571" xr:uid="{00000000-0005-0000-0000-0000E1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 2" xfId="1572" xr:uid="{00000000-0005-0000-0000-0000E2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" xfId="1573" xr:uid="{00000000-0005-0000-0000-0000E3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 2" xfId="1574" xr:uid="{00000000-0005-0000-0000-0000E4050000}"/>
    <cellStyle name="_【20090323_参考資料】千里導入明細資料_【200912xx】千里導入明細資料_２２年度上期分_【20091225】千里導入明細資料_２２年度上期分_営業店DB_Ⅹ_課題と対応策_20121211" xfId="1575" xr:uid="{00000000-0005-0000-0000-0000E5050000}"/>
    <cellStyle name="_【20090323_参考資料】千里導入明細資料_【200912xx】千里導入明細資料_２２年度上期分_【20091225】千里導入明細資料_２２年度上期分_営業店DB_Ⅹ_課題と対応策_20121211 2" xfId="1576" xr:uid="{00000000-0005-0000-0000-0000E6050000}"/>
    <cellStyle name="_【20090323_参考資料】千里導入明細資料_【200912xx】千里導入明細資料_２２年度上期分_【20091225】千里導入明細資料_２２年度上期分_連携DB" xfId="1577" xr:uid="{00000000-0005-0000-0000-0000E7050000}"/>
    <cellStyle name="_【20090323_参考資料】千里導入明細資料_【200912xx】千里導入明細資料_２２年度上期分_【20091225】千里導入明細資料_２２年度上期分_連携DB 2" xfId="1578" xr:uid="{00000000-0005-0000-0000-0000E8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" xfId="1579" xr:uid="{00000000-0005-0000-0000-0000E9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 2" xfId="1580" xr:uid="{00000000-0005-0000-0000-0000EA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" xfId="1581" xr:uid="{00000000-0005-0000-0000-0000EB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 2" xfId="1582" xr:uid="{00000000-0005-0000-0000-0000EC050000}"/>
    <cellStyle name="_【20090323_参考資料】千里導入明細資料_【200912xx】千里導入明細資料_２２年度上期分_【20091225】千里導入明細資料_２２年度上期分_連携DB_Ⅹ_課題と対応策_20121211" xfId="1583" xr:uid="{00000000-0005-0000-0000-0000ED050000}"/>
    <cellStyle name="_【20090323_参考資料】千里導入明細資料_【200912xx】千里導入明細資料_２２年度上期分_【20091225】千里導入明細資料_２２年度上期分_連携DB_Ⅹ_課題と対応策_20121211 2" xfId="1584" xr:uid="{00000000-0005-0000-0000-0000EE050000}"/>
    <cellStyle name="_【20090323_参考資料】千里導入明細資料_【200912xx】千里導入明細資料_２２年度上期分_Ⅹ_課題と対応策_20121211" xfId="1585" xr:uid="{00000000-0005-0000-0000-0000EF050000}"/>
    <cellStyle name="_【20090323_参考資料】千里導入明細資料_【200912xx】千里導入明細資料_２２年度上期分_Ⅹ_課題と対応策_20121211 2" xfId="1586" xr:uid="{00000000-0005-0000-0000-0000F0050000}"/>
    <cellStyle name="_【20090323_参考資料】千里導入明細資料_【調整中】千里導入明細資料_２２年度上期分_fj_20100127" xfId="1587" xr:uid="{00000000-0005-0000-0000-0000F1050000}"/>
    <cellStyle name="_【20090323_参考資料】千里導入明細資料_【調整中】千里導入明細資料_２２年度上期分_fj_20100127 2" xfId="1588" xr:uid="{00000000-0005-0000-0000-0000F2050000}"/>
    <cellStyle name="_【20090323_参考資料】千里導入明細資料_【調整中】千里導入明細資料_２２年度上期分_fj_20100127_Ⅹ_課題と対応策_20121211" xfId="1589" xr:uid="{00000000-0005-0000-0000-0000F3050000}"/>
    <cellStyle name="_【20090323_参考資料】千里導入明細資料_【調整中】千里導入明細資料_２２年度上期分_fj_20100127_Ⅹ_課題と対応策_20121211 2" xfId="1590" xr:uid="{00000000-0005-0000-0000-0000F4050000}"/>
    <cellStyle name="_【20090323_参考資料】千里導入明細資料_①【20091225】千里導入明細資料_２２年度上期1分)" xfId="1591" xr:uid="{00000000-0005-0000-0000-0000F5050000}"/>
    <cellStyle name="_【20090323_参考資料】千里導入明細資料_①【20091225】千里導入明細資料_２２年度上期1分) 2" xfId="1592" xr:uid="{00000000-0005-0000-0000-0000F6050000}"/>
    <cellStyle name="_【20090323_参考資料】千里導入明細資料_①【20091225】千里導入明細資料_２２年度上期1分)_Ⅹ_課題と対応策_20121211" xfId="1593" xr:uid="{00000000-0005-0000-0000-0000F7050000}"/>
    <cellStyle name="_【20090323_参考資料】千里導入明細資料_①【20091225】千里導入明細資料_２２年度上期1分)_Ⅹ_課題と対応策_20121211 2" xfId="1594" xr:uid="{00000000-0005-0000-0000-0000F8050000}"/>
    <cellStyle name="_【20090323_参考資料】千里導入明細資料_Ⅹ_課題と対応策_20121211" xfId="1595" xr:uid="{00000000-0005-0000-0000-0000F9050000}"/>
    <cellStyle name="_【20090323_参考資料】千里導入明細資料_Ⅹ_課題と対応策_20121211 2" xfId="1596" xr:uid="{00000000-0005-0000-0000-0000FA050000}"/>
    <cellStyle name="_【20090323_参考資料】千里導入明細資料_ラック構成図（千里_営業店・新事務）_20090805" xfId="1597" xr:uid="{00000000-0005-0000-0000-0000FB050000}"/>
    <cellStyle name="_【20090323_参考資料】千里導入明細資料_ラック構成図（千里_営業店・新事務）_20090805 2" xfId="1598" xr:uid="{00000000-0005-0000-0000-0000FC050000}"/>
    <cellStyle name="_【20090323_参考資料】千里導入明細資料_ラック構成図（千里_営業店・新事務）_20090805_【20091207】千里導入明細資料_２１年度分（ネットワーク敷設）" xfId="1599" xr:uid="{00000000-0005-0000-0000-0000FD050000}"/>
    <cellStyle name="_【20090323_参考資料】千里導入明細資料_ラック構成図（千里_営業店・新事務）_20090805_【20091207】千里導入明細資料_２１年度分（ネットワーク敷設） 2" xfId="1600" xr:uid="{00000000-0005-0000-0000-0000FE05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" xfId="1601" xr:uid="{00000000-0005-0000-0000-0000FF05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 2" xfId="1602" xr:uid="{00000000-0005-0000-0000-00000006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" xfId="1603" xr:uid="{00000000-0005-0000-0000-00000106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 2" xfId="1604" xr:uid="{00000000-0005-0000-0000-000002060000}"/>
    <cellStyle name="_【20090323_参考資料】千里導入明細資料_ラック構成図（千里_営業店・新事務）_20090805_【20091207】千里導入明細資料_２１年度分（ネットワーク敷設）_Ⅹ_課題と対応策_20121211" xfId="1605" xr:uid="{00000000-0005-0000-0000-000003060000}"/>
    <cellStyle name="_【20090323_参考資料】千里導入明細資料_ラック構成図（千里_営業店・新事務）_20090805_【20091207】千里導入明細資料_２１年度分（ネットワーク敷設）_Ⅹ_課題と対応策_20121211 2" xfId="1606" xr:uid="{00000000-0005-0000-0000-000004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" xfId="1607" xr:uid="{00000000-0005-0000-0000-000005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 2" xfId="1608" xr:uid="{00000000-0005-0000-0000-000006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" xfId="1609" xr:uid="{00000000-0005-0000-0000-000007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 2" xfId="1610" xr:uid="{00000000-0005-0000-0000-000008060000}"/>
    <cellStyle name="_【20090323_参考資料】千里導入明細資料_ラック構成図（千里_営業店・新事務）_20090805_【20091225】千里導入明細資料_２２年度上期分（営業店ＡＰ－ＤＢ）" xfId="1611" xr:uid="{00000000-0005-0000-0000-000009060000}"/>
    <cellStyle name="_【20090323_参考資料】千里導入明細資料_ラック構成図（千里_営業店・新事務）_20090805_【20091225】千里導入明細資料_２２年度上期分（営業店ＡＰ－ＤＢ） 2" xfId="1612" xr:uid="{00000000-0005-0000-0000-00000A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" xfId="1613" xr:uid="{00000000-0005-0000-0000-00000B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 2" xfId="1614" xr:uid="{00000000-0005-0000-0000-00000C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" xfId="1615" xr:uid="{00000000-0005-0000-0000-00000D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 2" xfId="1616" xr:uid="{00000000-0005-0000-0000-00000E060000}"/>
    <cellStyle name="_【20090323_参考資料】千里導入明細資料_ラック構成図（千里_営業店・新事務）_20090805_【20091225】千里導入明細資料_２２年度上期分（営業店ＡＰ－ＤＢ）_Ⅹ_課題と対応策_20121211" xfId="1617" xr:uid="{00000000-0005-0000-0000-00000F060000}"/>
    <cellStyle name="_【20090323_参考資料】千里導入明細資料_ラック構成図（千里_営業店・新事務）_20090805_【20091225】千里導入明細資料_２２年度上期分（営業店ＡＰ－ＤＢ）_Ⅹ_課題と対応策_20121211 2" xfId="1618" xr:uid="{00000000-0005-0000-0000-000010060000}"/>
    <cellStyle name="_【20090323_参考資料】千里導入明細資料_ラック構成図（千里_営業店・新事務）_20090805_【20091225】千里導入明細資料_２２年度上期分_営業店DB" xfId="1619" xr:uid="{00000000-0005-0000-0000-000011060000}"/>
    <cellStyle name="_【20090323_参考資料】千里導入明細資料_ラック構成図（千里_営業店・新事務）_20090805_【20091225】千里導入明細資料_２２年度上期分_営業店DB 2" xfId="1620" xr:uid="{00000000-0005-0000-0000-000012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" xfId="1621" xr:uid="{00000000-0005-0000-0000-000013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 2" xfId="1622" xr:uid="{00000000-0005-0000-0000-000014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" xfId="1623" xr:uid="{00000000-0005-0000-0000-000015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 2" xfId="1624" xr:uid="{00000000-0005-0000-0000-000016060000}"/>
    <cellStyle name="_【20090323_参考資料】千里導入明細資料_ラック構成図（千里_営業店・新事務）_20090805_【20091225】千里導入明細資料_２２年度上期分_営業店DB_Ⅹ_課題と対応策_20121211" xfId="1625" xr:uid="{00000000-0005-0000-0000-000017060000}"/>
    <cellStyle name="_【20090323_参考資料】千里導入明細資料_ラック構成図（千里_営業店・新事務）_20090805_【20091225】千里導入明細資料_２２年度上期分_営業店DB_Ⅹ_課題と対応策_20121211 2" xfId="1626" xr:uid="{00000000-0005-0000-0000-000018060000}"/>
    <cellStyle name="_【20090323_参考資料】千里導入明細資料_ラック構成図（千里_営業店・新事務）_20090805_【20091225】千里導入明細資料_２２年度上期分_連携DB" xfId="1627" xr:uid="{00000000-0005-0000-0000-000019060000}"/>
    <cellStyle name="_【20090323_参考資料】千里導入明細資料_ラック構成図（千里_営業店・新事務）_20090805_【20091225】千里導入明細資料_２２年度上期分_連携DB 2" xfId="1628" xr:uid="{00000000-0005-0000-0000-00001A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" xfId="1629" xr:uid="{00000000-0005-0000-0000-00001B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 2" xfId="1630" xr:uid="{00000000-0005-0000-0000-00001C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" xfId="1631" xr:uid="{00000000-0005-0000-0000-00001D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 2" xfId="1632" xr:uid="{00000000-0005-0000-0000-00001E060000}"/>
    <cellStyle name="_【20090323_参考資料】千里導入明細資料_ラック構成図（千里_営業店・新事務）_20090805_【20091225】千里導入明細資料_２２年度上期分_連携DB_Ⅹ_課題と対応策_20121211" xfId="1633" xr:uid="{00000000-0005-0000-0000-00001F060000}"/>
    <cellStyle name="_【20090323_参考資料】千里導入明細資料_ラック構成図（千里_営業店・新事務）_20090805_【20091225】千里導入明細資料_２２年度上期分_連携DB_Ⅹ_課題と対応策_20121211 2" xfId="1634" xr:uid="{00000000-0005-0000-0000-000020060000}"/>
    <cellStyle name="_【20090323_参考資料】千里導入明細資料_ラック構成図（千里_営業店・新事務）_20090805_【作成中】千里センター機器配置図（2010年対応分）_20091221" xfId="1635" xr:uid="{00000000-0005-0000-0000-000021060000}"/>
    <cellStyle name="_【20090323_参考資料】千里導入明細資料_ラック構成図（千里_営業店・新事務）_20090805_【作成中】千里センター機器配置図（2010年対応分）_20091221 2" xfId="1636" xr:uid="{00000000-0005-0000-0000-000022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" xfId="1637" xr:uid="{00000000-0005-0000-0000-000023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 2" xfId="1638" xr:uid="{00000000-0005-0000-0000-000024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" xfId="1639" xr:uid="{00000000-0005-0000-0000-000025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 2" xfId="1640" xr:uid="{00000000-0005-0000-0000-000026060000}"/>
    <cellStyle name="_【20090323_参考資料】千里導入明細資料_ラック構成図（千里_営業店・新事務）_20090805_【作成中】千里センター機器配置図（2010年対応分）_20091221_Ⅹ_課題と対応策_20121211" xfId="1641" xr:uid="{00000000-0005-0000-0000-000027060000}"/>
    <cellStyle name="_【20090323_参考資料】千里導入明細資料_ラック構成図（千里_営業店・新事務）_20090805_【作成中】千里センター機器配置図（2010年対応分）_20091221_Ⅹ_課題と対応策_20121211 2" xfId="1642" xr:uid="{00000000-0005-0000-0000-000028060000}"/>
    <cellStyle name="_【20090323_参考資料】千里導入明細資料_ラック構成図（千里_営業店・新事務）_20090805_Ⅹ_課題と対応策_20121211" xfId="1643" xr:uid="{00000000-0005-0000-0000-000029060000}"/>
    <cellStyle name="_【20090323_参考資料】千里導入明細資料_ラック構成図（千里_営業店・新事務）_20090805_Ⅹ_課題と対応策_20121211 2" xfId="1644" xr:uid="{00000000-0005-0000-0000-00002A060000}"/>
    <cellStyle name="_【20090323_参考資料】千里導入明細資料_ラック構成図_Catalyst直付け（新事務処理）" xfId="1645" xr:uid="{00000000-0005-0000-0000-00002B060000}"/>
    <cellStyle name="_【20090323_参考資料】千里導入明細資料_ラック構成図_Catalyst直付け（新事務処理） 2" xfId="1646" xr:uid="{00000000-0005-0000-0000-00002C060000}"/>
    <cellStyle name="_【20090323_参考資料】千里導入明細資料_ラック構成図_Catalyst直付け（新事務処理）_【20091207】千里導入明細資料_２１年度分（ネットワーク敷設）" xfId="1647" xr:uid="{00000000-0005-0000-0000-00002D060000}"/>
    <cellStyle name="_【20090323_参考資料】千里導入明細資料_ラック構成図_Catalyst直付け（新事務処理）_【20091207】千里導入明細資料_２１年度分（ネットワーク敷設） 2" xfId="1648" xr:uid="{00000000-0005-0000-0000-00002E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" xfId="1649" xr:uid="{00000000-0005-0000-0000-00002F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 2" xfId="1650" xr:uid="{00000000-0005-0000-0000-000030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" xfId="1651" xr:uid="{00000000-0005-0000-0000-000031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 2" xfId="1652" xr:uid="{00000000-0005-0000-0000-000032060000}"/>
    <cellStyle name="_【20090323_参考資料】千里導入明細資料_ラック構成図_Catalyst直付け（新事務処理）_【20091207】千里導入明細資料_２１年度分（ネットワーク敷設）_Ⅹ_課題と対応策_20121211" xfId="1653" xr:uid="{00000000-0005-0000-0000-000033060000}"/>
    <cellStyle name="_【20090323_参考資料】千里導入明細資料_ラック構成図_Catalyst直付け（新事務処理）_【20091207】千里導入明細資料_２１年度分（ネットワーク敷設）_Ⅹ_課題と対応策_20121211 2" xfId="1654" xr:uid="{00000000-0005-0000-0000-000034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" xfId="1655" xr:uid="{00000000-0005-0000-0000-000035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 2" xfId="1656" xr:uid="{00000000-0005-0000-0000-000036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" xfId="1657" xr:uid="{00000000-0005-0000-0000-000037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 2" xfId="1658" xr:uid="{00000000-0005-0000-0000-000038060000}"/>
    <cellStyle name="_【20090323_参考資料】千里導入明細資料_ラック構成図_Catalyst直付け（新事務処理）_【20091225】千里導入明細資料_２２年度上期分（営業店ＡＰ－ＤＢ）" xfId="1659" xr:uid="{00000000-0005-0000-0000-000039060000}"/>
    <cellStyle name="_【20090323_参考資料】千里導入明細資料_ラック構成図_Catalyst直付け（新事務処理）_【20091225】千里導入明細資料_２２年度上期分（営業店ＡＰ－ＤＢ） 2" xfId="1660" xr:uid="{00000000-0005-0000-0000-00003A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" xfId="1661" xr:uid="{00000000-0005-0000-0000-00003B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 2" xfId="1662" xr:uid="{00000000-0005-0000-0000-00003C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" xfId="1663" xr:uid="{00000000-0005-0000-0000-00003D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 2" xfId="1664" xr:uid="{00000000-0005-0000-0000-00003E060000}"/>
    <cellStyle name="_【20090323_参考資料】千里導入明細資料_ラック構成図_Catalyst直付け（新事務処理）_【20091225】千里導入明細資料_２２年度上期分（営業店ＡＰ－ＤＢ）_Ⅹ_課題と対応策_20121211" xfId="1665" xr:uid="{00000000-0005-0000-0000-00003F060000}"/>
    <cellStyle name="_【20090323_参考資料】千里導入明細資料_ラック構成図_Catalyst直付け（新事務処理）_【20091225】千里導入明細資料_２２年度上期分（営業店ＡＰ－ＤＢ）_Ⅹ_課題と対応策_20121211 2" xfId="1666" xr:uid="{00000000-0005-0000-0000-000040060000}"/>
    <cellStyle name="_【20090323_参考資料】千里導入明細資料_ラック構成図_Catalyst直付け（新事務処理）_【20091225】千里導入明細資料_２２年度上期分_営業店DB" xfId="1667" xr:uid="{00000000-0005-0000-0000-000041060000}"/>
    <cellStyle name="_【20090323_参考資料】千里導入明細資料_ラック構成図_Catalyst直付け（新事務処理）_【20091225】千里導入明細資料_２２年度上期分_営業店DB 2" xfId="1668" xr:uid="{00000000-0005-0000-0000-000042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" xfId="1669" xr:uid="{00000000-0005-0000-0000-000043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 2" xfId="1670" xr:uid="{00000000-0005-0000-0000-000044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" xfId="1671" xr:uid="{00000000-0005-0000-0000-000045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 2" xfId="1672" xr:uid="{00000000-0005-0000-0000-000046060000}"/>
    <cellStyle name="_【20090323_参考資料】千里導入明細資料_ラック構成図_Catalyst直付け（新事務処理）_【20091225】千里導入明細資料_２２年度上期分_営業店DB_Ⅹ_課題と対応策_20121211" xfId="1673" xr:uid="{00000000-0005-0000-0000-000047060000}"/>
    <cellStyle name="_【20090323_参考資料】千里導入明細資料_ラック構成図_Catalyst直付け（新事務処理）_【20091225】千里導入明細資料_２２年度上期分_営業店DB_Ⅹ_課題と対応策_20121211 2" xfId="1674" xr:uid="{00000000-0005-0000-0000-000048060000}"/>
    <cellStyle name="_【20090323_参考資料】千里導入明細資料_ラック構成図_Catalyst直付け（新事務処理）_【20091225】千里導入明細資料_２２年度上期分_連携DB" xfId="1675" xr:uid="{00000000-0005-0000-0000-000049060000}"/>
    <cellStyle name="_【20090323_参考資料】千里導入明細資料_ラック構成図_Catalyst直付け（新事務処理）_【20091225】千里導入明細資料_２２年度上期分_連携DB 2" xfId="1676" xr:uid="{00000000-0005-0000-0000-00004A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" xfId="1677" xr:uid="{00000000-0005-0000-0000-00004B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 2" xfId="1678" xr:uid="{00000000-0005-0000-0000-00004C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" xfId="1679" xr:uid="{00000000-0005-0000-0000-00004D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 2" xfId="1680" xr:uid="{00000000-0005-0000-0000-00004E060000}"/>
    <cellStyle name="_【20090323_参考資料】千里導入明細資料_ラック構成図_Catalyst直付け（新事務処理）_【20091225】千里導入明細資料_２２年度上期分_連携DB_Ⅹ_課題と対応策_20121211" xfId="1681" xr:uid="{00000000-0005-0000-0000-00004F060000}"/>
    <cellStyle name="_【20090323_参考資料】千里導入明細資料_ラック構成図_Catalyst直付け（新事務処理）_【20091225】千里導入明細資料_２２年度上期分_連携DB_Ⅹ_課題と対応策_20121211 2" xfId="1682" xr:uid="{00000000-0005-0000-0000-000050060000}"/>
    <cellStyle name="_【20090323_参考資料】千里導入明細資料_ラック構成図_Catalyst直付け（新事務処理）_【作成中】千里センター機器配置図（2010年対応分）_20091221" xfId="1683" xr:uid="{00000000-0005-0000-0000-000051060000}"/>
    <cellStyle name="_【20090323_参考資料】千里導入明細資料_ラック構成図_Catalyst直付け（新事務処理）_【作成中】千里センター機器配置図（2010年対応分）_20091221 2" xfId="1684" xr:uid="{00000000-0005-0000-0000-000052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" xfId="1685" xr:uid="{00000000-0005-0000-0000-000053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 2" xfId="1686" xr:uid="{00000000-0005-0000-0000-000054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" xfId="1687" xr:uid="{00000000-0005-0000-0000-000055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 2" xfId="1688" xr:uid="{00000000-0005-0000-0000-000056060000}"/>
    <cellStyle name="_【20090323_参考資料】千里導入明細資料_ラック構成図_Catalyst直付け（新事務処理）_【作成中】千里センター機器配置図（2010年対応分）_20091221_Ⅹ_課題と対応策_20121211" xfId="1689" xr:uid="{00000000-0005-0000-0000-000057060000}"/>
    <cellStyle name="_【20090323_参考資料】千里導入明細資料_ラック構成図_Catalyst直付け（新事務処理）_【作成中】千里センター機器配置図（2010年対応分）_20091221_Ⅹ_課題と対応策_20121211 2" xfId="1690" xr:uid="{00000000-0005-0000-0000-000058060000}"/>
    <cellStyle name="_【20090323_参考資料】千里導入明細資料_ラック構成図_Catalyst直付け（新事務処理）_Ⅹ_課題と対応策_20121211" xfId="1691" xr:uid="{00000000-0005-0000-0000-000059060000}"/>
    <cellStyle name="_【20090323_参考資料】千里導入明細資料_ラック構成図_Catalyst直付け（新事務処理）_Ⅹ_課題と対応策_20121211 2" xfId="1692" xr:uid="{00000000-0005-0000-0000-00005A060000}"/>
    <cellStyle name="_【20090323_参考資料】千里導入明細資料_ラック構成図_RX100Si-R削除(新事務処理)" xfId="1693" xr:uid="{00000000-0005-0000-0000-00005B060000}"/>
    <cellStyle name="_【20090323_参考資料】千里導入明細資料_ラック構成図_RX100Si-R削除(新事務処理) 2" xfId="1694" xr:uid="{00000000-0005-0000-0000-00005C060000}"/>
    <cellStyle name="_【20090323_参考資料】千里導入明細資料_ラック構成図_RX100Si-R削除(新事務処理)_【20091207】千里導入明細資料_２１年度分（ネットワーク敷設）" xfId="1695" xr:uid="{00000000-0005-0000-0000-00005D060000}"/>
    <cellStyle name="_【20090323_参考資料】千里導入明細資料_ラック構成図_RX100Si-R削除(新事務処理)_【20091207】千里導入明細資料_２１年度分（ネットワーク敷設） 2" xfId="1696" xr:uid="{00000000-0005-0000-0000-00005E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" xfId="1697" xr:uid="{00000000-0005-0000-0000-00005F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 2" xfId="1698" xr:uid="{00000000-0005-0000-0000-000060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" xfId="1699" xr:uid="{00000000-0005-0000-0000-000061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 2" xfId="1700" xr:uid="{00000000-0005-0000-0000-000062060000}"/>
    <cellStyle name="_【20090323_参考資料】千里導入明細資料_ラック構成図_RX100Si-R削除(新事務処理)_【20091207】千里導入明細資料_２１年度分（ネットワーク敷設）_Ⅹ_課題と対応策_20121211" xfId="1701" xr:uid="{00000000-0005-0000-0000-000063060000}"/>
    <cellStyle name="_【20090323_参考資料】千里導入明細資料_ラック構成図_RX100Si-R削除(新事務処理)_【20091207】千里導入明細資料_２１年度分（ネットワーク敷設）_Ⅹ_課題と対応策_20121211 2" xfId="1702" xr:uid="{00000000-0005-0000-0000-000064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" xfId="1703" xr:uid="{00000000-0005-0000-0000-000065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 2" xfId="1704" xr:uid="{00000000-0005-0000-0000-000066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" xfId="1705" xr:uid="{00000000-0005-0000-0000-000067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 2" xfId="1706" xr:uid="{00000000-0005-0000-0000-000068060000}"/>
    <cellStyle name="_【20090323_参考資料】千里導入明細資料_ラック構成図_RX100Si-R削除(新事務処理)_【20091225】千里導入明細資料_２２年度上期分（営業店ＡＰ－ＤＢ）" xfId="1707" xr:uid="{00000000-0005-0000-0000-000069060000}"/>
    <cellStyle name="_【20090323_参考資料】千里導入明細資料_ラック構成図_RX100Si-R削除(新事務処理)_【20091225】千里導入明細資料_２２年度上期分（営業店ＡＰ－ＤＢ） 2" xfId="1708" xr:uid="{00000000-0005-0000-0000-00006A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" xfId="1709" xr:uid="{00000000-0005-0000-0000-00006B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 2" xfId="1710" xr:uid="{00000000-0005-0000-0000-00006C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" xfId="1711" xr:uid="{00000000-0005-0000-0000-00006D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 2" xfId="1712" xr:uid="{00000000-0005-0000-0000-00006E060000}"/>
    <cellStyle name="_【20090323_参考資料】千里導入明細資料_ラック構成図_RX100Si-R削除(新事務処理)_【20091225】千里導入明細資料_２２年度上期分（営業店ＡＰ－ＤＢ）_Ⅹ_課題と対応策_20121211" xfId="1713" xr:uid="{00000000-0005-0000-0000-00006F060000}"/>
    <cellStyle name="_【20090323_参考資料】千里導入明細資料_ラック構成図_RX100Si-R削除(新事務処理)_【20091225】千里導入明細資料_２２年度上期分（営業店ＡＰ－ＤＢ）_Ⅹ_課題と対応策_20121211 2" xfId="1714" xr:uid="{00000000-0005-0000-0000-000070060000}"/>
    <cellStyle name="_【20090323_参考資料】千里導入明細資料_ラック構成図_RX100Si-R削除(新事務処理)_【20091225】千里導入明細資料_２２年度上期分_営業店DB" xfId="1715" xr:uid="{00000000-0005-0000-0000-000071060000}"/>
    <cellStyle name="_【20090323_参考資料】千里導入明細資料_ラック構成図_RX100Si-R削除(新事務処理)_【20091225】千里導入明細資料_２２年度上期分_営業店DB 2" xfId="1716" xr:uid="{00000000-0005-0000-0000-000072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" xfId="1717" xr:uid="{00000000-0005-0000-0000-000073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 2" xfId="1718" xr:uid="{00000000-0005-0000-0000-000074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" xfId="1719" xr:uid="{00000000-0005-0000-0000-000075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 2" xfId="1720" xr:uid="{00000000-0005-0000-0000-000076060000}"/>
    <cellStyle name="_【20090323_参考資料】千里導入明細資料_ラック構成図_RX100Si-R削除(新事務処理)_【20091225】千里導入明細資料_２２年度上期分_営業店DB_Ⅹ_課題と対応策_20121211" xfId="1721" xr:uid="{00000000-0005-0000-0000-000077060000}"/>
    <cellStyle name="_【20090323_参考資料】千里導入明細資料_ラック構成図_RX100Si-R削除(新事務処理)_【20091225】千里導入明細資料_２２年度上期分_営業店DB_Ⅹ_課題と対応策_20121211 2" xfId="1722" xr:uid="{00000000-0005-0000-0000-000078060000}"/>
    <cellStyle name="_【20090323_参考資料】千里導入明細資料_ラック構成図_RX100Si-R削除(新事務処理)_【20091225】千里導入明細資料_２２年度上期分_連携DB" xfId="1723" xr:uid="{00000000-0005-0000-0000-000079060000}"/>
    <cellStyle name="_【20090323_参考資料】千里導入明細資料_ラック構成図_RX100Si-R削除(新事務処理)_【20091225】千里導入明細資料_２２年度上期分_連携DB 2" xfId="1724" xr:uid="{00000000-0005-0000-0000-00007A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" xfId="1725" xr:uid="{00000000-0005-0000-0000-00007B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 2" xfId="1726" xr:uid="{00000000-0005-0000-0000-00007C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" xfId="1727" xr:uid="{00000000-0005-0000-0000-00007D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 2" xfId="1728" xr:uid="{00000000-0005-0000-0000-00007E060000}"/>
    <cellStyle name="_【20090323_参考資料】千里導入明細資料_ラック構成図_RX100Si-R削除(新事務処理)_【20091225】千里導入明細資料_２２年度上期分_連携DB_Ⅹ_課題と対応策_20121211" xfId="1729" xr:uid="{00000000-0005-0000-0000-00007F060000}"/>
    <cellStyle name="_【20090323_参考資料】千里導入明細資料_ラック構成図_RX100Si-R削除(新事務処理)_【20091225】千里導入明細資料_２２年度上期分_連携DB_Ⅹ_課題と対応策_20121211 2" xfId="1730" xr:uid="{00000000-0005-0000-0000-000080060000}"/>
    <cellStyle name="_【20090323_参考資料】千里導入明細資料_ラック構成図_RX100Si-R削除(新事務処理)_【作成中】千里センター機器配置図（2010年対応分）_20091221" xfId="1731" xr:uid="{00000000-0005-0000-0000-000081060000}"/>
    <cellStyle name="_【20090323_参考資料】千里導入明細資料_ラック構成図_RX100Si-R削除(新事務処理)_【作成中】千里センター機器配置図（2010年対応分）_20091221 2" xfId="1732" xr:uid="{00000000-0005-0000-0000-000082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" xfId="1733" xr:uid="{00000000-0005-0000-0000-000083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 2" xfId="1734" xr:uid="{00000000-0005-0000-0000-000084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" xfId="1735" xr:uid="{00000000-0005-0000-0000-000085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 2" xfId="1736" xr:uid="{00000000-0005-0000-0000-000086060000}"/>
    <cellStyle name="_【20090323_参考資料】千里導入明細資料_ラック構成図_RX100Si-R削除(新事務処理)_【作成中】千里センター機器配置図（2010年対応分）_20091221_Ⅹ_課題と対応策_20121211" xfId="1737" xr:uid="{00000000-0005-0000-0000-000087060000}"/>
    <cellStyle name="_【20090323_参考資料】千里導入明細資料_ラック構成図_RX100Si-R削除(新事務処理)_【作成中】千里センター機器配置図（2010年対応分）_20091221_Ⅹ_課題と対応策_20121211 2" xfId="1738" xr:uid="{00000000-0005-0000-0000-000088060000}"/>
    <cellStyle name="_【20090323_参考資料】千里導入明細資料_ラック構成図_RX100Si-R削除(新事務処理)_Ⅹ_課題と対応策_20121211" xfId="1739" xr:uid="{00000000-0005-0000-0000-000089060000}"/>
    <cellStyle name="_【20090323_参考資料】千里導入明細資料_ラック構成図_RX100Si-R削除(新事務処理)_Ⅹ_課題と対応策_20121211 2" xfId="1740" xr:uid="{00000000-0005-0000-0000-00008A060000}"/>
    <cellStyle name="_【20090323_参考資料】千里導入明細資料_千里導入明細資料_２２年度分（ネットワーク敷設）_fj" xfId="1741" xr:uid="{00000000-0005-0000-0000-00008B060000}"/>
    <cellStyle name="_【20090323_参考資料】千里導入明細資料_千里導入明細資料_２２年度分（ネットワーク敷設）_fj 2" xfId="1742" xr:uid="{00000000-0005-0000-0000-00008C060000}"/>
    <cellStyle name="_【20090323_参考資料】千里導入明細資料_千里導入明細資料_２２年度分（ネットワーク敷設）_fj_Ⅹ_課題と対応策_20121211" xfId="1743" xr:uid="{00000000-0005-0000-0000-00008D060000}"/>
    <cellStyle name="_【20090323_参考資料】千里導入明細資料_千里導入明細資料_２２年度分（ネットワーク敷設）_fj_Ⅹ_課題と対応策_20121211 2" xfId="1744" xr:uid="{00000000-0005-0000-0000-00008E060000}"/>
    <cellStyle name="_【20090522_精緻化中】千里導入明細資料_２１年度分" xfId="1745" xr:uid="{00000000-0005-0000-0000-00008F060000}"/>
    <cellStyle name="_【20090522_精緻化中】千里導入明細資料_２１年度分 2" xfId="1746" xr:uid="{00000000-0005-0000-0000-000090060000}"/>
    <cellStyle name="_【20090522_精緻化中】千里導入明細資料_２１年度分_(自動機監視GW) 【20090602】千里導入明細資料_２１年度fj分" xfId="1747" xr:uid="{00000000-0005-0000-0000-000091060000}"/>
    <cellStyle name="_【20090522_精緻化中】千里導入明細資料_２１年度分_(自動機監視GW) 【20090602】千里導入明細資料_２１年度fj分 2" xfId="1748" xr:uid="{00000000-0005-0000-0000-000092060000}"/>
    <cellStyle name="_【20090522_精緻化中】千里導入明細資料_２１年度分_(自動機監視GW) 【20090602】千里導入明細資料_２１年度fj分_【20091218】千里導入明細資料_２１年度分（ネットワーク敷設）" xfId="1749" xr:uid="{00000000-0005-0000-0000-000093060000}"/>
    <cellStyle name="_【20090522_精緻化中】千里導入明細資料_２１年度分_(自動機監視GW) 【20090602】千里導入明細資料_２１年度fj分_【20091218】千里導入明細資料_２１年度分（ネットワーク敷設） 2" xfId="1750" xr:uid="{00000000-0005-0000-0000-000094060000}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" xfId="1751" xr:uid="{00000000-0005-0000-0000-000095060000}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 2" xfId="1752" xr:uid="{00000000-0005-0000-0000-000096060000}"/>
    <cellStyle name="_【20090522_精緻化中】千里導入明細資料_２１年度分_(自動機監視GW) 【20090602】千里導入明細資料_２１年度fj分_Ⅹ_課題と対応策_20121211" xfId="1753" xr:uid="{00000000-0005-0000-0000-000097060000}"/>
    <cellStyle name="_【20090522_精緻化中】千里導入明細資料_２１年度分_(自動機監視GW) 【20090602】千里導入明細資料_２１年度fj分_Ⅹ_課題と対応策_20121211 2" xfId="1754" xr:uid="{00000000-0005-0000-0000-000098060000}"/>
    <cellStyle name="_【20090522_精緻化中】千里導入明細資料_２１年度分_(自動機監視GW) 【20090602】千里導入明細資料_２１年度fj分_千里導入明細資料_２２年度分（ネットワーク敷設）_fj" xfId="1755" xr:uid="{00000000-0005-0000-0000-000099060000}"/>
    <cellStyle name="_【20090522_精緻化中】千里導入明細資料_２１年度分_(自動機監視GW) 【20090602】千里導入明細資料_２１年度fj分_千里導入明細資料_２２年度分（ネットワーク敷設）_fj 2" xfId="1756" xr:uid="{00000000-0005-0000-0000-00009A060000}"/>
    <cellStyle name="_【20090522_精緻化中】千里導入明細資料_２１年度分_(自動機監視GW) 【20090602】千里導入明細資料_２１年度fj分_千里導入明細資料_２２年度分（ネットワーク敷設）_fj_Ⅹ_課題と対応策_20121211" xfId="1757" xr:uid="{00000000-0005-0000-0000-00009B060000}"/>
    <cellStyle name="_【20090522_精緻化中】千里導入明細資料_２１年度分_(自動機監視GW) 【20090602】千里導入明細資料_２１年度fj分_千里導入明細資料_２２年度分（ネットワーク敷設）_fj_Ⅹ_課題と対応策_20121211 2" xfId="1758" xr:uid="{00000000-0005-0000-0000-00009C060000}"/>
    <cellStyle name="_【20090522_精緻化中】千里導入明細資料_２１年度分_【20090715】千里導入明細資料_２１年度分（９月工事分）_fj" xfId="1759" xr:uid="{00000000-0005-0000-0000-00009D060000}"/>
    <cellStyle name="_【20090522_精緻化中】千里導入明細資料_２１年度分_【20090715】千里導入明細資料_２１年度分（９月工事分）_fj 2" xfId="1760" xr:uid="{00000000-0005-0000-0000-00009E060000}"/>
    <cellStyle name="_【20090522_精緻化中】千里導入明細資料_２１年度分_【20090715】千里導入明細資料_２１年度分（９月工事分）_fj_【20090721】千里導入明細資料_２１年度分" xfId="1761" xr:uid="{00000000-0005-0000-0000-00009F060000}"/>
    <cellStyle name="_【20090522_精緻化中】千里導入明細資料_２１年度分_【20090715】千里導入明細資料_２１年度分（９月工事分）_fj_【20090721】千里導入明細資料_２１年度分 2" xfId="1762" xr:uid="{00000000-0005-0000-0000-0000A0060000}"/>
    <cellStyle name="_【20090522_精緻化中】千里導入明細資料_２１年度分_【20090715】千里導入明細資料_２１年度分（９月工事分）_fj_【20090721】千里導入明細資料_２１年度分（９月工事分）_ETERNUS追加" xfId="1763" xr:uid="{00000000-0005-0000-0000-0000A1060000}"/>
    <cellStyle name="_【20090522_精緻化中】千里導入明細資料_２１年度分_【20090715】千里導入明細資料_２１年度分（９月工事分）_fj_【20090721】千里導入明細資料_２１年度分（９月工事分）_ETERNUS追加 2" xfId="1764" xr:uid="{00000000-0005-0000-0000-0000A2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1765" xr:uid="{00000000-0005-0000-0000-0000A3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1766" xr:uid="{00000000-0005-0000-0000-0000A4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1767" xr:uid="{00000000-0005-0000-0000-0000A5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1768" xr:uid="{00000000-0005-0000-0000-0000A6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1769" xr:uid="{00000000-0005-0000-0000-0000A7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1770" xr:uid="{00000000-0005-0000-0000-0000A8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1771" xr:uid="{00000000-0005-0000-0000-0000A9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772" xr:uid="{00000000-0005-0000-0000-0000AA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" xfId="1773" xr:uid="{00000000-0005-0000-0000-0000AB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 2" xfId="1774" xr:uid="{00000000-0005-0000-0000-0000AC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1775" xr:uid="{00000000-0005-0000-0000-0000AD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1776" xr:uid="{00000000-0005-0000-0000-0000A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1777" xr:uid="{00000000-0005-0000-0000-0000A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1778" xr:uid="{00000000-0005-0000-0000-0000B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779" xr:uid="{00000000-0005-0000-0000-0000B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780" xr:uid="{00000000-0005-0000-0000-0000B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1781" xr:uid="{00000000-0005-0000-0000-0000B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1782" xr:uid="{00000000-0005-0000-0000-0000B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783" xr:uid="{00000000-0005-0000-0000-0000B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784" xr:uid="{00000000-0005-0000-0000-0000B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785" xr:uid="{00000000-0005-0000-0000-0000B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786" xr:uid="{00000000-0005-0000-0000-0000B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787" xr:uid="{00000000-0005-0000-0000-0000B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788" xr:uid="{00000000-0005-0000-0000-0000B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789" xr:uid="{00000000-0005-0000-0000-0000B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790" xr:uid="{00000000-0005-0000-0000-0000B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791" xr:uid="{00000000-0005-0000-0000-0000B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792" xr:uid="{00000000-0005-0000-0000-0000B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793" xr:uid="{00000000-0005-0000-0000-0000B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794" xr:uid="{00000000-0005-0000-0000-0000C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795" xr:uid="{00000000-0005-0000-0000-0000C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796" xr:uid="{00000000-0005-0000-0000-0000C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797" xr:uid="{00000000-0005-0000-0000-0000C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798" xr:uid="{00000000-0005-0000-0000-0000C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799" xr:uid="{00000000-0005-0000-0000-0000C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800" xr:uid="{00000000-0005-0000-0000-0000C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1801" xr:uid="{00000000-0005-0000-0000-0000C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1802" xr:uid="{00000000-0005-0000-0000-0000C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1803" xr:uid="{00000000-0005-0000-0000-0000C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1804" xr:uid="{00000000-0005-0000-0000-0000C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1805" xr:uid="{00000000-0005-0000-0000-0000C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1806" xr:uid="{00000000-0005-0000-0000-0000C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807" xr:uid="{00000000-0005-0000-0000-0000C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808" xr:uid="{00000000-0005-0000-0000-0000C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1809" xr:uid="{00000000-0005-0000-0000-0000C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1810" xr:uid="{00000000-0005-0000-0000-0000D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811" xr:uid="{00000000-0005-0000-0000-0000D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812" xr:uid="{00000000-0005-0000-0000-0000D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1813" xr:uid="{00000000-0005-0000-0000-0000D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1814" xr:uid="{00000000-0005-0000-0000-0000D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1815" xr:uid="{00000000-0005-0000-0000-0000D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1816" xr:uid="{00000000-0005-0000-0000-0000D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817" xr:uid="{00000000-0005-0000-0000-0000D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818" xr:uid="{00000000-0005-0000-0000-0000D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819" xr:uid="{00000000-0005-0000-0000-0000D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820" xr:uid="{00000000-0005-0000-0000-0000D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821" xr:uid="{00000000-0005-0000-0000-0000D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822" xr:uid="{00000000-0005-0000-0000-0000D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823" xr:uid="{00000000-0005-0000-0000-0000D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824" xr:uid="{00000000-0005-0000-0000-0000D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825" xr:uid="{00000000-0005-0000-0000-0000D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826" xr:uid="{00000000-0005-0000-0000-0000E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827" xr:uid="{00000000-0005-0000-0000-0000E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828" xr:uid="{00000000-0005-0000-0000-0000E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829" xr:uid="{00000000-0005-0000-0000-0000E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830" xr:uid="{00000000-0005-0000-0000-0000E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831" xr:uid="{00000000-0005-0000-0000-0000E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832" xr:uid="{00000000-0005-0000-0000-0000E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833" xr:uid="{00000000-0005-0000-0000-0000E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834" xr:uid="{00000000-0005-0000-0000-0000E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835" xr:uid="{00000000-0005-0000-0000-0000E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836" xr:uid="{00000000-0005-0000-0000-0000E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837" xr:uid="{00000000-0005-0000-0000-0000E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838" xr:uid="{00000000-0005-0000-0000-0000E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839" xr:uid="{00000000-0005-0000-0000-0000E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840" xr:uid="{00000000-0005-0000-0000-0000E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841" xr:uid="{00000000-0005-0000-0000-0000E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842" xr:uid="{00000000-0005-0000-0000-0000F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1843" xr:uid="{00000000-0005-0000-0000-0000F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1844" xr:uid="{00000000-0005-0000-0000-0000F2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1845" xr:uid="{00000000-0005-0000-0000-0000F3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1846" xr:uid="{00000000-0005-0000-0000-0000F4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847" xr:uid="{00000000-0005-0000-0000-0000F5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848" xr:uid="{00000000-0005-0000-0000-0000F6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1849" xr:uid="{00000000-0005-0000-0000-0000F7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1850" xr:uid="{00000000-0005-0000-0000-0000F8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1851" xr:uid="{00000000-0005-0000-0000-0000F9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1852" xr:uid="{00000000-0005-0000-0000-0000FA060000}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" xfId="1853" xr:uid="{00000000-0005-0000-0000-0000FB060000}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 2" xfId="1854" xr:uid="{00000000-0005-0000-0000-0000FC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1855" xr:uid="{00000000-0005-0000-0000-0000FD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1856" xr:uid="{00000000-0005-0000-0000-0000FE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857" xr:uid="{00000000-0005-0000-0000-0000FF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858" xr:uid="{00000000-0005-0000-0000-000000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" xfId="1859" xr:uid="{00000000-0005-0000-0000-000001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 2" xfId="1860" xr:uid="{00000000-0005-0000-0000-000002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1861" xr:uid="{00000000-0005-0000-0000-000003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1862" xr:uid="{00000000-0005-0000-0000-000004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" xfId="1863" xr:uid="{00000000-0005-0000-0000-000005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 2" xfId="1864" xr:uid="{00000000-0005-0000-0000-000006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865" xr:uid="{00000000-0005-0000-0000-000007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866" xr:uid="{00000000-0005-0000-0000-000008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867" xr:uid="{00000000-0005-0000-0000-000009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868" xr:uid="{00000000-0005-0000-0000-00000A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869" xr:uid="{00000000-0005-0000-0000-00000B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870" xr:uid="{00000000-0005-0000-0000-00000C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871" xr:uid="{00000000-0005-0000-0000-00000D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872" xr:uid="{00000000-0005-0000-0000-00000E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873" xr:uid="{00000000-0005-0000-0000-00000F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874" xr:uid="{00000000-0005-0000-0000-000010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875" xr:uid="{00000000-0005-0000-0000-000011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876" xr:uid="{00000000-0005-0000-0000-000012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877" xr:uid="{00000000-0005-0000-0000-000013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878" xr:uid="{00000000-0005-0000-0000-000014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879" xr:uid="{00000000-0005-0000-0000-000015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880" xr:uid="{00000000-0005-0000-0000-000016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1881" xr:uid="{00000000-0005-0000-0000-000017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1882" xr:uid="{00000000-0005-0000-0000-000018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" xfId="1883" xr:uid="{00000000-0005-0000-0000-000019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 2" xfId="1884" xr:uid="{00000000-0005-0000-0000-00001A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" xfId="1885" xr:uid="{00000000-0005-0000-0000-00001B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1886" xr:uid="{00000000-0005-0000-0000-00001C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" xfId="1887" xr:uid="{00000000-0005-0000-0000-00001D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 2" xfId="1888" xr:uid="{00000000-0005-0000-0000-00001E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1889" xr:uid="{00000000-0005-0000-0000-00001F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1890" xr:uid="{00000000-0005-0000-0000-000020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" xfId="1891" xr:uid="{00000000-0005-0000-0000-000021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 2" xfId="1892" xr:uid="{00000000-0005-0000-0000-000022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1893" xr:uid="{00000000-0005-0000-0000-000023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1894" xr:uid="{00000000-0005-0000-0000-000024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" xfId="1895" xr:uid="{00000000-0005-0000-0000-000025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 2" xfId="1896" xr:uid="{00000000-0005-0000-0000-000026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" xfId="1897" xr:uid="{00000000-0005-0000-0000-000027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 2" xfId="1898" xr:uid="{00000000-0005-0000-0000-000028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1899" xr:uid="{00000000-0005-0000-0000-000029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1900" xr:uid="{00000000-0005-0000-0000-00002A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901" xr:uid="{00000000-0005-0000-0000-00002B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902" xr:uid="{00000000-0005-0000-0000-00002C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903" xr:uid="{00000000-0005-0000-0000-00002D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904" xr:uid="{00000000-0005-0000-0000-00002E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905" xr:uid="{00000000-0005-0000-0000-00002F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906" xr:uid="{00000000-0005-0000-0000-000030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907" xr:uid="{00000000-0005-0000-0000-000031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908" xr:uid="{00000000-0005-0000-0000-000032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1909" xr:uid="{00000000-0005-0000-0000-000033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1910" xr:uid="{00000000-0005-0000-0000-000034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911" xr:uid="{00000000-0005-0000-0000-000035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912" xr:uid="{00000000-0005-0000-0000-000036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913" xr:uid="{00000000-0005-0000-0000-000037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914" xr:uid="{00000000-0005-0000-0000-000038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915" xr:uid="{00000000-0005-0000-0000-000039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916" xr:uid="{00000000-0005-0000-0000-00003A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1917" xr:uid="{00000000-0005-0000-0000-00003B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1918" xr:uid="{00000000-0005-0000-0000-00003C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919" xr:uid="{00000000-0005-0000-0000-00003D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920" xr:uid="{00000000-0005-0000-0000-00003E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921" xr:uid="{00000000-0005-0000-0000-00003F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922" xr:uid="{00000000-0005-0000-0000-000040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923" xr:uid="{00000000-0005-0000-0000-000041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924" xr:uid="{00000000-0005-0000-0000-000042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" xfId="1925" xr:uid="{00000000-0005-0000-0000-000043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1926" xr:uid="{00000000-0005-0000-0000-000044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" xfId="1927" xr:uid="{00000000-0005-0000-0000-000045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 2" xfId="1928" xr:uid="{00000000-0005-0000-0000-000046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1929" xr:uid="{00000000-0005-0000-0000-000047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1930" xr:uid="{00000000-0005-0000-0000-000048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" xfId="1931" xr:uid="{00000000-0005-0000-0000-000049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 2" xfId="1932" xr:uid="{00000000-0005-0000-0000-00004A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1933" xr:uid="{00000000-0005-0000-0000-00004B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1934" xr:uid="{00000000-0005-0000-0000-00004C070000}"/>
    <cellStyle name="_【20090522_精緻化中】千里導入明細資料_２１年度分_【20090715】千里導入明細資料_２１年度分（９月工事分）_fj_【20090721】千里導入明細資料_２１年度分_Ⅹ_課題と対応策_20121211" xfId="1935" xr:uid="{00000000-0005-0000-0000-00004D070000}"/>
    <cellStyle name="_【20090522_精緻化中】千里導入明細資料_２１年度分_【20090715】千里導入明細資料_２１年度分（９月工事分）_fj_【20090721】千里導入明細資料_２１年度分_Ⅹ_課題と対応策_20121211 2" xfId="1936" xr:uid="{00000000-0005-0000-0000-00004E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" xfId="1937" xr:uid="{00000000-0005-0000-0000-00004F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 2" xfId="1938" xr:uid="{00000000-0005-0000-0000-000050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1939" xr:uid="{00000000-0005-0000-0000-000051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1940" xr:uid="{00000000-0005-0000-0000-000052070000}"/>
    <cellStyle name="_【20090522_精緻化中】千里導入明細資料_２１年度分_【20090715】千里導入明細資料_２１年度分（９月工事分）_fj_【20090821】千里ラック搭載図（NW機器）" xfId="1941" xr:uid="{00000000-0005-0000-0000-000053070000}"/>
    <cellStyle name="_【20090522_精緻化中】千里導入明細資料_２１年度分_【20090715】千里導入明細資料_２１年度分（９月工事分）_fj_【20090821】千里ラック搭載図（NW機器） 2" xfId="1942" xr:uid="{00000000-0005-0000-0000-000054070000}"/>
    <cellStyle name="_【20090522_精緻化中】千里導入明細資料_２１年度分_【20090715】千里導入明細資料_２１年度分（９月工事分）_fj_【20090821】千里ラック搭載図（NW機器）_Ⅹ_課題と対応策_20121211" xfId="1943" xr:uid="{00000000-0005-0000-0000-000055070000}"/>
    <cellStyle name="_【20090522_精緻化中】千里導入明細資料_２１年度分_【20090715】千里導入明細資料_２１年度分（９月工事分）_fj_【20090821】千里ラック搭載図（NW機器）_Ⅹ_課題と対応策_20121211 2" xfId="1944" xr:uid="{00000000-0005-0000-0000-000056070000}"/>
    <cellStyle name="_【20090522_精緻化中】千里導入明細資料_２１年度分_【20090715】千里導入明細資料_２１年度分（９月工事分）_fj_【20091207】千里導入明細資料_２１年度分（ネットワーク敷設）" xfId="1945" xr:uid="{00000000-0005-0000-0000-000057070000}"/>
    <cellStyle name="_【20090522_精緻化中】千里導入明細資料_２１年度分_【20090715】千里導入明細資料_２１年度分（９月工事分）_fj_【20091207】千里導入明細資料_２１年度分（ネットワーク敷設） 2" xfId="1946" xr:uid="{00000000-0005-0000-0000-000058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1947" xr:uid="{00000000-0005-0000-0000-000059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1948" xr:uid="{00000000-0005-0000-0000-00005A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949" xr:uid="{00000000-0005-0000-0000-00005B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950" xr:uid="{00000000-0005-0000-0000-00005C070000}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" xfId="1951" xr:uid="{00000000-0005-0000-0000-00005D070000}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 2" xfId="1952" xr:uid="{00000000-0005-0000-0000-00005E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1953" xr:uid="{00000000-0005-0000-0000-00005F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1954" xr:uid="{00000000-0005-0000-0000-000060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1955" xr:uid="{00000000-0005-0000-0000-000061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956" xr:uid="{00000000-0005-0000-0000-000062070000}"/>
    <cellStyle name="_【20090522_精緻化中】千里導入明細資料_２１年度分_【20090715】千里導入明細資料_２１年度分（９月工事分）_fj_【20091225】千里導入明細資料_２２年度上期分（営業店ＡＰ－ＤＢ）" xfId="1957" xr:uid="{00000000-0005-0000-0000-000063070000}"/>
    <cellStyle name="_【20090522_精緻化中】千里導入明細資料_２１年度分_【20090715】千里導入明細資料_２１年度分（９月工事分）_fj_【20091225】千里導入明細資料_２２年度上期分（営業店ＡＰ－ＤＢ） 2" xfId="1958" xr:uid="{00000000-0005-0000-0000-000064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1959" xr:uid="{00000000-0005-0000-0000-000065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1960" xr:uid="{00000000-0005-0000-0000-000066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961" xr:uid="{00000000-0005-0000-0000-000067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962" xr:uid="{00000000-0005-0000-0000-000068070000}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" xfId="1963" xr:uid="{00000000-0005-0000-0000-000069070000}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 2" xfId="1964" xr:uid="{00000000-0005-0000-0000-00006A070000}"/>
    <cellStyle name="_【20090522_精緻化中】千里導入明細資料_２１年度分_【20090715】千里導入明細資料_２１年度分（９月工事分）_fj_【20091225】千里導入明細資料_２２年度上期分_営業店DB" xfId="1965" xr:uid="{00000000-0005-0000-0000-00006B070000}"/>
    <cellStyle name="_【20090522_精緻化中】千里導入明細資料_２１年度分_【20090715】千里導入明細資料_２１年度分（９月工事分）_fj_【20091225】千里導入明細資料_２２年度上期分_営業店DB 2" xfId="1966" xr:uid="{00000000-0005-0000-0000-00006C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" xfId="1967" xr:uid="{00000000-0005-0000-0000-00006D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 2" xfId="1968" xr:uid="{00000000-0005-0000-0000-00006E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1969" xr:uid="{00000000-0005-0000-0000-00006F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1970" xr:uid="{00000000-0005-0000-0000-000070070000}"/>
    <cellStyle name="_【20090522_精緻化中】千里導入明細資料_２１年度分_【20090715】千里導入明細資料_２１年度分（９月工事分）_fj_【20091225】千里導入明細資料_２２年度上期分_営業店DB_Ⅹ_課題と対応策_20121211" xfId="1971" xr:uid="{00000000-0005-0000-0000-000071070000}"/>
    <cellStyle name="_【20090522_精緻化中】千里導入明細資料_２１年度分_【20090715】千里導入明細資料_２１年度分（９月工事分）_fj_【20091225】千里導入明細資料_２２年度上期分_営業店DB_Ⅹ_課題と対応策_20121211 2" xfId="1972" xr:uid="{00000000-0005-0000-0000-000072070000}"/>
    <cellStyle name="_【20090522_精緻化中】千里導入明細資料_２１年度分_【20090715】千里導入明細資料_２１年度分（９月工事分）_fj_【20091225】千里導入明細資料_２２年度上期分_連携DB" xfId="1973" xr:uid="{00000000-0005-0000-0000-000073070000}"/>
    <cellStyle name="_【20090522_精緻化中】千里導入明細資料_２１年度分_【20090715】千里導入明細資料_２１年度分（９月工事分）_fj_【20091225】千里導入明細資料_２２年度上期分_連携DB 2" xfId="1974" xr:uid="{00000000-0005-0000-0000-000074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" xfId="1975" xr:uid="{00000000-0005-0000-0000-000075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 2" xfId="1976" xr:uid="{00000000-0005-0000-0000-000076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1977" xr:uid="{00000000-0005-0000-0000-000077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1978" xr:uid="{00000000-0005-0000-0000-000078070000}"/>
    <cellStyle name="_【20090522_精緻化中】千里導入明細資料_２１年度分_【20090715】千里導入明細資料_２１年度分（９月工事分）_fj_【20091225】千里導入明細資料_２２年度上期分_連携DB_Ⅹ_課題と対応策_20121211" xfId="1979" xr:uid="{00000000-0005-0000-0000-000079070000}"/>
    <cellStyle name="_【20090522_精緻化中】千里導入明細資料_２１年度分_【20090715】千里導入明細資料_２１年度分（９月工事分）_fj_【20091225】千里導入明細資料_２２年度上期分_連携DB_Ⅹ_課題と対応策_20121211 2" xfId="1980" xr:uid="{00000000-0005-0000-0000-00007A070000}"/>
    <cellStyle name="_【20090522_精緻化中】千里導入明細資料_２１年度分_【20090715】千里導入明細資料_２１年度分（９月工事分）_fj_【作成中】千里センター機器配置図（2010年対応分）_20091221" xfId="1981" xr:uid="{00000000-0005-0000-0000-00007B070000}"/>
    <cellStyle name="_【20090522_精緻化中】千里導入明細資料_２１年度分_【20090715】千里導入明細資料_２１年度分（９月工事分）_fj_【作成中】千里センター機器配置図（2010年対応分）_20091221 2" xfId="1982" xr:uid="{00000000-0005-0000-0000-00007C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1983" xr:uid="{00000000-0005-0000-0000-00007D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1984" xr:uid="{00000000-0005-0000-0000-00007E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1985" xr:uid="{00000000-0005-0000-0000-00007F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1986" xr:uid="{00000000-0005-0000-0000-000080070000}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" xfId="1987" xr:uid="{00000000-0005-0000-0000-000081070000}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 2" xfId="1988" xr:uid="{00000000-0005-0000-0000-000082070000}"/>
    <cellStyle name="_【20090522_精緻化中】千里導入明細資料_２１年度分_【20090715】千里導入明細資料_２１年度分（９月工事分）_fj_Ⅹ_課題と対応策_20121211" xfId="1989" xr:uid="{00000000-0005-0000-0000-000083070000}"/>
    <cellStyle name="_【20090522_精緻化中】千里導入明細資料_２１年度分_【20090715】千里導入明細資料_２１年度分（９月工事分）_fj_Ⅹ_課題と対応策_20121211 2" xfId="1990" xr:uid="{00000000-0005-0000-0000-000084070000}"/>
    <cellStyle name="_【20090522_精緻化中】千里導入明細資料_２１年度分_【20090715】千里導入明細資料_２１年度分（９月工事分）_fj_千里センター機器構築スケジュール（８月分）_20090731" xfId="1991" xr:uid="{00000000-0005-0000-0000-000085070000}"/>
    <cellStyle name="_【20090522_精緻化中】千里導入明細資料_２１年度分_【20090715】千里導入明細資料_２１年度分（９月工事分）_fj_千里センター機器構築スケジュール（８月分）_20090731 2" xfId="1992" xr:uid="{00000000-0005-0000-0000-000086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" xfId="1993" xr:uid="{00000000-0005-0000-0000-000087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1994" xr:uid="{00000000-0005-0000-0000-000088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995" xr:uid="{00000000-0005-0000-0000-000089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996" xr:uid="{00000000-0005-0000-0000-00008A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997" xr:uid="{00000000-0005-0000-0000-00008B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998" xr:uid="{00000000-0005-0000-0000-00008C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1999" xr:uid="{00000000-0005-0000-0000-00008D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000" xr:uid="{00000000-0005-0000-0000-00008E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" xfId="2001" xr:uid="{00000000-0005-0000-0000-00008F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 2" xfId="2002" xr:uid="{00000000-0005-0000-0000-000090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003" xr:uid="{00000000-0005-0000-0000-000091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004" xr:uid="{00000000-0005-0000-0000-000092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005" xr:uid="{00000000-0005-0000-0000-000093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006" xr:uid="{00000000-0005-0000-0000-000094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007" xr:uid="{00000000-0005-0000-0000-000095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008" xr:uid="{00000000-0005-0000-0000-000096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" xfId="2009" xr:uid="{00000000-0005-0000-0000-000097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 2" xfId="2010" xr:uid="{00000000-0005-0000-0000-000098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011" xr:uid="{00000000-0005-0000-0000-000099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012" xr:uid="{00000000-0005-0000-0000-00009A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013" xr:uid="{00000000-0005-0000-0000-00009B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014" xr:uid="{00000000-0005-0000-0000-00009C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015" xr:uid="{00000000-0005-0000-0000-00009D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016" xr:uid="{00000000-0005-0000-0000-00009E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017" xr:uid="{00000000-0005-0000-0000-00009F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018" xr:uid="{00000000-0005-0000-0000-0000A0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019" xr:uid="{00000000-0005-0000-0000-0000A1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020" xr:uid="{00000000-0005-0000-0000-0000A2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021" xr:uid="{00000000-0005-0000-0000-0000A3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022" xr:uid="{00000000-0005-0000-0000-0000A4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023" xr:uid="{00000000-0005-0000-0000-0000A5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024" xr:uid="{00000000-0005-0000-0000-0000A6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025" xr:uid="{00000000-0005-0000-0000-0000A7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026" xr:uid="{00000000-0005-0000-0000-0000A8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027" xr:uid="{00000000-0005-0000-0000-0000A9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028" xr:uid="{00000000-0005-0000-0000-0000AA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" xfId="2029" xr:uid="{00000000-0005-0000-0000-0000AB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 2" xfId="2030" xr:uid="{00000000-0005-0000-0000-0000AC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031" xr:uid="{00000000-0005-0000-0000-0000AD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032" xr:uid="{00000000-0005-0000-0000-0000AE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" xfId="2033" xr:uid="{00000000-0005-0000-0000-0000AF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 2" xfId="2034" xr:uid="{00000000-0005-0000-0000-0000B0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035" xr:uid="{00000000-0005-0000-0000-0000B1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036" xr:uid="{00000000-0005-0000-0000-0000B2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" xfId="2037" xr:uid="{00000000-0005-0000-0000-0000B3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 2" xfId="2038" xr:uid="{00000000-0005-0000-0000-0000B4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039" xr:uid="{00000000-0005-0000-0000-0000B5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040" xr:uid="{00000000-0005-0000-0000-0000B6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" xfId="2041" xr:uid="{00000000-0005-0000-0000-0000B7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 2" xfId="2042" xr:uid="{00000000-0005-0000-0000-0000B8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043" xr:uid="{00000000-0005-0000-0000-0000B9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044" xr:uid="{00000000-0005-0000-0000-0000BA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045" xr:uid="{00000000-0005-0000-0000-0000BB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046" xr:uid="{00000000-0005-0000-0000-0000BC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047" xr:uid="{00000000-0005-0000-0000-0000BD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048" xr:uid="{00000000-0005-0000-0000-0000BE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049" xr:uid="{00000000-0005-0000-0000-0000BF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050" xr:uid="{00000000-0005-0000-0000-0000C0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051" xr:uid="{00000000-0005-0000-0000-0000C1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052" xr:uid="{00000000-0005-0000-0000-0000C2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053" xr:uid="{00000000-0005-0000-0000-0000C3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054" xr:uid="{00000000-0005-0000-0000-0000C4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055" xr:uid="{00000000-0005-0000-0000-0000C5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056" xr:uid="{00000000-0005-0000-0000-0000C6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057" xr:uid="{00000000-0005-0000-0000-0000C7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058" xr:uid="{00000000-0005-0000-0000-0000C8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059" xr:uid="{00000000-0005-0000-0000-0000C9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060" xr:uid="{00000000-0005-0000-0000-0000CA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061" xr:uid="{00000000-0005-0000-0000-0000CB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062" xr:uid="{00000000-0005-0000-0000-0000CC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063" xr:uid="{00000000-0005-0000-0000-0000CD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064" xr:uid="{00000000-0005-0000-0000-0000CE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065" xr:uid="{00000000-0005-0000-0000-0000CF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066" xr:uid="{00000000-0005-0000-0000-0000D0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067" xr:uid="{00000000-0005-0000-0000-0000D1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068" xr:uid="{00000000-0005-0000-0000-0000D2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069" xr:uid="{00000000-0005-0000-0000-0000D3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070" xr:uid="{00000000-0005-0000-0000-0000D4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071" xr:uid="{00000000-0005-0000-0000-0000D5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072" xr:uid="{00000000-0005-0000-0000-0000D6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" xfId="2073" xr:uid="{00000000-0005-0000-0000-0000D7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074" xr:uid="{00000000-0005-0000-0000-0000D8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075" xr:uid="{00000000-0005-0000-0000-0000D9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076" xr:uid="{00000000-0005-0000-0000-0000DA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" xfId="2077" xr:uid="{00000000-0005-0000-0000-0000DB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 2" xfId="2078" xr:uid="{00000000-0005-0000-0000-0000DC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079" xr:uid="{00000000-0005-0000-0000-0000DD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080" xr:uid="{00000000-0005-0000-0000-0000DE070000}"/>
    <cellStyle name="_【20090522_精緻化中】千里導入明細資料_２１年度分_【20090715】千里導入明細資料_２１年度分（９月工事分）_fj_千里センター機器構築スケジュール（８月分）_20090731_Ⅹ_課題と対応策_20121211" xfId="2081" xr:uid="{00000000-0005-0000-0000-0000DF070000}"/>
    <cellStyle name="_【20090522_精緻化中】千里導入明細資料_２１年度分_【20090715】千里導入明細資料_２１年度分（９月工事分）_fj_千里センター機器構築スケジュール（８月分）_20090731_Ⅹ_課題と対応策_20121211 2" xfId="2082" xr:uid="{00000000-0005-0000-0000-0000E0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" xfId="2083" xr:uid="{00000000-0005-0000-0000-0000E1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084" xr:uid="{00000000-0005-0000-0000-0000E2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085" xr:uid="{00000000-0005-0000-0000-0000E3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086" xr:uid="{00000000-0005-0000-0000-0000E4070000}"/>
    <cellStyle name="_【20090522_精緻化中】千里導入明細資料_２１年度分_【20090724】千里導入明細資料_２１年度" xfId="2087" xr:uid="{00000000-0005-0000-0000-0000E5070000}"/>
    <cellStyle name="_【20090522_精緻化中】千里導入明細資料_２１年度分_【20090724】千里導入明細資料_２１年度 2" xfId="2088" xr:uid="{00000000-0005-0000-0000-0000E6070000}"/>
    <cellStyle name="_【20090522_精緻化中】千里導入明細資料_２１年度分_【20090724】千里導入明細資料_２１年度_【20091207】千里導入明細資料_２１年度分（ネットワーク敷設）" xfId="2089" xr:uid="{00000000-0005-0000-0000-0000E7070000}"/>
    <cellStyle name="_【20090522_精緻化中】千里導入明細資料_２１年度分_【20090724】千里導入明細資料_２１年度_【20091207】千里導入明細資料_２１年度分（ネットワーク敷設） 2" xfId="2090" xr:uid="{00000000-0005-0000-0000-0000E8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" xfId="2091" xr:uid="{00000000-0005-0000-0000-0000E9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 2" xfId="2092" xr:uid="{00000000-0005-0000-0000-0000EA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093" xr:uid="{00000000-0005-0000-0000-0000EB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094" xr:uid="{00000000-0005-0000-0000-0000EC070000}"/>
    <cellStyle name="_【20090522_精緻化中】千里導入明細資料_２１年度分_【20090724】千里導入明細資料_２１年度_【20091207】千里導入明細資料_２１年度分（ネットワーク敷設）_Ⅹ_課題と対応策_20121211" xfId="2095" xr:uid="{00000000-0005-0000-0000-0000ED070000}"/>
    <cellStyle name="_【20090522_精緻化中】千里導入明細資料_２１年度分_【20090724】千里導入明細資料_２１年度_【20091207】千里導入明細資料_２１年度分（ネットワーク敷設）_Ⅹ_課題と対応策_20121211 2" xfId="2096" xr:uid="{00000000-0005-0000-0000-0000EE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" xfId="2097" xr:uid="{00000000-0005-0000-0000-0000EF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 2" xfId="2098" xr:uid="{00000000-0005-0000-0000-0000F0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099" xr:uid="{00000000-0005-0000-0000-0000F1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100" xr:uid="{00000000-0005-0000-0000-0000F2070000}"/>
    <cellStyle name="_【20090522_精緻化中】千里導入明細資料_２１年度分_【20090724】千里導入明細資料_２１年度_【20091225】千里導入明細資料_２２年度上期分（営業店ＡＰ－ＤＢ）" xfId="2101" xr:uid="{00000000-0005-0000-0000-0000F3070000}"/>
    <cellStyle name="_【20090522_精緻化中】千里導入明細資料_２１年度分_【20090724】千里導入明細資料_２１年度_【20091225】千里導入明細資料_２２年度上期分（営業店ＡＰ－ＤＢ） 2" xfId="2102" xr:uid="{00000000-0005-0000-0000-0000F4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" xfId="2103" xr:uid="{00000000-0005-0000-0000-0000F5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 2" xfId="2104" xr:uid="{00000000-0005-0000-0000-0000F6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105" xr:uid="{00000000-0005-0000-0000-0000F7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106" xr:uid="{00000000-0005-0000-0000-0000F8070000}"/>
    <cellStyle name="_【20090522_精緻化中】千里導入明細資料_２１年度分_【20090724】千里導入明細資料_２１年度_【20091225】千里導入明細資料_２２年度上期分（営業店ＡＰ－ＤＢ）_Ⅹ_課題と対応策_20121211" xfId="2107" xr:uid="{00000000-0005-0000-0000-0000F9070000}"/>
    <cellStyle name="_【20090522_精緻化中】千里導入明細資料_２１年度分_【20090724】千里導入明細資料_２１年度_【20091225】千里導入明細資料_２２年度上期分（営業店ＡＰ－ＤＢ）_Ⅹ_課題と対応策_20121211 2" xfId="2108" xr:uid="{00000000-0005-0000-0000-0000FA070000}"/>
    <cellStyle name="_【20090522_精緻化中】千里導入明細資料_２１年度分_【20090724】千里導入明細資料_２１年度_【20091225】千里導入明細資料_２２年度上期分_営業店DB" xfId="2109" xr:uid="{00000000-0005-0000-0000-0000FB070000}"/>
    <cellStyle name="_【20090522_精緻化中】千里導入明細資料_２１年度分_【20090724】千里導入明細資料_２１年度_【20091225】千里導入明細資料_２２年度上期分_営業店DB 2" xfId="2110" xr:uid="{00000000-0005-0000-0000-0000FC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" xfId="2111" xr:uid="{00000000-0005-0000-0000-0000FD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 2" xfId="2112" xr:uid="{00000000-0005-0000-0000-0000FE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113" xr:uid="{00000000-0005-0000-0000-0000FF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114" xr:uid="{00000000-0005-0000-0000-000000080000}"/>
    <cellStyle name="_【20090522_精緻化中】千里導入明細資料_２１年度分_【20090724】千里導入明細資料_２１年度_【20091225】千里導入明細資料_２２年度上期分_営業店DB_Ⅹ_課題と対応策_20121211" xfId="2115" xr:uid="{00000000-0005-0000-0000-000001080000}"/>
    <cellStyle name="_【20090522_精緻化中】千里導入明細資料_２１年度分_【20090724】千里導入明細資料_２１年度_【20091225】千里導入明細資料_２２年度上期分_営業店DB_Ⅹ_課題と対応策_20121211 2" xfId="2116" xr:uid="{00000000-0005-0000-0000-000002080000}"/>
    <cellStyle name="_【20090522_精緻化中】千里導入明細資料_２１年度分_【20090724】千里導入明細資料_２１年度_【20091225】千里導入明細資料_２２年度上期分_連携DB" xfId="2117" xr:uid="{00000000-0005-0000-0000-000003080000}"/>
    <cellStyle name="_【20090522_精緻化中】千里導入明細資料_２１年度分_【20090724】千里導入明細資料_２１年度_【20091225】千里導入明細資料_２２年度上期分_連携DB 2" xfId="2118" xr:uid="{00000000-0005-0000-0000-000004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" xfId="2119" xr:uid="{00000000-0005-0000-0000-000005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 2" xfId="2120" xr:uid="{00000000-0005-0000-0000-000006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121" xr:uid="{00000000-0005-0000-0000-000007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122" xr:uid="{00000000-0005-0000-0000-000008080000}"/>
    <cellStyle name="_【20090522_精緻化中】千里導入明細資料_２１年度分_【20090724】千里導入明細資料_２１年度_【20091225】千里導入明細資料_２２年度上期分_連携DB_Ⅹ_課題と対応策_20121211" xfId="2123" xr:uid="{00000000-0005-0000-0000-000009080000}"/>
    <cellStyle name="_【20090522_精緻化中】千里導入明細資料_２１年度分_【20090724】千里導入明細資料_２１年度_【20091225】千里導入明細資料_２２年度上期分_連携DB_Ⅹ_課題と対応策_20121211 2" xfId="2124" xr:uid="{00000000-0005-0000-0000-00000A080000}"/>
    <cellStyle name="_【20090522_精緻化中】千里導入明細資料_２１年度分_【20090724】千里導入明細資料_２１年度_【作成中】千里センター機器配置図（2010年対応分）_20091221" xfId="2125" xr:uid="{00000000-0005-0000-0000-00000B080000}"/>
    <cellStyle name="_【20090522_精緻化中】千里導入明細資料_２１年度分_【20090724】千里導入明細資料_２１年度_【作成中】千里センター機器配置図（2010年対応分）_20091221 2" xfId="2126" xr:uid="{00000000-0005-0000-0000-00000C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" xfId="2127" xr:uid="{00000000-0005-0000-0000-00000D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 2" xfId="2128" xr:uid="{00000000-0005-0000-0000-00000E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129" xr:uid="{00000000-0005-0000-0000-00000F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130" xr:uid="{00000000-0005-0000-0000-000010080000}"/>
    <cellStyle name="_【20090522_精緻化中】千里導入明細資料_２１年度分_【20090724】千里導入明細資料_２１年度_【作成中】千里センター機器配置図（2010年対応分）_20091221_Ⅹ_課題と対応策_20121211" xfId="2131" xr:uid="{00000000-0005-0000-0000-000011080000}"/>
    <cellStyle name="_【20090522_精緻化中】千里導入明細資料_２１年度分_【20090724】千里導入明細資料_２１年度_【作成中】千里センター機器配置図（2010年対応分）_20091221_Ⅹ_課題と対応策_20121211 2" xfId="2132" xr:uid="{00000000-0005-0000-0000-000012080000}"/>
    <cellStyle name="_【20090522_精緻化中】千里導入明細資料_２１年度分_【20090724】千里導入明細資料_２１年度_Ⅹ_課題と対応策_20121211" xfId="2133" xr:uid="{00000000-0005-0000-0000-000013080000}"/>
    <cellStyle name="_【20090522_精緻化中】千里導入明細資料_２１年度分_【20090724】千里導入明細資料_２１年度_Ⅹ_課題と対応策_20121211 2" xfId="2134" xr:uid="{00000000-0005-0000-0000-000014080000}"/>
    <cellStyle name="_【20090522_精緻化中】千里導入明細資料_２１年度分_【20090724】千里導入明細資料_２１年度分（９月工事分）" xfId="2135" xr:uid="{00000000-0005-0000-0000-000015080000}"/>
    <cellStyle name="_【20090522_精緻化中】千里導入明細資料_２１年度分_【20090724】千里導入明細資料_２１年度分（９月工事分） 2" xfId="2136" xr:uid="{00000000-0005-0000-0000-000016080000}"/>
    <cellStyle name="_【20090522_精緻化中】千里導入明細資料_２１年度分_【20090724】千里導入明細資料_２１年度分（９月工事分）_【20091207】千里導入明細資料_２１年度分（ネットワーク敷設）" xfId="2137" xr:uid="{00000000-0005-0000-0000-000017080000}"/>
    <cellStyle name="_【20090522_精緻化中】千里導入明細資料_２１年度分_【20090724】千里導入明細資料_２１年度分（９月工事分）_【20091207】千里導入明細資料_２１年度分（ネットワーク敷設） 2" xfId="2138" xr:uid="{00000000-0005-0000-0000-000018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139" xr:uid="{00000000-0005-0000-0000-000019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140" xr:uid="{00000000-0005-0000-0000-00001A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141" xr:uid="{00000000-0005-0000-0000-00001B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142" xr:uid="{00000000-0005-0000-0000-00001C080000}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" xfId="2143" xr:uid="{00000000-0005-0000-0000-00001D080000}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 2" xfId="2144" xr:uid="{00000000-0005-0000-0000-00001E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145" xr:uid="{00000000-0005-0000-0000-00001F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146" xr:uid="{00000000-0005-0000-0000-000020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147" xr:uid="{00000000-0005-0000-0000-000021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148" xr:uid="{00000000-0005-0000-0000-000022080000}"/>
    <cellStyle name="_【20090522_精緻化中】千里導入明細資料_２１年度分_【20090724】千里導入明細資料_２１年度分（９月工事分）_【20091225】千里導入明細資料_２２年度上期分（営業店ＡＰ－ＤＢ）" xfId="2149" xr:uid="{00000000-0005-0000-0000-000023080000}"/>
    <cellStyle name="_【20090522_精緻化中】千里導入明細資料_２１年度分_【20090724】千里導入明細資料_２１年度分（９月工事分）_【20091225】千里導入明細資料_２２年度上期分（営業店ＡＰ－ＤＢ） 2" xfId="2150" xr:uid="{00000000-0005-0000-0000-000024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151" xr:uid="{00000000-0005-0000-0000-000025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152" xr:uid="{00000000-0005-0000-0000-000026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153" xr:uid="{00000000-0005-0000-0000-000027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154" xr:uid="{00000000-0005-0000-0000-000028080000}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" xfId="2155" xr:uid="{00000000-0005-0000-0000-000029080000}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 2" xfId="2156" xr:uid="{00000000-0005-0000-0000-00002A080000}"/>
    <cellStyle name="_【20090522_精緻化中】千里導入明細資料_２１年度分_【20090724】千里導入明細資料_２１年度分（９月工事分）_【20091225】千里導入明細資料_２２年度上期分_営業店DB" xfId="2157" xr:uid="{00000000-0005-0000-0000-00002B080000}"/>
    <cellStyle name="_【20090522_精緻化中】千里導入明細資料_２１年度分_【20090724】千里導入明細資料_２１年度分（９月工事分）_【20091225】千里導入明細資料_２２年度上期分_営業店DB 2" xfId="2158" xr:uid="{00000000-0005-0000-0000-00002C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" xfId="2159" xr:uid="{00000000-0005-0000-0000-00002D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 2" xfId="2160" xr:uid="{00000000-0005-0000-0000-00002E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161" xr:uid="{00000000-0005-0000-0000-00002F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162" xr:uid="{00000000-0005-0000-0000-000030080000}"/>
    <cellStyle name="_【20090522_精緻化中】千里導入明細資料_２１年度分_【20090724】千里導入明細資料_２１年度分（９月工事分）_【20091225】千里導入明細資料_２２年度上期分_営業店DB_Ⅹ_課題と対応策_20121211" xfId="2163" xr:uid="{00000000-0005-0000-0000-000031080000}"/>
    <cellStyle name="_【20090522_精緻化中】千里導入明細資料_２１年度分_【20090724】千里導入明細資料_２１年度分（９月工事分）_【20091225】千里導入明細資料_２２年度上期分_営業店DB_Ⅹ_課題と対応策_20121211 2" xfId="2164" xr:uid="{00000000-0005-0000-0000-000032080000}"/>
    <cellStyle name="_【20090522_精緻化中】千里導入明細資料_２１年度分_【20090724】千里導入明細資料_２１年度分（９月工事分）_【20091225】千里導入明細資料_２２年度上期分_連携DB" xfId="2165" xr:uid="{00000000-0005-0000-0000-000033080000}"/>
    <cellStyle name="_【20090522_精緻化中】千里導入明細資料_２１年度分_【20090724】千里導入明細資料_２１年度分（９月工事分）_【20091225】千里導入明細資料_２２年度上期分_連携DB 2" xfId="2166" xr:uid="{00000000-0005-0000-0000-000034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" xfId="2167" xr:uid="{00000000-0005-0000-0000-000035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 2" xfId="2168" xr:uid="{00000000-0005-0000-0000-000036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169" xr:uid="{00000000-0005-0000-0000-000037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170" xr:uid="{00000000-0005-0000-0000-000038080000}"/>
    <cellStyle name="_【20090522_精緻化中】千里導入明細資料_２１年度分_【20090724】千里導入明細資料_２１年度分（９月工事分）_【20091225】千里導入明細資料_２２年度上期分_連携DB_Ⅹ_課題と対応策_20121211" xfId="2171" xr:uid="{00000000-0005-0000-0000-000039080000}"/>
    <cellStyle name="_【20090522_精緻化中】千里導入明細資料_２１年度分_【20090724】千里導入明細資料_２１年度分（９月工事分）_【20091225】千里導入明細資料_２２年度上期分_連携DB_Ⅹ_課題と対応策_20121211 2" xfId="2172" xr:uid="{00000000-0005-0000-0000-00003A080000}"/>
    <cellStyle name="_【20090522_精緻化中】千里導入明細資料_２１年度分_【20090724】千里導入明細資料_２１年度分（９月工事分）_【作成中】千里センター機器配置図（2010年対応分）_20091221" xfId="2173" xr:uid="{00000000-0005-0000-0000-00003B080000}"/>
    <cellStyle name="_【20090522_精緻化中】千里導入明細資料_２１年度分_【20090724】千里導入明細資料_２１年度分（９月工事分）_【作成中】千里センター機器配置図（2010年対応分）_20091221 2" xfId="2174" xr:uid="{00000000-0005-0000-0000-00003C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175" xr:uid="{00000000-0005-0000-0000-00003D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176" xr:uid="{00000000-0005-0000-0000-00003E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177" xr:uid="{00000000-0005-0000-0000-00003F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178" xr:uid="{00000000-0005-0000-0000-000040080000}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" xfId="2179" xr:uid="{00000000-0005-0000-0000-000041080000}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 2" xfId="2180" xr:uid="{00000000-0005-0000-0000-000042080000}"/>
    <cellStyle name="_【20090522_精緻化中】千里導入明細資料_２１年度分_【20090724】千里導入明細資料_２１年度分（９月工事分）_Ⅹ_課題と対応策_20121211" xfId="2181" xr:uid="{00000000-0005-0000-0000-000043080000}"/>
    <cellStyle name="_【20090522_精緻化中】千里導入明細資料_２１年度分_【20090724】千里導入明細資料_２１年度分（９月工事分）_Ⅹ_課題と対応策_20121211 2" xfId="2182" xr:uid="{00000000-0005-0000-0000-000044080000}"/>
    <cellStyle name="_【20090522_精緻化中】千里導入明細資料_２１年度分_【20090731】千里導入明細資料_２１年度分（９月工事分）" xfId="2183" xr:uid="{00000000-0005-0000-0000-000045080000}"/>
    <cellStyle name="_【20090522_精緻化中】千里導入明細資料_２１年度分_【20090731】千里導入明細資料_２１年度分（９月工事分） 2" xfId="2184" xr:uid="{00000000-0005-0000-0000-000046080000}"/>
    <cellStyle name="_【20090522_精緻化中】千里導入明細資料_２１年度分_【20090731】千里導入明細資料_２１年度分（９月工事分）_【20090821】千里ラック搭載図（NW機器）" xfId="2185" xr:uid="{00000000-0005-0000-0000-000047080000}"/>
    <cellStyle name="_【20090522_精緻化中】千里導入明細資料_２１年度分_【20090731】千里導入明細資料_２１年度分（９月工事分）_【20090821】千里ラック搭載図（NW機器） 2" xfId="2186" xr:uid="{00000000-0005-0000-0000-000048080000}"/>
    <cellStyle name="_【20090522_精緻化中】千里導入明細資料_２１年度分_【20090731】千里導入明細資料_２１年度分（９月工事分）_【20090821】千里ラック搭載図（NW機器）_Ⅹ_課題と対応策_20121211" xfId="2187" xr:uid="{00000000-0005-0000-0000-000049080000}"/>
    <cellStyle name="_【20090522_精緻化中】千里導入明細資料_２１年度分_【20090731】千里導入明細資料_２１年度分（９月工事分）_【20090821】千里ラック搭載図（NW機器）_Ⅹ_課題と対応策_20121211 2" xfId="2188" xr:uid="{00000000-0005-0000-0000-00004A080000}"/>
    <cellStyle name="_【20090522_精緻化中】千里導入明細資料_２１年度分_【20090731】千里導入明細資料_２１年度分（９月工事分）_Ⅹ_課題と対応策_20121211" xfId="2189" xr:uid="{00000000-0005-0000-0000-00004B080000}"/>
    <cellStyle name="_【20090522_精緻化中】千里導入明細資料_２１年度分_【20090731】千里導入明細資料_２１年度分（９月工事分）_Ⅹ_課題と対応策_20121211 2" xfId="2190" xr:uid="{00000000-0005-0000-0000-00004C080000}"/>
    <cellStyle name="_【20090522_精緻化中】千里導入明細資料_２１年度分_【20090807】千里導入明細資料" xfId="2191" xr:uid="{00000000-0005-0000-0000-00004D080000}"/>
    <cellStyle name="_【20090522_精緻化中】千里導入明細資料_２１年度分_【20090807】千里導入明細資料 2" xfId="2192" xr:uid="{00000000-0005-0000-0000-00004E080000}"/>
    <cellStyle name="_【20090522_精緻化中】千里導入明細資料_２１年度分_【20090807】千里導入明細資料_【20091207】千里導入明細資料_２１年度分（ネットワーク敷設）" xfId="2193" xr:uid="{00000000-0005-0000-0000-00004F080000}"/>
    <cellStyle name="_【20090522_精緻化中】千里導入明細資料_２１年度分_【20090807】千里導入明細資料_【20091207】千里導入明細資料_２１年度分（ネットワーク敷設） 2" xfId="2194" xr:uid="{00000000-0005-0000-0000-000050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" xfId="2195" xr:uid="{00000000-0005-0000-0000-000051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 2" xfId="2196" xr:uid="{00000000-0005-0000-0000-000052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197" xr:uid="{00000000-0005-0000-0000-000053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198" xr:uid="{00000000-0005-0000-0000-000054080000}"/>
    <cellStyle name="_【20090522_精緻化中】千里導入明細資料_２１年度分_【20090807】千里導入明細資料_【20091207】千里導入明細資料_２１年度分（ネットワーク敷設）_Ⅹ_課題と対応策_20121211" xfId="2199" xr:uid="{00000000-0005-0000-0000-000055080000}"/>
    <cellStyle name="_【20090522_精緻化中】千里導入明細資料_２１年度分_【20090807】千里導入明細資料_【20091207】千里導入明細資料_２１年度分（ネットワーク敷設）_Ⅹ_課題と対応策_20121211 2" xfId="2200" xr:uid="{00000000-0005-0000-0000-000056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" xfId="2201" xr:uid="{00000000-0005-0000-0000-000057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 2" xfId="2202" xr:uid="{00000000-0005-0000-0000-000058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203" xr:uid="{00000000-0005-0000-0000-000059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204" xr:uid="{00000000-0005-0000-0000-00005A080000}"/>
    <cellStyle name="_【20090522_精緻化中】千里導入明細資料_２１年度分_【20090807】千里導入明細資料_【20091225】千里導入明細資料_２２年度上期分（営業店ＡＰ－ＤＢ）" xfId="2205" xr:uid="{00000000-0005-0000-0000-00005B080000}"/>
    <cellStyle name="_【20090522_精緻化中】千里導入明細資料_２１年度分_【20090807】千里導入明細資料_【20091225】千里導入明細資料_２２年度上期分（営業店ＡＰ－ＤＢ） 2" xfId="2206" xr:uid="{00000000-0005-0000-0000-00005C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" xfId="2207" xr:uid="{00000000-0005-0000-0000-00005D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 2" xfId="2208" xr:uid="{00000000-0005-0000-0000-00005E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209" xr:uid="{00000000-0005-0000-0000-00005F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210" xr:uid="{00000000-0005-0000-0000-000060080000}"/>
    <cellStyle name="_【20090522_精緻化中】千里導入明細資料_２１年度分_【20090807】千里導入明細資料_【20091225】千里導入明細資料_２２年度上期分（営業店ＡＰ－ＤＢ）_Ⅹ_課題と対応策_20121211" xfId="2211" xr:uid="{00000000-0005-0000-0000-000061080000}"/>
    <cellStyle name="_【20090522_精緻化中】千里導入明細資料_２１年度分_【20090807】千里導入明細資料_【20091225】千里導入明細資料_２２年度上期分（営業店ＡＰ－ＤＢ）_Ⅹ_課題と対応策_20121211 2" xfId="2212" xr:uid="{00000000-0005-0000-0000-000062080000}"/>
    <cellStyle name="_【20090522_精緻化中】千里導入明細資料_２１年度分_【20090807】千里導入明細資料_【20091225】千里導入明細資料_２２年度上期分_営業店DB" xfId="2213" xr:uid="{00000000-0005-0000-0000-000063080000}"/>
    <cellStyle name="_【20090522_精緻化中】千里導入明細資料_２１年度分_【20090807】千里導入明細資料_【20091225】千里導入明細資料_２２年度上期分_営業店DB 2" xfId="2214" xr:uid="{00000000-0005-0000-0000-000064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" xfId="2215" xr:uid="{00000000-0005-0000-0000-000065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 2" xfId="2216" xr:uid="{00000000-0005-0000-0000-000066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" xfId="2217" xr:uid="{00000000-0005-0000-0000-000067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 2" xfId="2218" xr:uid="{00000000-0005-0000-0000-000068080000}"/>
    <cellStyle name="_【20090522_精緻化中】千里導入明細資料_２１年度分_【20090807】千里導入明細資料_【20091225】千里導入明細資料_２２年度上期分_営業店DB_Ⅹ_課題と対応策_20121211" xfId="2219" xr:uid="{00000000-0005-0000-0000-000069080000}"/>
    <cellStyle name="_【20090522_精緻化中】千里導入明細資料_２１年度分_【20090807】千里導入明細資料_【20091225】千里導入明細資料_２２年度上期分_営業店DB_Ⅹ_課題と対応策_20121211 2" xfId="2220" xr:uid="{00000000-0005-0000-0000-00006A080000}"/>
    <cellStyle name="_【20090522_精緻化中】千里導入明細資料_２１年度分_【20090807】千里導入明細資料_【20091225】千里導入明細資料_２２年度上期分_連携DB" xfId="2221" xr:uid="{00000000-0005-0000-0000-00006B080000}"/>
    <cellStyle name="_【20090522_精緻化中】千里導入明細資料_２１年度分_【20090807】千里導入明細資料_【20091225】千里導入明細資料_２２年度上期分_連携DB 2" xfId="2222" xr:uid="{00000000-0005-0000-0000-00006C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" xfId="2223" xr:uid="{00000000-0005-0000-0000-00006D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 2" xfId="2224" xr:uid="{00000000-0005-0000-0000-00006E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" xfId="2225" xr:uid="{00000000-0005-0000-0000-00006F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 2" xfId="2226" xr:uid="{00000000-0005-0000-0000-000070080000}"/>
    <cellStyle name="_【20090522_精緻化中】千里導入明細資料_２１年度分_【20090807】千里導入明細資料_【20091225】千里導入明細資料_２２年度上期分_連携DB_Ⅹ_課題と対応策_20121211" xfId="2227" xr:uid="{00000000-0005-0000-0000-000071080000}"/>
    <cellStyle name="_【20090522_精緻化中】千里導入明細資料_２１年度分_【20090807】千里導入明細資料_【20091225】千里導入明細資料_２２年度上期分_連携DB_Ⅹ_課題と対応策_20121211 2" xfId="2228" xr:uid="{00000000-0005-0000-0000-000072080000}"/>
    <cellStyle name="_【20090522_精緻化中】千里導入明細資料_２１年度分_【20090807】千里導入明細資料_【作成中】千里センター機器配置図（2010年対応分）_20091221" xfId="2229" xr:uid="{00000000-0005-0000-0000-000073080000}"/>
    <cellStyle name="_【20090522_精緻化中】千里導入明細資料_２１年度分_【20090807】千里導入明細資料_【作成中】千里センター機器配置図（2010年対応分）_20091221 2" xfId="2230" xr:uid="{00000000-0005-0000-0000-000074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" xfId="2231" xr:uid="{00000000-0005-0000-0000-000075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 2" xfId="2232" xr:uid="{00000000-0005-0000-0000-000076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" xfId="2233" xr:uid="{00000000-0005-0000-0000-000077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 2" xfId="2234" xr:uid="{00000000-0005-0000-0000-000078080000}"/>
    <cellStyle name="_【20090522_精緻化中】千里導入明細資料_２１年度分_【20090807】千里導入明細資料_【作成中】千里センター機器配置図（2010年対応分）_20091221_Ⅹ_課題と対応策_20121211" xfId="2235" xr:uid="{00000000-0005-0000-0000-000079080000}"/>
    <cellStyle name="_【20090522_精緻化中】千里導入明細資料_２１年度分_【20090807】千里導入明細資料_【作成中】千里センター機器配置図（2010年対応分）_20091221_Ⅹ_課題と対応策_20121211 2" xfId="2236" xr:uid="{00000000-0005-0000-0000-00007A080000}"/>
    <cellStyle name="_【20090522_精緻化中】千里導入明細資料_２１年度分_【20090807】千里導入明細資料_Ⅹ_課題と対応策_20121211" xfId="2237" xr:uid="{00000000-0005-0000-0000-00007B080000}"/>
    <cellStyle name="_【20090522_精緻化中】千里導入明細資料_２１年度分_【20090807】千里導入明細資料_Ⅹ_課題と対応策_20121211 2" xfId="2238" xr:uid="{00000000-0005-0000-0000-00007C080000}"/>
    <cellStyle name="_【20090522_精緻化中】千里導入明細資料_２１年度分_【20090814】千里導入明細資料_SDB追加" xfId="2239" xr:uid="{00000000-0005-0000-0000-00007D080000}"/>
    <cellStyle name="_【20090522_精緻化中】千里導入明細資料_２１年度分_【20090814】千里導入明細資料_SDB追加 2" xfId="2240" xr:uid="{00000000-0005-0000-0000-00007E080000}"/>
    <cellStyle name="_【20090522_精緻化中】千里導入明細資料_２１年度分_【20090814】千里導入明細資料_SDB追加_【20091207】千里導入明細資料_２１年度分（ネットワーク敷設）" xfId="2241" xr:uid="{00000000-0005-0000-0000-00007F080000}"/>
    <cellStyle name="_【20090522_精緻化中】千里導入明細資料_２１年度分_【20090814】千里導入明細資料_SDB追加_【20091207】千里導入明細資料_２１年度分（ネットワーク敷設） 2" xfId="2242" xr:uid="{00000000-0005-0000-0000-000080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" xfId="2243" xr:uid="{00000000-0005-0000-0000-000081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 2" xfId="2244" xr:uid="{00000000-0005-0000-0000-000082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2245" xr:uid="{00000000-0005-0000-0000-000083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2246" xr:uid="{00000000-0005-0000-0000-000084080000}"/>
    <cellStyle name="_【20090522_精緻化中】千里導入明細資料_２１年度分_【20090814】千里導入明細資料_SDB追加_【20091207】千里導入明細資料_２１年度分（ネットワーク敷設）_Ⅹ_課題と対応策_20121211" xfId="2247" xr:uid="{00000000-0005-0000-0000-000085080000}"/>
    <cellStyle name="_【20090522_精緻化中】千里導入明細資料_２１年度分_【20090814】千里導入明細資料_SDB追加_【20091207】千里導入明細資料_２１年度分（ネットワーク敷設）_Ⅹ_課題と対応策_20121211 2" xfId="2248" xr:uid="{00000000-0005-0000-0000-000086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" xfId="2249" xr:uid="{00000000-0005-0000-0000-000087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 2" xfId="2250" xr:uid="{00000000-0005-0000-0000-000088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2251" xr:uid="{00000000-0005-0000-0000-000089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2252" xr:uid="{00000000-0005-0000-0000-00008A080000}"/>
    <cellStyle name="_【20090522_精緻化中】千里導入明細資料_２１年度分_【20090814】千里導入明細資料_SDB追加_【20091225】千里導入明細資料_２２年度上期分（営業店ＡＰ－ＤＢ）" xfId="2253" xr:uid="{00000000-0005-0000-0000-00008B080000}"/>
    <cellStyle name="_【20090522_精緻化中】千里導入明細資料_２１年度分_【20090814】千里導入明細資料_SDB追加_【20091225】千里導入明細資料_２２年度上期分（営業店ＡＰ－ＤＢ） 2" xfId="2254" xr:uid="{00000000-0005-0000-0000-00008C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" xfId="2255" xr:uid="{00000000-0005-0000-0000-00008D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 2" xfId="2256" xr:uid="{00000000-0005-0000-0000-00008E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2257" xr:uid="{00000000-0005-0000-0000-00008F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2258" xr:uid="{00000000-0005-0000-0000-000090080000}"/>
    <cellStyle name="_【20090522_精緻化中】千里導入明細資料_２１年度分_【20090814】千里導入明細資料_SDB追加_【20091225】千里導入明細資料_２２年度上期分（営業店ＡＰ－ＤＢ）_Ⅹ_課題と対応策_20121211" xfId="2259" xr:uid="{00000000-0005-0000-0000-000091080000}"/>
    <cellStyle name="_【20090522_精緻化中】千里導入明細資料_２１年度分_【20090814】千里導入明細資料_SDB追加_【20091225】千里導入明細資料_２２年度上期分（営業店ＡＰ－ＤＢ）_Ⅹ_課題と対応策_20121211 2" xfId="2260" xr:uid="{00000000-0005-0000-0000-000092080000}"/>
    <cellStyle name="_【20090522_精緻化中】千里導入明細資料_２１年度分_【20090814】千里導入明細資料_SDB追加_【20091225】千里導入明細資料_２２年度上期分_営業店DB" xfId="2261" xr:uid="{00000000-0005-0000-0000-000093080000}"/>
    <cellStyle name="_【20090522_精緻化中】千里導入明細資料_２１年度分_【20090814】千里導入明細資料_SDB追加_【20091225】千里導入明細資料_２２年度上期分_営業店DB 2" xfId="2262" xr:uid="{00000000-0005-0000-0000-000094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" xfId="2263" xr:uid="{00000000-0005-0000-0000-000095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 2" xfId="2264" xr:uid="{00000000-0005-0000-0000-000096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" xfId="2265" xr:uid="{00000000-0005-0000-0000-000097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2266" xr:uid="{00000000-0005-0000-0000-000098080000}"/>
    <cellStyle name="_【20090522_精緻化中】千里導入明細資料_２１年度分_【20090814】千里導入明細資料_SDB追加_【20091225】千里導入明細資料_２２年度上期分_営業店DB_Ⅹ_課題と対応策_20121211" xfId="2267" xr:uid="{00000000-0005-0000-0000-000099080000}"/>
    <cellStyle name="_【20090522_精緻化中】千里導入明細資料_２１年度分_【20090814】千里導入明細資料_SDB追加_【20091225】千里導入明細資料_２２年度上期分_営業店DB_Ⅹ_課題と対応策_20121211 2" xfId="2268" xr:uid="{00000000-0005-0000-0000-00009A080000}"/>
    <cellStyle name="_【20090522_精緻化中】千里導入明細資料_２１年度分_【20090814】千里導入明細資料_SDB追加_【20091225】千里導入明細資料_２２年度上期分_連携DB" xfId="2269" xr:uid="{00000000-0005-0000-0000-00009B080000}"/>
    <cellStyle name="_【20090522_精緻化中】千里導入明細資料_２１年度分_【20090814】千里導入明細資料_SDB追加_【20091225】千里導入明細資料_２２年度上期分_連携DB 2" xfId="2270" xr:uid="{00000000-0005-0000-0000-00009C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" xfId="2271" xr:uid="{00000000-0005-0000-0000-00009D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 2" xfId="2272" xr:uid="{00000000-0005-0000-0000-00009E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" xfId="2273" xr:uid="{00000000-0005-0000-0000-00009F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 2" xfId="2274" xr:uid="{00000000-0005-0000-0000-0000A0080000}"/>
    <cellStyle name="_【20090522_精緻化中】千里導入明細資料_２１年度分_【20090814】千里導入明細資料_SDB追加_【20091225】千里導入明細資料_２２年度上期分_連携DB_Ⅹ_課題と対応策_20121211" xfId="2275" xr:uid="{00000000-0005-0000-0000-0000A1080000}"/>
    <cellStyle name="_【20090522_精緻化中】千里導入明細資料_２１年度分_【20090814】千里導入明細資料_SDB追加_【20091225】千里導入明細資料_２２年度上期分_連携DB_Ⅹ_課題と対応策_20121211 2" xfId="2276" xr:uid="{00000000-0005-0000-0000-0000A2080000}"/>
    <cellStyle name="_【20090522_精緻化中】千里導入明細資料_２１年度分_【20090814】千里導入明細資料_SDB追加_【作成中】千里センター機器配置図（2010年対応分）_20091221" xfId="2277" xr:uid="{00000000-0005-0000-0000-0000A3080000}"/>
    <cellStyle name="_【20090522_精緻化中】千里導入明細資料_２１年度分_【20090814】千里導入明細資料_SDB追加_【作成中】千里センター機器配置図（2010年対応分）_20091221 2" xfId="2278" xr:uid="{00000000-0005-0000-0000-0000A4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" xfId="2279" xr:uid="{00000000-0005-0000-0000-0000A5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 2" xfId="2280" xr:uid="{00000000-0005-0000-0000-0000A6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2281" xr:uid="{00000000-0005-0000-0000-0000A7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2282" xr:uid="{00000000-0005-0000-0000-0000A8080000}"/>
    <cellStyle name="_【20090522_精緻化中】千里導入明細資料_２１年度分_【20090814】千里導入明細資料_SDB追加_【作成中】千里センター機器配置図（2010年対応分）_20091221_Ⅹ_課題と対応策_20121211" xfId="2283" xr:uid="{00000000-0005-0000-0000-0000A9080000}"/>
    <cellStyle name="_【20090522_精緻化中】千里導入明細資料_２１年度分_【20090814】千里導入明細資料_SDB追加_【作成中】千里センター機器配置図（2010年対応分）_20091221_Ⅹ_課題と対応策_20121211 2" xfId="2284" xr:uid="{00000000-0005-0000-0000-0000AA080000}"/>
    <cellStyle name="_【20090522_精緻化中】千里導入明細資料_２１年度分_【20090814】千里導入明細資料_SDB追加_Ⅹ_課題と対応策_20121211" xfId="2285" xr:uid="{00000000-0005-0000-0000-0000AB080000}"/>
    <cellStyle name="_【20090522_精緻化中】千里導入明細資料_２１年度分_【20090814】千里導入明細資料_SDB追加_Ⅹ_課題と対応策_20121211 2" xfId="2286" xr:uid="{00000000-0005-0000-0000-0000AC080000}"/>
    <cellStyle name="_【20090522_精緻化中】千里導入明細資料_２１年度分_【20090821】千里ラック搭載図（NW機器）" xfId="2287" xr:uid="{00000000-0005-0000-0000-0000AD080000}"/>
    <cellStyle name="_【20090522_精緻化中】千里導入明細資料_２１年度分_【20090821】千里ラック搭載図（NW機器） 2" xfId="2288" xr:uid="{00000000-0005-0000-0000-0000AE080000}"/>
    <cellStyle name="_【20090522_精緻化中】千里導入明細資料_２１年度分_【20090821】千里ラック搭載図（NW機器）_Ⅹ_課題と対応策_20121211" xfId="2289" xr:uid="{00000000-0005-0000-0000-0000AF080000}"/>
    <cellStyle name="_【20090522_精緻化中】千里導入明細資料_２１年度分_【20090821】千里ラック搭載図（NW機器）_Ⅹ_課題と対応策_20121211 2" xfId="2290" xr:uid="{00000000-0005-0000-0000-0000B0080000}"/>
    <cellStyle name="_【20090522_精緻化中】千里導入明細資料_２１年度分_【20091218】千里導入明細資料_２１年度分（ネットワーク敷設）" xfId="2291" xr:uid="{00000000-0005-0000-0000-0000B1080000}"/>
    <cellStyle name="_【20090522_精緻化中】千里導入明細資料_２１年度分_【20091218】千里導入明細資料_２１年度分（ネットワーク敷設） 2" xfId="2292" xr:uid="{00000000-0005-0000-0000-0000B2080000}"/>
    <cellStyle name="_【20090522_精緻化中】千里導入明細資料_２１年度分_【20091218】千里導入明細資料_２１年度分（ネットワーク敷設）_Ⅹ_課題と対応策_20121211" xfId="2293" xr:uid="{00000000-0005-0000-0000-0000B3080000}"/>
    <cellStyle name="_【20090522_精緻化中】千里導入明細資料_２１年度分_【20091218】千里導入明細資料_２１年度分（ネットワーク敷設）_Ⅹ_課題と対応策_20121211 2" xfId="2294" xr:uid="{00000000-0005-0000-0000-0000B4080000}"/>
    <cellStyle name="_【20090522_精緻化中】千里導入明細資料_２１年度分_【20091224】千里導入明細資料_２２年度上期分_営業店DB" xfId="2295" xr:uid="{00000000-0005-0000-0000-0000B5080000}"/>
    <cellStyle name="_【20090522_精緻化中】千里導入明細資料_２１年度分_【20091224】千里導入明細資料_２２年度上期分_営業店DB 2" xfId="2296" xr:uid="{00000000-0005-0000-0000-0000B6080000}"/>
    <cellStyle name="_【20090522_精緻化中】千里導入明細資料_２１年度分_【20091224】千里導入明細資料_２２年度上期分_営業店DB_【20091225】千里導入明細資料_２２年度上期分（営業店ＡＰ－ＤＢ）" xfId="2297" xr:uid="{00000000-0005-0000-0000-0000B7080000}"/>
    <cellStyle name="_【20090522_精緻化中】千里導入明細資料_２１年度分_【20091224】千里導入明細資料_２２年度上期分_営業店DB_【20091225】千里導入明細資料_２２年度上期分（営業店ＡＰ－ＤＢ） 2" xfId="2298" xr:uid="{00000000-0005-0000-0000-0000B8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299" xr:uid="{00000000-0005-0000-0000-0000B9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300" xr:uid="{00000000-0005-0000-0000-0000BA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301" xr:uid="{00000000-0005-0000-0000-0000BB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302" xr:uid="{00000000-0005-0000-0000-0000BC080000}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" xfId="2303" xr:uid="{00000000-0005-0000-0000-0000BD080000}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 2" xfId="2304" xr:uid="{00000000-0005-0000-0000-0000BE080000}"/>
    <cellStyle name="_【20090522_精緻化中】千里導入明細資料_２１年度分_【20091224】千里導入明細資料_２２年度上期分_営業店DB_【20091225】千里導入明細資料_２２年度上期分_営業店DB" xfId="2305" xr:uid="{00000000-0005-0000-0000-0000BF080000}"/>
    <cellStyle name="_【20090522_精緻化中】千里導入明細資料_２１年度分_【20091224】千里導入明細資料_２２年度上期分_営業店DB_【20091225】千里導入明細資料_２２年度上期分_営業店DB 2" xfId="2306" xr:uid="{00000000-0005-0000-0000-0000C0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" xfId="2307" xr:uid="{00000000-0005-0000-0000-0000C1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 2" xfId="2308" xr:uid="{00000000-0005-0000-0000-0000C2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309" xr:uid="{00000000-0005-0000-0000-0000C3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310" xr:uid="{00000000-0005-0000-0000-0000C4080000}"/>
    <cellStyle name="_【20090522_精緻化中】千里導入明細資料_２１年度分_【20091224】千里導入明細資料_２２年度上期分_営業店DB_【20091225】千里導入明細資料_２２年度上期分_営業店DB_Ⅹ_課題と対応策_20121211" xfId="2311" xr:uid="{00000000-0005-0000-0000-0000C5080000}"/>
    <cellStyle name="_【20090522_精緻化中】千里導入明細資料_２１年度分_【20091224】千里導入明細資料_２２年度上期分_営業店DB_【20091225】千里導入明細資料_２２年度上期分_営業店DB_Ⅹ_課題と対応策_20121211 2" xfId="2312" xr:uid="{00000000-0005-0000-0000-0000C6080000}"/>
    <cellStyle name="_【20090522_精緻化中】千里導入明細資料_２１年度分_【20091224】千里導入明細資料_２２年度上期分_営業店DB_Ⅹ_課題と対応策_20121211" xfId="2313" xr:uid="{00000000-0005-0000-0000-0000C7080000}"/>
    <cellStyle name="_【20090522_精緻化中】千里導入明細資料_２１年度分_【20091224】千里導入明細資料_２２年度上期分_営業店DB_Ⅹ_課題と対応策_20121211 2" xfId="2314" xr:uid="{00000000-0005-0000-0000-0000C8080000}"/>
    <cellStyle name="_【20090522_精緻化中】千里導入明細資料_２１年度分_【20091225】千里導入明細資料_２２年度上期分" xfId="2315" xr:uid="{00000000-0005-0000-0000-0000C9080000}"/>
    <cellStyle name="_【20090522_精緻化中】千里導入明細資料_２１年度分_【20091225】千里導入明細資料_２２年度上期分 2" xfId="2316" xr:uid="{00000000-0005-0000-0000-0000CA080000}"/>
    <cellStyle name="_【20090522_精緻化中】千里導入明細資料_２１年度分_【20091225】千里導入明細資料_２２年度上期分_Ⅹ_課題と対応策_20121211" xfId="2317" xr:uid="{00000000-0005-0000-0000-0000CB080000}"/>
    <cellStyle name="_【20090522_精緻化中】千里導入明細資料_２１年度分_【20091225】千里導入明細資料_２２年度上期分_Ⅹ_課題と対応策_20121211 2" xfId="2318" xr:uid="{00000000-0005-0000-0000-0000CC080000}"/>
    <cellStyle name="_【20090522_精緻化中】千里導入明細資料_２１年度分_【20091225】千里導入明細資料_２２年度上期分_営業店DB" xfId="2319" xr:uid="{00000000-0005-0000-0000-0000CD080000}"/>
    <cellStyle name="_【20090522_精緻化中】千里導入明細資料_２１年度分_【20091225】千里導入明細資料_２２年度上期分_営業店DB 2" xfId="2320" xr:uid="{00000000-0005-0000-0000-0000CE080000}"/>
    <cellStyle name="_【20090522_精緻化中】千里導入明細資料_２１年度分_【20091225】千里導入明細資料_２２年度上期分_営業店DB_Ⅹ_課題と対応策_20121211" xfId="2321" xr:uid="{00000000-0005-0000-0000-0000CF080000}"/>
    <cellStyle name="_【20090522_精緻化中】千里導入明細資料_２１年度分_【20091225】千里導入明細資料_２２年度上期分_営業店DB_Ⅹ_課題と対応策_20121211 2" xfId="2322" xr:uid="{00000000-0005-0000-0000-0000D0080000}"/>
    <cellStyle name="_【20090522_精緻化中】千里導入明細資料_２１年度分_【20091225】千里導入明細資料_２２年度上期分_連携DB" xfId="2323" xr:uid="{00000000-0005-0000-0000-0000D1080000}"/>
    <cellStyle name="_【20090522_精緻化中】千里導入明細資料_２１年度分_【20091225】千里導入明細資料_２２年度上期分_連携DB 2" xfId="2324" xr:uid="{00000000-0005-0000-0000-0000D2080000}"/>
    <cellStyle name="_【20090522_精緻化中】千里導入明細資料_２１年度分_【20091225】千里導入明細資料_２２年度上期分_連携DB_Ⅹ_課題と対応策_20121211" xfId="2325" xr:uid="{00000000-0005-0000-0000-0000D3080000}"/>
    <cellStyle name="_【20090522_精緻化中】千里導入明細資料_２１年度分_【20091225】千里導入明細資料_２２年度上期分_連携DB_Ⅹ_課題と対応策_20121211 2" xfId="2326" xr:uid="{00000000-0005-0000-0000-0000D4080000}"/>
    <cellStyle name="_【20090522_精緻化中】千里導入明細資料_２１年度分_【200912xx】千里導入明細資料_２２年度上期分" xfId="2327" xr:uid="{00000000-0005-0000-0000-0000D5080000}"/>
    <cellStyle name="_【20090522_精緻化中】千里導入明細資料_２１年度分_【200912xx】千里導入明細資料_２２年度上期分 2" xfId="2328" xr:uid="{00000000-0005-0000-0000-0000D6080000}"/>
    <cellStyle name="_【20090522_精緻化中】千里導入明細資料_２１年度分_【200912xx】千里導入明細資料_２２年度上期分（為替分）" xfId="2329" xr:uid="{00000000-0005-0000-0000-0000D7080000}"/>
    <cellStyle name="_【20090522_精緻化中】千里導入明細資料_２１年度分_【200912xx】千里導入明細資料_２２年度上期分（為替分） 2" xfId="2330" xr:uid="{00000000-0005-0000-0000-0000D8080000}"/>
    <cellStyle name="_【20090522_精緻化中】千里導入明細資料_２１年度分_【200912xx】千里導入明細資料_２２年度上期分（為替分）_Ⅹ_課題と対応策_20121211" xfId="2331" xr:uid="{00000000-0005-0000-0000-0000D9080000}"/>
    <cellStyle name="_【20090522_精緻化中】千里導入明細資料_２１年度分_【200912xx】千里導入明細資料_２２年度上期分（為替分）_Ⅹ_課題と対応策_20121211 2" xfId="2332" xr:uid="{00000000-0005-0000-0000-0000DA080000}"/>
    <cellStyle name="_【20090522_精緻化中】千里導入明細資料_２１年度分_【200912xx】千里導入明細資料_２２年度上期分_【20091225】千里導入明細資料_２２年度上期分（営業店ＡＰ－ＤＢ）" xfId="2333" xr:uid="{00000000-0005-0000-0000-0000DB080000}"/>
    <cellStyle name="_【20090522_精緻化中】千里導入明細資料_２１年度分_【200912xx】千里導入明細資料_２２年度上期分_【20091225】千里導入明細資料_２２年度上期分（営業店ＡＰ－ＤＢ） 2" xfId="2334" xr:uid="{00000000-0005-0000-0000-0000DC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" xfId="2335" xr:uid="{00000000-0005-0000-0000-0000DD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336" xr:uid="{00000000-0005-0000-0000-0000DE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337" xr:uid="{00000000-0005-0000-0000-0000DF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338" xr:uid="{00000000-0005-0000-0000-0000E0080000}"/>
    <cellStyle name="_【20090522_精緻化中】千里導入明細資料_２１年度分_【200912xx】千里導入明細資料_２２年度上期分_【20091225】千里導入明細資料_２２年度上期分（営業店ＡＰ－ＤＢ）_Ⅹ_課題と対応策_20121211" xfId="2339" xr:uid="{00000000-0005-0000-0000-0000E1080000}"/>
    <cellStyle name="_【20090522_精緻化中】千里導入明細資料_２１年度分_【200912xx】千里導入明細資料_２２年度上期分_【20091225】千里導入明細資料_２２年度上期分（営業店ＡＰ－ＤＢ）_Ⅹ_課題と対応策_20121211 2" xfId="2340" xr:uid="{00000000-0005-0000-0000-0000E2080000}"/>
    <cellStyle name="_【20090522_精緻化中】千里導入明細資料_２１年度分_【200912xx】千里導入明細資料_２２年度上期分_【20091225】千里導入明細資料_２２年度上期分_営業店DB" xfId="2341" xr:uid="{00000000-0005-0000-0000-0000E3080000}"/>
    <cellStyle name="_【20090522_精緻化中】千里導入明細資料_２１年度分_【200912xx】千里導入明細資料_２２年度上期分_【20091225】千里導入明細資料_２２年度上期分_営業店DB 2" xfId="2342" xr:uid="{00000000-0005-0000-0000-0000E4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" xfId="2343" xr:uid="{00000000-0005-0000-0000-0000E5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 2" xfId="2344" xr:uid="{00000000-0005-0000-0000-0000E6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345" xr:uid="{00000000-0005-0000-0000-0000E7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346" xr:uid="{00000000-0005-0000-0000-0000E8080000}"/>
    <cellStyle name="_【20090522_精緻化中】千里導入明細資料_２１年度分_【200912xx】千里導入明細資料_２２年度上期分_【20091225】千里導入明細資料_２２年度上期分_営業店DB_Ⅹ_課題と対応策_20121211" xfId="2347" xr:uid="{00000000-0005-0000-0000-0000E9080000}"/>
    <cellStyle name="_【20090522_精緻化中】千里導入明細資料_２１年度分_【200912xx】千里導入明細資料_２２年度上期分_【20091225】千里導入明細資料_２２年度上期分_営業店DB_Ⅹ_課題と対応策_20121211 2" xfId="2348" xr:uid="{00000000-0005-0000-0000-0000EA080000}"/>
    <cellStyle name="_【20090522_精緻化中】千里導入明細資料_２１年度分_【200912xx】千里導入明細資料_２２年度上期分_【20091225】千里導入明細資料_２２年度上期分_連携DB" xfId="2349" xr:uid="{00000000-0005-0000-0000-0000EB080000}"/>
    <cellStyle name="_【20090522_精緻化中】千里導入明細資料_２１年度分_【200912xx】千里導入明細資料_２２年度上期分_【20091225】千里導入明細資料_２２年度上期分_連携DB 2" xfId="2350" xr:uid="{00000000-0005-0000-0000-0000EC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" xfId="2351" xr:uid="{00000000-0005-0000-0000-0000ED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 2" xfId="2352" xr:uid="{00000000-0005-0000-0000-0000EE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353" xr:uid="{00000000-0005-0000-0000-0000EF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354" xr:uid="{00000000-0005-0000-0000-0000F0080000}"/>
    <cellStyle name="_【20090522_精緻化中】千里導入明細資料_２１年度分_【200912xx】千里導入明細資料_２２年度上期分_【20091225】千里導入明細資料_２２年度上期分_連携DB_Ⅹ_課題と対応策_20121211" xfId="2355" xr:uid="{00000000-0005-0000-0000-0000F1080000}"/>
    <cellStyle name="_【20090522_精緻化中】千里導入明細資料_２１年度分_【200912xx】千里導入明細資料_２２年度上期分_【20091225】千里導入明細資料_２２年度上期分_連携DB_Ⅹ_課題と対応策_20121211 2" xfId="2356" xr:uid="{00000000-0005-0000-0000-0000F2080000}"/>
    <cellStyle name="_【20090522_精緻化中】千里導入明細資料_２１年度分_【200912xx】千里導入明細資料_２２年度上期分_Ⅹ_課題と対応策_20121211" xfId="2357" xr:uid="{00000000-0005-0000-0000-0000F3080000}"/>
    <cellStyle name="_【20090522_精緻化中】千里導入明細資料_２１年度分_【200912xx】千里導入明細資料_２２年度上期分_Ⅹ_課題と対応策_20121211 2" xfId="2358" xr:uid="{00000000-0005-0000-0000-0000F4080000}"/>
    <cellStyle name="_【20090522_精緻化中】千里導入明細資料_２１年度分_【調整中】千里導入明細資料_２２年度上期分_fj_20100127" xfId="2359" xr:uid="{00000000-0005-0000-0000-0000F5080000}"/>
    <cellStyle name="_【20090522_精緻化中】千里導入明細資料_２１年度分_【調整中】千里導入明細資料_２２年度上期分_fj_20100127 2" xfId="2360" xr:uid="{00000000-0005-0000-0000-0000F6080000}"/>
    <cellStyle name="_【20090522_精緻化中】千里導入明細資料_２１年度分_【調整中】千里導入明細資料_２２年度上期分_fj_20100127_Ⅹ_課題と対応策_20121211" xfId="2361" xr:uid="{00000000-0005-0000-0000-0000F7080000}"/>
    <cellStyle name="_【20090522_精緻化中】千里導入明細資料_２１年度分_【調整中】千里導入明細資料_２２年度上期分_fj_20100127_Ⅹ_課題と対応策_20121211 2" xfId="2362" xr:uid="{00000000-0005-0000-0000-0000F8080000}"/>
    <cellStyle name="_【20090522_精緻化中】千里導入明細資料_２１年度分_①【20091225】千里導入明細資料_２２年度上期1分)" xfId="2363" xr:uid="{00000000-0005-0000-0000-0000F9080000}"/>
    <cellStyle name="_【20090522_精緻化中】千里導入明細資料_２１年度分_①【20091225】千里導入明細資料_２２年度上期1分) 2" xfId="2364" xr:uid="{00000000-0005-0000-0000-0000FA080000}"/>
    <cellStyle name="_【20090522_精緻化中】千里導入明細資料_２１年度分_①【20091225】千里導入明細資料_２２年度上期1分)_Ⅹ_課題と対応策_20121211" xfId="2365" xr:uid="{00000000-0005-0000-0000-0000FB080000}"/>
    <cellStyle name="_【20090522_精緻化中】千里導入明細資料_２１年度分_①【20091225】千里導入明細資料_２２年度上期1分)_Ⅹ_課題と対応策_20121211 2" xfId="2366" xr:uid="{00000000-0005-0000-0000-0000FC080000}"/>
    <cellStyle name="_【20090522_精緻化中】千里導入明細資料_２１年度分_Ⅹ_課題と対応策_20121211" xfId="2367" xr:uid="{00000000-0005-0000-0000-0000FD080000}"/>
    <cellStyle name="_【20090522_精緻化中】千里導入明細資料_２１年度分_Ⅹ_課題と対応策_20121211 2" xfId="2368" xr:uid="{00000000-0005-0000-0000-0000FE080000}"/>
    <cellStyle name="_【20090522_精緻化中】千里導入明細資料_２１年度分_ラック構成図（千里_営業店・新事務）_20090805" xfId="2369" xr:uid="{00000000-0005-0000-0000-0000FF080000}"/>
    <cellStyle name="_【20090522_精緻化中】千里導入明細資料_２１年度分_ラック構成図（千里_営業店・新事務）_20090805 2" xfId="2370" xr:uid="{00000000-0005-0000-0000-000000090000}"/>
    <cellStyle name="_【20090522_精緻化中】千里導入明細資料_２１年度分_ラック構成図（千里_営業店・新事務）_20090805_【20091207】千里導入明細資料_２１年度分（ネットワーク敷設）" xfId="2371" xr:uid="{00000000-0005-0000-0000-000001090000}"/>
    <cellStyle name="_【20090522_精緻化中】千里導入明細資料_２１年度分_ラック構成図（千里_営業店・新事務）_20090805_【20091207】千里導入明細資料_２１年度分（ネットワーク敷設） 2" xfId="2372" xr:uid="{00000000-0005-0000-0000-000002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2373" xr:uid="{00000000-0005-0000-0000-000003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2374" xr:uid="{00000000-0005-0000-0000-000004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2375" xr:uid="{00000000-0005-0000-0000-000005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2376" xr:uid="{00000000-0005-0000-0000-000006090000}"/>
    <cellStyle name="_【20090522_精緻化中】千里導入明細資料_２１年度分_ラック構成図（千里_営業店・新事務）_20090805_【20091207】千里導入明細資料_２１年度分（ネットワーク敷設）_Ⅹ_課題と対応策_20121211" xfId="2377" xr:uid="{00000000-0005-0000-0000-000007090000}"/>
    <cellStyle name="_【20090522_精緻化中】千里導入明細資料_２１年度分_ラック構成図（千里_営業店・新事務）_20090805_【20091207】千里導入明細資料_２１年度分（ネットワーク敷設）_Ⅹ_課題と対応策_20121211 2" xfId="2378" xr:uid="{00000000-0005-0000-0000-000008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" xfId="2379" xr:uid="{00000000-0005-0000-0000-000009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 2" xfId="2380" xr:uid="{00000000-0005-0000-0000-00000A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2381" xr:uid="{00000000-0005-0000-0000-00000B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2382" xr:uid="{00000000-0005-0000-0000-00000C090000}"/>
    <cellStyle name="_【20090522_精緻化中】千里導入明細資料_２１年度分_ラック構成図（千里_営業店・新事務）_20090805_【20091225】千里導入明細資料_２２年度上期分（営業店ＡＰ－ＤＢ）" xfId="2383" xr:uid="{00000000-0005-0000-0000-00000D090000}"/>
    <cellStyle name="_【20090522_精緻化中】千里導入明細資料_２１年度分_ラック構成図（千里_営業店・新事務）_20090805_【20091225】千里導入明細資料_２２年度上期分（営業店ＡＰ－ＤＢ） 2" xfId="2384" xr:uid="{00000000-0005-0000-0000-00000E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" xfId="2385" xr:uid="{00000000-0005-0000-0000-00000F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2386" xr:uid="{00000000-0005-0000-0000-000010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2387" xr:uid="{00000000-0005-0000-0000-000011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2388" xr:uid="{00000000-0005-0000-0000-000012090000}"/>
    <cellStyle name="_【20090522_精緻化中】千里導入明細資料_２１年度分_ラック構成図（千里_営業店・新事務）_20090805_【20091225】千里導入明細資料_２２年度上期分（営業店ＡＰ－ＤＢ）_Ⅹ_課題と対応策_20121211" xfId="2389" xr:uid="{00000000-0005-0000-0000-000013090000}"/>
    <cellStyle name="_【20090522_精緻化中】千里導入明細資料_２１年度分_ラック構成図（千里_営業店・新事務）_20090805_【20091225】千里導入明細資料_２２年度上期分（営業店ＡＰ－ＤＢ）_Ⅹ_課題と対応策_20121211 2" xfId="2390" xr:uid="{00000000-0005-0000-0000-000014090000}"/>
    <cellStyle name="_【20090522_精緻化中】千里導入明細資料_２１年度分_ラック構成図（千里_営業店・新事務）_20090805_【20091225】千里導入明細資料_２２年度上期分_営業店DB" xfId="2391" xr:uid="{00000000-0005-0000-0000-000015090000}"/>
    <cellStyle name="_【20090522_精緻化中】千里導入明細資料_２１年度分_ラック構成図（千里_営業店・新事務）_20090805_【20091225】千里導入明細資料_２２年度上期分_営業店DB 2" xfId="2392" xr:uid="{00000000-0005-0000-0000-000016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" xfId="2393" xr:uid="{00000000-0005-0000-0000-000017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 2" xfId="2394" xr:uid="{00000000-0005-0000-0000-000018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2395" xr:uid="{00000000-0005-0000-0000-000019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2396" xr:uid="{00000000-0005-0000-0000-00001A090000}"/>
    <cellStyle name="_【20090522_精緻化中】千里導入明細資料_２１年度分_ラック構成図（千里_営業店・新事務）_20090805_【20091225】千里導入明細資料_２２年度上期分_営業店DB_Ⅹ_課題と対応策_20121211" xfId="2397" xr:uid="{00000000-0005-0000-0000-00001B090000}"/>
    <cellStyle name="_【20090522_精緻化中】千里導入明細資料_２１年度分_ラック構成図（千里_営業店・新事務）_20090805_【20091225】千里導入明細資料_２２年度上期分_営業店DB_Ⅹ_課題と対応策_20121211 2" xfId="2398" xr:uid="{00000000-0005-0000-0000-00001C090000}"/>
    <cellStyle name="_【20090522_精緻化中】千里導入明細資料_２１年度分_ラック構成図（千里_営業店・新事務）_20090805_【20091225】千里導入明細資料_２２年度上期分_連携DB" xfId="2399" xr:uid="{00000000-0005-0000-0000-00001D090000}"/>
    <cellStyle name="_【20090522_精緻化中】千里導入明細資料_２１年度分_ラック構成図（千里_営業店・新事務）_20090805_【20091225】千里導入明細資料_２２年度上期分_連携DB 2" xfId="2400" xr:uid="{00000000-0005-0000-0000-00001E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" xfId="2401" xr:uid="{00000000-0005-0000-0000-00001F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 2" xfId="2402" xr:uid="{00000000-0005-0000-0000-000020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2403" xr:uid="{00000000-0005-0000-0000-000021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2404" xr:uid="{00000000-0005-0000-0000-000022090000}"/>
    <cellStyle name="_【20090522_精緻化中】千里導入明細資料_２１年度分_ラック構成図（千里_営業店・新事務）_20090805_【20091225】千里導入明細資料_２２年度上期分_連携DB_Ⅹ_課題と対応策_20121211" xfId="2405" xr:uid="{00000000-0005-0000-0000-000023090000}"/>
    <cellStyle name="_【20090522_精緻化中】千里導入明細資料_２１年度分_ラック構成図（千里_営業店・新事務）_20090805_【20091225】千里導入明細資料_２２年度上期分_連携DB_Ⅹ_課題と対応策_20121211 2" xfId="2406" xr:uid="{00000000-0005-0000-0000-000024090000}"/>
    <cellStyle name="_【20090522_精緻化中】千里導入明細資料_２１年度分_ラック構成図（千里_営業店・新事務）_20090805_【作成中】千里センター機器配置図（2010年対応分）_20091221" xfId="2407" xr:uid="{00000000-0005-0000-0000-000025090000}"/>
    <cellStyle name="_【20090522_精緻化中】千里導入明細資料_２１年度分_ラック構成図（千里_営業店・新事務）_20090805_【作成中】千里センター機器配置図（2010年対応分）_20091221 2" xfId="2408" xr:uid="{00000000-0005-0000-0000-000026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" xfId="2409" xr:uid="{00000000-0005-0000-0000-000027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 2" xfId="2410" xr:uid="{00000000-0005-0000-0000-000028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2411" xr:uid="{00000000-0005-0000-0000-000029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2412" xr:uid="{00000000-0005-0000-0000-00002A090000}"/>
    <cellStyle name="_【20090522_精緻化中】千里導入明細資料_２１年度分_ラック構成図（千里_営業店・新事務）_20090805_【作成中】千里センター機器配置図（2010年対応分）_20091221_Ⅹ_課題と対応策_20121211" xfId="2413" xr:uid="{00000000-0005-0000-0000-00002B090000}"/>
    <cellStyle name="_【20090522_精緻化中】千里導入明細資料_２１年度分_ラック構成図（千里_営業店・新事務）_20090805_【作成中】千里センター機器配置図（2010年対応分）_20091221_Ⅹ_課題と対応策_20121211 2" xfId="2414" xr:uid="{00000000-0005-0000-0000-00002C090000}"/>
    <cellStyle name="_【20090522_精緻化中】千里導入明細資料_２１年度分_ラック構成図（千里_営業店・新事務）_20090805_Ⅹ_課題と対応策_20121211" xfId="2415" xr:uid="{00000000-0005-0000-0000-00002D090000}"/>
    <cellStyle name="_【20090522_精緻化中】千里導入明細資料_２１年度分_ラック構成図（千里_営業店・新事務）_20090805_Ⅹ_課題と対応策_20121211 2" xfId="2416" xr:uid="{00000000-0005-0000-0000-00002E090000}"/>
    <cellStyle name="_【20090522_精緻化中】千里導入明細資料_２１年度分_ラック構成図_Catalyst直付け（新事務処理）" xfId="2417" xr:uid="{00000000-0005-0000-0000-00002F090000}"/>
    <cellStyle name="_【20090522_精緻化中】千里導入明細資料_２１年度分_ラック構成図_Catalyst直付け（新事務処理） 2" xfId="2418" xr:uid="{00000000-0005-0000-0000-000030090000}"/>
    <cellStyle name="_【20090522_精緻化中】千里導入明細資料_２１年度分_ラック構成図_Catalyst直付け（新事務処理）_【20091207】千里導入明細資料_２１年度分（ネットワーク敷設）" xfId="2419" xr:uid="{00000000-0005-0000-0000-000031090000}"/>
    <cellStyle name="_【20090522_精緻化中】千里導入明細資料_２１年度分_ラック構成図_Catalyst直付け（新事務処理）_【20091207】千里導入明細資料_２１年度分（ネットワーク敷設） 2" xfId="2420" xr:uid="{00000000-0005-0000-0000-000032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" xfId="2421" xr:uid="{00000000-0005-0000-0000-000033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2422" xr:uid="{00000000-0005-0000-0000-000034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2423" xr:uid="{00000000-0005-0000-0000-000035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2424" xr:uid="{00000000-0005-0000-0000-000036090000}"/>
    <cellStyle name="_【20090522_精緻化中】千里導入明細資料_２１年度分_ラック構成図_Catalyst直付け（新事務処理）_【20091207】千里導入明細資料_２１年度分（ネットワーク敷設）_Ⅹ_課題と対応策_20121211" xfId="2425" xr:uid="{00000000-0005-0000-0000-000037090000}"/>
    <cellStyle name="_【20090522_精緻化中】千里導入明細資料_２１年度分_ラック構成図_Catalyst直付け（新事務処理）_【20091207】千里導入明細資料_２１年度分（ネットワーク敷設）_Ⅹ_課題と対応策_20121211 2" xfId="2426" xr:uid="{00000000-0005-0000-0000-000038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" xfId="2427" xr:uid="{00000000-0005-0000-0000-000039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 2" xfId="2428" xr:uid="{00000000-0005-0000-0000-00003A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2429" xr:uid="{00000000-0005-0000-0000-00003B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2430" xr:uid="{00000000-0005-0000-0000-00003C090000}"/>
    <cellStyle name="_【20090522_精緻化中】千里導入明細資料_２１年度分_ラック構成図_Catalyst直付け（新事務処理）_【20091225】千里導入明細資料_２２年度上期分（営業店ＡＰ－ＤＢ）" xfId="2431" xr:uid="{00000000-0005-0000-0000-00003D090000}"/>
    <cellStyle name="_【20090522_精緻化中】千里導入明細資料_２１年度分_ラック構成図_Catalyst直付け（新事務処理）_【20091225】千里導入明細資料_２２年度上期分（営業店ＡＰ－ＤＢ） 2" xfId="2432" xr:uid="{00000000-0005-0000-0000-00003E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" xfId="2433" xr:uid="{00000000-0005-0000-0000-00003F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 2" xfId="2434" xr:uid="{00000000-0005-0000-0000-000040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2435" xr:uid="{00000000-0005-0000-0000-000041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2436" xr:uid="{00000000-0005-0000-0000-000042090000}"/>
    <cellStyle name="_【20090522_精緻化中】千里導入明細資料_２１年度分_ラック構成図_Catalyst直付け（新事務処理）_【20091225】千里導入明細資料_２２年度上期分（営業店ＡＰ－ＤＢ）_Ⅹ_課題と対応策_20121211" xfId="2437" xr:uid="{00000000-0005-0000-0000-000043090000}"/>
    <cellStyle name="_【20090522_精緻化中】千里導入明細資料_２１年度分_ラック構成図_Catalyst直付け（新事務処理）_【20091225】千里導入明細資料_２２年度上期分（営業店ＡＰ－ＤＢ）_Ⅹ_課題と対応策_20121211 2" xfId="2438" xr:uid="{00000000-0005-0000-0000-000044090000}"/>
    <cellStyle name="_【20090522_精緻化中】千里導入明細資料_２１年度分_ラック構成図_Catalyst直付け（新事務処理）_【20091225】千里導入明細資料_２２年度上期分_営業店DB" xfId="2439" xr:uid="{00000000-0005-0000-0000-000045090000}"/>
    <cellStyle name="_【20090522_精緻化中】千里導入明細資料_２１年度分_ラック構成図_Catalyst直付け（新事務処理）_【20091225】千里導入明細資料_２２年度上期分_営業店DB 2" xfId="2440" xr:uid="{00000000-0005-0000-0000-000046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" xfId="2441" xr:uid="{00000000-0005-0000-0000-000047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 2" xfId="2442" xr:uid="{00000000-0005-0000-0000-000048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2443" xr:uid="{00000000-0005-0000-0000-000049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2444" xr:uid="{00000000-0005-0000-0000-00004A090000}"/>
    <cellStyle name="_【20090522_精緻化中】千里導入明細資料_２１年度分_ラック構成図_Catalyst直付け（新事務処理）_【20091225】千里導入明細資料_２２年度上期分_営業店DB_Ⅹ_課題と対応策_20121211" xfId="2445" xr:uid="{00000000-0005-0000-0000-00004B090000}"/>
    <cellStyle name="_【20090522_精緻化中】千里導入明細資料_２１年度分_ラック構成図_Catalyst直付け（新事務処理）_【20091225】千里導入明細資料_２２年度上期分_営業店DB_Ⅹ_課題と対応策_20121211 2" xfId="2446" xr:uid="{00000000-0005-0000-0000-00004C090000}"/>
    <cellStyle name="_【20090522_精緻化中】千里導入明細資料_２１年度分_ラック構成図_Catalyst直付け（新事務処理）_【20091225】千里導入明細資料_２２年度上期分_連携DB" xfId="2447" xr:uid="{00000000-0005-0000-0000-00004D090000}"/>
    <cellStyle name="_【20090522_精緻化中】千里導入明細資料_２１年度分_ラック構成図_Catalyst直付け（新事務処理）_【20091225】千里導入明細資料_２２年度上期分_連携DB 2" xfId="2448" xr:uid="{00000000-0005-0000-0000-00004E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" xfId="2449" xr:uid="{00000000-0005-0000-0000-00004F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 2" xfId="2450" xr:uid="{00000000-0005-0000-0000-000050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2451" xr:uid="{00000000-0005-0000-0000-000051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2452" xr:uid="{00000000-0005-0000-0000-000052090000}"/>
    <cellStyle name="_【20090522_精緻化中】千里導入明細資料_２１年度分_ラック構成図_Catalyst直付け（新事務処理）_【20091225】千里導入明細資料_２２年度上期分_連携DB_Ⅹ_課題と対応策_20121211" xfId="2453" xr:uid="{00000000-0005-0000-0000-000053090000}"/>
    <cellStyle name="_【20090522_精緻化中】千里導入明細資料_２１年度分_ラック構成図_Catalyst直付け（新事務処理）_【20091225】千里導入明細資料_２２年度上期分_連携DB_Ⅹ_課題と対応策_20121211 2" xfId="2454" xr:uid="{00000000-0005-0000-0000-000054090000}"/>
    <cellStyle name="_【20090522_精緻化中】千里導入明細資料_２１年度分_ラック構成図_Catalyst直付け（新事務処理）_【作成中】千里センター機器配置図（2010年対応分）_20091221" xfId="2455" xr:uid="{00000000-0005-0000-0000-000055090000}"/>
    <cellStyle name="_【20090522_精緻化中】千里導入明細資料_２１年度分_ラック構成図_Catalyst直付け（新事務処理）_【作成中】千里センター機器配置図（2010年対応分）_20091221 2" xfId="2456" xr:uid="{00000000-0005-0000-0000-000056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" xfId="2457" xr:uid="{00000000-0005-0000-0000-000057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 2" xfId="2458" xr:uid="{00000000-0005-0000-0000-000058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2459" xr:uid="{00000000-0005-0000-0000-000059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2460" xr:uid="{00000000-0005-0000-0000-00005A090000}"/>
    <cellStyle name="_【20090522_精緻化中】千里導入明細資料_２１年度分_ラック構成図_Catalyst直付け（新事務処理）_【作成中】千里センター機器配置図（2010年対応分）_20091221_Ⅹ_課題と対応策_20121211" xfId="2461" xr:uid="{00000000-0005-0000-0000-00005B090000}"/>
    <cellStyle name="_【20090522_精緻化中】千里導入明細資料_２１年度分_ラック構成図_Catalyst直付け（新事務処理）_【作成中】千里センター機器配置図（2010年対応分）_20091221_Ⅹ_課題と対応策_20121211 2" xfId="2462" xr:uid="{00000000-0005-0000-0000-00005C090000}"/>
    <cellStyle name="_【20090522_精緻化中】千里導入明細資料_２１年度分_ラック構成図_Catalyst直付け（新事務処理）_Ⅹ_課題と対応策_20121211" xfId="2463" xr:uid="{00000000-0005-0000-0000-00005D090000}"/>
    <cellStyle name="_【20090522_精緻化中】千里導入明細資料_２１年度分_ラック構成図_Catalyst直付け（新事務処理）_Ⅹ_課題と対応策_20121211 2" xfId="2464" xr:uid="{00000000-0005-0000-0000-00005E090000}"/>
    <cellStyle name="_【20090522_精緻化中】千里導入明細資料_２１年度分_ラック構成図_RX100Si-R削除(新事務処理)" xfId="2465" xr:uid="{00000000-0005-0000-0000-00005F090000}"/>
    <cellStyle name="_【20090522_精緻化中】千里導入明細資料_２１年度分_ラック構成図_RX100Si-R削除(新事務処理) 2" xfId="2466" xr:uid="{00000000-0005-0000-0000-000060090000}"/>
    <cellStyle name="_【20090522_精緻化中】千里導入明細資料_２１年度分_ラック構成図_RX100Si-R削除(新事務処理)_【20091207】千里導入明細資料_２１年度分（ネットワーク敷設）" xfId="2467" xr:uid="{00000000-0005-0000-0000-000061090000}"/>
    <cellStyle name="_【20090522_精緻化中】千里導入明細資料_２１年度分_ラック構成図_RX100Si-R削除(新事務処理)_【20091207】千里導入明細資料_２１年度分（ネットワーク敷設） 2" xfId="2468" xr:uid="{00000000-0005-0000-0000-000062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" xfId="2469" xr:uid="{00000000-0005-0000-0000-000063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 2" xfId="2470" xr:uid="{00000000-0005-0000-0000-000064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2471" xr:uid="{00000000-0005-0000-0000-000065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2472" xr:uid="{00000000-0005-0000-0000-000066090000}"/>
    <cellStyle name="_【20090522_精緻化中】千里導入明細資料_２１年度分_ラック構成図_RX100Si-R削除(新事務処理)_【20091207】千里導入明細資料_２１年度分（ネットワーク敷設）_Ⅹ_課題と対応策_20121211" xfId="2473" xr:uid="{00000000-0005-0000-0000-000067090000}"/>
    <cellStyle name="_【20090522_精緻化中】千里導入明細資料_２１年度分_ラック構成図_RX100Si-R削除(新事務処理)_【20091207】千里導入明細資料_２１年度分（ネットワーク敷設）_Ⅹ_課題と対応策_20121211 2" xfId="2474" xr:uid="{00000000-0005-0000-0000-000068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" xfId="2475" xr:uid="{00000000-0005-0000-0000-000069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 2" xfId="2476" xr:uid="{00000000-0005-0000-0000-00006A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2477" xr:uid="{00000000-0005-0000-0000-00006B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2478" xr:uid="{00000000-0005-0000-0000-00006C090000}"/>
    <cellStyle name="_【20090522_精緻化中】千里導入明細資料_２１年度分_ラック構成図_RX100Si-R削除(新事務処理)_【20091225】千里導入明細資料_２２年度上期分（営業店ＡＰ－ＤＢ）" xfId="2479" xr:uid="{00000000-0005-0000-0000-00006D090000}"/>
    <cellStyle name="_【20090522_精緻化中】千里導入明細資料_２１年度分_ラック構成図_RX100Si-R削除(新事務処理)_【20091225】千里導入明細資料_２２年度上期分（営業店ＡＰ－ＤＢ） 2" xfId="2480" xr:uid="{00000000-0005-0000-0000-00006E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" xfId="2481" xr:uid="{00000000-0005-0000-0000-00006F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 2" xfId="2482" xr:uid="{00000000-0005-0000-0000-000070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2483" xr:uid="{00000000-0005-0000-0000-000071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2484" xr:uid="{00000000-0005-0000-0000-000072090000}"/>
    <cellStyle name="_【20090522_精緻化中】千里導入明細資料_２１年度分_ラック構成図_RX100Si-R削除(新事務処理)_【20091225】千里導入明細資料_２２年度上期分（営業店ＡＰ－ＤＢ）_Ⅹ_課題と対応策_20121211" xfId="2485" xr:uid="{00000000-0005-0000-0000-000073090000}"/>
    <cellStyle name="_【20090522_精緻化中】千里導入明細資料_２１年度分_ラック構成図_RX100Si-R削除(新事務処理)_【20091225】千里導入明細資料_２２年度上期分（営業店ＡＰ－ＤＢ）_Ⅹ_課題と対応策_20121211 2" xfId="2486" xr:uid="{00000000-0005-0000-0000-000074090000}"/>
    <cellStyle name="_【20090522_精緻化中】千里導入明細資料_２１年度分_ラック構成図_RX100Si-R削除(新事務処理)_【20091225】千里導入明細資料_２２年度上期分_営業店DB" xfId="2487" xr:uid="{00000000-0005-0000-0000-000075090000}"/>
    <cellStyle name="_【20090522_精緻化中】千里導入明細資料_２１年度分_ラック構成図_RX100Si-R削除(新事務処理)_【20091225】千里導入明細資料_２２年度上期分_営業店DB 2" xfId="2488" xr:uid="{00000000-0005-0000-0000-000076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" xfId="2489" xr:uid="{00000000-0005-0000-0000-000077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 2" xfId="2490" xr:uid="{00000000-0005-0000-0000-000078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2491" xr:uid="{00000000-0005-0000-0000-000079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2492" xr:uid="{00000000-0005-0000-0000-00007A090000}"/>
    <cellStyle name="_【20090522_精緻化中】千里導入明細資料_２１年度分_ラック構成図_RX100Si-R削除(新事務処理)_【20091225】千里導入明細資料_２２年度上期分_営業店DB_Ⅹ_課題と対応策_20121211" xfId="2493" xr:uid="{00000000-0005-0000-0000-00007B090000}"/>
    <cellStyle name="_【20090522_精緻化中】千里導入明細資料_２１年度分_ラック構成図_RX100Si-R削除(新事務処理)_【20091225】千里導入明細資料_２２年度上期分_営業店DB_Ⅹ_課題と対応策_20121211 2" xfId="2494" xr:uid="{00000000-0005-0000-0000-00007C090000}"/>
    <cellStyle name="_【20090522_精緻化中】千里導入明細資料_２１年度分_ラック構成図_RX100Si-R削除(新事務処理)_【20091225】千里導入明細資料_２２年度上期分_連携DB" xfId="2495" xr:uid="{00000000-0005-0000-0000-00007D090000}"/>
    <cellStyle name="_【20090522_精緻化中】千里導入明細資料_２１年度分_ラック構成図_RX100Si-R削除(新事務処理)_【20091225】千里導入明細資料_２２年度上期分_連携DB 2" xfId="2496" xr:uid="{00000000-0005-0000-0000-00007E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" xfId="2497" xr:uid="{00000000-0005-0000-0000-00007F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 2" xfId="2498" xr:uid="{00000000-0005-0000-0000-000080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" xfId="2499" xr:uid="{00000000-0005-0000-0000-000081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2500" xr:uid="{00000000-0005-0000-0000-000082090000}"/>
    <cellStyle name="_【20090522_精緻化中】千里導入明細資料_２１年度分_ラック構成図_RX100Si-R削除(新事務処理)_【20091225】千里導入明細資料_２２年度上期分_連携DB_Ⅹ_課題と対応策_20121211" xfId="2501" xr:uid="{00000000-0005-0000-0000-000083090000}"/>
    <cellStyle name="_【20090522_精緻化中】千里導入明細資料_２１年度分_ラック構成図_RX100Si-R削除(新事務処理)_【20091225】千里導入明細資料_２２年度上期分_連携DB_Ⅹ_課題と対応策_20121211 2" xfId="2502" xr:uid="{00000000-0005-0000-0000-000084090000}"/>
    <cellStyle name="_【20090522_精緻化中】千里導入明細資料_２１年度分_ラック構成図_RX100Si-R削除(新事務処理)_【作成中】千里センター機器配置図（2010年対応分）_20091221" xfId="2503" xr:uid="{00000000-0005-0000-0000-000085090000}"/>
    <cellStyle name="_【20090522_精緻化中】千里導入明細資料_２１年度分_ラック構成図_RX100Si-R削除(新事務処理)_【作成中】千里センター機器配置図（2010年対応分）_20091221 2" xfId="2504" xr:uid="{00000000-0005-0000-0000-000086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" xfId="2505" xr:uid="{00000000-0005-0000-0000-000087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 2" xfId="2506" xr:uid="{00000000-0005-0000-0000-000088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2507" xr:uid="{00000000-0005-0000-0000-000089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2508" xr:uid="{00000000-0005-0000-0000-00008A090000}"/>
    <cellStyle name="_【20090522_精緻化中】千里導入明細資料_２１年度分_ラック構成図_RX100Si-R削除(新事務処理)_【作成中】千里センター機器配置図（2010年対応分）_20091221_Ⅹ_課題と対応策_20121211" xfId="2509" xr:uid="{00000000-0005-0000-0000-00008B090000}"/>
    <cellStyle name="_【20090522_精緻化中】千里導入明細資料_２１年度分_ラック構成図_RX100Si-R削除(新事務処理)_【作成中】千里センター機器配置図（2010年対応分）_20091221_Ⅹ_課題と対応策_20121211 2" xfId="2510" xr:uid="{00000000-0005-0000-0000-00008C090000}"/>
    <cellStyle name="_【20090522_精緻化中】千里導入明細資料_２１年度分_ラック構成図_RX100Si-R削除(新事務処理)_Ⅹ_課題と対応策_20121211" xfId="2511" xr:uid="{00000000-0005-0000-0000-00008D090000}"/>
    <cellStyle name="_【20090522_精緻化中】千里導入明細資料_２１年度分_ラック構成図_RX100Si-R削除(新事務処理)_Ⅹ_課題と対応策_20121211 2" xfId="2512" xr:uid="{00000000-0005-0000-0000-00008E090000}"/>
    <cellStyle name="_【20090522_精緻化中】千里導入明細資料_２１年度分_千里導入明細資料_２２年度分（ネットワーク敷設）_fj" xfId="2513" xr:uid="{00000000-0005-0000-0000-00008F090000}"/>
    <cellStyle name="_【20090522_精緻化中】千里導入明細資料_２１年度分_千里導入明細資料_２２年度分（ネットワーク敷設）_fj 2" xfId="2514" xr:uid="{00000000-0005-0000-0000-000090090000}"/>
    <cellStyle name="_【20090522_精緻化中】千里導入明細資料_２１年度分_千里導入明細資料_２２年度分（ネットワーク敷設）_fj_Ⅹ_課題と対応策_20121211" xfId="2515" xr:uid="{00000000-0005-0000-0000-000091090000}"/>
    <cellStyle name="_【20090522_精緻化中】千里導入明細資料_２１年度分_千里導入明細資料_２２年度分（ネットワーク敷設）_fj_Ⅹ_課題と対応策_20121211 2" xfId="2516" xr:uid="{00000000-0005-0000-0000-000092090000}"/>
    <cellStyle name="_【20090608】千里導入明細資料_２１年度分" xfId="2517" xr:uid="{00000000-0005-0000-0000-000093090000}"/>
    <cellStyle name="_【20090608】千里導入明細資料_２１年度分 2" xfId="2518" xr:uid="{00000000-0005-0000-0000-000094090000}"/>
    <cellStyle name="_【20090608】千里導入明細資料_２１年度分（ＬＡＮケーブル）" xfId="2519" xr:uid="{00000000-0005-0000-0000-000095090000}"/>
    <cellStyle name="_【20090608】千里導入明細資料_２１年度分（ＬＡＮケーブル） 2" xfId="2520" xr:uid="{00000000-0005-0000-0000-000096090000}"/>
    <cellStyle name="_【20090608】千里導入明細資料_２１年度分（ＬＡＮケーブル）_【20091218】千里導入明細資料_２１年度分（ネットワーク敷設）" xfId="2521" xr:uid="{00000000-0005-0000-0000-000097090000}"/>
    <cellStyle name="_【20090608】千里導入明細資料_２１年度分（ＬＡＮケーブル）_【20091218】千里導入明細資料_２１年度分（ネットワーク敷設） 2" xfId="2522" xr:uid="{00000000-0005-0000-0000-000098090000}"/>
    <cellStyle name="_【20090608】千里導入明細資料_２１年度分（ＬＡＮケーブル）_【20091218】千里導入明細資料_２１年度分（ネットワーク敷設）_Ⅹ_課題と対応策_20121211" xfId="2523" xr:uid="{00000000-0005-0000-0000-000099090000}"/>
    <cellStyle name="_【20090608】千里導入明細資料_２１年度分（ＬＡＮケーブル）_【20091218】千里導入明細資料_２１年度分（ネットワーク敷設）_Ⅹ_課題と対応策_20121211 2" xfId="2524" xr:uid="{00000000-0005-0000-0000-00009A090000}"/>
    <cellStyle name="_【20090608】千里導入明細資料_２１年度分（ＬＡＮケーブル）_Ⅹ_課題と対応策_20121211" xfId="2525" xr:uid="{00000000-0005-0000-0000-00009B090000}"/>
    <cellStyle name="_【20090608】千里導入明細資料_２１年度分（ＬＡＮケーブル）_Ⅹ_課題と対応策_20121211 2" xfId="2526" xr:uid="{00000000-0005-0000-0000-00009C090000}"/>
    <cellStyle name="_【20090608】千里導入明細資料_２１年度分（ＬＡＮケーブル）_千里導入明細資料_２２年度分（ネットワーク敷設）_fj" xfId="2527" xr:uid="{00000000-0005-0000-0000-00009D090000}"/>
    <cellStyle name="_【20090608】千里導入明細資料_２１年度分（ＬＡＮケーブル）_千里導入明細資料_２２年度分（ネットワーク敷設）_fj 2" xfId="2528" xr:uid="{00000000-0005-0000-0000-00009E090000}"/>
    <cellStyle name="_【20090608】千里導入明細資料_２１年度分（ＬＡＮケーブル）_千里導入明細資料_２２年度分（ネットワーク敷設）_fj_Ⅹ_課題と対応策_20121211" xfId="2529" xr:uid="{00000000-0005-0000-0000-00009F090000}"/>
    <cellStyle name="_【20090608】千里導入明細資料_２１年度分（ＬＡＮケーブル）_千里導入明細資料_２２年度分（ネットワーク敷設）_fj_Ⅹ_課題と対応策_20121211 2" xfId="2530" xr:uid="{00000000-0005-0000-0000-0000A0090000}"/>
    <cellStyle name="_【20090608】千里導入明細資料_２１年度分_【20090715】千里導入明細資料_２１年度分（９月工事分）_fj" xfId="2531" xr:uid="{00000000-0005-0000-0000-0000A1090000}"/>
    <cellStyle name="_【20090608】千里導入明細資料_２１年度分_【20090715】千里導入明細資料_２１年度分（９月工事分）_fj 2" xfId="2532" xr:uid="{00000000-0005-0000-0000-0000A2090000}"/>
    <cellStyle name="_【20090608】千里導入明細資料_２１年度分_【20090715】千里導入明細資料_２１年度分（９月工事分）_fj_【20090721】千里導入明細資料_２１年度分" xfId="2533" xr:uid="{00000000-0005-0000-0000-0000A3090000}"/>
    <cellStyle name="_【20090608】千里導入明細資料_２１年度分_【20090715】千里導入明細資料_２１年度分（９月工事分）_fj_【20090721】千里導入明細資料_２１年度分 2" xfId="2534" xr:uid="{00000000-0005-0000-0000-0000A4090000}"/>
    <cellStyle name="_【20090608】千里導入明細資料_２１年度分_【20090715】千里導入明細資料_２１年度分（９月工事分）_fj_【20090721】千里導入明細資料_２１年度分（９月工事分）_ETERNUS追加" xfId="2535" xr:uid="{00000000-0005-0000-0000-0000A5090000}"/>
    <cellStyle name="_【20090608】千里導入明細資料_２１年度分_【20090715】千里導入明細資料_２１年度分（９月工事分）_fj_【20090721】千里導入明細資料_２１年度分（９月工事分）_ETERNUS追加 2" xfId="2536" xr:uid="{00000000-0005-0000-0000-0000A6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2537" xr:uid="{00000000-0005-0000-0000-0000A7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2538" xr:uid="{00000000-0005-0000-0000-0000A8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539" xr:uid="{00000000-0005-0000-0000-0000A9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540" xr:uid="{00000000-0005-0000-0000-0000AA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541" xr:uid="{00000000-0005-0000-0000-0000AB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542" xr:uid="{00000000-0005-0000-0000-0000AC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543" xr:uid="{00000000-0005-0000-0000-0000AD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544" xr:uid="{00000000-0005-0000-0000-0000AE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" xfId="2545" xr:uid="{00000000-0005-0000-0000-0000AF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 2" xfId="2546" xr:uid="{00000000-0005-0000-0000-0000B0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2547" xr:uid="{00000000-0005-0000-0000-0000B1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2548" xr:uid="{00000000-0005-0000-0000-0000B2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2549" xr:uid="{00000000-0005-0000-0000-0000B3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2550" xr:uid="{00000000-0005-0000-0000-0000B4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551" xr:uid="{00000000-0005-0000-0000-0000B5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552" xr:uid="{00000000-0005-0000-0000-0000B6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2553" xr:uid="{00000000-0005-0000-0000-0000B7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2554" xr:uid="{00000000-0005-0000-0000-0000B8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555" xr:uid="{00000000-0005-0000-0000-0000B9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556" xr:uid="{00000000-0005-0000-0000-0000BA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557" xr:uid="{00000000-0005-0000-0000-0000BB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558" xr:uid="{00000000-0005-0000-0000-0000BC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559" xr:uid="{00000000-0005-0000-0000-0000BD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560" xr:uid="{00000000-0005-0000-0000-0000BE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561" xr:uid="{00000000-0005-0000-0000-0000BF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562" xr:uid="{00000000-0005-0000-0000-0000C0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563" xr:uid="{00000000-0005-0000-0000-0000C1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564" xr:uid="{00000000-0005-0000-0000-0000C2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565" xr:uid="{00000000-0005-0000-0000-0000C3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66" xr:uid="{00000000-0005-0000-0000-0000C4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67" xr:uid="{00000000-0005-0000-0000-0000C5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68" xr:uid="{00000000-0005-0000-0000-0000C6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69" xr:uid="{00000000-0005-0000-0000-0000C7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70" xr:uid="{00000000-0005-0000-0000-0000C8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71" xr:uid="{00000000-0005-0000-0000-0000C9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72" xr:uid="{00000000-0005-0000-0000-0000CA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2573" xr:uid="{00000000-0005-0000-0000-0000CB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2574" xr:uid="{00000000-0005-0000-0000-0000CC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2575" xr:uid="{00000000-0005-0000-0000-0000CD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2576" xr:uid="{00000000-0005-0000-0000-0000CE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2577" xr:uid="{00000000-0005-0000-0000-0000CF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2578" xr:uid="{00000000-0005-0000-0000-0000D0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579" xr:uid="{00000000-0005-0000-0000-0000D1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580" xr:uid="{00000000-0005-0000-0000-0000D2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2581" xr:uid="{00000000-0005-0000-0000-0000D3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2582" xr:uid="{00000000-0005-0000-0000-0000D4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583" xr:uid="{00000000-0005-0000-0000-0000D5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584" xr:uid="{00000000-0005-0000-0000-0000D6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2585" xr:uid="{00000000-0005-0000-0000-0000D7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2586" xr:uid="{00000000-0005-0000-0000-0000D8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2587" xr:uid="{00000000-0005-0000-0000-0000D9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2588" xr:uid="{00000000-0005-0000-0000-0000DA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589" xr:uid="{00000000-0005-0000-0000-0000DB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590" xr:uid="{00000000-0005-0000-0000-0000DC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591" xr:uid="{00000000-0005-0000-0000-0000DD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592" xr:uid="{00000000-0005-0000-0000-0000DE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593" xr:uid="{00000000-0005-0000-0000-0000DF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594" xr:uid="{00000000-0005-0000-0000-0000E0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595" xr:uid="{00000000-0005-0000-0000-0000E1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596" xr:uid="{00000000-0005-0000-0000-0000E2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597" xr:uid="{00000000-0005-0000-0000-0000E3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598" xr:uid="{00000000-0005-0000-0000-0000E4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599" xr:uid="{00000000-0005-0000-0000-0000E5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600" xr:uid="{00000000-0005-0000-0000-0000E6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601" xr:uid="{00000000-0005-0000-0000-0000E7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602" xr:uid="{00000000-0005-0000-0000-0000E8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603" xr:uid="{00000000-0005-0000-0000-0000E9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604" xr:uid="{00000000-0005-0000-0000-0000EA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605" xr:uid="{00000000-0005-0000-0000-0000EB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606" xr:uid="{00000000-0005-0000-0000-0000EC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607" xr:uid="{00000000-0005-0000-0000-0000ED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608" xr:uid="{00000000-0005-0000-0000-0000EE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609" xr:uid="{00000000-0005-0000-0000-0000EF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610" xr:uid="{00000000-0005-0000-0000-0000F0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611" xr:uid="{00000000-0005-0000-0000-0000F1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612" xr:uid="{00000000-0005-0000-0000-0000F2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613" xr:uid="{00000000-0005-0000-0000-0000F3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614" xr:uid="{00000000-0005-0000-0000-0000F4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2615" xr:uid="{00000000-0005-0000-0000-0000F5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2616" xr:uid="{00000000-0005-0000-0000-0000F6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2617" xr:uid="{00000000-0005-0000-0000-0000F7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2618" xr:uid="{00000000-0005-0000-0000-0000F8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2619" xr:uid="{00000000-0005-0000-0000-0000F9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2620" xr:uid="{00000000-0005-0000-0000-0000FA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2621" xr:uid="{00000000-0005-0000-0000-0000FB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2622" xr:uid="{00000000-0005-0000-0000-0000FC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2623" xr:uid="{00000000-0005-0000-0000-0000FD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2624" xr:uid="{00000000-0005-0000-0000-0000FE090000}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" xfId="2625" xr:uid="{00000000-0005-0000-0000-0000FF090000}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 2" xfId="2626" xr:uid="{00000000-0005-0000-0000-000000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2627" xr:uid="{00000000-0005-0000-0000-000001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2628" xr:uid="{00000000-0005-0000-0000-000002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2629" xr:uid="{00000000-0005-0000-0000-000003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2630" xr:uid="{00000000-0005-0000-0000-000004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" xfId="2631" xr:uid="{00000000-0005-0000-0000-000005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 2" xfId="2632" xr:uid="{00000000-0005-0000-0000-000006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2633" xr:uid="{00000000-0005-0000-0000-000007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2634" xr:uid="{00000000-0005-0000-0000-000008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" xfId="2635" xr:uid="{00000000-0005-0000-0000-000009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 2" xfId="2636" xr:uid="{00000000-0005-0000-0000-00000A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2637" xr:uid="{00000000-0005-0000-0000-00000B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2638" xr:uid="{00000000-0005-0000-0000-00000C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639" xr:uid="{00000000-0005-0000-0000-00000D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640" xr:uid="{00000000-0005-0000-0000-00000E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641" xr:uid="{00000000-0005-0000-0000-00000F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642" xr:uid="{00000000-0005-0000-0000-000010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2643" xr:uid="{00000000-0005-0000-0000-000011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2644" xr:uid="{00000000-0005-0000-0000-000012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2645" xr:uid="{00000000-0005-0000-0000-000013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2646" xr:uid="{00000000-0005-0000-0000-000014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2647" xr:uid="{00000000-0005-0000-0000-000015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2648" xr:uid="{00000000-0005-0000-0000-000016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649" xr:uid="{00000000-0005-0000-0000-000017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650" xr:uid="{00000000-0005-0000-0000-000018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2651" xr:uid="{00000000-0005-0000-0000-000019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2652" xr:uid="{00000000-0005-0000-0000-00001A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2653" xr:uid="{00000000-0005-0000-0000-00001B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2654" xr:uid="{00000000-0005-0000-0000-00001C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" xfId="2655" xr:uid="{00000000-0005-0000-0000-00001D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 2" xfId="2656" xr:uid="{00000000-0005-0000-0000-00001E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" xfId="2657" xr:uid="{00000000-0005-0000-0000-00001F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2658" xr:uid="{00000000-0005-0000-0000-000020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" xfId="2659" xr:uid="{00000000-0005-0000-0000-000021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 2" xfId="2660" xr:uid="{00000000-0005-0000-0000-000022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2661" xr:uid="{00000000-0005-0000-0000-000023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2662" xr:uid="{00000000-0005-0000-0000-000024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" xfId="2663" xr:uid="{00000000-0005-0000-0000-000025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 2" xfId="2664" xr:uid="{00000000-0005-0000-0000-000026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2665" xr:uid="{00000000-0005-0000-0000-000027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2666" xr:uid="{00000000-0005-0000-0000-000028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" xfId="2667" xr:uid="{00000000-0005-0000-0000-000029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 2" xfId="2668" xr:uid="{00000000-0005-0000-0000-00002A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" xfId="2669" xr:uid="{00000000-0005-0000-0000-00002B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 2" xfId="2670" xr:uid="{00000000-0005-0000-0000-00002C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2671" xr:uid="{00000000-0005-0000-0000-00002D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2672" xr:uid="{00000000-0005-0000-0000-00002E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2673" xr:uid="{00000000-0005-0000-0000-00002F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2674" xr:uid="{00000000-0005-0000-0000-000030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2675" xr:uid="{00000000-0005-0000-0000-000031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676" xr:uid="{00000000-0005-0000-0000-000032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677" xr:uid="{00000000-0005-0000-0000-000033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678" xr:uid="{00000000-0005-0000-0000-000034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2679" xr:uid="{00000000-0005-0000-0000-000035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2680" xr:uid="{00000000-0005-0000-0000-000036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2681" xr:uid="{00000000-0005-0000-0000-000037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2682" xr:uid="{00000000-0005-0000-0000-000038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2683" xr:uid="{00000000-0005-0000-0000-000039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2684" xr:uid="{00000000-0005-0000-0000-00003A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685" xr:uid="{00000000-0005-0000-0000-00003B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686" xr:uid="{00000000-0005-0000-0000-00003C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2687" xr:uid="{00000000-0005-0000-0000-00003D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2688" xr:uid="{00000000-0005-0000-0000-00003E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2689" xr:uid="{00000000-0005-0000-0000-00003F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2690" xr:uid="{00000000-0005-0000-0000-000040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2691" xr:uid="{00000000-0005-0000-0000-000041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2692" xr:uid="{00000000-0005-0000-0000-000042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693" xr:uid="{00000000-0005-0000-0000-000043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694" xr:uid="{00000000-0005-0000-0000-000044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2695" xr:uid="{00000000-0005-0000-0000-000045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2696" xr:uid="{00000000-0005-0000-0000-000046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" xfId="2697" xr:uid="{00000000-0005-0000-0000-000047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2698" xr:uid="{00000000-0005-0000-0000-000048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" xfId="2699" xr:uid="{00000000-0005-0000-0000-000049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 2" xfId="2700" xr:uid="{00000000-0005-0000-0000-00004A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2701" xr:uid="{00000000-0005-0000-0000-00004B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2702" xr:uid="{00000000-0005-0000-0000-00004C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" xfId="2703" xr:uid="{00000000-0005-0000-0000-00004D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 2" xfId="2704" xr:uid="{00000000-0005-0000-0000-00004E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2705" xr:uid="{00000000-0005-0000-0000-00004F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2706" xr:uid="{00000000-0005-0000-0000-0000500A0000}"/>
    <cellStyle name="_【20090608】千里導入明細資料_２１年度分_【20090715】千里導入明細資料_２１年度分（９月工事分）_fj_【20090721】千里導入明細資料_２１年度分_Ⅹ_課題と対応策_20121211" xfId="2707" xr:uid="{00000000-0005-0000-0000-0000510A0000}"/>
    <cellStyle name="_【20090608】千里導入明細資料_２１年度分_【20090715】千里導入明細資料_２１年度分（９月工事分）_fj_【20090721】千里導入明細資料_２１年度分_Ⅹ_課題と対応策_20121211 2" xfId="2708" xr:uid="{00000000-0005-0000-0000-000052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" xfId="2709" xr:uid="{00000000-0005-0000-0000-000053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 2" xfId="2710" xr:uid="{00000000-0005-0000-0000-000054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2711" xr:uid="{00000000-0005-0000-0000-000055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2712" xr:uid="{00000000-0005-0000-0000-0000560A0000}"/>
    <cellStyle name="_【20090608】千里導入明細資料_２１年度分_【20090715】千里導入明細資料_２１年度分（９月工事分）_fj_【20090821】千里ラック搭載図（NW機器）" xfId="2713" xr:uid="{00000000-0005-0000-0000-0000570A0000}"/>
    <cellStyle name="_【20090608】千里導入明細資料_２１年度分_【20090715】千里導入明細資料_２１年度分（９月工事分）_fj_【20090821】千里ラック搭載図（NW機器） 2" xfId="2714" xr:uid="{00000000-0005-0000-0000-0000580A0000}"/>
    <cellStyle name="_【20090608】千里導入明細資料_２１年度分_【20090715】千里導入明細資料_２１年度分（９月工事分）_fj_【20090821】千里ラック搭載図（NW機器）_Ⅹ_課題と対応策_20121211" xfId="2715" xr:uid="{00000000-0005-0000-0000-0000590A0000}"/>
    <cellStyle name="_【20090608】千里導入明細資料_２１年度分_【20090715】千里導入明細資料_２１年度分（９月工事分）_fj_【20090821】千里ラック搭載図（NW機器）_Ⅹ_課題と対応策_20121211 2" xfId="2716" xr:uid="{00000000-0005-0000-0000-00005A0A0000}"/>
    <cellStyle name="_【20090608】千里導入明細資料_２１年度分_【20090715】千里導入明細資料_２１年度分（９月工事分）_fj_【20091207】千里導入明細資料_２１年度分（ネットワーク敷設）" xfId="2717" xr:uid="{00000000-0005-0000-0000-00005B0A0000}"/>
    <cellStyle name="_【20090608】千里導入明細資料_２１年度分_【20090715】千里導入明細資料_２１年度分（９月工事分）_fj_【20091207】千里導入明細資料_２１年度分（ネットワーク敷設） 2" xfId="2718" xr:uid="{00000000-0005-0000-0000-00005C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2719" xr:uid="{00000000-0005-0000-0000-00005D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2720" xr:uid="{00000000-0005-0000-0000-00005E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2721" xr:uid="{00000000-0005-0000-0000-00005F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2722" xr:uid="{00000000-0005-0000-0000-0000600A0000}"/>
    <cellStyle name="_【20090608】千里導入明細資料_２１年度分_【20090715】千里導入明細資料_２１年度分（９月工事分）_fj_【20091207】千里導入明細資料_２１年度分（ネットワーク敷設）_Ⅹ_課題と対応策_20121211" xfId="2723" xr:uid="{00000000-0005-0000-0000-0000610A0000}"/>
    <cellStyle name="_【20090608】千里導入明細資料_２１年度分_【20090715】千里導入明細資料_２１年度分（９月工事分）_fj_【20091207】千里導入明細資料_２１年度分（ネットワーク敷設）_Ⅹ_課題と対応策_20121211 2" xfId="2724" xr:uid="{00000000-0005-0000-0000-000062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2725" xr:uid="{00000000-0005-0000-0000-000063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2726" xr:uid="{00000000-0005-0000-0000-000064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2727" xr:uid="{00000000-0005-0000-0000-000065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2728" xr:uid="{00000000-0005-0000-0000-0000660A0000}"/>
    <cellStyle name="_【20090608】千里導入明細資料_２１年度分_【20090715】千里導入明細資料_２１年度分（９月工事分）_fj_【20091225】千里導入明細資料_２２年度上期分（営業店ＡＰ－ＤＢ）" xfId="2729" xr:uid="{00000000-0005-0000-0000-0000670A0000}"/>
    <cellStyle name="_【20090608】千里導入明細資料_２１年度分_【20090715】千里導入明細資料_２１年度分（９月工事分）_fj_【20091225】千里導入明細資料_２２年度上期分（営業店ＡＰ－ＤＢ） 2" xfId="2730" xr:uid="{00000000-0005-0000-0000-000068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2731" xr:uid="{00000000-0005-0000-0000-000069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2732" xr:uid="{00000000-0005-0000-0000-00006A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2733" xr:uid="{00000000-0005-0000-0000-00006B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2734" xr:uid="{00000000-0005-0000-0000-00006C0A0000}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" xfId="2735" xr:uid="{00000000-0005-0000-0000-00006D0A0000}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 2" xfId="2736" xr:uid="{00000000-0005-0000-0000-00006E0A0000}"/>
    <cellStyle name="_【20090608】千里導入明細資料_２１年度分_【20090715】千里導入明細資料_２１年度分（９月工事分）_fj_【20091225】千里導入明細資料_２２年度上期分_営業店DB" xfId="2737" xr:uid="{00000000-0005-0000-0000-00006F0A0000}"/>
    <cellStyle name="_【20090608】千里導入明細資料_２１年度分_【20090715】千里導入明細資料_２１年度分（９月工事分）_fj_【20091225】千里導入明細資料_２２年度上期分_営業店DB 2" xfId="2738" xr:uid="{00000000-0005-0000-0000-000070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" xfId="2739" xr:uid="{00000000-0005-0000-0000-000071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 2" xfId="2740" xr:uid="{00000000-0005-0000-0000-000072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2741" xr:uid="{00000000-0005-0000-0000-000073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2742" xr:uid="{00000000-0005-0000-0000-0000740A0000}"/>
    <cellStyle name="_【20090608】千里導入明細資料_２１年度分_【20090715】千里導入明細資料_２１年度分（９月工事分）_fj_【20091225】千里導入明細資料_２２年度上期分_営業店DB_Ⅹ_課題と対応策_20121211" xfId="2743" xr:uid="{00000000-0005-0000-0000-0000750A0000}"/>
    <cellStyle name="_【20090608】千里導入明細資料_２１年度分_【20090715】千里導入明細資料_２１年度分（９月工事分）_fj_【20091225】千里導入明細資料_２２年度上期分_営業店DB_Ⅹ_課題と対応策_20121211 2" xfId="2744" xr:uid="{00000000-0005-0000-0000-0000760A0000}"/>
    <cellStyle name="_【20090608】千里導入明細資料_２１年度分_【20090715】千里導入明細資料_２１年度分（９月工事分）_fj_【20091225】千里導入明細資料_２２年度上期分_連携DB" xfId="2745" xr:uid="{00000000-0005-0000-0000-0000770A0000}"/>
    <cellStyle name="_【20090608】千里導入明細資料_２１年度分_【20090715】千里導入明細資料_２１年度分（９月工事分）_fj_【20091225】千里導入明細資料_２２年度上期分_連携DB 2" xfId="2746" xr:uid="{00000000-0005-0000-0000-000078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" xfId="2747" xr:uid="{00000000-0005-0000-0000-000079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 2" xfId="2748" xr:uid="{00000000-0005-0000-0000-00007A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2749" xr:uid="{00000000-0005-0000-0000-00007B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2750" xr:uid="{00000000-0005-0000-0000-00007C0A0000}"/>
    <cellStyle name="_【20090608】千里導入明細資料_２１年度分_【20090715】千里導入明細資料_２１年度分（９月工事分）_fj_【20091225】千里導入明細資料_２２年度上期分_連携DB_Ⅹ_課題と対応策_20121211" xfId="2751" xr:uid="{00000000-0005-0000-0000-00007D0A0000}"/>
    <cellStyle name="_【20090608】千里導入明細資料_２１年度分_【20090715】千里導入明細資料_２１年度分（９月工事分）_fj_【20091225】千里導入明細資料_２２年度上期分_連携DB_Ⅹ_課題と対応策_20121211 2" xfId="2752" xr:uid="{00000000-0005-0000-0000-00007E0A0000}"/>
    <cellStyle name="_【20090608】千里導入明細資料_２１年度分_【20090715】千里導入明細資料_２１年度分（９月工事分）_fj_【作成中】千里センター機器配置図（2010年対応分）_20091221" xfId="2753" xr:uid="{00000000-0005-0000-0000-00007F0A0000}"/>
    <cellStyle name="_【20090608】千里導入明細資料_２１年度分_【20090715】千里導入明細資料_２１年度分（９月工事分）_fj_【作成中】千里センター機器配置図（2010年対応分）_20091221 2" xfId="2754" xr:uid="{00000000-0005-0000-0000-000080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2755" xr:uid="{00000000-0005-0000-0000-000081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2756" xr:uid="{00000000-0005-0000-0000-000082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2757" xr:uid="{00000000-0005-0000-0000-000083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2758" xr:uid="{00000000-0005-0000-0000-0000840A0000}"/>
    <cellStyle name="_【20090608】千里導入明細資料_２１年度分_【20090715】千里導入明細資料_２１年度分（９月工事分）_fj_【作成中】千里センター機器配置図（2010年対応分）_20091221_Ⅹ_課題と対応策_20121211" xfId="2759" xr:uid="{00000000-0005-0000-0000-0000850A0000}"/>
    <cellStyle name="_【20090608】千里導入明細資料_２１年度分_【20090715】千里導入明細資料_２１年度分（９月工事分）_fj_【作成中】千里センター機器配置図（2010年対応分）_20091221_Ⅹ_課題と対応策_20121211 2" xfId="2760" xr:uid="{00000000-0005-0000-0000-0000860A0000}"/>
    <cellStyle name="_【20090608】千里導入明細資料_２１年度分_【20090715】千里導入明細資料_２１年度分（９月工事分）_fj_Ⅹ_課題と対応策_20121211" xfId="2761" xr:uid="{00000000-0005-0000-0000-0000870A0000}"/>
    <cellStyle name="_【20090608】千里導入明細資料_２１年度分_【20090715】千里導入明細資料_２１年度分（９月工事分）_fj_Ⅹ_課題と対応策_20121211 2" xfId="2762" xr:uid="{00000000-0005-0000-0000-0000880A0000}"/>
    <cellStyle name="_【20090608】千里導入明細資料_２１年度分_【20090715】千里導入明細資料_２１年度分（９月工事分）_fj_千里センター機器構築スケジュール（８月分）_20090731" xfId="2763" xr:uid="{00000000-0005-0000-0000-0000890A0000}"/>
    <cellStyle name="_【20090608】千里導入明細資料_２１年度分_【20090715】千里導入明細資料_２１年度分（９月工事分）_fj_千里センター機器構築スケジュール（８月分）_20090731 2" xfId="2764" xr:uid="{00000000-0005-0000-0000-00008A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" xfId="2765" xr:uid="{00000000-0005-0000-0000-00008B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2766" xr:uid="{00000000-0005-0000-0000-00008C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2767" xr:uid="{00000000-0005-0000-0000-00008D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2768" xr:uid="{00000000-0005-0000-0000-00008E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2769" xr:uid="{00000000-0005-0000-0000-00008F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2770" xr:uid="{00000000-0005-0000-0000-000090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2771" xr:uid="{00000000-0005-0000-0000-000091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772" xr:uid="{00000000-0005-0000-0000-000092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" xfId="2773" xr:uid="{00000000-0005-0000-0000-000093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 2" xfId="2774" xr:uid="{00000000-0005-0000-0000-000094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775" xr:uid="{00000000-0005-0000-0000-000095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776" xr:uid="{00000000-0005-0000-0000-000096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777" xr:uid="{00000000-0005-0000-0000-000097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778" xr:uid="{00000000-0005-0000-0000-000098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779" xr:uid="{00000000-0005-0000-0000-000099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780" xr:uid="{00000000-0005-0000-0000-00009A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" xfId="2781" xr:uid="{00000000-0005-0000-0000-00009B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 2" xfId="2782" xr:uid="{00000000-0005-0000-0000-00009C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783" xr:uid="{00000000-0005-0000-0000-00009D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784" xr:uid="{00000000-0005-0000-0000-00009E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785" xr:uid="{00000000-0005-0000-0000-00009F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786" xr:uid="{00000000-0005-0000-0000-0000A0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787" xr:uid="{00000000-0005-0000-0000-0000A1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788" xr:uid="{00000000-0005-0000-0000-0000A2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789" xr:uid="{00000000-0005-0000-0000-0000A3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790" xr:uid="{00000000-0005-0000-0000-0000A4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791" xr:uid="{00000000-0005-0000-0000-0000A5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792" xr:uid="{00000000-0005-0000-0000-0000A6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793" xr:uid="{00000000-0005-0000-0000-0000A7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794" xr:uid="{00000000-0005-0000-0000-0000A8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795" xr:uid="{00000000-0005-0000-0000-0000A9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796" xr:uid="{00000000-0005-0000-0000-0000AA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797" xr:uid="{00000000-0005-0000-0000-0000AB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798" xr:uid="{00000000-0005-0000-0000-0000AC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799" xr:uid="{00000000-0005-0000-0000-0000AD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800" xr:uid="{00000000-0005-0000-0000-0000AE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" xfId="2801" xr:uid="{00000000-0005-0000-0000-0000AF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 2" xfId="2802" xr:uid="{00000000-0005-0000-0000-0000B0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803" xr:uid="{00000000-0005-0000-0000-0000B1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804" xr:uid="{00000000-0005-0000-0000-0000B2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" xfId="2805" xr:uid="{00000000-0005-0000-0000-0000B3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 2" xfId="2806" xr:uid="{00000000-0005-0000-0000-0000B4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807" xr:uid="{00000000-0005-0000-0000-0000B5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808" xr:uid="{00000000-0005-0000-0000-0000B6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" xfId="2809" xr:uid="{00000000-0005-0000-0000-0000B7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 2" xfId="2810" xr:uid="{00000000-0005-0000-0000-0000B8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811" xr:uid="{00000000-0005-0000-0000-0000B9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812" xr:uid="{00000000-0005-0000-0000-0000BA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" xfId="2813" xr:uid="{00000000-0005-0000-0000-0000BB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 2" xfId="2814" xr:uid="{00000000-0005-0000-0000-0000BC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815" xr:uid="{00000000-0005-0000-0000-0000BD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816" xr:uid="{00000000-0005-0000-0000-0000BE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817" xr:uid="{00000000-0005-0000-0000-0000BF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818" xr:uid="{00000000-0005-0000-0000-0000C0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819" xr:uid="{00000000-0005-0000-0000-0000C1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820" xr:uid="{00000000-0005-0000-0000-0000C2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821" xr:uid="{00000000-0005-0000-0000-0000C3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822" xr:uid="{00000000-0005-0000-0000-0000C4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823" xr:uid="{00000000-0005-0000-0000-0000C5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824" xr:uid="{00000000-0005-0000-0000-0000C6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825" xr:uid="{00000000-0005-0000-0000-0000C7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826" xr:uid="{00000000-0005-0000-0000-0000C8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827" xr:uid="{00000000-0005-0000-0000-0000C9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828" xr:uid="{00000000-0005-0000-0000-0000CA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829" xr:uid="{00000000-0005-0000-0000-0000CB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830" xr:uid="{00000000-0005-0000-0000-0000CC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831" xr:uid="{00000000-0005-0000-0000-0000CD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832" xr:uid="{00000000-0005-0000-0000-0000CE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833" xr:uid="{00000000-0005-0000-0000-0000CF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834" xr:uid="{00000000-0005-0000-0000-0000D0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835" xr:uid="{00000000-0005-0000-0000-0000D1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836" xr:uid="{00000000-0005-0000-0000-0000D2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837" xr:uid="{00000000-0005-0000-0000-0000D3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838" xr:uid="{00000000-0005-0000-0000-0000D4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839" xr:uid="{00000000-0005-0000-0000-0000D5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840" xr:uid="{00000000-0005-0000-0000-0000D6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841" xr:uid="{00000000-0005-0000-0000-0000D7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842" xr:uid="{00000000-0005-0000-0000-0000D8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843" xr:uid="{00000000-0005-0000-0000-0000D9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844" xr:uid="{00000000-0005-0000-0000-0000DA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" xfId="2845" xr:uid="{00000000-0005-0000-0000-0000DB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846" xr:uid="{00000000-0005-0000-0000-0000DC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847" xr:uid="{00000000-0005-0000-0000-0000DD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848" xr:uid="{00000000-0005-0000-0000-0000DE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" xfId="2849" xr:uid="{00000000-0005-0000-0000-0000DF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 2" xfId="2850" xr:uid="{00000000-0005-0000-0000-0000E0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851" xr:uid="{00000000-0005-0000-0000-0000E1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852" xr:uid="{00000000-0005-0000-0000-0000E20A0000}"/>
    <cellStyle name="_【20090608】千里導入明細資料_２１年度分_【20090715】千里導入明細資料_２１年度分（９月工事分）_fj_千里センター機器構築スケジュール（８月分）_20090731_Ⅹ_課題と対応策_20121211" xfId="2853" xr:uid="{00000000-0005-0000-0000-0000E30A0000}"/>
    <cellStyle name="_【20090608】千里導入明細資料_２１年度分_【20090715】千里導入明細資料_２１年度分（９月工事分）_fj_千里センター機器構築スケジュール（８月分）_20090731_Ⅹ_課題と対応策_20121211 2" xfId="2854" xr:uid="{00000000-0005-0000-0000-0000E4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" xfId="2855" xr:uid="{00000000-0005-0000-0000-0000E5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856" xr:uid="{00000000-0005-0000-0000-0000E6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857" xr:uid="{00000000-0005-0000-0000-0000E7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858" xr:uid="{00000000-0005-0000-0000-0000E80A0000}"/>
    <cellStyle name="_【20090608】千里導入明細資料_２１年度分_【20090724】千里導入明細資料_２１年度" xfId="2859" xr:uid="{00000000-0005-0000-0000-0000E90A0000}"/>
    <cellStyle name="_【20090608】千里導入明細資料_２１年度分_【20090724】千里導入明細資料_２１年度 2" xfId="2860" xr:uid="{00000000-0005-0000-0000-0000EA0A0000}"/>
    <cellStyle name="_【20090608】千里導入明細資料_２１年度分_【20090724】千里導入明細資料_２１年度_【20091207】千里導入明細資料_２１年度分（ネットワーク敷設）" xfId="2861" xr:uid="{00000000-0005-0000-0000-0000EB0A0000}"/>
    <cellStyle name="_【20090608】千里導入明細資料_２１年度分_【20090724】千里導入明細資料_２１年度_【20091207】千里導入明細資料_２１年度分（ネットワーク敷設） 2" xfId="2862" xr:uid="{00000000-0005-0000-0000-0000EC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" xfId="2863" xr:uid="{00000000-0005-0000-0000-0000ED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 2" xfId="2864" xr:uid="{00000000-0005-0000-0000-0000EE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865" xr:uid="{00000000-0005-0000-0000-0000EF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866" xr:uid="{00000000-0005-0000-0000-0000F00A0000}"/>
    <cellStyle name="_【20090608】千里導入明細資料_２１年度分_【20090724】千里導入明細資料_２１年度_【20091207】千里導入明細資料_２１年度分（ネットワーク敷設）_Ⅹ_課題と対応策_20121211" xfId="2867" xr:uid="{00000000-0005-0000-0000-0000F10A0000}"/>
    <cellStyle name="_【20090608】千里導入明細資料_２１年度分_【20090724】千里導入明細資料_２１年度_【20091207】千里導入明細資料_２１年度分（ネットワーク敷設）_Ⅹ_課題と対応策_20121211 2" xfId="2868" xr:uid="{00000000-0005-0000-0000-0000F2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" xfId="2869" xr:uid="{00000000-0005-0000-0000-0000F3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 2" xfId="2870" xr:uid="{00000000-0005-0000-0000-0000F4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871" xr:uid="{00000000-0005-0000-0000-0000F5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872" xr:uid="{00000000-0005-0000-0000-0000F60A0000}"/>
    <cellStyle name="_【20090608】千里導入明細資料_２１年度分_【20090724】千里導入明細資料_２１年度_【20091225】千里導入明細資料_２２年度上期分（営業店ＡＰ－ＤＢ）" xfId="2873" xr:uid="{00000000-0005-0000-0000-0000F70A0000}"/>
    <cellStyle name="_【20090608】千里導入明細資料_２１年度分_【20090724】千里導入明細資料_２１年度_【20091225】千里導入明細資料_２２年度上期分（営業店ＡＰ－ＤＢ） 2" xfId="2874" xr:uid="{00000000-0005-0000-0000-0000F8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" xfId="2875" xr:uid="{00000000-0005-0000-0000-0000F9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 2" xfId="2876" xr:uid="{00000000-0005-0000-0000-0000FA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877" xr:uid="{00000000-0005-0000-0000-0000FB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878" xr:uid="{00000000-0005-0000-0000-0000FC0A0000}"/>
    <cellStyle name="_【20090608】千里導入明細資料_２１年度分_【20090724】千里導入明細資料_２１年度_【20091225】千里導入明細資料_２２年度上期分（営業店ＡＰ－ＤＢ）_Ⅹ_課題と対応策_20121211" xfId="2879" xr:uid="{00000000-0005-0000-0000-0000FD0A0000}"/>
    <cellStyle name="_【20090608】千里導入明細資料_２１年度分_【20090724】千里導入明細資料_２１年度_【20091225】千里導入明細資料_２２年度上期分（営業店ＡＰ－ＤＢ）_Ⅹ_課題と対応策_20121211 2" xfId="2880" xr:uid="{00000000-0005-0000-0000-0000FE0A0000}"/>
    <cellStyle name="_【20090608】千里導入明細資料_２１年度分_【20090724】千里導入明細資料_２１年度_【20091225】千里導入明細資料_２２年度上期分_営業店DB" xfId="2881" xr:uid="{00000000-0005-0000-0000-0000FF0A0000}"/>
    <cellStyle name="_【20090608】千里導入明細資料_２１年度分_【20090724】千里導入明細資料_２１年度_【20091225】千里導入明細資料_２２年度上期分_営業店DB 2" xfId="2882" xr:uid="{00000000-0005-0000-0000-000000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" xfId="2883" xr:uid="{00000000-0005-0000-0000-000001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 2" xfId="2884" xr:uid="{00000000-0005-0000-0000-000002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885" xr:uid="{00000000-0005-0000-0000-000003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886" xr:uid="{00000000-0005-0000-0000-0000040B0000}"/>
    <cellStyle name="_【20090608】千里導入明細資料_２１年度分_【20090724】千里導入明細資料_２１年度_【20091225】千里導入明細資料_２２年度上期分_営業店DB_Ⅹ_課題と対応策_20121211" xfId="2887" xr:uid="{00000000-0005-0000-0000-0000050B0000}"/>
    <cellStyle name="_【20090608】千里導入明細資料_２１年度分_【20090724】千里導入明細資料_２１年度_【20091225】千里導入明細資料_２２年度上期分_営業店DB_Ⅹ_課題と対応策_20121211 2" xfId="2888" xr:uid="{00000000-0005-0000-0000-0000060B0000}"/>
    <cellStyle name="_【20090608】千里導入明細資料_２１年度分_【20090724】千里導入明細資料_２１年度_【20091225】千里導入明細資料_２２年度上期分_連携DB" xfId="2889" xr:uid="{00000000-0005-0000-0000-0000070B0000}"/>
    <cellStyle name="_【20090608】千里導入明細資料_２１年度分_【20090724】千里導入明細資料_２１年度_【20091225】千里導入明細資料_２２年度上期分_連携DB 2" xfId="2890" xr:uid="{00000000-0005-0000-0000-000008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" xfId="2891" xr:uid="{00000000-0005-0000-0000-000009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 2" xfId="2892" xr:uid="{00000000-0005-0000-0000-00000A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893" xr:uid="{00000000-0005-0000-0000-00000B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894" xr:uid="{00000000-0005-0000-0000-00000C0B0000}"/>
    <cellStyle name="_【20090608】千里導入明細資料_２１年度分_【20090724】千里導入明細資料_２１年度_【20091225】千里導入明細資料_２２年度上期分_連携DB_Ⅹ_課題と対応策_20121211" xfId="2895" xr:uid="{00000000-0005-0000-0000-00000D0B0000}"/>
    <cellStyle name="_【20090608】千里導入明細資料_２１年度分_【20090724】千里導入明細資料_２１年度_【20091225】千里導入明細資料_２２年度上期分_連携DB_Ⅹ_課題と対応策_20121211 2" xfId="2896" xr:uid="{00000000-0005-0000-0000-00000E0B0000}"/>
    <cellStyle name="_【20090608】千里導入明細資料_２１年度分_【20090724】千里導入明細資料_２１年度_【作成中】千里センター機器配置図（2010年対応分）_20091221" xfId="2897" xr:uid="{00000000-0005-0000-0000-00000F0B0000}"/>
    <cellStyle name="_【20090608】千里導入明細資料_２１年度分_【20090724】千里導入明細資料_２１年度_【作成中】千里センター機器配置図（2010年対応分）_20091221 2" xfId="2898" xr:uid="{00000000-0005-0000-0000-000010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" xfId="2899" xr:uid="{00000000-0005-0000-0000-000011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 2" xfId="2900" xr:uid="{00000000-0005-0000-0000-000012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901" xr:uid="{00000000-0005-0000-0000-000013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902" xr:uid="{00000000-0005-0000-0000-0000140B0000}"/>
    <cellStyle name="_【20090608】千里導入明細資料_２１年度分_【20090724】千里導入明細資料_２１年度_【作成中】千里センター機器配置図（2010年対応分）_20091221_Ⅹ_課題と対応策_20121211" xfId="2903" xr:uid="{00000000-0005-0000-0000-0000150B0000}"/>
    <cellStyle name="_【20090608】千里導入明細資料_２１年度分_【20090724】千里導入明細資料_２１年度_【作成中】千里センター機器配置図（2010年対応分）_20091221_Ⅹ_課題と対応策_20121211 2" xfId="2904" xr:uid="{00000000-0005-0000-0000-0000160B0000}"/>
    <cellStyle name="_【20090608】千里導入明細資料_２１年度分_【20090724】千里導入明細資料_２１年度_Ⅹ_課題と対応策_20121211" xfId="2905" xr:uid="{00000000-0005-0000-0000-0000170B0000}"/>
    <cellStyle name="_【20090608】千里導入明細資料_２１年度分_【20090724】千里導入明細資料_２１年度_Ⅹ_課題と対応策_20121211 2" xfId="2906" xr:uid="{00000000-0005-0000-0000-0000180B0000}"/>
    <cellStyle name="_【20090608】千里導入明細資料_２１年度分_【20090724】千里導入明細資料_２１年度分（９月工事分）" xfId="2907" xr:uid="{00000000-0005-0000-0000-0000190B0000}"/>
    <cellStyle name="_【20090608】千里導入明細資料_２１年度分_【20090724】千里導入明細資料_２１年度分（９月工事分） 2" xfId="2908" xr:uid="{00000000-0005-0000-0000-00001A0B0000}"/>
    <cellStyle name="_【20090608】千里導入明細資料_２１年度分_【20090724】千里導入明細資料_２１年度分（９月工事分）_【20091207】千里導入明細資料_２１年度分（ネットワーク敷設）" xfId="2909" xr:uid="{00000000-0005-0000-0000-00001B0B0000}"/>
    <cellStyle name="_【20090608】千里導入明細資料_２１年度分_【20090724】千里導入明細資料_２１年度分（９月工事分）_【20091207】千里導入明細資料_２１年度分（ネットワーク敷設） 2" xfId="2910" xr:uid="{00000000-0005-0000-0000-00001C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911" xr:uid="{00000000-0005-0000-0000-00001D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912" xr:uid="{00000000-0005-0000-0000-00001E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913" xr:uid="{00000000-0005-0000-0000-00001F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914" xr:uid="{00000000-0005-0000-0000-0000200B0000}"/>
    <cellStyle name="_【20090608】千里導入明細資料_２１年度分_【20090724】千里導入明細資料_２１年度分（９月工事分）_【20091207】千里導入明細資料_２１年度分（ネットワーク敷設）_Ⅹ_課題と対応策_20121211" xfId="2915" xr:uid="{00000000-0005-0000-0000-0000210B0000}"/>
    <cellStyle name="_【20090608】千里導入明細資料_２１年度分_【20090724】千里導入明細資料_２１年度分（９月工事分）_【20091207】千里導入明細資料_２１年度分（ネットワーク敷設）_Ⅹ_課題と対応策_20121211 2" xfId="2916" xr:uid="{00000000-0005-0000-0000-000022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917" xr:uid="{00000000-0005-0000-0000-000023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918" xr:uid="{00000000-0005-0000-0000-000024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919" xr:uid="{00000000-0005-0000-0000-000025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920" xr:uid="{00000000-0005-0000-0000-0000260B0000}"/>
    <cellStyle name="_【20090608】千里導入明細資料_２１年度分_【20090724】千里導入明細資料_２１年度分（９月工事分）_【20091225】千里導入明細資料_２２年度上期分（営業店ＡＰ－ＤＢ）" xfId="2921" xr:uid="{00000000-0005-0000-0000-0000270B0000}"/>
    <cellStyle name="_【20090608】千里導入明細資料_２１年度分_【20090724】千里導入明細資料_２１年度分（９月工事分）_【20091225】千里導入明細資料_２２年度上期分（営業店ＡＰ－ＤＢ） 2" xfId="2922" xr:uid="{00000000-0005-0000-0000-000028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923" xr:uid="{00000000-0005-0000-0000-000029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924" xr:uid="{00000000-0005-0000-0000-00002A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925" xr:uid="{00000000-0005-0000-0000-00002B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926" xr:uid="{00000000-0005-0000-0000-00002C0B0000}"/>
    <cellStyle name="_【20090608】千里導入明細資料_２１年度分_【20090724】千里導入明細資料_２１年度分（９月工事分）_【20091225】千里導入明細資料_２２年度上期分（営業店ＡＰ－ＤＢ）_Ⅹ_課題と対応策_20121211" xfId="2927" xr:uid="{00000000-0005-0000-0000-00002D0B0000}"/>
    <cellStyle name="_【20090608】千里導入明細資料_２１年度分_【20090724】千里導入明細資料_２１年度分（９月工事分）_【20091225】千里導入明細資料_２２年度上期分（営業店ＡＰ－ＤＢ）_Ⅹ_課題と対応策_20121211 2" xfId="2928" xr:uid="{00000000-0005-0000-0000-00002E0B0000}"/>
    <cellStyle name="_【20090608】千里導入明細資料_２１年度分_【20090724】千里導入明細資料_２１年度分（９月工事分）_【20091225】千里導入明細資料_２２年度上期分_営業店DB" xfId="2929" xr:uid="{00000000-0005-0000-0000-00002F0B0000}"/>
    <cellStyle name="_【20090608】千里導入明細資料_２１年度分_【20090724】千里導入明細資料_２１年度分（９月工事分）_【20091225】千里導入明細資料_２２年度上期分_営業店DB 2" xfId="2930" xr:uid="{00000000-0005-0000-0000-000030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" xfId="2931" xr:uid="{00000000-0005-0000-0000-000031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 2" xfId="2932" xr:uid="{00000000-0005-0000-0000-000032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933" xr:uid="{00000000-0005-0000-0000-000033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934" xr:uid="{00000000-0005-0000-0000-0000340B0000}"/>
    <cellStyle name="_【20090608】千里導入明細資料_２１年度分_【20090724】千里導入明細資料_２１年度分（９月工事分）_【20091225】千里導入明細資料_２２年度上期分_営業店DB_Ⅹ_課題と対応策_20121211" xfId="2935" xr:uid="{00000000-0005-0000-0000-0000350B0000}"/>
    <cellStyle name="_【20090608】千里導入明細資料_２１年度分_【20090724】千里導入明細資料_２１年度分（９月工事分）_【20091225】千里導入明細資料_２２年度上期分_営業店DB_Ⅹ_課題と対応策_20121211 2" xfId="2936" xr:uid="{00000000-0005-0000-0000-0000360B0000}"/>
    <cellStyle name="_【20090608】千里導入明細資料_２１年度分_【20090724】千里導入明細資料_２１年度分（９月工事分）_【20091225】千里導入明細資料_２２年度上期分_連携DB" xfId="2937" xr:uid="{00000000-0005-0000-0000-0000370B0000}"/>
    <cellStyle name="_【20090608】千里導入明細資料_２１年度分_【20090724】千里導入明細資料_２１年度分（９月工事分）_【20091225】千里導入明細資料_２２年度上期分_連携DB 2" xfId="2938" xr:uid="{00000000-0005-0000-0000-000038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" xfId="2939" xr:uid="{00000000-0005-0000-0000-000039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 2" xfId="2940" xr:uid="{00000000-0005-0000-0000-00003A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941" xr:uid="{00000000-0005-0000-0000-00003B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942" xr:uid="{00000000-0005-0000-0000-00003C0B0000}"/>
    <cellStyle name="_【20090608】千里導入明細資料_２１年度分_【20090724】千里導入明細資料_２１年度分（９月工事分）_【20091225】千里導入明細資料_２２年度上期分_連携DB_Ⅹ_課題と対応策_20121211" xfId="2943" xr:uid="{00000000-0005-0000-0000-00003D0B0000}"/>
    <cellStyle name="_【20090608】千里導入明細資料_２１年度分_【20090724】千里導入明細資料_２１年度分（９月工事分）_【20091225】千里導入明細資料_２２年度上期分_連携DB_Ⅹ_課題と対応策_20121211 2" xfId="2944" xr:uid="{00000000-0005-0000-0000-00003E0B0000}"/>
    <cellStyle name="_【20090608】千里導入明細資料_２１年度分_【20090724】千里導入明細資料_２１年度分（９月工事分）_【作成中】千里センター機器配置図（2010年対応分）_20091221" xfId="2945" xr:uid="{00000000-0005-0000-0000-00003F0B0000}"/>
    <cellStyle name="_【20090608】千里導入明細資料_２１年度分_【20090724】千里導入明細資料_２１年度分（９月工事分）_【作成中】千里センター機器配置図（2010年対応分）_20091221 2" xfId="2946" xr:uid="{00000000-0005-0000-0000-000040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947" xr:uid="{00000000-0005-0000-0000-000041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948" xr:uid="{00000000-0005-0000-0000-000042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949" xr:uid="{00000000-0005-0000-0000-000043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950" xr:uid="{00000000-0005-0000-0000-0000440B0000}"/>
    <cellStyle name="_【20090608】千里導入明細資料_２１年度分_【20090724】千里導入明細資料_２１年度分（９月工事分）_【作成中】千里センター機器配置図（2010年対応分）_20091221_Ⅹ_課題と対応策_20121211" xfId="2951" xr:uid="{00000000-0005-0000-0000-0000450B0000}"/>
    <cellStyle name="_【20090608】千里導入明細資料_２１年度分_【20090724】千里導入明細資料_２１年度分（９月工事分）_【作成中】千里センター機器配置図（2010年対応分）_20091221_Ⅹ_課題と対応策_20121211 2" xfId="2952" xr:uid="{00000000-0005-0000-0000-0000460B0000}"/>
    <cellStyle name="_【20090608】千里導入明細資料_２１年度分_【20090724】千里導入明細資料_２１年度分（９月工事分）_Ⅹ_課題と対応策_20121211" xfId="2953" xr:uid="{00000000-0005-0000-0000-0000470B0000}"/>
    <cellStyle name="_【20090608】千里導入明細資料_２１年度分_【20090724】千里導入明細資料_２１年度分（９月工事分）_Ⅹ_課題と対応策_20121211 2" xfId="2954" xr:uid="{00000000-0005-0000-0000-0000480B0000}"/>
    <cellStyle name="_【20090608】千里導入明細資料_２１年度分_【20090731】千里導入明細資料_２１年度分（９月工事分）" xfId="2955" xr:uid="{00000000-0005-0000-0000-0000490B0000}"/>
    <cellStyle name="_【20090608】千里導入明細資料_２１年度分_【20090731】千里導入明細資料_２１年度分（９月工事分） 2" xfId="2956" xr:uid="{00000000-0005-0000-0000-00004A0B0000}"/>
    <cellStyle name="_【20090608】千里導入明細資料_２１年度分_【20090731】千里導入明細資料_２１年度分（９月工事分）_【20090821】千里ラック搭載図（NW機器）" xfId="2957" xr:uid="{00000000-0005-0000-0000-00004B0B0000}"/>
    <cellStyle name="_【20090608】千里導入明細資料_２１年度分_【20090731】千里導入明細資料_２１年度分（９月工事分）_【20090821】千里ラック搭載図（NW機器） 2" xfId="2958" xr:uid="{00000000-0005-0000-0000-00004C0B0000}"/>
    <cellStyle name="_【20090608】千里導入明細資料_２１年度分_【20090731】千里導入明細資料_２１年度分（９月工事分）_【20090821】千里ラック搭載図（NW機器）_Ⅹ_課題と対応策_20121211" xfId="2959" xr:uid="{00000000-0005-0000-0000-00004D0B0000}"/>
    <cellStyle name="_【20090608】千里導入明細資料_２１年度分_【20090731】千里導入明細資料_２１年度分（９月工事分）_【20090821】千里ラック搭載図（NW機器）_Ⅹ_課題と対応策_20121211 2" xfId="2960" xr:uid="{00000000-0005-0000-0000-00004E0B0000}"/>
    <cellStyle name="_【20090608】千里導入明細資料_２１年度分_【20090731】千里導入明細資料_２１年度分（９月工事分）_Ⅹ_課題と対応策_20121211" xfId="2961" xr:uid="{00000000-0005-0000-0000-00004F0B0000}"/>
    <cellStyle name="_【20090608】千里導入明細資料_２１年度分_【20090731】千里導入明細資料_２１年度分（９月工事分）_Ⅹ_課題と対応策_20121211 2" xfId="2962" xr:uid="{00000000-0005-0000-0000-0000500B0000}"/>
    <cellStyle name="_【20090608】千里導入明細資料_２１年度分_【20090807】千里導入明細資料" xfId="2963" xr:uid="{00000000-0005-0000-0000-0000510B0000}"/>
    <cellStyle name="_【20090608】千里導入明細資料_２１年度分_【20090807】千里導入明細資料 2" xfId="2964" xr:uid="{00000000-0005-0000-0000-0000520B0000}"/>
    <cellStyle name="_【20090608】千里導入明細資料_２１年度分_【20090807】千里導入明細資料_【20091207】千里導入明細資料_２１年度分（ネットワーク敷設）" xfId="2965" xr:uid="{00000000-0005-0000-0000-0000530B0000}"/>
    <cellStyle name="_【20090608】千里導入明細資料_２１年度分_【20090807】千里導入明細資料_【20091207】千里導入明細資料_２１年度分（ネットワーク敷設） 2" xfId="2966" xr:uid="{00000000-0005-0000-0000-000054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" xfId="2967" xr:uid="{00000000-0005-0000-0000-000055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 2" xfId="2968" xr:uid="{00000000-0005-0000-0000-000056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969" xr:uid="{00000000-0005-0000-0000-000057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970" xr:uid="{00000000-0005-0000-0000-0000580B0000}"/>
    <cellStyle name="_【20090608】千里導入明細資料_２１年度分_【20090807】千里導入明細資料_【20091207】千里導入明細資料_２１年度分（ネットワーク敷設）_Ⅹ_課題と対応策_20121211" xfId="2971" xr:uid="{00000000-0005-0000-0000-0000590B0000}"/>
    <cellStyle name="_【20090608】千里導入明細資料_２１年度分_【20090807】千里導入明細資料_【20091207】千里導入明細資料_２１年度分（ネットワーク敷設）_Ⅹ_課題と対応策_20121211 2" xfId="2972" xr:uid="{00000000-0005-0000-0000-00005A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" xfId="2973" xr:uid="{00000000-0005-0000-0000-00005B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 2" xfId="2974" xr:uid="{00000000-0005-0000-0000-00005C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975" xr:uid="{00000000-0005-0000-0000-00005D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976" xr:uid="{00000000-0005-0000-0000-00005E0B0000}"/>
    <cellStyle name="_【20090608】千里導入明細資料_２１年度分_【20090807】千里導入明細資料_【20091225】千里導入明細資料_２２年度上期分（営業店ＡＰ－ＤＢ）" xfId="2977" xr:uid="{00000000-0005-0000-0000-00005F0B0000}"/>
    <cellStyle name="_【20090608】千里導入明細資料_２１年度分_【20090807】千里導入明細資料_【20091225】千里導入明細資料_２２年度上期分（営業店ＡＰ－ＤＢ） 2" xfId="2978" xr:uid="{00000000-0005-0000-0000-000060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" xfId="2979" xr:uid="{00000000-0005-0000-0000-000061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 2" xfId="2980" xr:uid="{00000000-0005-0000-0000-000062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981" xr:uid="{00000000-0005-0000-0000-000063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982" xr:uid="{00000000-0005-0000-0000-0000640B0000}"/>
    <cellStyle name="_【20090608】千里導入明細資料_２１年度分_【20090807】千里導入明細資料_【20091225】千里導入明細資料_２２年度上期分（営業店ＡＰ－ＤＢ）_Ⅹ_課題と対応策_20121211" xfId="2983" xr:uid="{00000000-0005-0000-0000-0000650B0000}"/>
    <cellStyle name="_【20090608】千里導入明細資料_２１年度分_【20090807】千里導入明細資料_【20091225】千里導入明細資料_２２年度上期分（営業店ＡＰ－ＤＢ）_Ⅹ_課題と対応策_20121211 2" xfId="2984" xr:uid="{00000000-0005-0000-0000-0000660B0000}"/>
    <cellStyle name="_【20090608】千里導入明細資料_２１年度分_【20090807】千里導入明細資料_【20091225】千里導入明細資料_２２年度上期分_営業店DB" xfId="2985" xr:uid="{00000000-0005-0000-0000-0000670B0000}"/>
    <cellStyle name="_【20090608】千里導入明細資料_２１年度分_【20090807】千里導入明細資料_【20091225】千里導入明細資料_２２年度上期分_営業店DB 2" xfId="2986" xr:uid="{00000000-0005-0000-0000-0000680B0000}"/>
    <cellStyle name="_【20090608】千里導入明細資料_２１年度分_【20090807】千里導入明細資料_【20091225】千里導入明細資料_２２年度上期分_営業店DB_【調整中】千里導入明細資料_２２年度上期分_fj_20100127" xfId="2987" xr:uid="{00000000-0005-0000-0000-0000690B0000}"/>
    <cellStyle name="_【20090608】千里導入明細資料_２１年度分_【20090807】千里導入明細資料_【20091225】千里導入明細資料_２２年度上期分_営業店DB_【調整中】千里導入明細資料_２２年度上期分_fj_20100127 2" xfId="2988" xr:uid="{00000000-0005-0000-0000-00006A0B0000}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" xfId="2989" xr:uid="{00000000-0005-0000-0000-00006B0B0000}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 2" xfId="2990" xr:uid="{00000000-0005-0000-0000-00006C0B0000}"/>
    <cellStyle name="_【20090608】千里導入明細資料_２１年度分_【20090807】千里導入明細資料_【20091225】千里導入明細資料_２２年度上期分_営業店DB_Ⅹ_課題と対応策_20121211" xfId="2991" xr:uid="{00000000-0005-0000-0000-00006D0B0000}"/>
    <cellStyle name="_【20090608】千里導入明細資料_２１年度分_【20090807】千里導入明細資料_【20091225】千里導入明細資料_２２年度上期分_営業店DB_Ⅹ_課題と対応策_20121211 2" xfId="2992" xr:uid="{00000000-0005-0000-0000-00006E0B0000}"/>
    <cellStyle name="_【20090608】千里導入明細資料_２１年度分_【20090807】千里導入明細資料_【20091225】千里導入明細資料_２２年度上期分_連携DB" xfId="2993" xr:uid="{00000000-0005-0000-0000-00006F0B0000}"/>
    <cellStyle name="_【20090608】千里導入明細資料_２１年度分_【20090807】千里導入明細資料_【20091225】千里導入明細資料_２２年度上期分_連携DB 2" xfId="2994" xr:uid="{00000000-0005-0000-0000-0000700B0000}"/>
    <cellStyle name="_【20090608】千里導入明細資料_２１年度分_【20090807】千里導入明細資料_【20091225】千里導入明細資料_２２年度上期分_連携DB_【調整中】千里導入明細資料_２２年度上期分_fj_20100127" xfId="2995" xr:uid="{00000000-0005-0000-0000-0000710B0000}"/>
    <cellStyle name="_【20090608】千里導入明細資料_２１年度分_【20090807】千里導入明細資料_【20091225】千里導入明細資料_２２年度上期分_連携DB_【調整中】千里導入明細資料_２２年度上期分_fj_20100127 2" xfId="2996" xr:uid="{00000000-0005-0000-0000-0000720B0000}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" xfId="2997" xr:uid="{00000000-0005-0000-0000-0000730B0000}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 2" xfId="2998" xr:uid="{00000000-0005-0000-0000-0000740B0000}"/>
    <cellStyle name="_【20090608】千里導入明細資料_２１年度分_【20090807】千里導入明細資料_【20091225】千里導入明細資料_２２年度上期分_連携DB_Ⅹ_課題と対応策_20121211" xfId="2999" xr:uid="{00000000-0005-0000-0000-0000750B0000}"/>
    <cellStyle name="_【20090608】千里導入明細資料_２１年度分_【20090807】千里導入明細資料_【20091225】千里導入明細資料_２２年度上期分_連携DB_Ⅹ_課題と対応策_20121211 2" xfId="3000" xr:uid="{00000000-0005-0000-0000-0000760B0000}"/>
    <cellStyle name="_【20090608】千里導入明細資料_２１年度分_【20090807】千里導入明細資料_【作成中】千里センター機器配置図（2010年対応分）_20091221" xfId="3001" xr:uid="{00000000-0005-0000-0000-0000770B0000}"/>
    <cellStyle name="_【20090608】千里導入明細資料_２１年度分_【20090807】千里導入明細資料_【作成中】千里センター機器配置図（2010年対応分）_20091221 2" xfId="3002" xr:uid="{00000000-0005-0000-0000-000078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" xfId="3003" xr:uid="{00000000-0005-0000-0000-000079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 2" xfId="3004" xr:uid="{00000000-0005-0000-0000-00007A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" xfId="3005" xr:uid="{00000000-0005-0000-0000-00007B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 2" xfId="3006" xr:uid="{00000000-0005-0000-0000-00007C0B0000}"/>
    <cellStyle name="_【20090608】千里導入明細資料_２１年度分_【20090807】千里導入明細資料_【作成中】千里センター機器配置図（2010年対応分）_20091221_Ⅹ_課題と対応策_20121211" xfId="3007" xr:uid="{00000000-0005-0000-0000-00007D0B0000}"/>
    <cellStyle name="_【20090608】千里導入明細資料_２１年度分_【20090807】千里導入明細資料_【作成中】千里センター機器配置図（2010年対応分）_20091221_Ⅹ_課題と対応策_20121211 2" xfId="3008" xr:uid="{00000000-0005-0000-0000-00007E0B0000}"/>
    <cellStyle name="_【20090608】千里導入明細資料_２１年度分_【20090807】千里導入明細資料_Ⅹ_課題と対応策_20121211" xfId="3009" xr:uid="{00000000-0005-0000-0000-00007F0B0000}"/>
    <cellStyle name="_【20090608】千里導入明細資料_２１年度分_【20090807】千里導入明細資料_Ⅹ_課題と対応策_20121211 2" xfId="3010" xr:uid="{00000000-0005-0000-0000-0000800B0000}"/>
    <cellStyle name="_【20090608】千里導入明細資料_２１年度分_【20090814】千里導入明細資料_SDB追加" xfId="3011" xr:uid="{00000000-0005-0000-0000-0000810B0000}"/>
    <cellStyle name="_【20090608】千里導入明細資料_２１年度分_【20090814】千里導入明細資料_SDB追加 2" xfId="3012" xr:uid="{00000000-0005-0000-0000-0000820B0000}"/>
    <cellStyle name="_【20090608】千里導入明細資料_２１年度分_【20090814】千里導入明細資料_SDB追加_【20091207】千里導入明細資料_２１年度分（ネットワーク敷設）" xfId="3013" xr:uid="{00000000-0005-0000-0000-0000830B0000}"/>
    <cellStyle name="_【20090608】千里導入明細資料_２１年度分_【20090814】千里導入明細資料_SDB追加_【20091207】千里導入明細資料_２１年度分（ネットワーク敷設） 2" xfId="3014" xr:uid="{00000000-0005-0000-0000-000084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" xfId="3015" xr:uid="{00000000-0005-0000-0000-000085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 2" xfId="3016" xr:uid="{00000000-0005-0000-0000-000086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3017" xr:uid="{00000000-0005-0000-0000-000087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3018" xr:uid="{00000000-0005-0000-0000-0000880B0000}"/>
    <cellStyle name="_【20090608】千里導入明細資料_２１年度分_【20090814】千里導入明細資料_SDB追加_【20091207】千里導入明細資料_２１年度分（ネットワーク敷設）_Ⅹ_課題と対応策_20121211" xfId="3019" xr:uid="{00000000-0005-0000-0000-0000890B0000}"/>
    <cellStyle name="_【20090608】千里導入明細資料_２１年度分_【20090814】千里導入明細資料_SDB追加_【20091207】千里導入明細資料_２１年度分（ネットワーク敷設）_Ⅹ_課題と対応策_20121211 2" xfId="3020" xr:uid="{00000000-0005-0000-0000-00008A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" xfId="3021" xr:uid="{00000000-0005-0000-0000-00008B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 2" xfId="3022" xr:uid="{00000000-0005-0000-0000-00008C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3023" xr:uid="{00000000-0005-0000-0000-00008D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3024" xr:uid="{00000000-0005-0000-0000-00008E0B0000}"/>
    <cellStyle name="_【20090608】千里導入明細資料_２１年度分_【20090814】千里導入明細資料_SDB追加_【20091225】千里導入明細資料_２２年度上期分（営業店ＡＰ－ＤＢ）" xfId="3025" xr:uid="{00000000-0005-0000-0000-00008F0B0000}"/>
    <cellStyle name="_【20090608】千里導入明細資料_２１年度分_【20090814】千里導入明細資料_SDB追加_【20091225】千里導入明細資料_２２年度上期分（営業店ＡＰ－ＤＢ） 2" xfId="3026" xr:uid="{00000000-0005-0000-0000-000090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" xfId="3027" xr:uid="{00000000-0005-0000-0000-000091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 2" xfId="3028" xr:uid="{00000000-0005-0000-0000-000092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3029" xr:uid="{00000000-0005-0000-0000-000093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3030" xr:uid="{00000000-0005-0000-0000-0000940B0000}"/>
    <cellStyle name="_【20090608】千里導入明細資料_２１年度分_【20090814】千里導入明細資料_SDB追加_【20091225】千里導入明細資料_２２年度上期分（営業店ＡＰ－ＤＢ）_Ⅹ_課題と対応策_20121211" xfId="3031" xr:uid="{00000000-0005-0000-0000-0000950B0000}"/>
    <cellStyle name="_【20090608】千里導入明細資料_２１年度分_【20090814】千里導入明細資料_SDB追加_【20091225】千里導入明細資料_２２年度上期分（営業店ＡＰ－ＤＢ）_Ⅹ_課題と対応策_20121211 2" xfId="3032" xr:uid="{00000000-0005-0000-0000-0000960B0000}"/>
    <cellStyle name="_【20090608】千里導入明細資料_２１年度分_【20090814】千里導入明細資料_SDB追加_【20091225】千里導入明細資料_２２年度上期分_営業店DB" xfId="3033" xr:uid="{00000000-0005-0000-0000-0000970B0000}"/>
    <cellStyle name="_【20090608】千里導入明細資料_２１年度分_【20090814】千里導入明細資料_SDB追加_【20091225】千里導入明細資料_２２年度上期分_営業店DB 2" xfId="3034" xr:uid="{00000000-0005-0000-0000-000098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" xfId="3035" xr:uid="{00000000-0005-0000-0000-000099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 2" xfId="3036" xr:uid="{00000000-0005-0000-0000-00009A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" xfId="3037" xr:uid="{00000000-0005-0000-0000-00009B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3038" xr:uid="{00000000-0005-0000-0000-00009C0B0000}"/>
    <cellStyle name="_【20090608】千里導入明細資料_２１年度分_【20090814】千里導入明細資料_SDB追加_【20091225】千里導入明細資料_２２年度上期分_営業店DB_Ⅹ_課題と対応策_20121211" xfId="3039" xr:uid="{00000000-0005-0000-0000-00009D0B0000}"/>
    <cellStyle name="_【20090608】千里導入明細資料_２１年度分_【20090814】千里導入明細資料_SDB追加_【20091225】千里導入明細資料_２２年度上期分_営業店DB_Ⅹ_課題と対応策_20121211 2" xfId="3040" xr:uid="{00000000-0005-0000-0000-00009E0B0000}"/>
    <cellStyle name="_【20090608】千里導入明細資料_２１年度分_【20090814】千里導入明細資料_SDB追加_【20091225】千里導入明細資料_２２年度上期分_連携DB" xfId="3041" xr:uid="{00000000-0005-0000-0000-00009F0B0000}"/>
    <cellStyle name="_【20090608】千里導入明細資料_２１年度分_【20090814】千里導入明細資料_SDB追加_【20091225】千里導入明細資料_２２年度上期分_連携DB 2" xfId="3042" xr:uid="{00000000-0005-0000-0000-0000A0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" xfId="3043" xr:uid="{00000000-0005-0000-0000-0000A1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 2" xfId="3044" xr:uid="{00000000-0005-0000-0000-0000A2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" xfId="3045" xr:uid="{00000000-0005-0000-0000-0000A3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 2" xfId="3046" xr:uid="{00000000-0005-0000-0000-0000A40B0000}"/>
    <cellStyle name="_【20090608】千里導入明細資料_２１年度分_【20090814】千里導入明細資料_SDB追加_【20091225】千里導入明細資料_２２年度上期分_連携DB_Ⅹ_課題と対応策_20121211" xfId="3047" xr:uid="{00000000-0005-0000-0000-0000A50B0000}"/>
    <cellStyle name="_【20090608】千里導入明細資料_２１年度分_【20090814】千里導入明細資料_SDB追加_【20091225】千里導入明細資料_２２年度上期分_連携DB_Ⅹ_課題と対応策_20121211 2" xfId="3048" xr:uid="{00000000-0005-0000-0000-0000A60B0000}"/>
    <cellStyle name="_【20090608】千里導入明細資料_２１年度分_【20090814】千里導入明細資料_SDB追加_【作成中】千里センター機器配置図（2010年対応分）_20091221" xfId="3049" xr:uid="{00000000-0005-0000-0000-0000A70B0000}"/>
    <cellStyle name="_【20090608】千里導入明細資料_２１年度分_【20090814】千里導入明細資料_SDB追加_【作成中】千里センター機器配置図（2010年対応分）_20091221 2" xfId="3050" xr:uid="{00000000-0005-0000-0000-0000A8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" xfId="3051" xr:uid="{00000000-0005-0000-0000-0000A9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 2" xfId="3052" xr:uid="{00000000-0005-0000-0000-0000AA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3053" xr:uid="{00000000-0005-0000-0000-0000AB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3054" xr:uid="{00000000-0005-0000-0000-0000AC0B0000}"/>
    <cellStyle name="_【20090608】千里導入明細資料_２１年度分_【20090814】千里導入明細資料_SDB追加_【作成中】千里センター機器配置図（2010年対応分）_20091221_Ⅹ_課題と対応策_20121211" xfId="3055" xr:uid="{00000000-0005-0000-0000-0000AD0B0000}"/>
    <cellStyle name="_【20090608】千里導入明細資料_２１年度分_【20090814】千里導入明細資料_SDB追加_【作成中】千里センター機器配置図（2010年対応分）_20091221_Ⅹ_課題と対応策_20121211 2" xfId="3056" xr:uid="{00000000-0005-0000-0000-0000AE0B0000}"/>
    <cellStyle name="_【20090608】千里導入明細資料_２１年度分_【20090814】千里導入明細資料_SDB追加_Ⅹ_課題と対応策_20121211" xfId="3057" xr:uid="{00000000-0005-0000-0000-0000AF0B0000}"/>
    <cellStyle name="_【20090608】千里導入明細資料_２１年度分_【20090814】千里導入明細資料_SDB追加_Ⅹ_課題と対応策_20121211 2" xfId="3058" xr:uid="{00000000-0005-0000-0000-0000B00B0000}"/>
    <cellStyle name="_【20090608】千里導入明細資料_２１年度分_【20090821】千里ラック搭載図（NW機器）" xfId="3059" xr:uid="{00000000-0005-0000-0000-0000B10B0000}"/>
    <cellStyle name="_【20090608】千里導入明細資料_２１年度分_【20090821】千里ラック搭載図（NW機器） 2" xfId="3060" xr:uid="{00000000-0005-0000-0000-0000B20B0000}"/>
    <cellStyle name="_【20090608】千里導入明細資料_２１年度分_【20090821】千里ラック搭載図（NW機器）_Ⅹ_課題と対応策_20121211" xfId="3061" xr:uid="{00000000-0005-0000-0000-0000B30B0000}"/>
    <cellStyle name="_【20090608】千里導入明細資料_２１年度分_【20090821】千里ラック搭載図（NW機器）_Ⅹ_課題と対応策_20121211 2" xfId="3062" xr:uid="{00000000-0005-0000-0000-0000B40B0000}"/>
    <cellStyle name="_【20090608】千里導入明細資料_２１年度分_【20091218】千里導入明細資料_２１年度分（ネットワーク敷設）" xfId="3063" xr:uid="{00000000-0005-0000-0000-0000B50B0000}"/>
    <cellStyle name="_【20090608】千里導入明細資料_２１年度分_【20091218】千里導入明細資料_２１年度分（ネットワーク敷設） 2" xfId="3064" xr:uid="{00000000-0005-0000-0000-0000B60B0000}"/>
    <cellStyle name="_【20090608】千里導入明細資料_２１年度分_【20091218】千里導入明細資料_２１年度分（ネットワーク敷設）_Ⅹ_課題と対応策_20121211" xfId="3065" xr:uid="{00000000-0005-0000-0000-0000B70B0000}"/>
    <cellStyle name="_【20090608】千里導入明細資料_２１年度分_【20091218】千里導入明細資料_２１年度分（ネットワーク敷設）_Ⅹ_課題と対応策_20121211 2" xfId="3066" xr:uid="{00000000-0005-0000-0000-0000B80B0000}"/>
    <cellStyle name="_【20090608】千里導入明細資料_２１年度分_【20091224】千里導入明細資料_２２年度上期分_営業店DB" xfId="3067" xr:uid="{00000000-0005-0000-0000-0000B90B0000}"/>
    <cellStyle name="_【20090608】千里導入明細資料_２１年度分_【20091224】千里導入明細資料_２２年度上期分_営業店DB 2" xfId="3068" xr:uid="{00000000-0005-0000-0000-0000BA0B0000}"/>
    <cellStyle name="_【20090608】千里導入明細資料_２１年度分_【20091224】千里導入明細資料_２２年度上期分_営業店DB_【20091225】千里導入明細資料_２２年度上期分（営業店ＡＰ－ＤＢ）" xfId="3069" xr:uid="{00000000-0005-0000-0000-0000BB0B0000}"/>
    <cellStyle name="_【20090608】千里導入明細資料_２１年度分_【20091224】千里導入明細資料_２２年度上期分_営業店DB_【20091225】千里導入明細資料_２２年度上期分（営業店ＡＰ－ＤＢ） 2" xfId="3070" xr:uid="{00000000-0005-0000-0000-0000BC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071" xr:uid="{00000000-0005-0000-0000-0000BD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072" xr:uid="{00000000-0005-0000-0000-0000BE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073" xr:uid="{00000000-0005-0000-0000-0000BF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074" xr:uid="{00000000-0005-0000-0000-0000C00B0000}"/>
    <cellStyle name="_【20090608】千里導入明細資料_２１年度分_【20091224】千里導入明細資料_２２年度上期分_営業店DB_【20091225】千里導入明細資料_２２年度上期分（営業店ＡＰ－ＤＢ）_Ⅹ_課題と対応策_20121211" xfId="3075" xr:uid="{00000000-0005-0000-0000-0000C10B0000}"/>
    <cellStyle name="_【20090608】千里導入明細資料_２１年度分_【20091224】千里導入明細資料_２２年度上期分_営業店DB_【20091225】千里導入明細資料_２２年度上期分（営業店ＡＰ－ＤＢ）_Ⅹ_課題と対応策_20121211 2" xfId="3076" xr:uid="{00000000-0005-0000-0000-0000C20B0000}"/>
    <cellStyle name="_【20090608】千里導入明細資料_２１年度分_【20091224】千里導入明細資料_２２年度上期分_営業店DB_【20091225】千里導入明細資料_２２年度上期分_営業店DB" xfId="3077" xr:uid="{00000000-0005-0000-0000-0000C30B0000}"/>
    <cellStyle name="_【20090608】千里導入明細資料_２１年度分_【20091224】千里導入明細資料_２２年度上期分_営業店DB_【20091225】千里導入明細資料_２２年度上期分_営業店DB 2" xfId="3078" xr:uid="{00000000-0005-0000-0000-0000C4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" xfId="3079" xr:uid="{00000000-0005-0000-0000-0000C5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 2" xfId="3080" xr:uid="{00000000-0005-0000-0000-0000C6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081" xr:uid="{00000000-0005-0000-0000-0000C7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082" xr:uid="{00000000-0005-0000-0000-0000C80B0000}"/>
    <cellStyle name="_【20090608】千里導入明細資料_２１年度分_【20091224】千里導入明細資料_２２年度上期分_営業店DB_【20091225】千里導入明細資料_２２年度上期分_営業店DB_Ⅹ_課題と対応策_20121211" xfId="3083" xr:uid="{00000000-0005-0000-0000-0000C90B0000}"/>
    <cellStyle name="_【20090608】千里導入明細資料_２１年度分_【20091224】千里導入明細資料_２２年度上期分_営業店DB_【20091225】千里導入明細資料_２２年度上期分_営業店DB_Ⅹ_課題と対応策_20121211 2" xfId="3084" xr:uid="{00000000-0005-0000-0000-0000CA0B0000}"/>
    <cellStyle name="_【20090608】千里導入明細資料_２１年度分_【20091224】千里導入明細資料_２２年度上期分_営業店DB_Ⅹ_課題と対応策_20121211" xfId="3085" xr:uid="{00000000-0005-0000-0000-0000CB0B0000}"/>
    <cellStyle name="_【20090608】千里導入明細資料_２１年度分_【20091224】千里導入明細資料_２２年度上期分_営業店DB_Ⅹ_課題と対応策_20121211 2" xfId="3086" xr:uid="{00000000-0005-0000-0000-0000CC0B0000}"/>
    <cellStyle name="_【20090608】千里導入明細資料_２１年度分_【20091225】千里導入明細資料_２２年度上期分" xfId="3087" xr:uid="{00000000-0005-0000-0000-0000CD0B0000}"/>
    <cellStyle name="_【20090608】千里導入明細資料_２１年度分_【20091225】千里導入明細資料_２２年度上期分 2" xfId="3088" xr:uid="{00000000-0005-0000-0000-0000CE0B0000}"/>
    <cellStyle name="_【20090608】千里導入明細資料_２１年度分_【20091225】千里導入明細資料_２２年度上期分_Ⅹ_課題と対応策_20121211" xfId="3089" xr:uid="{00000000-0005-0000-0000-0000CF0B0000}"/>
    <cellStyle name="_【20090608】千里導入明細資料_２１年度分_【20091225】千里導入明細資料_２２年度上期分_Ⅹ_課題と対応策_20121211 2" xfId="3090" xr:uid="{00000000-0005-0000-0000-0000D00B0000}"/>
    <cellStyle name="_【20090608】千里導入明細資料_２１年度分_【20091225】千里導入明細資料_２２年度上期分_営業店DB" xfId="3091" xr:uid="{00000000-0005-0000-0000-0000D10B0000}"/>
    <cellStyle name="_【20090608】千里導入明細資料_２１年度分_【20091225】千里導入明細資料_２２年度上期分_営業店DB 2" xfId="3092" xr:uid="{00000000-0005-0000-0000-0000D20B0000}"/>
    <cellStyle name="_【20090608】千里導入明細資料_２１年度分_【20091225】千里導入明細資料_２２年度上期分_営業店DB_Ⅹ_課題と対応策_20121211" xfId="3093" xr:uid="{00000000-0005-0000-0000-0000D30B0000}"/>
    <cellStyle name="_【20090608】千里導入明細資料_２１年度分_【20091225】千里導入明細資料_２２年度上期分_営業店DB_Ⅹ_課題と対応策_20121211 2" xfId="3094" xr:uid="{00000000-0005-0000-0000-0000D40B0000}"/>
    <cellStyle name="_【20090608】千里導入明細資料_２１年度分_【20091225】千里導入明細資料_２２年度上期分_連携DB" xfId="3095" xr:uid="{00000000-0005-0000-0000-0000D50B0000}"/>
    <cellStyle name="_【20090608】千里導入明細資料_２１年度分_【20091225】千里導入明細資料_２２年度上期分_連携DB 2" xfId="3096" xr:uid="{00000000-0005-0000-0000-0000D60B0000}"/>
    <cellStyle name="_【20090608】千里導入明細資料_２１年度分_【20091225】千里導入明細資料_２２年度上期分_連携DB_Ⅹ_課題と対応策_20121211" xfId="3097" xr:uid="{00000000-0005-0000-0000-0000D70B0000}"/>
    <cellStyle name="_【20090608】千里導入明細資料_２１年度分_【20091225】千里導入明細資料_２２年度上期分_連携DB_Ⅹ_課題と対応策_20121211 2" xfId="3098" xr:uid="{00000000-0005-0000-0000-0000D80B0000}"/>
    <cellStyle name="_【20090608】千里導入明細資料_２１年度分_【200912xx】千里導入明細資料_２２年度上期分" xfId="3099" xr:uid="{00000000-0005-0000-0000-0000D90B0000}"/>
    <cellStyle name="_【20090608】千里導入明細資料_２１年度分_【200912xx】千里導入明細資料_２２年度上期分 2" xfId="3100" xr:uid="{00000000-0005-0000-0000-0000DA0B0000}"/>
    <cellStyle name="_【20090608】千里導入明細資料_２１年度分_【200912xx】千里導入明細資料_２２年度上期分（為替分）" xfId="3101" xr:uid="{00000000-0005-0000-0000-0000DB0B0000}"/>
    <cellStyle name="_【20090608】千里導入明細資料_２１年度分_【200912xx】千里導入明細資料_２２年度上期分（為替分） 2" xfId="3102" xr:uid="{00000000-0005-0000-0000-0000DC0B0000}"/>
    <cellStyle name="_【20090608】千里導入明細資料_２１年度分_【200912xx】千里導入明細資料_２２年度上期分（為替分）_Ⅹ_課題と対応策_20121211" xfId="3103" xr:uid="{00000000-0005-0000-0000-0000DD0B0000}"/>
    <cellStyle name="_【20090608】千里導入明細資料_２１年度分_【200912xx】千里導入明細資料_２２年度上期分（為替分）_Ⅹ_課題と対応策_20121211 2" xfId="3104" xr:uid="{00000000-0005-0000-0000-0000DE0B0000}"/>
    <cellStyle name="_【20090608】千里導入明細資料_２１年度分_【200912xx】千里導入明細資料_２２年度上期分_【20091225】千里導入明細資料_２２年度上期分（営業店ＡＰ－ＤＢ）" xfId="3105" xr:uid="{00000000-0005-0000-0000-0000DF0B0000}"/>
    <cellStyle name="_【20090608】千里導入明細資料_２１年度分_【200912xx】千里導入明細資料_２２年度上期分_【20091225】千里導入明細資料_２２年度上期分（営業店ＡＰ－ＤＢ） 2" xfId="3106" xr:uid="{00000000-0005-0000-0000-0000E0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" xfId="3107" xr:uid="{00000000-0005-0000-0000-0000E1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108" xr:uid="{00000000-0005-0000-0000-0000E2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109" xr:uid="{00000000-0005-0000-0000-0000E3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110" xr:uid="{00000000-0005-0000-0000-0000E40B0000}"/>
    <cellStyle name="_【20090608】千里導入明細資料_２１年度分_【200912xx】千里導入明細資料_２２年度上期分_【20091225】千里導入明細資料_２２年度上期分（営業店ＡＰ－ＤＢ）_Ⅹ_課題と対応策_20121211" xfId="3111" xr:uid="{00000000-0005-0000-0000-0000E50B0000}"/>
    <cellStyle name="_【20090608】千里導入明細資料_２１年度分_【200912xx】千里導入明細資料_２２年度上期分_【20091225】千里導入明細資料_２２年度上期分（営業店ＡＰ－ＤＢ）_Ⅹ_課題と対応策_20121211 2" xfId="3112" xr:uid="{00000000-0005-0000-0000-0000E60B0000}"/>
    <cellStyle name="_【20090608】千里導入明細資料_２１年度分_【200912xx】千里導入明細資料_２２年度上期分_【20091225】千里導入明細資料_２２年度上期分_営業店DB" xfId="3113" xr:uid="{00000000-0005-0000-0000-0000E70B0000}"/>
    <cellStyle name="_【20090608】千里導入明細資料_２１年度分_【200912xx】千里導入明細資料_２２年度上期分_【20091225】千里導入明細資料_２２年度上期分_営業店DB 2" xfId="3114" xr:uid="{00000000-0005-0000-0000-0000E8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" xfId="3115" xr:uid="{00000000-0005-0000-0000-0000E9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 2" xfId="3116" xr:uid="{00000000-0005-0000-0000-0000EA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117" xr:uid="{00000000-0005-0000-0000-0000EB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118" xr:uid="{00000000-0005-0000-0000-0000EC0B0000}"/>
    <cellStyle name="_【20090608】千里導入明細資料_２１年度分_【200912xx】千里導入明細資料_２２年度上期分_【20091225】千里導入明細資料_２２年度上期分_営業店DB_Ⅹ_課題と対応策_20121211" xfId="3119" xr:uid="{00000000-0005-0000-0000-0000ED0B0000}"/>
    <cellStyle name="_【20090608】千里導入明細資料_２１年度分_【200912xx】千里導入明細資料_２２年度上期分_【20091225】千里導入明細資料_２２年度上期分_営業店DB_Ⅹ_課題と対応策_20121211 2" xfId="3120" xr:uid="{00000000-0005-0000-0000-0000EE0B0000}"/>
    <cellStyle name="_【20090608】千里導入明細資料_２１年度分_【200912xx】千里導入明細資料_２２年度上期分_【20091225】千里導入明細資料_２２年度上期分_連携DB" xfId="3121" xr:uid="{00000000-0005-0000-0000-0000EF0B0000}"/>
    <cellStyle name="_【20090608】千里導入明細資料_２１年度分_【200912xx】千里導入明細資料_２２年度上期分_【20091225】千里導入明細資料_２２年度上期分_連携DB 2" xfId="3122" xr:uid="{00000000-0005-0000-0000-0000F0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" xfId="3123" xr:uid="{00000000-0005-0000-0000-0000F1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 2" xfId="3124" xr:uid="{00000000-0005-0000-0000-0000F2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125" xr:uid="{00000000-0005-0000-0000-0000F3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126" xr:uid="{00000000-0005-0000-0000-0000F40B0000}"/>
    <cellStyle name="_【20090608】千里導入明細資料_２１年度分_【200912xx】千里導入明細資料_２２年度上期分_【20091225】千里導入明細資料_２２年度上期分_連携DB_Ⅹ_課題と対応策_20121211" xfId="3127" xr:uid="{00000000-0005-0000-0000-0000F50B0000}"/>
    <cellStyle name="_【20090608】千里導入明細資料_２１年度分_【200912xx】千里導入明細資料_２２年度上期分_【20091225】千里導入明細資料_２２年度上期分_連携DB_Ⅹ_課題と対応策_20121211 2" xfId="3128" xr:uid="{00000000-0005-0000-0000-0000F60B0000}"/>
    <cellStyle name="_【20090608】千里導入明細資料_２１年度分_【200912xx】千里導入明細資料_２２年度上期分_Ⅹ_課題と対応策_20121211" xfId="3129" xr:uid="{00000000-0005-0000-0000-0000F70B0000}"/>
    <cellStyle name="_【20090608】千里導入明細資料_２１年度分_【200912xx】千里導入明細資料_２２年度上期分_Ⅹ_課題と対応策_20121211 2" xfId="3130" xr:uid="{00000000-0005-0000-0000-0000F80B0000}"/>
    <cellStyle name="_【20090608】千里導入明細資料_２１年度分_【調整中】千里導入明細資料_２２年度上期分_fj_20100127" xfId="3131" xr:uid="{00000000-0005-0000-0000-0000F90B0000}"/>
    <cellStyle name="_【20090608】千里導入明細資料_２１年度分_【調整中】千里導入明細資料_２２年度上期分_fj_20100127 2" xfId="3132" xr:uid="{00000000-0005-0000-0000-0000FA0B0000}"/>
    <cellStyle name="_【20090608】千里導入明細資料_２１年度分_【調整中】千里導入明細資料_２２年度上期分_fj_20100127_Ⅹ_課題と対応策_20121211" xfId="3133" xr:uid="{00000000-0005-0000-0000-0000FB0B0000}"/>
    <cellStyle name="_【20090608】千里導入明細資料_２１年度分_【調整中】千里導入明細資料_２２年度上期分_fj_20100127_Ⅹ_課題と対応策_20121211 2" xfId="3134" xr:uid="{00000000-0005-0000-0000-0000FC0B0000}"/>
    <cellStyle name="_【20090608】千里導入明細資料_２１年度分_①【20091225】千里導入明細資料_２２年度上期1分)" xfId="3135" xr:uid="{00000000-0005-0000-0000-0000FD0B0000}"/>
    <cellStyle name="_【20090608】千里導入明細資料_２１年度分_①【20091225】千里導入明細資料_２２年度上期1分) 2" xfId="3136" xr:uid="{00000000-0005-0000-0000-0000FE0B0000}"/>
    <cellStyle name="_【20090608】千里導入明細資料_２１年度分_①【20091225】千里導入明細資料_２２年度上期1分)_Ⅹ_課題と対応策_20121211" xfId="3137" xr:uid="{00000000-0005-0000-0000-0000FF0B0000}"/>
    <cellStyle name="_【20090608】千里導入明細資料_２１年度分_①【20091225】千里導入明細資料_２２年度上期1分)_Ⅹ_課題と対応策_20121211 2" xfId="3138" xr:uid="{00000000-0005-0000-0000-0000000C0000}"/>
    <cellStyle name="_【20090608】千里導入明細資料_２１年度分_Ⅹ_課題と対応策_20121211" xfId="3139" xr:uid="{00000000-0005-0000-0000-0000010C0000}"/>
    <cellStyle name="_【20090608】千里導入明細資料_２１年度分_Ⅹ_課題と対応策_20121211 2" xfId="3140" xr:uid="{00000000-0005-0000-0000-0000020C0000}"/>
    <cellStyle name="_【20090608】千里導入明細資料_２１年度分_ラック構成図（千里_営業店・新事務）_20090805" xfId="3141" xr:uid="{00000000-0005-0000-0000-0000030C0000}"/>
    <cellStyle name="_【20090608】千里導入明細資料_２１年度分_ラック構成図（千里_営業店・新事務）_20090805 2" xfId="3142" xr:uid="{00000000-0005-0000-0000-0000040C0000}"/>
    <cellStyle name="_【20090608】千里導入明細資料_２１年度分_ラック構成図（千里_営業店・新事務）_20090805_【20091207】千里導入明細資料_２１年度分（ネットワーク敷設）" xfId="3143" xr:uid="{00000000-0005-0000-0000-0000050C0000}"/>
    <cellStyle name="_【20090608】千里導入明細資料_２１年度分_ラック構成図（千里_営業店・新事務）_20090805_【20091207】千里導入明細資料_２１年度分（ネットワーク敷設） 2" xfId="3144" xr:uid="{00000000-0005-0000-0000-000006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3145" xr:uid="{00000000-0005-0000-0000-000007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3146" xr:uid="{00000000-0005-0000-0000-000008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3147" xr:uid="{00000000-0005-0000-0000-000009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3148" xr:uid="{00000000-0005-0000-0000-00000A0C0000}"/>
    <cellStyle name="_【20090608】千里導入明細資料_２１年度分_ラック構成図（千里_営業店・新事務）_20090805_【20091207】千里導入明細資料_２１年度分（ネットワーク敷設）_Ⅹ_課題と対応策_20121211" xfId="3149" xr:uid="{00000000-0005-0000-0000-00000B0C0000}"/>
    <cellStyle name="_【20090608】千里導入明細資料_２１年度分_ラック構成図（千里_営業店・新事務）_20090805_【20091207】千里導入明細資料_２１年度分（ネットワーク敷設）_Ⅹ_課題と対応策_20121211 2" xfId="3150" xr:uid="{00000000-0005-0000-0000-00000C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" xfId="3151" xr:uid="{00000000-0005-0000-0000-00000D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 2" xfId="3152" xr:uid="{00000000-0005-0000-0000-00000E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3153" xr:uid="{00000000-0005-0000-0000-00000F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3154" xr:uid="{00000000-0005-0000-0000-0000100C0000}"/>
    <cellStyle name="_【20090608】千里導入明細資料_２１年度分_ラック構成図（千里_営業店・新事務）_20090805_【20091225】千里導入明細資料_２２年度上期分（営業店ＡＰ－ＤＢ）" xfId="3155" xr:uid="{00000000-0005-0000-0000-0000110C0000}"/>
    <cellStyle name="_【20090608】千里導入明細資料_２１年度分_ラック構成図（千里_営業店・新事務）_20090805_【20091225】千里導入明細資料_２２年度上期分（営業店ＡＰ－ＤＢ） 2" xfId="3156" xr:uid="{00000000-0005-0000-0000-000012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" xfId="3157" xr:uid="{00000000-0005-0000-0000-000013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3158" xr:uid="{00000000-0005-0000-0000-000014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3159" xr:uid="{00000000-0005-0000-0000-000015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3160" xr:uid="{00000000-0005-0000-0000-0000160C0000}"/>
    <cellStyle name="_【20090608】千里導入明細資料_２１年度分_ラック構成図（千里_営業店・新事務）_20090805_【20091225】千里導入明細資料_２２年度上期分（営業店ＡＰ－ＤＢ）_Ⅹ_課題と対応策_20121211" xfId="3161" xr:uid="{00000000-0005-0000-0000-0000170C0000}"/>
    <cellStyle name="_【20090608】千里導入明細資料_２１年度分_ラック構成図（千里_営業店・新事務）_20090805_【20091225】千里導入明細資料_２２年度上期分（営業店ＡＰ－ＤＢ）_Ⅹ_課題と対応策_20121211 2" xfId="3162" xr:uid="{00000000-0005-0000-0000-0000180C0000}"/>
    <cellStyle name="_【20090608】千里導入明細資料_２１年度分_ラック構成図（千里_営業店・新事務）_20090805_【20091225】千里導入明細資料_２２年度上期分_営業店DB" xfId="3163" xr:uid="{00000000-0005-0000-0000-0000190C0000}"/>
    <cellStyle name="_【20090608】千里導入明細資料_２１年度分_ラック構成図（千里_営業店・新事務）_20090805_【20091225】千里導入明細資料_２２年度上期分_営業店DB 2" xfId="3164" xr:uid="{00000000-0005-0000-0000-00001A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" xfId="3165" xr:uid="{00000000-0005-0000-0000-00001B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 2" xfId="3166" xr:uid="{00000000-0005-0000-0000-00001C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3167" xr:uid="{00000000-0005-0000-0000-00001D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3168" xr:uid="{00000000-0005-0000-0000-00001E0C0000}"/>
    <cellStyle name="_【20090608】千里導入明細資料_２１年度分_ラック構成図（千里_営業店・新事務）_20090805_【20091225】千里導入明細資料_２２年度上期分_営業店DB_Ⅹ_課題と対応策_20121211" xfId="3169" xr:uid="{00000000-0005-0000-0000-00001F0C0000}"/>
    <cellStyle name="_【20090608】千里導入明細資料_２１年度分_ラック構成図（千里_営業店・新事務）_20090805_【20091225】千里導入明細資料_２２年度上期分_営業店DB_Ⅹ_課題と対応策_20121211 2" xfId="3170" xr:uid="{00000000-0005-0000-0000-0000200C0000}"/>
    <cellStyle name="_【20090608】千里導入明細資料_２１年度分_ラック構成図（千里_営業店・新事務）_20090805_【20091225】千里導入明細資料_２２年度上期分_連携DB" xfId="3171" xr:uid="{00000000-0005-0000-0000-0000210C0000}"/>
    <cellStyle name="_【20090608】千里導入明細資料_２１年度分_ラック構成図（千里_営業店・新事務）_20090805_【20091225】千里導入明細資料_２２年度上期分_連携DB 2" xfId="3172" xr:uid="{00000000-0005-0000-0000-000022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" xfId="3173" xr:uid="{00000000-0005-0000-0000-000023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 2" xfId="3174" xr:uid="{00000000-0005-0000-0000-000024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3175" xr:uid="{00000000-0005-0000-0000-000025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3176" xr:uid="{00000000-0005-0000-0000-0000260C0000}"/>
    <cellStyle name="_【20090608】千里導入明細資料_２１年度分_ラック構成図（千里_営業店・新事務）_20090805_【20091225】千里導入明細資料_２２年度上期分_連携DB_Ⅹ_課題と対応策_20121211" xfId="3177" xr:uid="{00000000-0005-0000-0000-0000270C0000}"/>
    <cellStyle name="_【20090608】千里導入明細資料_２１年度分_ラック構成図（千里_営業店・新事務）_20090805_【20091225】千里導入明細資料_２２年度上期分_連携DB_Ⅹ_課題と対応策_20121211 2" xfId="3178" xr:uid="{00000000-0005-0000-0000-0000280C0000}"/>
    <cellStyle name="_【20090608】千里導入明細資料_２１年度分_ラック構成図（千里_営業店・新事務）_20090805_【作成中】千里センター機器配置図（2010年対応分）_20091221" xfId="3179" xr:uid="{00000000-0005-0000-0000-0000290C0000}"/>
    <cellStyle name="_【20090608】千里導入明細資料_２１年度分_ラック構成図（千里_営業店・新事務）_20090805_【作成中】千里センター機器配置図（2010年対応分）_20091221 2" xfId="3180" xr:uid="{00000000-0005-0000-0000-00002A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" xfId="3181" xr:uid="{00000000-0005-0000-0000-00002B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 2" xfId="3182" xr:uid="{00000000-0005-0000-0000-00002C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3183" xr:uid="{00000000-0005-0000-0000-00002D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3184" xr:uid="{00000000-0005-0000-0000-00002E0C0000}"/>
    <cellStyle name="_【20090608】千里導入明細資料_２１年度分_ラック構成図（千里_営業店・新事務）_20090805_【作成中】千里センター機器配置図（2010年対応分）_20091221_Ⅹ_課題と対応策_20121211" xfId="3185" xr:uid="{00000000-0005-0000-0000-00002F0C0000}"/>
    <cellStyle name="_【20090608】千里導入明細資料_２１年度分_ラック構成図（千里_営業店・新事務）_20090805_【作成中】千里センター機器配置図（2010年対応分）_20091221_Ⅹ_課題と対応策_20121211 2" xfId="3186" xr:uid="{00000000-0005-0000-0000-0000300C0000}"/>
    <cellStyle name="_【20090608】千里導入明細資料_２１年度分_ラック構成図（千里_営業店・新事務）_20090805_Ⅹ_課題と対応策_20121211" xfId="3187" xr:uid="{00000000-0005-0000-0000-0000310C0000}"/>
    <cellStyle name="_【20090608】千里導入明細資料_２１年度分_ラック構成図（千里_営業店・新事務）_20090805_Ⅹ_課題と対応策_20121211 2" xfId="3188" xr:uid="{00000000-0005-0000-0000-0000320C0000}"/>
    <cellStyle name="_【20090608】千里導入明細資料_２１年度分_ラック構成図_Catalyst直付け（新事務処理）" xfId="3189" xr:uid="{00000000-0005-0000-0000-0000330C0000}"/>
    <cellStyle name="_【20090608】千里導入明細資料_２１年度分_ラック構成図_Catalyst直付け（新事務処理） 2" xfId="3190" xr:uid="{00000000-0005-0000-0000-0000340C0000}"/>
    <cellStyle name="_【20090608】千里導入明細資料_２１年度分_ラック構成図_Catalyst直付け（新事務処理）_【20091207】千里導入明細資料_２１年度分（ネットワーク敷設）" xfId="3191" xr:uid="{00000000-0005-0000-0000-0000350C0000}"/>
    <cellStyle name="_【20090608】千里導入明細資料_２１年度分_ラック構成図_Catalyst直付け（新事務処理）_【20091207】千里導入明細資料_２１年度分（ネットワーク敷設） 2" xfId="3192" xr:uid="{00000000-0005-0000-0000-000036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" xfId="3193" xr:uid="{00000000-0005-0000-0000-000037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3194" xr:uid="{00000000-0005-0000-0000-000038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3195" xr:uid="{00000000-0005-0000-0000-000039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3196" xr:uid="{00000000-0005-0000-0000-00003A0C0000}"/>
    <cellStyle name="_【20090608】千里導入明細資料_２１年度分_ラック構成図_Catalyst直付け（新事務処理）_【20091207】千里導入明細資料_２１年度分（ネットワーク敷設）_Ⅹ_課題と対応策_20121211" xfId="3197" xr:uid="{00000000-0005-0000-0000-00003B0C0000}"/>
    <cellStyle name="_【20090608】千里導入明細資料_２１年度分_ラック構成図_Catalyst直付け（新事務処理）_【20091207】千里導入明細資料_２１年度分（ネットワーク敷設）_Ⅹ_課題と対応策_20121211 2" xfId="3198" xr:uid="{00000000-0005-0000-0000-00003C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" xfId="3199" xr:uid="{00000000-0005-0000-0000-00003D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 2" xfId="3200" xr:uid="{00000000-0005-0000-0000-00003E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3201" xr:uid="{00000000-0005-0000-0000-00003F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3202" xr:uid="{00000000-0005-0000-0000-0000400C0000}"/>
    <cellStyle name="_【20090608】千里導入明細資料_２１年度分_ラック構成図_Catalyst直付け（新事務処理）_【20091225】千里導入明細資料_２２年度上期分（営業店ＡＰ－ＤＢ）" xfId="3203" xr:uid="{00000000-0005-0000-0000-0000410C0000}"/>
    <cellStyle name="_【20090608】千里導入明細資料_２１年度分_ラック構成図_Catalyst直付け（新事務処理）_【20091225】千里導入明細資料_２２年度上期分（営業店ＡＰ－ＤＢ） 2" xfId="3204" xr:uid="{00000000-0005-0000-0000-000042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" xfId="3205" xr:uid="{00000000-0005-0000-0000-000043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 2" xfId="3206" xr:uid="{00000000-0005-0000-0000-000044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3207" xr:uid="{00000000-0005-0000-0000-000045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3208" xr:uid="{00000000-0005-0000-0000-0000460C0000}"/>
    <cellStyle name="_【20090608】千里導入明細資料_２１年度分_ラック構成図_Catalyst直付け（新事務処理）_【20091225】千里導入明細資料_２２年度上期分（営業店ＡＰ－ＤＢ）_Ⅹ_課題と対応策_20121211" xfId="3209" xr:uid="{00000000-0005-0000-0000-0000470C0000}"/>
    <cellStyle name="_【20090608】千里導入明細資料_２１年度分_ラック構成図_Catalyst直付け（新事務処理）_【20091225】千里導入明細資料_２２年度上期分（営業店ＡＰ－ＤＢ）_Ⅹ_課題と対応策_20121211 2" xfId="3210" xr:uid="{00000000-0005-0000-0000-0000480C0000}"/>
    <cellStyle name="_【20090608】千里導入明細資料_２１年度分_ラック構成図_Catalyst直付け（新事務処理）_【20091225】千里導入明細資料_２２年度上期分_営業店DB" xfId="3211" xr:uid="{00000000-0005-0000-0000-0000490C0000}"/>
    <cellStyle name="_【20090608】千里導入明細資料_２１年度分_ラック構成図_Catalyst直付け（新事務処理）_【20091225】千里導入明細資料_２２年度上期分_営業店DB 2" xfId="3212" xr:uid="{00000000-0005-0000-0000-00004A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" xfId="3213" xr:uid="{00000000-0005-0000-0000-00004B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 2" xfId="3214" xr:uid="{00000000-0005-0000-0000-00004C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3215" xr:uid="{00000000-0005-0000-0000-00004D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3216" xr:uid="{00000000-0005-0000-0000-00004E0C0000}"/>
    <cellStyle name="_【20090608】千里導入明細資料_２１年度分_ラック構成図_Catalyst直付け（新事務処理）_【20091225】千里導入明細資料_２２年度上期分_営業店DB_Ⅹ_課題と対応策_20121211" xfId="3217" xr:uid="{00000000-0005-0000-0000-00004F0C0000}"/>
    <cellStyle name="_【20090608】千里導入明細資料_２１年度分_ラック構成図_Catalyst直付け（新事務処理）_【20091225】千里導入明細資料_２２年度上期分_営業店DB_Ⅹ_課題と対応策_20121211 2" xfId="3218" xr:uid="{00000000-0005-0000-0000-0000500C0000}"/>
    <cellStyle name="_【20090608】千里導入明細資料_２１年度分_ラック構成図_Catalyst直付け（新事務処理）_【20091225】千里導入明細資料_２２年度上期分_連携DB" xfId="3219" xr:uid="{00000000-0005-0000-0000-0000510C0000}"/>
    <cellStyle name="_【20090608】千里導入明細資料_２１年度分_ラック構成図_Catalyst直付け（新事務処理）_【20091225】千里導入明細資料_２２年度上期分_連携DB 2" xfId="3220" xr:uid="{00000000-0005-0000-0000-000052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" xfId="3221" xr:uid="{00000000-0005-0000-0000-000053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 2" xfId="3222" xr:uid="{00000000-0005-0000-0000-000054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3223" xr:uid="{00000000-0005-0000-0000-000055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3224" xr:uid="{00000000-0005-0000-0000-0000560C0000}"/>
    <cellStyle name="_【20090608】千里導入明細資料_２１年度分_ラック構成図_Catalyst直付け（新事務処理）_【20091225】千里導入明細資料_２２年度上期分_連携DB_Ⅹ_課題と対応策_20121211" xfId="3225" xr:uid="{00000000-0005-0000-0000-0000570C0000}"/>
    <cellStyle name="_【20090608】千里導入明細資料_２１年度分_ラック構成図_Catalyst直付け（新事務処理）_【20091225】千里導入明細資料_２２年度上期分_連携DB_Ⅹ_課題と対応策_20121211 2" xfId="3226" xr:uid="{00000000-0005-0000-0000-0000580C0000}"/>
    <cellStyle name="_【20090608】千里導入明細資料_２１年度分_ラック構成図_Catalyst直付け（新事務処理）_【作成中】千里センター機器配置図（2010年対応分）_20091221" xfId="3227" xr:uid="{00000000-0005-0000-0000-0000590C0000}"/>
    <cellStyle name="_【20090608】千里導入明細資料_２１年度分_ラック構成図_Catalyst直付け（新事務処理）_【作成中】千里センター機器配置図（2010年対応分）_20091221 2" xfId="3228" xr:uid="{00000000-0005-0000-0000-00005A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" xfId="3229" xr:uid="{00000000-0005-0000-0000-00005B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 2" xfId="3230" xr:uid="{00000000-0005-0000-0000-00005C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3231" xr:uid="{00000000-0005-0000-0000-00005D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3232" xr:uid="{00000000-0005-0000-0000-00005E0C0000}"/>
    <cellStyle name="_【20090608】千里導入明細資料_２１年度分_ラック構成図_Catalyst直付け（新事務処理）_【作成中】千里センター機器配置図（2010年対応分）_20091221_Ⅹ_課題と対応策_20121211" xfId="3233" xr:uid="{00000000-0005-0000-0000-00005F0C0000}"/>
    <cellStyle name="_【20090608】千里導入明細資料_２１年度分_ラック構成図_Catalyst直付け（新事務処理）_【作成中】千里センター機器配置図（2010年対応分）_20091221_Ⅹ_課題と対応策_20121211 2" xfId="3234" xr:uid="{00000000-0005-0000-0000-0000600C0000}"/>
    <cellStyle name="_【20090608】千里導入明細資料_２１年度分_ラック構成図_Catalyst直付け（新事務処理）_Ⅹ_課題と対応策_20121211" xfId="3235" xr:uid="{00000000-0005-0000-0000-0000610C0000}"/>
    <cellStyle name="_【20090608】千里導入明細資料_２１年度分_ラック構成図_Catalyst直付け（新事務処理）_Ⅹ_課題と対応策_20121211 2" xfId="3236" xr:uid="{00000000-0005-0000-0000-0000620C0000}"/>
    <cellStyle name="_【20090608】千里導入明細資料_２１年度分_ラック構成図_RX100Si-R削除(新事務処理)" xfId="3237" xr:uid="{00000000-0005-0000-0000-0000630C0000}"/>
    <cellStyle name="_【20090608】千里導入明細資料_２１年度分_ラック構成図_RX100Si-R削除(新事務処理) 2" xfId="3238" xr:uid="{00000000-0005-0000-0000-0000640C0000}"/>
    <cellStyle name="_【20090608】千里導入明細資料_２１年度分_ラック構成図_RX100Si-R削除(新事務処理)_【20091207】千里導入明細資料_２１年度分（ネットワーク敷設）" xfId="3239" xr:uid="{00000000-0005-0000-0000-0000650C0000}"/>
    <cellStyle name="_【20090608】千里導入明細資料_２１年度分_ラック構成図_RX100Si-R削除(新事務処理)_【20091207】千里導入明細資料_２１年度分（ネットワーク敷設） 2" xfId="3240" xr:uid="{00000000-0005-0000-0000-000066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" xfId="3241" xr:uid="{00000000-0005-0000-0000-000067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 2" xfId="3242" xr:uid="{00000000-0005-0000-0000-000068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3243" xr:uid="{00000000-0005-0000-0000-000069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3244" xr:uid="{00000000-0005-0000-0000-00006A0C0000}"/>
    <cellStyle name="_【20090608】千里導入明細資料_２１年度分_ラック構成図_RX100Si-R削除(新事務処理)_【20091207】千里導入明細資料_２１年度分（ネットワーク敷設）_Ⅹ_課題と対応策_20121211" xfId="3245" xr:uid="{00000000-0005-0000-0000-00006B0C0000}"/>
    <cellStyle name="_【20090608】千里導入明細資料_２１年度分_ラック構成図_RX100Si-R削除(新事務処理)_【20091207】千里導入明細資料_２１年度分（ネットワーク敷設）_Ⅹ_課題と対応策_20121211 2" xfId="3246" xr:uid="{00000000-0005-0000-0000-00006C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" xfId="3247" xr:uid="{00000000-0005-0000-0000-00006D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 2" xfId="3248" xr:uid="{00000000-0005-0000-0000-00006E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3249" xr:uid="{00000000-0005-0000-0000-00006F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3250" xr:uid="{00000000-0005-0000-0000-0000700C0000}"/>
    <cellStyle name="_【20090608】千里導入明細資料_２１年度分_ラック構成図_RX100Si-R削除(新事務処理)_【20091225】千里導入明細資料_２２年度上期分（営業店ＡＰ－ＤＢ）" xfId="3251" xr:uid="{00000000-0005-0000-0000-0000710C0000}"/>
    <cellStyle name="_【20090608】千里導入明細資料_２１年度分_ラック構成図_RX100Si-R削除(新事務処理)_【20091225】千里導入明細資料_２２年度上期分（営業店ＡＰ－ＤＢ） 2" xfId="3252" xr:uid="{00000000-0005-0000-0000-000072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" xfId="3253" xr:uid="{00000000-0005-0000-0000-000073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 2" xfId="3254" xr:uid="{00000000-0005-0000-0000-000074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3255" xr:uid="{00000000-0005-0000-0000-000075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3256" xr:uid="{00000000-0005-0000-0000-0000760C0000}"/>
    <cellStyle name="_【20090608】千里導入明細資料_２１年度分_ラック構成図_RX100Si-R削除(新事務処理)_【20091225】千里導入明細資料_２２年度上期分（営業店ＡＰ－ＤＢ）_Ⅹ_課題と対応策_20121211" xfId="3257" xr:uid="{00000000-0005-0000-0000-0000770C0000}"/>
    <cellStyle name="_【20090608】千里導入明細資料_２１年度分_ラック構成図_RX100Si-R削除(新事務処理)_【20091225】千里導入明細資料_２２年度上期分（営業店ＡＰ－ＤＢ）_Ⅹ_課題と対応策_20121211 2" xfId="3258" xr:uid="{00000000-0005-0000-0000-0000780C0000}"/>
    <cellStyle name="_【20090608】千里導入明細資料_２１年度分_ラック構成図_RX100Si-R削除(新事務処理)_【20091225】千里導入明細資料_２２年度上期分_営業店DB" xfId="3259" xr:uid="{00000000-0005-0000-0000-0000790C0000}"/>
    <cellStyle name="_【20090608】千里導入明細資料_２１年度分_ラック構成図_RX100Si-R削除(新事務処理)_【20091225】千里導入明細資料_２２年度上期分_営業店DB 2" xfId="3260" xr:uid="{00000000-0005-0000-0000-00007A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" xfId="3261" xr:uid="{00000000-0005-0000-0000-00007B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 2" xfId="3262" xr:uid="{00000000-0005-0000-0000-00007C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3263" xr:uid="{00000000-0005-0000-0000-00007D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3264" xr:uid="{00000000-0005-0000-0000-00007E0C0000}"/>
    <cellStyle name="_【20090608】千里導入明細資料_２１年度分_ラック構成図_RX100Si-R削除(新事務処理)_【20091225】千里導入明細資料_２２年度上期分_営業店DB_Ⅹ_課題と対応策_20121211" xfId="3265" xr:uid="{00000000-0005-0000-0000-00007F0C0000}"/>
    <cellStyle name="_【20090608】千里導入明細資料_２１年度分_ラック構成図_RX100Si-R削除(新事務処理)_【20091225】千里導入明細資料_２２年度上期分_営業店DB_Ⅹ_課題と対応策_20121211 2" xfId="3266" xr:uid="{00000000-0005-0000-0000-0000800C0000}"/>
    <cellStyle name="_【20090608】千里導入明細資料_２１年度分_ラック構成図_RX100Si-R削除(新事務処理)_【20091225】千里導入明細資料_２２年度上期分_連携DB" xfId="3267" xr:uid="{00000000-0005-0000-0000-0000810C0000}"/>
    <cellStyle name="_【20090608】千里導入明細資料_２１年度分_ラック構成図_RX100Si-R削除(新事務処理)_【20091225】千里導入明細資料_２２年度上期分_連携DB 2" xfId="3268" xr:uid="{00000000-0005-0000-0000-000082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" xfId="3269" xr:uid="{00000000-0005-0000-0000-000083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 2" xfId="3270" xr:uid="{00000000-0005-0000-0000-000084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" xfId="3271" xr:uid="{00000000-0005-0000-0000-000085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3272" xr:uid="{00000000-0005-0000-0000-0000860C0000}"/>
    <cellStyle name="_【20090608】千里導入明細資料_２１年度分_ラック構成図_RX100Si-R削除(新事務処理)_【20091225】千里導入明細資料_２２年度上期分_連携DB_Ⅹ_課題と対応策_20121211" xfId="3273" xr:uid="{00000000-0005-0000-0000-0000870C0000}"/>
    <cellStyle name="_【20090608】千里導入明細資料_２１年度分_ラック構成図_RX100Si-R削除(新事務処理)_【20091225】千里導入明細資料_２２年度上期分_連携DB_Ⅹ_課題と対応策_20121211 2" xfId="3274" xr:uid="{00000000-0005-0000-0000-0000880C0000}"/>
    <cellStyle name="_【20090608】千里導入明細資料_２１年度分_ラック構成図_RX100Si-R削除(新事務処理)_【作成中】千里センター機器配置図（2010年対応分）_20091221" xfId="3275" xr:uid="{00000000-0005-0000-0000-0000890C0000}"/>
    <cellStyle name="_【20090608】千里導入明細資料_２１年度分_ラック構成図_RX100Si-R削除(新事務処理)_【作成中】千里センター機器配置図（2010年対応分）_20091221 2" xfId="3276" xr:uid="{00000000-0005-0000-0000-00008A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" xfId="3277" xr:uid="{00000000-0005-0000-0000-00008B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 2" xfId="3278" xr:uid="{00000000-0005-0000-0000-00008C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3279" xr:uid="{00000000-0005-0000-0000-00008D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3280" xr:uid="{00000000-0005-0000-0000-00008E0C0000}"/>
    <cellStyle name="_【20090608】千里導入明細資料_２１年度分_ラック構成図_RX100Si-R削除(新事務処理)_【作成中】千里センター機器配置図（2010年対応分）_20091221_Ⅹ_課題と対応策_20121211" xfId="3281" xr:uid="{00000000-0005-0000-0000-00008F0C0000}"/>
    <cellStyle name="_【20090608】千里導入明細資料_２１年度分_ラック構成図_RX100Si-R削除(新事務処理)_【作成中】千里センター機器配置図（2010年対応分）_20091221_Ⅹ_課題と対応策_20121211 2" xfId="3282" xr:uid="{00000000-0005-0000-0000-0000900C0000}"/>
    <cellStyle name="_【20090608】千里導入明細資料_２１年度分_ラック構成図_RX100Si-R削除(新事務処理)_Ⅹ_課題と対応策_20121211" xfId="3283" xr:uid="{00000000-0005-0000-0000-0000910C0000}"/>
    <cellStyle name="_【20090608】千里導入明細資料_２１年度分_ラック構成図_RX100Si-R削除(新事務処理)_Ⅹ_課題と対応策_20121211 2" xfId="3284" xr:uid="{00000000-0005-0000-0000-0000920C0000}"/>
    <cellStyle name="_【20090608】千里導入明細資料_２１年度分_千里導入明細資料_２２年度分（ネットワーク敷設）_fj" xfId="3285" xr:uid="{00000000-0005-0000-0000-0000930C0000}"/>
    <cellStyle name="_【20090608】千里導入明細資料_２１年度分_千里導入明細資料_２２年度分（ネットワーク敷設）_fj 2" xfId="3286" xr:uid="{00000000-0005-0000-0000-0000940C0000}"/>
    <cellStyle name="_【20090608】千里導入明細資料_２１年度分_千里導入明細資料_２２年度分（ネットワーク敷設）_fj_Ⅹ_課題と対応策_20121211" xfId="3287" xr:uid="{00000000-0005-0000-0000-0000950C0000}"/>
    <cellStyle name="_【20090608】千里導入明細資料_２１年度分_千里導入明細資料_２２年度分（ネットワーク敷設）_fj_Ⅹ_課題と対応策_20121211 2" xfId="3288" xr:uid="{00000000-0005-0000-0000-0000960C0000}"/>
    <cellStyle name="_【20090717】千里導入明細資料_２１年度分（９月工事分）" xfId="3289" xr:uid="{00000000-0005-0000-0000-0000970C0000}"/>
    <cellStyle name="_【20090717】千里導入明細資料_２１年度分（９月工事分） 2" xfId="3290" xr:uid="{00000000-0005-0000-0000-0000980C0000}"/>
    <cellStyle name="_【20090717】千里導入明細資料_２１年度分（９月工事分）_【20091218】千里導入明細資料_２１年度分（ネットワーク敷設）" xfId="3291" xr:uid="{00000000-0005-0000-0000-0000990C0000}"/>
    <cellStyle name="_【20090717】千里導入明細資料_２１年度分（９月工事分）_【20091218】千里導入明細資料_２１年度分（ネットワーク敷設） 2" xfId="3292" xr:uid="{00000000-0005-0000-0000-00009A0C0000}"/>
    <cellStyle name="_【20090717】千里導入明細資料_２１年度分（９月工事分）_【20091218】千里導入明細資料_２１年度分（ネットワーク敷設）_Ⅹ_課題と対応策_20121211" xfId="3293" xr:uid="{00000000-0005-0000-0000-00009B0C0000}"/>
    <cellStyle name="_【20090717】千里導入明細資料_２１年度分（９月工事分）_【20091218】千里導入明細資料_２１年度分（ネットワーク敷設）_Ⅹ_課題と対応策_20121211 2" xfId="3294" xr:uid="{00000000-0005-0000-0000-00009C0C0000}"/>
    <cellStyle name="_【20090717】千里導入明細資料_２１年度分（９月工事分）_【20091224】千里導入明細資料_２２年度上期分_営業店DB" xfId="3295" xr:uid="{00000000-0005-0000-0000-00009D0C0000}"/>
    <cellStyle name="_【20090717】千里導入明細資料_２１年度分（９月工事分）_【20091224】千里導入明細資料_２２年度上期分_営業店DB 2" xfId="3296" xr:uid="{00000000-0005-0000-0000-00009E0C0000}"/>
    <cellStyle name="_【20090717】千里導入明細資料_２１年度分（９月工事分）_【20091224】千里導入明細資料_２２年度上期分_営業店DB_【20091225】千里導入明細資料_２２年度上期分（営業店ＡＰ－ＤＢ）" xfId="3297" xr:uid="{00000000-0005-0000-0000-00009F0C0000}"/>
    <cellStyle name="_【20090717】千里導入明細資料_２１年度分（９月工事分）_【20091224】千里導入明細資料_２２年度上期分_営業店DB_【20091225】千里導入明細資料_２２年度上期分（営業店ＡＰ－ＤＢ） 2" xfId="3298" xr:uid="{00000000-0005-0000-0000-0000A0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" xfId="3299" xr:uid="{00000000-0005-0000-0000-0000A1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 2" xfId="3300" xr:uid="{00000000-0005-0000-0000-0000A2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01" xr:uid="{00000000-0005-0000-0000-0000A3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302" xr:uid="{00000000-0005-0000-0000-0000A40C0000}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" xfId="3303" xr:uid="{00000000-0005-0000-0000-0000A50C0000}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 2" xfId="3304" xr:uid="{00000000-0005-0000-0000-0000A60C0000}"/>
    <cellStyle name="_【20090717】千里導入明細資料_２１年度分（９月工事分）_【20091224】千里導入明細資料_２２年度上期分_営業店DB_【20091225】千里導入明細資料_２２年度上期分_営業店DB" xfId="3305" xr:uid="{00000000-0005-0000-0000-0000A70C0000}"/>
    <cellStyle name="_【20090717】千里導入明細資料_２１年度分（９月工事分）_【20091224】千里導入明細資料_２２年度上期分_営業店DB_【20091225】千里導入明細資料_２２年度上期分_営業店DB 2" xfId="3306" xr:uid="{00000000-0005-0000-0000-0000A8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" xfId="3307" xr:uid="{00000000-0005-0000-0000-0000A9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 2" xfId="3308" xr:uid="{00000000-0005-0000-0000-0000AA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" xfId="3309" xr:uid="{00000000-0005-0000-0000-0000AB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 2" xfId="3310" xr:uid="{00000000-0005-0000-0000-0000AC0C0000}"/>
    <cellStyle name="_【20090717】千里導入明細資料_２１年度分（９月工事分）_【20091224】千里導入明細資料_２２年度上期分_営業店DB_【20091225】千里導入明細資料_２２年度上期分_営業店DB_Ⅹ_課題と対応策_20121211" xfId="3311" xr:uid="{00000000-0005-0000-0000-0000AD0C0000}"/>
    <cellStyle name="_【20090717】千里導入明細資料_２１年度分（９月工事分）_【20091224】千里導入明細資料_２２年度上期分_営業店DB_【20091225】千里導入明細資料_２２年度上期分_営業店DB_Ⅹ_課題と対応策_20121211 2" xfId="3312" xr:uid="{00000000-0005-0000-0000-0000AE0C0000}"/>
    <cellStyle name="_【20090717】千里導入明細資料_２１年度分（９月工事分）_【20091224】千里導入明細資料_２２年度上期分_営業店DB_Ⅹ_課題と対応策_20121211" xfId="3313" xr:uid="{00000000-0005-0000-0000-0000AF0C0000}"/>
    <cellStyle name="_【20090717】千里導入明細資料_２１年度分（９月工事分）_【20091224】千里導入明細資料_２２年度上期分_営業店DB_Ⅹ_課題と対応策_20121211 2" xfId="3314" xr:uid="{00000000-0005-0000-0000-0000B00C0000}"/>
    <cellStyle name="_【20090717】千里導入明細資料_２１年度分（９月工事分）_【20091225】千里導入明細資料_２２年度上期分" xfId="3315" xr:uid="{00000000-0005-0000-0000-0000B10C0000}"/>
    <cellStyle name="_【20090717】千里導入明細資料_２１年度分（９月工事分）_【20091225】千里導入明細資料_２２年度上期分 2" xfId="3316" xr:uid="{00000000-0005-0000-0000-0000B20C0000}"/>
    <cellStyle name="_【20090717】千里導入明細資料_２１年度分（９月工事分）_【20091225】千里導入明細資料_２２年度上期分_Ⅹ_課題と対応策_20121211" xfId="3317" xr:uid="{00000000-0005-0000-0000-0000B30C0000}"/>
    <cellStyle name="_【20090717】千里導入明細資料_２１年度分（９月工事分）_【20091225】千里導入明細資料_２２年度上期分_Ⅹ_課題と対応策_20121211 2" xfId="3318" xr:uid="{00000000-0005-0000-0000-0000B40C0000}"/>
    <cellStyle name="_【20090717】千里導入明細資料_２１年度分（９月工事分）_【20091225】千里導入明細資料_２２年度上期分_営業店DB" xfId="3319" xr:uid="{00000000-0005-0000-0000-0000B50C0000}"/>
    <cellStyle name="_【20090717】千里導入明細資料_２１年度分（９月工事分）_【20091225】千里導入明細資料_２２年度上期分_営業店DB 2" xfId="3320" xr:uid="{00000000-0005-0000-0000-0000B60C0000}"/>
    <cellStyle name="_【20090717】千里導入明細資料_２１年度分（９月工事分）_【20091225】千里導入明細資料_２２年度上期分_営業店DB_Ⅹ_課題と対応策_20121211" xfId="3321" xr:uid="{00000000-0005-0000-0000-0000B70C0000}"/>
    <cellStyle name="_【20090717】千里導入明細資料_２１年度分（９月工事分）_【20091225】千里導入明細資料_２２年度上期分_営業店DB_Ⅹ_課題と対応策_20121211 2" xfId="3322" xr:uid="{00000000-0005-0000-0000-0000B80C0000}"/>
    <cellStyle name="_【20090717】千里導入明細資料_２１年度分（９月工事分）_【20091225】千里導入明細資料_２２年度上期分_連携DB" xfId="3323" xr:uid="{00000000-0005-0000-0000-0000B90C0000}"/>
    <cellStyle name="_【20090717】千里導入明細資料_２１年度分（９月工事分）_【20091225】千里導入明細資料_２２年度上期分_連携DB 2" xfId="3324" xr:uid="{00000000-0005-0000-0000-0000BA0C0000}"/>
    <cellStyle name="_【20090717】千里導入明細資料_２１年度分（９月工事分）_【20091225】千里導入明細資料_２２年度上期分_連携DB_Ⅹ_課題と対応策_20121211" xfId="3325" xr:uid="{00000000-0005-0000-0000-0000BB0C0000}"/>
    <cellStyle name="_【20090717】千里導入明細資料_２１年度分（９月工事分）_【20091225】千里導入明細資料_２２年度上期分_連携DB_Ⅹ_課題と対応策_20121211 2" xfId="3326" xr:uid="{00000000-0005-0000-0000-0000BC0C0000}"/>
    <cellStyle name="_【20090717】千里導入明細資料_２１年度分（９月工事分）_【200912xx】千里導入明細資料_２２年度上期分" xfId="3327" xr:uid="{00000000-0005-0000-0000-0000BD0C0000}"/>
    <cellStyle name="_【20090717】千里導入明細資料_２１年度分（９月工事分）_【200912xx】千里導入明細資料_２２年度上期分 2" xfId="3328" xr:uid="{00000000-0005-0000-0000-0000BE0C0000}"/>
    <cellStyle name="_【20090717】千里導入明細資料_２１年度分（９月工事分）_【200912xx】千里導入明細資料_２２年度上期分（為替分）" xfId="3329" xr:uid="{00000000-0005-0000-0000-0000BF0C0000}"/>
    <cellStyle name="_【20090717】千里導入明細資料_２１年度分（９月工事分）_【200912xx】千里導入明細資料_２２年度上期分（為替分） 2" xfId="3330" xr:uid="{00000000-0005-0000-0000-0000C00C0000}"/>
    <cellStyle name="_【20090717】千里導入明細資料_２１年度分（９月工事分）_【200912xx】千里導入明細資料_２２年度上期分（為替分）_Ⅹ_課題と対応策_20121211" xfId="3331" xr:uid="{00000000-0005-0000-0000-0000C10C0000}"/>
    <cellStyle name="_【20090717】千里導入明細資料_２１年度分（９月工事分）_【200912xx】千里導入明細資料_２２年度上期分（為替分）_Ⅹ_課題と対応策_20121211 2" xfId="3332" xr:uid="{00000000-0005-0000-0000-0000C20C0000}"/>
    <cellStyle name="_【20090717】千里導入明細資料_２１年度分（９月工事分）_【200912xx】千里導入明細資料_２２年度上期分_【20091225】千里導入明細資料_２２年度上期分（営業店ＡＰ－ＤＢ）" xfId="3333" xr:uid="{00000000-0005-0000-0000-0000C30C0000}"/>
    <cellStyle name="_【20090717】千里導入明細資料_２１年度分（９月工事分）_【200912xx】千里導入明細資料_２２年度上期分_【20091225】千里導入明細資料_２２年度上期分（営業店ＡＰ－ＤＢ） 2" xfId="3334" xr:uid="{00000000-0005-0000-0000-0000C4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" xfId="3335" xr:uid="{00000000-0005-0000-0000-0000C5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 2" xfId="3336" xr:uid="{00000000-0005-0000-0000-0000C6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3337" xr:uid="{00000000-0005-0000-0000-0000C7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3338" xr:uid="{00000000-0005-0000-0000-0000C80C0000}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" xfId="3339" xr:uid="{00000000-0005-0000-0000-0000C90C0000}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 2" xfId="3340" xr:uid="{00000000-0005-0000-0000-0000CA0C0000}"/>
    <cellStyle name="_【20090717】千里導入明細資料_２１年度分（９月工事分）_【200912xx】千里導入明細資料_２２年度上期分_【20091225】千里導入明細資料_２２年度上期分_営業店DB" xfId="3341" xr:uid="{00000000-0005-0000-0000-0000CB0C0000}"/>
    <cellStyle name="_【20090717】千里導入明細資料_２１年度分（９月工事分）_【200912xx】千里導入明細資料_２２年度上期分_【20091225】千里導入明細資料_２２年度上期分_営業店DB 2" xfId="3342" xr:uid="{00000000-0005-0000-0000-0000CC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" xfId="3343" xr:uid="{00000000-0005-0000-0000-0000CD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 2" xfId="3344" xr:uid="{00000000-0005-0000-0000-0000CE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" xfId="3345" xr:uid="{00000000-0005-0000-0000-0000CF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 2" xfId="3346" xr:uid="{00000000-0005-0000-0000-0000D00C0000}"/>
    <cellStyle name="_【20090717】千里導入明細資料_２１年度分（９月工事分）_【200912xx】千里導入明細資料_２２年度上期分_【20091225】千里導入明細資料_２２年度上期分_営業店DB_Ⅹ_課題と対応策_20121211" xfId="3347" xr:uid="{00000000-0005-0000-0000-0000D10C0000}"/>
    <cellStyle name="_【20090717】千里導入明細資料_２１年度分（９月工事分）_【200912xx】千里導入明細資料_２２年度上期分_【20091225】千里導入明細資料_２２年度上期分_営業店DB_Ⅹ_課題と対応策_20121211 2" xfId="3348" xr:uid="{00000000-0005-0000-0000-0000D20C0000}"/>
    <cellStyle name="_【20090717】千里導入明細資料_２１年度分（９月工事分）_【200912xx】千里導入明細資料_２２年度上期分_【20091225】千里導入明細資料_２２年度上期分_連携DB" xfId="3349" xr:uid="{00000000-0005-0000-0000-0000D30C0000}"/>
    <cellStyle name="_【20090717】千里導入明細資料_２１年度分（９月工事分）_【200912xx】千里導入明細資料_２２年度上期分_【20091225】千里導入明細資料_２２年度上期分_連携DB 2" xfId="3350" xr:uid="{00000000-0005-0000-0000-0000D4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" xfId="3351" xr:uid="{00000000-0005-0000-0000-0000D5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 2" xfId="3352" xr:uid="{00000000-0005-0000-0000-0000D6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" xfId="3353" xr:uid="{00000000-0005-0000-0000-0000D7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 2" xfId="3354" xr:uid="{00000000-0005-0000-0000-0000D80C0000}"/>
    <cellStyle name="_【20090717】千里導入明細資料_２１年度分（９月工事分）_【200912xx】千里導入明細資料_２２年度上期分_【20091225】千里導入明細資料_２２年度上期分_連携DB_Ⅹ_課題と対応策_20121211" xfId="3355" xr:uid="{00000000-0005-0000-0000-0000D90C0000}"/>
    <cellStyle name="_【20090717】千里導入明細資料_２１年度分（９月工事分）_【200912xx】千里導入明細資料_２２年度上期分_【20091225】千里導入明細資料_２２年度上期分_連携DB_Ⅹ_課題と対応策_20121211 2" xfId="3356" xr:uid="{00000000-0005-0000-0000-0000DA0C0000}"/>
    <cellStyle name="_【20090717】千里導入明細資料_２１年度分（９月工事分）_【200912xx】千里導入明細資料_２２年度上期分_Ⅹ_課題と対応策_20121211" xfId="3357" xr:uid="{00000000-0005-0000-0000-0000DB0C0000}"/>
    <cellStyle name="_【20090717】千里導入明細資料_２１年度分（９月工事分）_【200912xx】千里導入明細資料_２２年度上期分_Ⅹ_課題と対応策_20121211 2" xfId="3358" xr:uid="{00000000-0005-0000-0000-0000DC0C0000}"/>
    <cellStyle name="_【20090717】千里導入明細資料_２１年度分（９月工事分）_【調整中】千里導入明細資料_２２年度上期分_fj_20100127" xfId="3359" xr:uid="{00000000-0005-0000-0000-0000DD0C0000}"/>
    <cellStyle name="_【20090717】千里導入明細資料_２１年度分（９月工事分）_【調整中】千里導入明細資料_２２年度上期分_fj_20100127 2" xfId="3360" xr:uid="{00000000-0005-0000-0000-0000DE0C0000}"/>
    <cellStyle name="_【20090717】千里導入明細資料_２１年度分（９月工事分）_【調整中】千里導入明細資料_２２年度上期分_fj_20100127_Ⅹ_課題と対応策_20121211" xfId="3361" xr:uid="{00000000-0005-0000-0000-0000DF0C0000}"/>
    <cellStyle name="_【20090717】千里導入明細資料_２１年度分（９月工事分）_【調整中】千里導入明細資料_２２年度上期分_fj_20100127_Ⅹ_課題と対応策_20121211 2" xfId="3362" xr:uid="{00000000-0005-0000-0000-0000E00C0000}"/>
    <cellStyle name="_【20090717】千里導入明細資料_２１年度分（９月工事分）_①【20091225】千里導入明細資料_２２年度上期1分)" xfId="3363" xr:uid="{00000000-0005-0000-0000-0000E10C0000}"/>
    <cellStyle name="_【20090717】千里導入明細資料_２１年度分（９月工事分）_①【20091225】千里導入明細資料_２２年度上期1分) 2" xfId="3364" xr:uid="{00000000-0005-0000-0000-0000E20C0000}"/>
    <cellStyle name="_【20090717】千里導入明細資料_２１年度分（９月工事分）_①【20091225】千里導入明細資料_２２年度上期1分)_Ⅹ_課題と対応策_20121211" xfId="3365" xr:uid="{00000000-0005-0000-0000-0000E30C0000}"/>
    <cellStyle name="_【20090717】千里導入明細資料_２１年度分（９月工事分）_①【20091225】千里導入明細資料_２２年度上期1分)_Ⅹ_課題と対応策_20121211 2" xfId="3366" xr:uid="{00000000-0005-0000-0000-0000E40C0000}"/>
    <cellStyle name="_【20090717】千里導入明細資料_２１年度分（９月工事分）_Ⅹ_課題と対応策_20121211" xfId="3367" xr:uid="{00000000-0005-0000-0000-0000E50C0000}"/>
    <cellStyle name="_【20090717】千里導入明細資料_２１年度分（９月工事分）_Ⅹ_課題と対応策_20121211 2" xfId="3368" xr:uid="{00000000-0005-0000-0000-0000E60C0000}"/>
    <cellStyle name="_【20090717】千里導入明細資料_２１年度分（９月工事分）_千里導入明細資料_２２年度分（ネットワーク敷設）_fj" xfId="3369" xr:uid="{00000000-0005-0000-0000-0000E70C0000}"/>
    <cellStyle name="_【20090717】千里導入明細資料_２１年度分（９月工事分）_千里導入明細資料_２２年度分（ネットワーク敷設）_fj 2" xfId="3370" xr:uid="{00000000-0005-0000-0000-0000E80C0000}"/>
    <cellStyle name="_【20090717】千里導入明細資料_２１年度分（９月工事分）_千里導入明細資料_２２年度分（ネットワーク敷設）_fj_Ⅹ_課題と対応策_20121211" xfId="3371" xr:uid="{00000000-0005-0000-0000-0000E90C0000}"/>
    <cellStyle name="_【20090717】千里導入明細資料_２１年度分（９月工事分）_千里導入明細資料_２２年度分（ネットワーク敷設）_fj_Ⅹ_課題と対応策_20121211 2" xfId="3372" xr:uid="{00000000-0005-0000-0000-0000EA0C0000}"/>
    <cellStyle name="_【20090721】千里導入明細資料_２１年度分" xfId="3373" xr:uid="{00000000-0005-0000-0000-0000EB0C0000}"/>
    <cellStyle name="_【20090721】千里導入明細資料_２１年度分 2" xfId="3374" xr:uid="{00000000-0005-0000-0000-0000EC0C0000}"/>
    <cellStyle name="_【20090721】千里導入明細資料_２１年度分（９月工事分）_ETERNUS追加" xfId="3375" xr:uid="{00000000-0005-0000-0000-0000ED0C0000}"/>
    <cellStyle name="_【20090721】千里導入明細資料_２１年度分（９月工事分）_ETERNUS追加 2" xfId="3376" xr:uid="{00000000-0005-0000-0000-0000EE0C0000}"/>
    <cellStyle name="_【20090721】千里導入明細資料_２１年度分（９月工事分）_ETERNUS追加_【20090731】千里導入明細資料_２１年度分（９月工事分）" xfId="3377" xr:uid="{00000000-0005-0000-0000-0000EF0C0000}"/>
    <cellStyle name="_【20090721】千里導入明細資料_２１年度分（９月工事分）_ETERNUS追加_【20090731】千里導入明細資料_２１年度分（９月工事分） 2" xfId="3378" xr:uid="{00000000-0005-0000-0000-0000F00C0000}"/>
    <cellStyle name="_【20090721】千里導入明細資料_２１年度分（９月工事分）_ETERNUS追加_【20090731】千里導入明細資料_２１年度分（９月工事分）_【20090821】千里ラック搭載図（NW機器）" xfId="3379" xr:uid="{00000000-0005-0000-0000-0000F10C0000}"/>
    <cellStyle name="_【20090721】千里導入明細資料_２１年度分（９月工事分）_ETERNUS追加_【20090731】千里導入明細資料_２１年度分（９月工事分）_【20090821】千里ラック搭載図（NW機器） 2" xfId="3380" xr:uid="{00000000-0005-0000-0000-0000F20C0000}"/>
    <cellStyle name="_【20090721】千里導入明細資料_２１年度分（９月工事分）_ETERNUS追加_【20090731】千里導入明細資料_２１年度分（９月工事分）_【20090821】千里ラック搭載図（NW機器）_Ⅹ_課題と対応策_20121211" xfId="3381" xr:uid="{00000000-0005-0000-0000-0000F30C0000}"/>
    <cellStyle name="_【20090721】千里導入明細資料_２１年度分（９月工事分）_ETERNUS追加_【20090731】千里導入明細資料_２１年度分（９月工事分）_【20090821】千里ラック搭載図（NW機器）_Ⅹ_課題と対応策_20121211 2" xfId="3382" xr:uid="{00000000-0005-0000-0000-0000F40C0000}"/>
    <cellStyle name="_【20090721】千里導入明細資料_２１年度分（９月工事分）_ETERNUS追加_【20090731】千里導入明細資料_２１年度分（９月工事分）_Ⅹ_課題と対応策_20121211" xfId="3383" xr:uid="{00000000-0005-0000-0000-0000F50C0000}"/>
    <cellStyle name="_【20090721】千里導入明細資料_２１年度分（９月工事分）_ETERNUS追加_【20090731】千里導入明細資料_２１年度分（９月工事分）_Ⅹ_課題と対応策_20121211 2" xfId="3384" xr:uid="{00000000-0005-0000-0000-0000F60C0000}"/>
    <cellStyle name="_【20090721】千里導入明細資料_２１年度分（９月工事分）_ETERNUS追加_【20090821】千里ラック搭載図（NW機器）" xfId="3385" xr:uid="{00000000-0005-0000-0000-0000F70C0000}"/>
    <cellStyle name="_【20090721】千里導入明細資料_２１年度分（９月工事分）_ETERNUS追加_【20090821】千里ラック搭載図（NW機器） 2" xfId="3386" xr:uid="{00000000-0005-0000-0000-0000F80C0000}"/>
    <cellStyle name="_【20090721】千里導入明細資料_２１年度分（９月工事分）_ETERNUS追加_【20090821】千里ラック搭載図（NW機器）_Ⅹ_課題と対応策_20121211" xfId="3387" xr:uid="{00000000-0005-0000-0000-0000F90C0000}"/>
    <cellStyle name="_【20090721】千里導入明細資料_２１年度分（９月工事分）_ETERNUS追加_【20090821】千里ラック搭載図（NW機器）_Ⅹ_課題と対応策_20121211 2" xfId="3388" xr:uid="{00000000-0005-0000-0000-0000FA0C0000}"/>
    <cellStyle name="_【20090721】千里導入明細資料_２１年度分（９月工事分）_ETERNUS追加_【20091218】千里導入明細資料_２１年度分（ネットワーク敷設）" xfId="3389" xr:uid="{00000000-0005-0000-0000-0000FB0C0000}"/>
    <cellStyle name="_【20090721】千里導入明細資料_２１年度分（９月工事分）_ETERNUS追加_【20091218】千里導入明細資料_２１年度分（ネットワーク敷設） 2" xfId="3390" xr:uid="{00000000-0005-0000-0000-0000FC0C0000}"/>
    <cellStyle name="_【20090721】千里導入明細資料_２１年度分（９月工事分）_ETERNUS追加_【20091218】千里導入明細資料_２１年度分（ネットワーク敷設）_Ⅹ_課題と対応策_20121211" xfId="3391" xr:uid="{00000000-0005-0000-0000-0000FD0C0000}"/>
    <cellStyle name="_【20090721】千里導入明細資料_２１年度分（９月工事分）_ETERNUS追加_【20091218】千里導入明細資料_２１年度分（ネットワーク敷設）_Ⅹ_課題と対応策_20121211 2" xfId="3392" xr:uid="{00000000-0005-0000-0000-0000FE0C0000}"/>
    <cellStyle name="_【20090721】千里導入明細資料_２１年度分（９月工事分）_ETERNUS追加_【20091224】千里導入明細資料_２２年度上期分_営業店DB" xfId="3393" xr:uid="{00000000-0005-0000-0000-0000FF0C0000}"/>
    <cellStyle name="_【20090721】千里導入明細資料_２１年度分（９月工事分）_ETERNUS追加_【20091224】千里導入明細資料_２２年度上期分_営業店DB 2" xfId="3394" xr:uid="{00000000-0005-0000-0000-000000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" xfId="3395" xr:uid="{00000000-0005-0000-0000-000001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 2" xfId="3396" xr:uid="{00000000-0005-0000-0000-000002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3397" xr:uid="{00000000-0005-0000-0000-000003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3398" xr:uid="{00000000-0005-0000-0000-000004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99" xr:uid="{00000000-0005-0000-0000-000005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00" xr:uid="{00000000-0005-0000-0000-000006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3401" xr:uid="{00000000-0005-0000-0000-000007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3402" xr:uid="{00000000-0005-0000-0000-0000080D0000}"/>
    <cellStyle name="_【20090721】千里導入明細資料_２１年度分（９月工事分）_ETERNUS追加_【20091224】千里導入明細資料_２２年度上期分_営業店DB_【20091225】千里導入明細資料_２２年度上期分_営業店DB" xfId="3403" xr:uid="{00000000-0005-0000-0000-0000090D0000}"/>
    <cellStyle name="_【20090721】千里導入明細資料_２１年度分（９月工事分）_ETERNUS追加_【20091224】千里導入明細資料_２２年度上期分_営業店DB_【20091225】千里導入明細資料_２２年度上期分_営業店DB 2" xfId="3404" xr:uid="{00000000-0005-0000-0000-00000A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3405" xr:uid="{00000000-0005-0000-0000-00000B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3406" xr:uid="{00000000-0005-0000-0000-00000C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3407" xr:uid="{00000000-0005-0000-0000-00000D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3408" xr:uid="{00000000-0005-0000-0000-00000E0D0000}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" xfId="3409" xr:uid="{00000000-0005-0000-0000-00000F0D0000}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 2" xfId="3410" xr:uid="{00000000-0005-0000-0000-0000100D0000}"/>
    <cellStyle name="_【20090721】千里導入明細資料_２１年度分（９月工事分）_ETERNUS追加_【20091224】千里導入明細資料_２２年度上期分_営業店DB_Ⅹ_課題と対応策_20121211" xfId="3411" xr:uid="{00000000-0005-0000-0000-0000110D0000}"/>
    <cellStyle name="_【20090721】千里導入明細資料_２１年度分（９月工事分）_ETERNUS追加_【20091224】千里導入明細資料_２２年度上期分_営業店DB_Ⅹ_課題と対応策_20121211 2" xfId="3412" xr:uid="{00000000-0005-0000-0000-0000120D0000}"/>
    <cellStyle name="_【20090721】千里導入明細資料_２１年度分（９月工事分）_ETERNUS追加_【20091225】千里導入明細資料_２２年度上期分" xfId="3413" xr:uid="{00000000-0005-0000-0000-0000130D0000}"/>
    <cellStyle name="_【20090721】千里導入明細資料_２１年度分（９月工事分）_ETERNUS追加_【20091225】千里導入明細資料_２２年度上期分 2" xfId="3414" xr:uid="{00000000-0005-0000-0000-0000140D0000}"/>
    <cellStyle name="_【20090721】千里導入明細資料_２１年度分（９月工事分）_ETERNUS追加_【20091225】千里導入明細資料_２２年度上期分_Ⅹ_課題と対応策_20121211" xfId="3415" xr:uid="{00000000-0005-0000-0000-0000150D0000}"/>
    <cellStyle name="_【20090721】千里導入明細資料_２１年度分（９月工事分）_ETERNUS追加_【20091225】千里導入明細資料_２２年度上期分_Ⅹ_課題と対応策_20121211 2" xfId="3416" xr:uid="{00000000-0005-0000-0000-0000160D0000}"/>
    <cellStyle name="_【20090721】千里導入明細資料_２１年度分（９月工事分）_ETERNUS追加_【20091225】千里導入明細資料_２２年度上期分_営業店DB" xfId="3417" xr:uid="{00000000-0005-0000-0000-0000170D0000}"/>
    <cellStyle name="_【20090721】千里導入明細資料_２１年度分（９月工事分）_ETERNUS追加_【20091225】千里導入明細資料_２２年度上期分_営業店DB 2" xfId="3418" xr:uid="{00000000-0005-0000-0000-0000180D0000}"/>
    <cellStyle name="_【20090721】千里導入明細資料_２１年度分（９月工事分）_ETERNUS追加_【20091225】千里導入明細資料_２２年度上期分_営業店DB_Ⅹ_課題と対応策_20121211" xfId="3419" xr:uid="{00000000-0005-0000-0000-0000190D0000}"/>
    <cellStyle name="_【20090721】千里導入明細資料_２１年度分（９月工事分）_ETERNUS追加_【20091225】千里導入明細資料_２２年度上期分_営業店DB_Ⅹ_課題と対応策_20121211 2" xfId="3420" xr:uid="{00000000-0005-0000-0000-00001A0D0000}"/>
    <cellStyle name="_【20090721】千里導入明細資料_２１年度分（９月工事分）_ETERNUS追加_【20091225】千里導入明細資料_２２年度上期分_連携DB" xfId="3421" xr:uid="{00000000-0005-0000-0000-00001B0D0000}"/>
    <cellStyle name="_【20090721】千里導入明細資料_２１年度分（９月工事分）_ETERNUS追加_【20091225】千里導入明細資料_２２年度上期分_連携DB 2" xfId="3422" xr:uid="{00000000-0005-0000-0000-00001C0D0000}"/>
    <cellStyle name="_【20090721】千里導入明細資料_２１年度分（９月工事分）_ETERNUS追加_【20091225】千里導入明細資料_２２年度上期分_連携DB_Ⅹ_課題と対応策_20121211" xfId="3423" xr:uid="{00000000-0005-0000-0000-00001D0D0000}"/>
    <cellStyle name="_【20090721】千里導入明細資料_２１年度分（９月工事分）_ETERNUS追加_【20091225】千里導入明細資料_２２年度上期分_連携DB_Ⅹ_課題と対応策_20121211 2" xfId="3424" xr:uid="{00000000-0005-0000-0000-00001E0D0000}"/>
    <cellStyle name="_【20090721】千里導入明細資料_２１年度分（９月工事分）_ETERNUS追加_【200912xx】千里導入明細資料_２２年度上期分" xfId="3425" xr:uid="{00000000-0005-0000-0000-00001F0D0000}"/>
    <cellStyle name="_【20090721】千里導入明細資料_２１年度分（９月工事分）_ETERNUS追加_【200912xx】千里導入明細資料_２２年度上期分 2" xfId="3426" xr:uid="{00000000-0005-0000-0000-0000200D0000}"/>
    <cellStyle name="_【20090721】千里導入明細資料_２１年度分（９月工事分）_ETERNUS追加_【200912xx】千里導入明細資料_２２年度上期分（為替分）" xfId="3427" xr:uid="{00000000-0005-0000-0000-0000210D0000}"/>
    <cellStyle name="_【20090721】千里導入明細資料_２１年度分（９月工事分）_ETERNUS追加_【200912xx】千里導入明細資料_２２年度上期分（為替分） 2" xfId="3428" xr:uid="{00000000-0005-0000-0000-0000220D0000}"/>
    <cellStyle name="_【20090721】千里導入明細資料_２１年度分（９月工事分）_ETERNUS追加_【200912xx】千里導入明細資料_２２年度上期分（為替分）_Ⅹ_課題と対応策_20121211" xfId="3429" xr:uid="{00000000-0005-0000-0000-0000230D0000}"/>
    <cellStyle name="_【20090721】千里導入明細資料_２１年度分（９月工事分）_ETERNUS追加_【200912xx】千里導入明細資料_２２年度上期分（為替分）_Ⅹ_課題と対応策_20121211 2" xfId="3430" xr:uid="{00000000-0005-0000-0000-0000240D0000}"/>
    <cellStyle name="_【20090721】千里導入明細資料_２１年度分（９月工事分）_ETERNUS追加_【200912xx】千里導入明細資料_２２年度上期分_【20091225】千里導入明細資料_２２年度上期分（営業店ＡＰ－ＤＢ）" xfId="3431" xr:uid="{00000000-0005-0000-0000-0000250D0000}"/>
    <cellStyle name="_【20090721】千里導入明細資料_２１年度分（９月工事分）_ETERNUS追加_【200912xx】千里導入明細資料_２２年度上期分_【20091225】千里導入明細資料_２２年度上期分（営業店ＡＰ－ＤＢ） 2" xfId="3432" xr:uid="{00000000-0005-0000-0000-000026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3433" xr:uid="{00000000-0005-0000-0000-000027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3434" xr:uid="{00000000-0005-0000-0000-000028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3435" xr:uid="{00000000-0005-0000-0000-000029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3436" xr:uid="{00000000-0005-0000-0000-00002A0D0000}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3437" xr:uid="{00000000-0005-0000-0000-00002B0D0000}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3438" xr:uid="{00000000-0005-0000-0000-00002C0D0000}"/>
    <cellStyle name="_【20090721】千里導入明細資料_２１年度分（９月工事分）_ETERNUS追加_【200912xx】千里導入明細資料_２２年度上期分_【20091225】千里導入明細資料_２２年度上期分_営業店DB" xfId="3439" xr:uid="{00000000-0005-0000-0000-00002D0D0000}"/>
    <cellStyle name="_【20090721】千里導入明細資料_２１年度分（９月工事分）_ETERNUS追加_【200912xx】千里導入明細資料_２２年度上期分_【20091225】千里導入明細資料_２２年度上期分_営業店DB 2" xfId="3440" xr:uid="{00000000-0005-0000-0000-00002E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3441" xr:uid="{00000000-0005-0000-0000-00002F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3442" xr:uid="{00000000-0005-0000-0000-000030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3443" xr:uid="{00000000-0005-0000-0000-000031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3444" xr:uid="{00000000-0005-0000-0000-0000320D0000}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" xfId="3445" xr:uid="{00000000-0005-0000-0000-0000330D0000}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 2" xfId="3446" xr:uid="{00000000-0005-0000-0000-0000340D0000}"/>
    <cellStyle name="_【20090721】千里導入明細資料_２１年度分（９月工事分）_ETERNUS追加_【200912xx】千里導入明細資料_２２年度上期分_【20091225】千里導入明細資料_２２年度上期分_連携DB" xfId="3447" xr:uid="{00000000-0005-0000-0000-0000350D0000}"/>
    <cellStyle name="_【20090721】千里導入明細資料_２１年度分（９月工事分）_ETERNUS追加_【200912xx】千里導入明細資料_２２年度上期分_【20091225】千里導入明細資料_２２年度上期分_連携DB 2" xfId="3448" xr:uid="{00000000-0005-0000-0000-000036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3449" xr:uid="{00000000-0005-0000-0000-000037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3450" xr:uid="{00000000-0005-0000-0000-000038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3451" xr:uid="{00000000-0005-0000-0000-000039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3452" xr:uid="{00000000-0005-0000-0000-00003A0D0000}"/>
    <cellStyle name="_【20090721】千里導入明細資料_２１年度分（９月工事分）_ETERNUS追加_【200912xx】千里導入明細資料_２２年度上期分_【20091225】千里導入明細資料_２２年度上期分_連携DB_Ⅹ_課題と対応策_20121211" xfId="3453" xr:uid="{00000000-0005-0000-0000-00003B0D0000}"/>
    <cellStyle name="_【20090721】千里導入明細資料_２１年度分（９月工事分）_ETERNUS追加_【200912xx】千里導入明細資料_２２年度上期分_【20091225】千里導入明細資料_２２年度上期分_連携DB_Ⅹ_課題と対応策_20121211 2" xfId="3454" xr:uid="{00000000-0005-0000-0000-00003C0D0000}"/>
    <cellStyle name="_【20090721】千里導入明細資料_２１年度分（９月工事分）_ETERNUS追加_【200912xx】千里導入明細資料_２２年度上期分_Ⅹ_課題と対応策_20121211" xfId="3455" xr:uid="{00000000-0005-0000-0000-00003D0D0000}"/>
    <cellStyle name="_【20090721】千里導入明細資料_２１年度分（９月工事分）_ETERNUS追加_【200912xx】千里導入明細資料_２２年度上期分_Ⅹ_課題と対応策_20121211 2" xfId="3456" xr:uid="{00000000-0005-0000-0000-00003E0D0000}"/>
    <cellStyle name="_【20090721】千里導入明細資料_２１年度分（９月工事分）_ETERNUS追加_【調整中】千里導入明細資料_２２年度上期分_fj_20100127" xfId="3457" xr:uid="{00000000-0005-0000-0000-00003F0D0000}"/>
    <cellStyle name="_【20090721】千里導入明細資料_２１年度分（９月工事分）_ETERNUS追加_【調整中】千里導入明細資料_２２年度上期分_fj_20100127 2" xfId="3458" xr:uid="{00000000-0005-0000-0000-0000400D0000}"/>
    <cellStyle name="_【20090721】千里導入明細資料_２１年度分（９月工事分）_ETERNUS追加_【調整中】千里導入明細資料_２２年度上期分_fj_20100127_Ⅹ_課題と対応策_20121211" xfId="3459" xr:uid="{00000000-0005-0000-0000-0000410D0000}"/>
    <cellStyle name="_【20090721】千里導入明細資料_２１年度分（９月工事分）_ETERNUS追加_【調整中】千里導入明細資料_２２年度上期分_fj_20100127_Ⅹ_課題と対応策_20121211 2" xfId="3460" xr:uid="{00000000-0005-0000-0000-0000420D0000}"/>
    <cellStyle name="_【20090721】千里導入明細資料_２１年度分（９月工事分）_ETERNUS追加_①【20091225】千里導入明細資料_２２年度上期1分)" xfId="3461" xr:uid="{00000000-0005-0000-0000-0000430D0000}"/>
    <cellStyle name="_【20090721】千里導入明細資料_２１年度分（９月工事分）_ETERNUS追加_①【20091225】千里導入明細資料_２２年度上期1分) 2" xfId="3462" xr:uid="{00000000-0005-0000-0000-0000440D0000}"/>
    <cellStyle name="_【20090721】千里導入明細資料_２１年度分（９月工事分）_ETERNUS追加_①【20091225】千里導入明細資料_２２年度上期1分)_Ⅹ_課題と対応策_20121211" xfId="3463" xr:uid="{00000000-0005-0000-0000-0000450D0000}"/>
    <cellStyle name="_【20090721】千里導入明細資料_２１年度分（９月工事分）_ETERNUS追加_①【20091225】千里導入明細資料_２２年度上期1分)_Ⅹ_課題と対応策_20121211 2" xfId="3464" xr:uid="{00000000-0005-0000-0000-0000460D0000}"/>
    <cellStyle name="_【20090721】千里導入明細資料_２１年度分（９月工事分）_ETERNUS追加_Ⅹ_課題と対応策_20121211" xfId="3465" xr:uid="{00000000-0005-0000-0000-0000470D0000}"/>
    <cellStyle name="_【20090721】千里導入明細資料_２１年度分（９月工事分）_ETERNUS追加_Ⅹ_課題と対応策_20121211 2" xfId="3466" xr:uid="{00000000-0005-0000-0000-0000480D0000}"/>
    <cellStyle name="_【20090721】千里導入明細資料_２１年度分（９月工事分）_ETERNUS追加_千里導入明細資料_２２年度分（ネットワーク敷設）_fj" xfId="3467" xr:uid="{00000000-0005-0000-0000-0000490D0000}"/>
    <cellStyle name="_【20090721】千里導入明細資料_２１年度分（９月工事分）_ETERNUS追加_千里導入明細資料_２２年度分（ネットワーク敷設）_fj 2" xfId="3468" xr:uid="{00000000-0005-0000-0000-00004A0D0000}"/>
    <cellStyle name="_【20090721】千里導入明細資料_２１年度分（９月工事分）_ETERNUS追加_千里導入明細資料_２２年度分（ネットワーク敷設）_fj_Ⅹ_課題と対応策_20121211" xfId="3469" xr:uid="{00000000-0005-0000-0000-00004B0D0000}"/>
    <cellStyle name="_【20090721】千里導入明細資料_２１年度分（９月工事分）_ETERNUS追加_千里導入明細資料_２２年度分（ネットワーク敷設）_fj_Ⅹ_課題と対応策_20121211 2" xfId="3470" xr:uid="{00000000-0005-0000-0000-00004C0D0000}"/>
    <cellStyle name="_【20090721】千里導入明細資料_２１年度分_【20091218】千里導入明細資料_２１年度分（ネットワーク敷設）" xfId="3471" xr:uid="{00000000-0005-0000-0000-00004D0D0000}"/>
    <cellStyle name="_【20090721】千里導入明細資料_２１年度分_【20091218】千里導入明細資料_２１年度分（ネットワーク敷設） 2" xfId="3472" xr:uid="{00000000-0005-0000-0000-00004E0D0000}"/>
    <cellStyle name="_【20090721】千里導入明細資料_２１年度分_【20091218】千里導入明細資料_２１年度分（ネットワーク敷設）_Ⅹ_課題と対応策_20121211" xfId="3473" xr:uid="{00000000-0005-0000-0000-00004F0D0000}"/>
    <cellStyle name="_【20090721】千里導入明細資料_２１年度分_【20091218】千里導入明細資料_２１年度分（ネットワーク敷設）_Ⅹ_課題と対応策_20121211 2" xfId="3474" xr:uid="{00000000-0005-0000-0000-0000500D0000}"/>
    <cellStyle name="_【20090721】千里導入明細資料_２１年度分_【20091224】千里導入明細資料_２２年度上期分_営業店DB" xfId="3475" xr:uid="{00000000-0005-0000-0000-0000510D0000}"/>
    <cellStyle name="_【20090721】千里導入明細資料_２１年度分_【20091224】千里導入明細資料_２２年度上期分_営業店DB 2" xfId="3476" xr:uid="{00000000-0005-0000-0000-0000520D0000}"/>
    <cellStyle name="_【20090721】千里導入明細資料_２１年度分_【20091224】千里導入明細資料_２２年度上期分_営業店DB_【20091225】千里導入明細資料_２２年度上期分（営業店ＡＰ－ＤＢ）" xfId="3477" xr:uid="{00000000-0005-0000-0000-0000530D0000}"/>
    <cellStyle name="_【20090721】千里導入明細資料_２１年度分_【20091224】千里導入明細資料_２２年度上期分_営業店DB_【20091225】千里導入明細資料_２２年度上期分（営業店ＡＰ－ＤＢ） 2" xfId="3478" xr:uid="{00000000-0005-0000-0000-000054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479" xr:uid="{00000000-0005-0000-0000-000055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480" xr:uid="{00000000-0005-0000-0000-000056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481" xr:uid="{00000000-0005-0000-0000-000057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82" xr:uid="{00000000-0005-0000-0000-0000580D0000}"/>
    <cellStyle name="_【20090721】千里導入明細資料_２１年度分_【20091224】千里導入明細資料_２２年度上期分_営業店DB_【20091225】千里導入明細資料_２２年度上期分（営業店ＡＰ－ＤＢ）_Ⅹ_課題と対応策_20121211" xfId="3483" xr:uid="{00000000-0005-0000-0000-0000590D0000}"/>
    <cellStyle name="_【20090721】千里導入明細資料_２１年度分_【20091224】千里導入明細資料_２２年度上期分_営業店DB_【20091225】千里導入明細資料_２２年度上期分（営業店ＡＰ－ＤＢ）_Ⅹ_課題と対応策_20121211 2" xfId="3484" xr:uid="{00000000-0005-0000-0000-00005A0D0000}"/>
    <cellStyle name="_【20090721】千里導入明細資料_２１年度分_【20091224】千里導入明細資料_２２年度上期分_営業店DB_【20091225】千里導入明細資料_２２年度上期分_営業店DB" xfId="3485" xr:uid="{00000000-0005-0000-0000-00005B0D0000}"/>
    <cellStyle name="_【20090721】千里導入明細資料_２１年度分_【20091224】千里導入明細資料_２２年度上期分_営業店DB_【20091225】千里導入明細資料_２２年度上期分_営業店DB 2" xfId="3486" xr:uid="{00000000-0005-0000-0000-00005C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487" xr:uid="{00000000-0005-0000-0000-00005D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488" xr:uid="{00000000-0005-0000-0000-00005E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489" xr:uid="{00000000-0005-0000-0000-00005F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490" xr:uid="{00000000-0005-0000-0000-0000600D0000}"/>
    <cellStyle name="_【20090721】千里導入明細資料_２１年度分_【20091224】千里導入明細資料_２２年度上期分_営業店DB_【20091225】千里導入明細資料_２２年度上期分_営業店DB_Ⅹ_課題と対応策_20121211" xfId="3491" xr:uid="{00000000-0005-0000-0000-0000610D0000}"/>
    <cellStyle name="_【20090721】千里導入明細資料_２１年度分_【20091224】千里導入明細資料_２２年度上期分_営業店DB_【20091225】千里導入明細資料_２２年度上期分_営業店DB_Ⅹ_課題と対応策_20121211 2" xfId="3492" xr:uid="{00000000-0005-0000-0000-0000620D0000}"/>
    <cellStyle name="_【20090721】千里導入明細資料_２１年度分_【20091224】千里導入明細資料_２２年度上期分_営業店DB_Ⅹ_課題と対応策_20121211" xfId="3493" xr:uid="{00000000-0005-0000-0000-0000630D0000}"/>
    <cellStyle name="_【20090721】千里導入明細資料_２１年度分_【20091224】千里導入明細資料_２２年度上期分_営業店DB_Ⅹ_課題と対応策_20121211 2" xfId="3494" xr:uid="{00000000-0005-0000-0000-0000640D0000}"/>
    <cellStyle name="_【20090721】千里導入明細資料_２１年度分_【20091225】千里導入明細資料_２２年度上期分" xfId="3495" xr:uid="{00000000-0005-0000-0000-0000650D0000}"/>
    <cellStyle name="_【20090721】千里導入明細資料_２１年度分_【20091225】千里導入明細資料_２２年度上期分 2" xfId="3496" xr:uid="{00000000-0005-0000-0000-0000660D0000}"/>
    <cellStyle name="_【20090721】千里導入明細資料_２１年度分_【20091225】千里導入明細資料_２２年度上期分_Ⅹ_課題と対応策_20121211" xfId="3497" xr:uid="{00000000-0005-0000-0000-0000670D0000}"/>
    <cellStyle name="_【20090721】千里導入明細資料_２１年度分_【20091225】千里導入明細資料_２２年度上期分_Ⅹ_課題と対応策_20121211 2" xfId="3498" xr:uid="{00000000-0005-0000-0000-0000680D0000}"/>
    <cellStyle name="_【20090721】千里導入明細資料_２１年度分_【20091225】千里導入明細資料_２２年度上期分_営業店DB" xfId="3499" xr:uid="{00000000-0005-0000-0000-0000690D0000}"/>
    <cellStyle name="_【20090721】千里導入明細資料_２１年度分_【20091225】千里導入明細資料_２２年度上期分_営業店DB 2" xfId="3500" xr:uid="{00000000-0005-0000-0000-00006A0D0000}"/>
    <cellStyle name="_【20090721】千里導入明細資料_２１年度分_【20091225】千里導入明細資料_２２年度上期分_営業店DB_Ⅹ_課題と対応策_20121211" xfId="3501" xr:uid="{00000000-0005-0000-0000-00006B0D0000}"/>
    <cellStyle name="_【20090721】千里導入明細資料_２１年度分_【20091225】千里導入明細資料_２２年度上期分_営業店DB_Ⅹ_課題と対応策_20121211 2" xfId="3502" xr:uid="{00000000-0005-0000-0000-00006C0D0000}"/>
    <cellStyle name="_【20090721】千里導入明細資料_２１年度分_【20091225】千里導入明細資料_２２年度上期分_連携DB" xfId="3503" xr:uid="{00000000-0005-0000-0000-00006D0D0000}"/>
    <cellStyle name="_【20090721】千里導入明細資料_２１年度分_【20091225】千里導入明細資料_２２年度上期分_連携DB 2" xfId="3504" xr:uid="{00000000-0005-0000-0000-00006E0D0000}"/>
    <cellStyle name="_【20090721】千里導入明細資料_２１年度分_【20091225】千里導入明細資料_２２年度上期分_連携DB_Ⅹ_課題と対応策_20121211" xfId="3505" xr:uid="{00000000-0005-0000-0000-00006F0D0000}"/>
    <cellStyle name="_【20090721】千里導入明細資料_２１年度分_【20091225】千里導入明細資料_２２年度上期分_連携DB_Ⅹ_課題と対応策_20121211 2" xfId="3506" xr:uid="{00000000-0005-0000-0000-0000700D0000}"/>
    <cellStyle name="_【20090721】千里導入明細資料_２１年度分_【200912xx】千里導入明細資料_２２年度上期分" xfId="3507" xr:uid="{00000000-0005-0000-0000-0000710D0000}"/>
    <cellStyle name="_【20090721】千里導入明細資料_２１年度分_【200912xx】千里導入明細資料_２２年度上期分 2" xfId="3508" xr:uid="{00000000-0005-0000-0000-0000720D0000}"/>
    <cellStyle name="_【20090721】千里導入明細資料_２１年度分_【200912xx】千里導入明細資料_２２年度上期分（為替分）" xfId="3509" xr:uid="{00000000-0005-0000-0000-0000730D0000}"/>
    <cellStyle name="_【20090721】千里導入明細資料_２１年度分_【200912xx】千里導入明細資料_２２年度上期分（為替分） 2" xfId="3510" xr:uid="{00000000-0005-0000-0000-0000740D0000}"/>
    <cellStyle name="_【20090721】千里導入明細資料_２１年度分_【200912xx】千里導入明細資料_２２年度上期分（為替分）_Ⅹ_課題と対応策_20121211" xfId="3511" xr:uid="{00000000-0005-0000-0000-0000750D0000}"/>
    <cellStyle name="_【20090721】千里導入明細資料_２１年度分_【200912xx】千里導入明細資料_２２年度上期分（為替分）_Ⅹ_課題と対応策_20121211 2" xfId="3512" xr:uid="{00000000-0005-0000-0000-0000760D0000}"/>
    <cellStyle name="_【20090721】千里導入明細資料_２１年度分_【200912xx】千里導入明細資料_２２年度上期分_【20091225】千里導入明細資料_２２年度上期分（営業店ＡＰ－ＤＢ）" xfId="3513" xr:uid="{00000000-0005-0000-0000-0000770D0000}"/>
    <cellStyle name="_【20090721】千里導入明細資料_２１年度分_【200912xx】千里導入明細資料_２２年度上期分_【20091225】千里導入明細資料_２２年度上期分（営業店ＡＰ－ＤＢ） 2" xfId="3514" xr:uid="{00000000-0005-0000-0000-000078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15" xr:uid="{00000000-0005-0000-0000-000079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516" xr:uid="{00000000-0005-0000-0000-00007A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517" xr:uid="{00000000-0005-0000-0000-00007B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518" xr:uid="{00000000-0005-0000-0000-00007C0D0000}"/>
    <cellStyle name="_【20090721】千里導入明細資料_２１年度分_【200912xx】千里導入明細資料_２２年度上期分_【20091225】千里導入明細資料_２２年度上期分（営業店ＡＰ－ＤＢ）_Ⅹ_課題と対応策_20121211" xfId="3519" xr:uid="{00000000-0005-0000-0000-00007D0D0000}"/>
    <cellStyle name="_【20090721】千里導入明細資料_２１年度分_【200912xx】千里導入明細資料_２２年度上期分_【20091225】千里導入明細資料_２２年度上期分（営業店ＡＰ－ＤＢ）_Ⅹ_課題と対応策_20121211 2" xfId="3520" xr:uid="{00000000-0005-0000-0000-00007E0D0000}"/>
    <cellStyle name="_【20090721】千里導入明細資料_２１年度分_【200912xx】千里導入明細資料_２２年度上期分_【20091225】千里導入明細資料_２２年度上期分_営業店DB" xfId="3521" xr:uid="{00000000-0005-0000-0000-00007F0D0000}"/>
    <cellStyle name="_【20090721】千里導入明細資料_２１年度分_【200912xx】千里導入明細資料_２２年度上期分_【20091225】千里導入明細資料_２２年度上期分_営業店DB 2" xfId="3522" xr:uid="{00000000-0005-0000-0000-000080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" xfId="3523" xr:uid="{00000000-0005-0000-0000-000081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 2" xfId="3524" xr:uid="{00000000-0005-0000-0000-000082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525" xr:uid="{00000000-0005-0000-0000-000083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526" xr:uid="{00000000-0005-0000-0000-0000840D0000}"/>
    <cellStyle name="_【20090721】千里導入明細資料_２１年度分_【200912xx】千里導入明細資料_２２年度上期分_【20091225】千里導入明細資料_２２年度上期分_営業店DB_Ⅹ_課題と対応策_20121211" xfId="3527" xr:uid="{00000000-0005-0000-0000-0000850D0000}"/>
    <cellStyle name="_【20090721】千里導入明細資料_２１年度分_【200912xx】千里導入明細資料_２２年度上期分_【20091225】千里導入明細資料_２２年度上期分_営業店DB_Ⅹ_課題と対応策_20121211 2" xfId="3528" xr:uid="{00000000-0005-0000-0000-0000860D0000}"/>
    <cellStyle name="_【20090721】千里導入明細資料_２１年度分_【200912xx】千里導入明細資料_２２年度上期分_【20091225】千里導入明細資料_２２年度上期分_連携DB" xfId="3529" xr:uid="{00000000-0005-0000-0000-0000870D0000}"/>
    <cellStyle name="_【20090721】千里導入明細資料_２１年度分_【200912xx】千里導入明細資料_２２年度上期分_【20091225】千里導入明細資料_２２年度上期分_連携DB 2" xfId="3530" xr:uid="{00000000-0005-0000-0000-000088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" xfId="3531" xr:uid="{00000000-0005-0000-0000-000089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 2" xfId="3532" xr:uid="{00000000-0005-0000-0000-00008A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533" xr:uid="{00000000-0005-0000-0000-00008B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534" xr:uid="{00000000-0005-0000-0000-00008C0D0000}"/>
    <cellStyle name="_【20090721】千里導入明細資料_２１年度分_【200912xx】千里導入明細資料_２２年度上期分_【20091225】千里導入明細資料_２２年度上期分_連携DB_Ⅹ_課題と対応策_20121211" xfId="3535" xr:uid="{00000000-0005-0000-0000-00008D0D0000}"/>
    <cellStyle name="_【20090721】千里導入明細資料_２１年度分_【200912xx】千里導入明細資料_２２年度上期分_【20091225】千里導入明細資料_２２年度上期分_連携DB_Ⅹ_課題と対応策_20121211 2" xfId="3536" xr:uid="{00000000-0005-0000-0000-00008E0D0000}"/>
    <cellStyle name="_【20090721】千里導入明細資料_２１年度分_【200912xx】千里導入明細資料_２２年度上期分_Ⅹ_課題と対応策_20121211" xfId="3537" xr:uid="{00000000-0005-0000-0000-00008F0D0000}"/>
    <cellStyle name="_【20090721】千里導入明細資料_２１年度分_【200912xx】千里導入明細資料_２２年度上期分_Ⅹ_課題と対応策_20121211 2" xfId="3538" xr:uid="{00000000-0005-0000-0000-0000900D0000}"/>
    <cellStyle name="_【20090721】千里導入明細資料_２１年度分_【調整中】千里導入明細資料_２２年度上期分_fj_20100127" xfId="3539" xr:uid="{00000000-0005-0000-0000-0000910D0000}"/>
    <cellStyle name="_【20090721】千里導入明細資料_２１年度分_【調整中】千里導入明細資料_２２年度上期分_fj_20100127 2" xfId="3540" xr:uid="{00000000-0005-0000-0000-0000920D0000}"/>
    <cellStyle name="_【20090721】千里導入明細資料_２１年度分_【調整中】千里導入明細資料_２２年度上期分_fj_20100127_Ⅹ_課題と対応策_20121211" xfId="3541" xr:uid="{00000000-0005-0000-0000-0000930D0000}"/>
    <cellStyle name="_【20090721】千里導入明細資料_２１年度分_【調整中】千里導入明細資料_２２年度上期分_fj_20100127_Ⅹ_課題と対応策_20121211 2" xfId="3542" xr:uid="{00000000-0005-0000-0000-0000940D0000}"/>
    <cellStyle name="_【20090721】千里導入明細資料_２１年度分_①【20091225】千里導入明細資料_２２年度上期1分)" xfId="3543" xr:uid="{00000000-0005-0000-0000-0000950D0000}"/>
    <cellStyle name="_【20090721】千里導入明細資料_２１年度分_①【20091225】千里導入明細資料_２２年度上期1分) 2" xfId="3544" xr:uid="{00000000-0005-0000-0000-0000960D0000}"/>
    <cellStyle name="_【20090721】千里導入明細資料_２１年度分_①【20091225】千里導入明細資料_２２年度上期1分)_Ⅹ_課題と対応策_20121211" xfId="3545" xr:uid="{00000000-0005-0000-0000-0000970D0000}"/>
    <cellStyle name="_【20090721】千里導入明細資料_２１年度分_①【20091225】千里導入明細資料_２２年度上期1分)_Ⅹ_課題と対応策_20121211 2" xfId="3546" xr:uid="{00000000-0005-0000-0000-0000980D0000}"/>
    <cellStyle name="_【20090721】千里導入明細資料_２１年度分_Ⅹ_課題と対応策_20121211" xfId="3547" xr:uid="{00000000-0005-0000-0000-0000990D0000}"/>
    <cellStyle name="_【20090721】千里導入明細資料_２１年度分_Ⅹ_課題と対応策_20121211 2" xfId="3548" xr:uid="{00000000-0005-0000-0000-00009A0D0000}"/>
    <cellStyle name="_【20090721】千里導入明細資料_２１年度分_千里導入明細資料_２２年度分（ネットワーク敷設）_fj" xfId="3549" xr:uid="{00000000-0005-0000-0000-00009B0D0000}"/>
    <cellStyle name="_【20090721】千里導入明細資料_２１年度分_千里導入明細資料_２２年度分（ネットワーク敷設）_fj 2" xfId="3550" xr:uid="{00000000-0005-0000-0000-00009C0D0000}"/>
    <cellStyle name="_【20090721】千里導入明細資料_２１年度分_千里導入明細資料_２２年度分（ネットワーク敷設）_fj_Ⅹ_課題と対応策_20121211" xfId="3551" xr:uid="{00000000-0005-0000-0000-00009D0D0000}"/>
    <cellStyle name="_【20090721】千里導入明細資料_２１年度分_千里導入明細資料_２２年度分（ネットワーク敷設）_fj_Ⅹ_課題と対応策_20121211 2" xfId="3552" xr:uid="{00000000-0005-0000-0000-00009E0D0000}"/>
    <cellStyle name="_【20090821】千里ラック搭載図（NW機器）" xfId="3553" xr:uid="{00000000-0005-0000-0000-00009F0D0000}"/>
    <cellStyle name="_【20090821】千里ラック搭載図（NW機器） 2" xfId="3554" xr:uid="{00000000-0005-0000-0000-0000A00D0000}"/>
    <cellStyle name="_【20090821】千里ラック搭載図（NW機器）_Ⅹ_課題と対応策_20121211" xfId="3555" xr:uid="{00000000-0005-0000-0000-0000A10D0000}"/>
    <cellStyle name="_【20090821】千里ラック搭載図（NW機器）_Ⅹ_課題と対応策_20121211 2" xfId="3556" xr:uid="{00000000-0005-0000-0000-0000A20D0000}"/>
    <cellStyle name="_【200909】ラック単位の電源仕様_ご参考" xfId="3557" xr:uid="{00000000-0005-0000-0000-0000A30D0000}"/>
    <cellStyle name="_【200909】ラック単位の電源仕様_ご参考 2" xfId="3558" xr:uid="{00000000-0005-0000-0000-0000A40D0000}"/>
    <cellStyle name="_【200909】ラック単位の電源仕様_ご参考_【20090821】千里ラック搭載図（NW機器）" xfId="3559" xr:uid="{00000000-0005-0000-0000-0000A50D0000}"/>
    <cellStyle name="_【200909】ラック単位の電源仕様_ご参考_【20090821】千里ラック搭載図（NW機器） 2" xfId="3560" xr:uid="{00000000-0005-0000-0000-0000A60D0000}"/>
    <cellStyle name="_【200909】ラック単位の電源仕様_ご参考_【20090821】千里ラック搭載図（NW機器）_Ⅹ_課題と対応策_20121211" xfId="3561" xr:uid="{00000000-0005-0000-0000-0000A70D0000}"/>
    <cellStyle name="_【200909】ラック単位の電源仕様_ご参考_【20090821】千里ラック搭載図（NW機器）_Ⅹ_課題と対応策_20121211 2" xfId="3562" xr:uid="{00000000-0005-0000-0000-0000A80D0000}"/>
    <cellStyle name="_【200909】ラック単位の電源仕様_ご参考_Ⅹ_課題と対応策_20121211" xfId="3563" xr:uid="{00000000-0005-0000-0000-0000A90D0000}"/>
    <cellStyle name="_【200909】ラック単位の電源仕様_ご参考_Ⅹ_課題と対応策_20121211 2" xfId="3564" xr:uid="{00000000-0005-0000-0000-0000AA0D0000}"/>
    <cellStyle name="_【20091207】千里導入明細資料_２１年度分（ネットワーク敷設）" xfId="3565" xr:uid="{00000000-0005-0000-0000-0000AB0D0000}"/>
    <cellStyle name="_【20091207】千里導入明細資料_２１年度分（ネットワーク敷設） 2" xfId="3566" xr:uid="{00000000-0005-0000-0000-0000AC0D0000}"/>
    <cellStyle name="_【20091207】千里導入明細資料_２１年度分（ネットワーク敷設）_【20091218】千里導入明細資料_２１年度分（ネットワーク敷設）" xfId="3567" xr:uid="{00000000-0005-0000-0000-0000AD0D0000}"/>
    <cellStyle name="_【20091207】千里導入明細資料_２１年度分（ネットワーク敷設）_【20091218】千里導入明細資料_２１年度分（ネットワーク敷設） 2" xfId="3568" xr:uid="{00000000-0005-0000-0000-0000AE0D0000}"/>
    <cellStyle name="_【20091207】千里導入明細資料_２１年度分（ネットワーク敷設）_【20091218】千里導入明細資料_２１年度分（ネットワーク敷設）_Ⅹ_課題と対応策_20121211" xfId="3569" xr:uid="{00000000-0005-0000-0000-0000AF0D0000}"/>
    <cellStyle name="_【20091207】千里導入明細資料_２１年度分（ネットワーク敷設）_【20091218】千里導入明細資料_２１年度分（ネットワーク敷設）_Ⅹ_課題と対応策_20121211 2" xfId="3570" xr:uid="{00000000-0005-0000-0000-0000B00D0000}"/>
    <cellStyle name="_【20091207】千里導入明細資料_２１年度分（ネットワーク敷設）_Ⅹ_課題と対応策_20121211" xfId="3571" xr:uid="{00000000-0005-0000-0000-0000B10D0000}"/>
    <cellStyle name="_【20091207】千里導入明細資料_２１年度分（ネットワーク敷設）_Ⅹ_課題と対応策_20121211 2" xfId="3572" xr:uid="{00000000-0005-0000-0000-0000B20D0000}"/>
    <cellStyle name="_【20091207】千里導入明細資料_２１年度分（ネットワーク敷設）_千里導入明細資料_２２年度分（ネットワーク敷設）_fj" xfId="3573" xr:uid="{00000000-0005-0000-0000-0000B30D0000}"/>
    <cellStyle name="_【20091207】千里導入明細資料_２１年度分（ネットワーク敷設）_千里導入明細資料_２２年度分（ネットワーク敷設）_fj 2" xfId="3574" xr:uid="{00000000-0005-0000-0000-0000B40D0000}"/>
    <cellStyle name="_【20091207】千里導入明細資料_２１年度分（ネットワーク敷設）_千里導入明細資料_２２年度分（ネットワーク敷設）_fj_Ⅹ_課題と対応策_20121211" xfId="3575" xr:uid="{00000000-0005-0000-0000-0000B50D0000}"/>
    <cellStyle name="_【20091207】千里導入明細資料_２１年度分（ネットワーク敷設）_千里導入明細資料_２２年度分（ネットワーク敷設）_fj_Ⅹ_課題と対応策_20121211 2" xfId="3576" xr:uid="{00000000-0005-0000-0000-0000B60D0000}"/>
    <cellStyle name="_【20091225】千里導入明細資料_２２年度上期分（営業店ＡＰ－ＤＢ）" xfId="3577" xr:uid="{00000000-0005-0000-0000-0000B70D0000}"/>
    <cellStyle name="_【20091225】千里導入明細資料_２２年度上期分（営業店ＡＰ－ＤＢ） 2" xfId="3578" xr:uid="{00000000-0005-0000-0000-0000B80D0000}"/>
    <cellStyle name="_【20091225】千里導入明細資料_２２年度上期分（営業店ＡＰ－ＤＢ）_【調整中】千里導入明細資料_２２年度上期分_fj_20100127" xfId="3579" xr:uid="{00000000-0005-0000-0000-0000B90D0000}"/>
    <cellStyle name="_【20091225】千里導入明細資料_２２年度上期分（営業店ＡＰ－ＤＢ）_【調整中】千里導入明細資料_２２年度上期分_fj_20100127 2" xfId="3580" xr:uid="{00000000-0005-0000-0000-0000BA0D0000}"/>
    <cellStyle name="_【20091225】千里導入明細資料_２２年度上期分（営業店ＡＰ－ＤＢ）_【調整中】千里導入明細資料_２２年度上期分_fj_20100127_Ⅹ_課題と対応策_20121211" xfId="3581" xr:uid="{00000000-0005-0000-0000-0000BB0D0000}"/>
    <cellStyle name="_【20091225】千里導入明細資料_２２年度上期分（営業店ＡＰ－ＤＢ）_【調整中】千里導入明細資料_２２年度上期分_fj_20100127_Ⅹ_課題と対応策_20121211 2" xfId="3582" xr:uid="{00000000-0005-0000-0000-0000BC0D0000}"/>
    <cellStyle name="_【20091225】千里導入明細資料_２２年度上期分（営業店ＡＰ－ＤＢ）_Ⅹ_課題と対応策_20121211" xfId="3583" xr:uid="{00000000-0005-0000-0000-0000BD0D0000}"/>
    <cellStyle name="_【20091225】千里導入明細資料_２２年度上期分（営業店ＡＰ－ＤＢ）_Ⅹ_課題と対応策_20121211 2" xfId="3584" xr:uid="{00000000-0005-0000-0000-0000BE0D0000}"/>
    <cellStyle name="_【20091225】千里導入明細資料_２２年度上期分_営業店DB" xfId="3585" xr:uid="{00000000-0005-0000-0000-0000BF0D0000}"/>
    <cellStyle name="_【20091225】千里導入明細資料_２２年度上期分_営業店DB 2" xfId="3586" xr:uid="{00000000-0005-0000-0000-0000C00D0000}"/>
    <cellStyle name="_【20091225】千里導入明細資料_２２年度上期分_営業店DB_【調整中】千里導入明細資料_２２年度上期分_fj_20100127" xfId="3587" xr:uid="{00000000-0005-0000-0000-0000C10D0000}"/>
    <cellStyle name="_【20091225】千里導入明細資料_２２年度上期分_営業店DB_【調整中】千里導入明細資料_２２年度上期分_fj_20100127 2" xfId="3588" xr:uid="{00000000-0005-0000-0000-0000C20D0000}"/>
    <cellStyle name="_【20091225】千里導入明細資料_２２年度上期分_営業店DB_【調整中】千里導入明細資料_２２年度上期分_fj_20100127_Ⅹ_課題と対応策_20121211" xfId="3589" xr:uid="{00000000-0005-0000-0000-0000C30D0000}"/>
    <cellStyle name="_【20091225】千里導入明細資料_２２年度上期分_営業店DB_【調整中】千里導入明細資料_２２年度上期分_fj_20100127_Ⅹ_課題と対応策_20121211 2" xfId="3590" xr:uid="{00000000-0005-0000-0000-0000C40D0000}"/>
    <cellStyle name="_【20091225】千里導入明細資料_２２年度上期分_営業店DB_Ⅹ_課題と対応策_20121211" xfId="3591" xr:uid="{00000000-0005-0000-0000-0000C50D0000}"/>
    <cellStyle name="_【20091225】千里導入明細資料_２２年度上期分_営業店DB_Ⅹ_課題と対応策_20121211 2" xfId="3592" xr:uid="{00000000-0005-0000-0000-0000C60D0000}"/>
    <cellStyle name="_【20091225】千里導入明細資料_２２年度上期分_連携DB" xfId="3593" xr:uid="{00000000-0005-0000-0000-0000C70D0000}"/>
    <cellStyle name="_【20091225】千里導入明細資料_２２年度上期分_連携DB 2" xfId="3594" xr:uid="{00000000-0005-0000-0000-0000C80D0000}"/>
    <cellStyle name="_【20091225】千里導入明細資料_２２年度上期分_連携DB_【調整中】千里導入明細資料_２２年度上期分_fj_20100127" xfId="3595" xr:uid="{00000000-0005-0000-0000-0000C90D0000}"/>
    <cellStyle name="_【20091225】千里導入明細資料_２２年度上期分_連携DB_【調整中】千里導入明細資料_２２年度上期分_fj_20100127 2" xfId="3596" xr:uid="{00000000-0005-0000-0000-0000CA0D0000}"/>
    <cellStyle name="_【20091225】千里導入明細資料_２２年度上期分_連携DB_【調整中】千里導入明細資料_２２年度上期分_fj_20100127_Ⅹ_課題と対応策_20121211" xfId="3597" xr:uid="{00000000-0005-0000-0000-0000CB0D0000}"/>
    <cellStyle name="_【20091225】千里導入明細資料_２２年度上期分_連携DB_【調整中】千里導入明細資料_２２年度上期分_fj_20100127_Ⅹ_課題と対応策_20121211 2" xfId="3598" xr:uid="{00000000-0005-0000-0000-0000CC0D0000}"/>
    <cellStyle name="_【20091225】千里導入明細資料_２２年度上期分_連携DB_Ⅹ_課題と対応策_20121211" xfId="3599" xr:uid="{00000000-0005-0000-0000-0000CD0D0000}"/>
    <cellStyle name="_【20091225】千里導入明細資料_２２年度上期分_連携DB_Ⅹ_課題と対応策_20121211 2" xfId="3600" xr:uid="{00000000-0005-0000-0000-0000CE0D0000}"/>
    <cellStyle name="_【最新】導入明細表（自動機監視)(09.07.16)" xfId="3601" xr:uid="{00000000-0005-0000-0000-0000CF0D0000}"/>
    <cellStyle name="_【最新】導入明細表（自動機監視)(09.07.16) 2" xfId="3602" xr:uid="{00000000-0005-0000-0000-0000D00D0000}"/>
    <cellStyle name="_【最新】導入明細表（自動機監視)(09.07.16)_【20090724】千里導入明細資料_２１年度" xfId="3603" xr:uid="{00000000-0005-0000-0000-0000D10D0000}"/>
    <cellStyle name="_【最新】導入明細表（自動機監視)(09.07.16)_【20090724】千里導入明細資料_２１年度 2" xfId="3604" xr:uid="{00000000-0005-0000-0000-0000D20D0000}"/>
    <cellStyle name="_【最新】導入明細表（自動機監視)(09.07.16)_【20090724】千里導入明細資料_２１年度_【20091207】千里導入明細資料_２１年度分（ネットワーク敷設）" xfId="3605" xr:uid="{00000000-0005-0000-0000-0000D30D0000}"/>
    <cellStyle name="_【最新】導入明細表（自動機監視)(09.07.16)_【20090724】千里導入明細資料_２１年度_【20091207】千里導入明細資料_２１年度分（ネットワーク敷設） 2" xfId="3606" xr:uid="{00000000-0005-0000-0000-0000D4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" xfId="3607" xr:uid="{00000000-0005-0000-0000-0000D5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 2" xfId="3608" xr:uid="{00000000-0005-0000-0000-0000D6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" xfId="3609" xr:uid="{00000000-0005-0000-0000-0000D7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 2" xfId="3610" xr:uid="{00000000-0005-0000-0000-0000D80D0000}"/>
    <cellStyle name="_【最新】導入明細表（自動機監視)(09.07.16)_【20090724】千里導入明細資料_２１年度_【20091207】千里導入明細資料_２１年度分（ネットワーク敷設）_Ⅹ_課題と対応策_20121211" xfId="3611" xr:uid="{00000000-0005-0000-0000-0000D90D0000}"/>
    <cellStyle name="_【最新】導入明細表（自動機監視)(09.07.16)_【20090724】千里導入明細資料_２１年度_【20091207】千里導入明細資料_２１年度分（ネットワーク敷設）_Ⅹ_課題と対応策_20121211 2" xfId="3612" xr:uid="{00000000-0005-0000-0000-0000DA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" xfId="3613" xr:uid="{00000000-0005-0000-0000-0000DB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 2" xfId="3614" xr:uid="{00000000-0005-0000-0000-0000DC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" xfId="3615" xr:uid="{00000000-0005-0000-0000-0000DD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 2" xfId="3616" xr:uid="{00000000-0005-0000-0000-0000DE0D0000}"/>
    <cellStyle name="_【最新】導入明細表（自動機監視)(09.07.16)_【20090724】千里導入明細資料_２１年度_【20091225】千里導入明細資料_２２年度上期分（営業店ＡＰ－ＤＢ）" xfId="3617" xr:uid="{00000000-0005-0000-0000-0000DF0D0000}"/>
    <cellStyle name="_【最新】導入明細表（自動機監視)(09.07.16)_【20090724】千里導入明細資料_２１年度_【20091225】千里導入明細資料_２２年度上期分（営業店ＡＰ－ＤＢ） 2" xfId="3618" xr:uid="{00000000-0005-0000-0000-0000E0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" xfId="3619" xr:uid="{00000000-0005-0000-0000-0000E1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 2" xfId="3620" xr:uid="{00000000-0005-0000-0000-0000E2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" xfId="3621" xr:uid="{00000000-0005-0000-0000-0000E3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 2" xfId="3622" xr:uid="{00000000-0005-0000-0000-0000E40D0000}"/>
    <cellStyle name="_【最新】導入明細表（自動機監視)(09.07.16)_【20090724】千里導入明細資料_２１年度_【20091225】千里導入明細資料_２２年度上期分（営業店ＡＰ－ＤＢ）_Ⅹ_課題と対応策_20121211" xfId="3623" xr:uid="{00000000-0005-0000-0000-0000E50D0000}"/>
    <cellStyle name="_【最新】導入明細表（自動機監視)(09.07.16)_【20090724】千里導入明細資料_２１年度_【20091225】千里導入明細資料_２２年度上期分（営業店ＡＰ－ＤＢ）_Ⅹ_課題と対応策_20121211 2" xfId="3624" xr:uid="{00000000-0005-0000-0000-0000E60D0000}"/>
    <cellStyle name="_【最新】導入明細表（自動機監視)(09.07.16)_【20090724】千里導入明細資料_２１年度_【20091225】千里導入明細資料_２２年度上期分_営業店DB" xfId="3625" xr:uid="{00000000-0005-0000-0000-0000E70D0000}"/>
    <cellStyle name="_【最新】導入明細表（自動機監視)(09.07.16)_【20090724】千里導入明細資料_２１年度_【20091225】千里導入明細資料_２２年度上期分_営業店DB 2" xfId="3626" xr:uid="{00000000-0005-0000-0000-0000E8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" xfId="3627" xr:uid="{00000000-0005-0000-0000-0000E9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 2" xfId="3628" xr:uid="{00000000-0005-0000-0000-0000EA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" xfId="3629" xr:uid="{00000000-0005-0000-0000-0000EB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 2" xfId="3630" xr:uid="{00000000-0005-0000-0000-0000EC0D0000}"/>
    <cellStyle name="_【最新】導入明細表（自動機監視)(09.07.16)_【20090724】千里導入明細資料_２１年度_【20091225】千里導入明細資料_２２年度上期分_営業店DB_Ⅹ_課題と対応策_20121211" xfId="3631" xr:uid="{00000000-0005-0000-0000-0000ED0D0000}"/>
    <cellStyle name="_【最新】導入明細表（自動機監視)(09.07.16)_【20090724】千里導入明細資料_２１年度_【20091225】千里導入明細資料_２２年度上期分_営業店DB_Ⅹ_課題と対応策_20121211 2" xfId="3632" xr:uid="{00000000-0005-0000-0000-0000EE0D0000}"/>
    <cellStyle name="_【最新】導入明細表（自動機監視)(09.07.16)_【20090724】千里導入明細資料_２１年度_【20091225】千里導入明細資料_２２年度上期分_連携DB" xfId="3633" xr:uid="{00000000-0005-0000-0000-0000EF0D0000}"/>
    <cellStyle name="_【最新】導入明細表（自動機監視)(09.07.16)_【20090724】千里導入明細資料_２１年度_【20091225】千里導入明細資料_２２年度上期分_連携DB 2" xfId="3634" xr:uid="{00000000-0005-0000-0000-0000F0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" xfId="3635" xr:uid="{00000000-0005-0000-0000-0000F1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 2" xfId="3636" xr:uid="{00000000-0005-0000-0000-0000F2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" xfId="3637" xr:uid="{00000000-0005-0000-0000-0000F3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 2" xfId="3638" xr:uid="{00000000-0005-0000-0000-0000F40D0000}"/>
    <cellStyle name="_【最新】導入明細表（自動機監視)(09.07.16)_【20090724】千里導入明細資料_２１年度_【20091225】千里導入明細資料_２２年度上期分_連携DB_Ⅹ_課題と対応策_20121211" xfId="3639" xr:uid="{00000000-0005-0000-0000-0000F50D0000}"/>
    <cellStyle name="_【最新】導入明細表（自動機監視)(09.07.16)_【20090724】千里導入明細資料_２１年度_【20091225】千里導入明細資料_２２年度上期分_連携DB_Ⅹ_課題と対応策_20121211 2" xfId="3640" xr:uid="{00000000-0005-0000-0000-0000F60D0000}"/>
    <cellStyle name="_【最新】導入明細表（自動機監視)(09.07.16)_【20090724】千里導入明細資料_２１年度_【作成中】千里センター機器配置図（2010年対応分）_20091221" xfId="3641" xr:uid="{00000000-0005-0000-0000-0000F70D0000}"/>
    <cellStyle name="_【最新】導入明細表（自動機監視)(09.07.16)_【20090724】千里導入明細資料_２１年度_【作成中】千里センター機器配置図（2010年対応分）_20091221 2" xfId="3642" xr:uid="{00000000-0005-0000-0000-0000F8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" xfId="3643" xr:uid="{00000000-0005-0000-0000-0000F9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 2" xfId="3644" xr:uid="{00000000-0005-0000-0000-0000FA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" xfId="3645" xr:uid="{00000000-0005-0000-0000-0000FB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 2" xfId="3646" xr:uid="{00000000-0005-0000-0000-0000FC0D0000}"/>
    <cellStyle name="_【最新】導入明細表（自動機監視)(09.07.16)_【20090724】千里導入明細資料_２１年度_【作成中】千里センター機器配置図（2010年対応分）_20091221_Ⅹ_課題と対応策_20121211" xfId="3647" xr:uid="{00000000-0005-0000-0000-0000FD0D0000}"/>
    <cellStyle name="_【最新】導入明細表（自動機監視)(09.07.16)_【20090724】千里導入明細資料_２１年度_【作成中】千里センター機器配置図（2010年対応分）_20091221_Ⅹ_課題と対応策_20121211 2" xfId="3648" xr:uid="{00000000-0005-0000-0000-0000FE0D0000}"/>
    <cellStyle name="_【最新】導入明細表（自動機監視)(09.07.16)_【20090724】千里導入明細資料_２１年度_Ⅹ_課題と対応策_20121211" xfId="3649" xr:uid="{00000000-0005-0000-0000-0000FF0D0000}"/>
    <cellStyle name="_【最新】導入明細表（自動機監視)(09.07.16)_【20090724】千里導入明細資料_２１年度_Ⅹ_課題と対応策_20121211 2" xfId="3650" xr:uid="{00000000-0005-0000-0000-0000000E0000}"/>
    <cellStyle name="_【最新】導入明細表（自動機監視)(09.07.16)_【20090724】千里導入明細資料_２１年度分（９月工事分）" xfId="3651" xr:uid="{00000000-0005-0000-0000-0000010E0000}"/>
    <cellStyle name="_【最新】導入明細表（自動機監視)(09.07.16)_【20090724】千里導入明細資料_２１年度分（９月工事分） 2" xfId="3652" xr:uid="{00000000-0005-0000-0000-0000020E0000}"/>
    <cellStyle name="_【最新】導入明細表（自動機監視)(09.07.16)_【20090724】千里導入明細資料_２１年度分（９月工事分）_【20091207】千里導入明細資料_２１年度分（ネットワーク敷設）" xfId="3653" xr:uid="{00000000-0005-0000-0000-0000030E0000}"/>
    <cellStyle name="_【最新】導入明細表（自動機監視)(09.07.16)_【20090724】千里導入明細資料_２１年度分（９月工事分）_【20091207】千里導入明細資料_２１年度分（ネットワーク敷設） 2" xfId="3654" xr:uid="{00000000-0005-0000-0000-000004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" xfId="3655" xr:uid="{00000000-0005-0000-0000-000005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 2" xfId="3656" xr:uid="{00000000-0005-0000-0000-000006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3657" xr:uid="{00000000-0005-0000-0000-000007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3658" xr:uid="{00000000-0005-0000-0000-0000080E0000}"/>
    <cellStyle name="_【最新】導入明細表（自動機監視)(09.07.16)_【20090724】千里導入明細資料_２１年度分（９月工事分）_【20091207】千里導入明細資料_２１年度分（ネットワーク敷設）_Ⅹ_課題と対応策_20121211" xfId="3659" xr:uid="{00000000-0005-0000-0000-0000090E0000}"/>
    <cellStyle name="_【最新】導入明細表（自動機監視)(09.07.16)_【20090724】千里導入明細資料_２１年度分（９月工事分）_【20091207】千里導入明細資料_２１年度分（ネットワーク敷設）_Ⅹ_課題と対応策_20121211 2" xfId="3660" xr:uid="{00000000-0005-0000-0000-00000A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" xfId="3661" xr:uid="{00000000-0005-0000-0000-00000B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 2" xfId="3662" xr:uid="{00000000-0005-0000-0000-00000C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" xfId="3663" xr:uid="{00000000-0005-0000-0000-00000D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 2" xfId="3664" xr:uid="{00000000-0005-0000-0000-00000E0E0000}"/>
    <cellStyle name="_【最新】導入明細表（自動機監視)(09.07.16)_【20090724】千里導入明細資料_２１年度分（９月工事分）_【20091225】千里導入明細資料_２２年度上期分（営業店ＡＰ－ＤＢ）" xfId="3665" xr:uid="{00000000-0005-0000-0000-00000F0E0000}"/>
    <cellStyle name="_【最新】導入明細表（自動機監視)(09.07.16)_【20090724】千里導入明細資料_２１年度分（９月工事分）_【20091225】千里導入明細資料_２２年度上期分（営業店ＡＰ－ＤＢ） 2" xfId="3666" xr:uid="{00000000-0005-0000-0000-000010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" xfId="3667" xr:uid="{00000000-0005-0000-0000-000011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 2" xfId="3668" xr:uid="{00000000-0005-0000-0000-000012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3669" xr:uid="{00000000-0005-0000-0000-000013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3670" xr:uid="{00000000-0005-0000-0000-0000140E0000}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" xfId="3671" xr:uid="{00000000-0005-0000-0000-0000150E0000}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 2" xfId="3672" xr:uid="{00000000-0005-0000-0000-0000160E0000}"/>
    <cellStyle name="_【最新】導入明細表（自動機監視)(09.07.16)_【20090724】千里導入明細資料_２１年度分（９月工事分）_【20091225】千里導入明細資料_２２年度上期分_営業店DB" xfId="3673" xr:uid="{00000000-0005-0000-0000-0000170E0000}"/>
    <cellStyle name="_【最新】導入明細表（自動機監視)(09.07.16)_【20090724】千里導入明細資料_２１年度分（９月工事分）_【20091225】千里導入明細資料_２２年度上期分_営業店DB 2" xfId="3674" xr:uid="{00000000-0005-0000-0000-000018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" xfId="3675" xr:uid="{00000000-0005-0000-0000-000019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 2" xfId="3676" xr:uid="{00000000-0005-0000-0000-00001A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" xfId="3677" xr:uid="{00000000-0005-0000-0000-00001B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 2" xfId="3678" xr:uid="{00000000-0005-0000-0000-00001C0E0000}"/>
    <cellStyle name="_【最新】導入明細表（自動機監視)(09.07.16)_【20090724】千里導入明細資料_２１年度分（９月工事分）_【20091225】千里導入明細資料_２２年度上期分_営業店DB_Ⅹ_課題と対応策_20121211" xfId="3679" xr:uid="{00000000-0005-0000-0000-00001D0E0000}"/>
    <cellStyle name="_【最新】導入明細表（自動機監視)(09.07.16)_【20090724】千里導入明細資料_２１年度分（９月工事分）_【20091225】千里導入明細資料_２２年度上期分_営業店DB_Ⅹ_課題と対応策_20121211 2" xfId="3680" xr:uid="{00000000-0005-0000-0000-00001E0E0000}"/>
    <cellStyle name="_【最新】導入明細表（自動機監視)(09.07.16)_【20090724】千里導入明細資料_２１年度分（９月工事分）_【20091225】千里導入明細資料_２２年度上期分_連携DB" xfId="3681" xr:uid="{00000000-0005-0000-0000-00001F0E0000}"/>
    <cellStyle name="_【最新】導入明細表（自動機監視)(09.07.16)_【20090724】千里導入明細資料_２１年度分（９月工事分）_【20091225】千里導入明細資料_２２年度上期分_連携DB 2" xfId="3682" xr:uid="{00000000-0005-0000-0000-000020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" xfId="3683" xr:uid="{00000000-0005-0000-0000-000021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 2" xfId="3684" xr:uid="{00000000-0005-0000-0000-000022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" xfId="3685" xr:uid="{00000000-0005-0000-0000-000023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 2" xfId="3686" xr:uid="{00000000-0005-0000-0000-0000240E0000}"/>
    <cellStyle name="_【最新】導入明細表（自動機監視)(09.07.16)_【20090724】千里導入明細資料_２１年度分（９月工事分）_【20091225】千里導入明細資料_２２年度上期分_連携DB_Ⅹ_課題と対応策_20121211" xfId="3687" xr:uid="{00000000-0005-0000-0000-0000250E0000}"/>
    <cellStyle name="_【最新】導入明細表（自動機監視)(09.07.16)_【20090724】千里導入明細資料_２１年度分（９月工事分）_【20091225】千里導入明細資料_２２年度上期分_連携DB_Ⅹ_課題と対応策_20121211 2" xfId="3688" xr:uid="{00000000-0005-0000-0000-0000260E0000}"/>
    <cellStyle name="_【最新】導入明細表（自動機監視)(09.07.16)_【20090724】千里導入明細資料_２１年度分（９月工事分）_【作成中】千里センター機器配置図（2010年対応分）_20091221" xfId="3689" xr:uid="{00000000-0005-0000-0000-0000270E0000}"/>
    <cellStyle name="_【最新】導入明細表（自動機監視)(09.07.16)_【20090724】千里導入明細資料_２１年度分（９月工事分）_【作成中】千里センター機器配置図（2010年対応分）_20091221 2" xfId="3690" xr:uid="{00000000-0005-0000-0000-000028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" xfId="3691" xr:uid="{00000000-0005-0000-0000-000029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 2" xfId="3692" xr:uid="{00000000-0005-0000-0000-00002A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" xfId="3693" xr:uid="{00000000-0005-0000-0000-00002B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 2" xfId="3694" xr:uid="{00000000-0005-0000-0000-00002C0E0000}"/>
    <cellStyle name="_【最新】導入明細表（自動機監視)(09.07.16)_【20090724】千里導入明細資料_２１年度分（９月工事分）_【作成中】千里センター機器配置図（2010年対応分）_20091221_Ⅹ_課題と対応策_20121211" xfId="3695" xr:uid="{00000000-0005-0000-0000-00002D0E0000}"/>
    <cellStyle name="_【最新】導入明細表（自動機監視)(09.07.16)_【20090724】千里導入明細資料_２１年度分（９月工事分）_【作成中】千里センター機器配置図（2010年対応分）_20091221_Ⅹ_課題と対応策_20121211 2" xfId="3696" xr:uid="{00000000-0005-0000-0000-00002E0E0000}"/>
    <cellStyle name="_【最新】導入明細表（自動機監視)(09.07.16)_【20090724】千里導入明細資料_２１年度分（９月工事分）_Ⅹ_課題と対応策_20121211" xfId="3697" xr:uid="{00000000-0005-0000-0000-00002F0E0000}"/>
    <cellStyle name="_【最新】導入明細表（自動機監視)(09.07.16)_【20090724】千里導入明細資料_２１年度分（９月工事分）_Ⅹ_課題と対応策_20121211 2" xfId="3698" xr:uid="{00000000-0005-0000-0000-0000300E0000}"/>
    <cellStyle name="_【最新】導入明細表（自動機監視)(09.07.16)_【20090731】千里導入明細資料_２１年度分（９月工事分）" xfId="3699" xr:uid="{00000000-0005-0000-0000-0000310E0000}"/>
    <cellStyle name="_【最新】導入明細表（自動機監視)(09.07.16)_【20090731】千里導入明細資料_２１年度分（９月工事分） 2" xfId="3700" xr:uid="{00000000-0005-0000-0000-0000320E0000}"/>
    <cellStyle name="_【最新】導入明細表（自動機監視)(09.07.16)_【20090731】千里導入明細資料_２１年度分（９月工事分）_【20090821】千里ラック搭載図（NW機器）" xfId="3701" xr:uid="{00000000-0005-0000-0000-0000330E0000}"/>
    <cellStyle name="_【最新】導入明細表（自動機監視)(09.07.16)_【20090731】千里導入明細資料_２１年度分（９月工事分）_【20090821】千里ラック搭載図（NW機器） 2" xfId="3702" xr:uid="{00000000-0005-0000-0000-0000340E0000}"/>
    <cellStyle name="_【最新】導入明細表（自動機監視)(09.07.16)_【20090731】千里導入明細資料_２１年度分（９月工事分）_【20090821】千里ラック搭載図（NW機器）_Ⅹ_課題と対応策_20121211" xfId="3703" xr:uid="{00000000-0005-0000-0000-0000350E0000}"/>
    <cellStyle name="_【最新】導入明細表（自動機監視)(09.07.16)_【20090731】千里導入明細資料_２１年度分（９月工事分）_【20090821】千里ラック搭載図（NW機器）_Ⅹ_課題と対応策_20121211 2" xfId="3704" xr:uid="{00000000-0005-0000-0000-0000360E0000}"/>
    <cellStyle name="_【最新】導入明細表（自動機監視)(09.07.16)_【20090731】千里導入明細資料_２１年度分（９月工事分）_Ⅹ_課題と対応策_20121211" xfId="3705" xr:uid="{00000000-0005-0000-0000-0000370E0000}"/>
    <cellStyle name="_【最新】導入明細表（自動機監視)(09.07.16)_【20090731】千里導入明細資料_２１年度分（９月工事分）_Ⅹ_課題と対応策_20121211 2" xfId="3706" xr:uid="{00000000-0005-0000-0000-0000380E0000}"/>
    <cellStyle name="_【最新】導入明細表（自動機監視)(09.07.16)_【20090807】千里導入明細資料" xfId="3707" xr:uid="{00000000-0005-0000-0000-0000390E0000}"/>
    <cellStyle name="_【最新】導入明細表（自動機監視)(09.07.16)_【20090807】千里導入明細資料 2" xfId="3708" xr:uid="{00000000-0005-0000-0000-00003A0E0000}"/>
    <cellStyle name="_【最新】導入明細表（自動機監視)(09.07.16)_【20090807】千里導入明細資料_【20091207】千里導入明細資料_２１年度分（ネットワーク敷設）" xfId="3709" xr:uid="{00000000-0005-0000-0000-00003B0E0000}"/>
    <cellStyle name="_【最新】導入明細表（自動機監視)(09.07.16)_【20090807】千里導入明細資料_【20091207】千里導入明細資料_２１年度分（ネットワーク敷設） 2" xfId="3710" xr:uid="{00000000-0005-0000-0000-00003C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" xfId="3711" xr:uid="{00000000-0005-0000-0000-00003D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 2" xfId="3712" xr:uid="{00000000-0005-0000-0000-00003E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" xfId="3713" xr:uid="{00000000-0005-0000-0000-00003F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 2" xfId="3714" xr:uid="{00000000-0005-0000-0000-0000400E0000}"/>
    <cellStyle name="_【最新】導入明細表（自動機監視)(09.07.16)_【20090807】千里導入明細資料_【20091207】千里導入明細資料_２１年度分（ネットワーク敷設）_Ⅹ_課題と対応策_20121211" xfId="3715" xr:uid="{00000000-0005-0000-0000-0000410E0000}"/>
    <cellStyle name="_【最新】導入明細表（自動機監視)(09.07.16)_【20090807】千里導入明細資料_【20091207】千里導入明細資料_２１年度分（ネットワーク敷設）_Ⅹ_課題と対応策_20121211 2" xfId="3716" xr:uid="{00000000-0005-0000-0000-000042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" xfId="3717" xr:uid="{00000000-0005-0000-0000-000043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 2" xfId="3718" xr:uid="{00000000-0005-0000-0000-000044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" xfId="3719" xr:uid="{00000000-0005-0000-0000-000045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 2" xfId="3720" xr:uid="{00000000-0005-0000-0000-0000460E0000}"/>
    <cellStyle name="_【最新】導入明細表（自動機監視)(09.07.16)_【20090807】千里導入明細資料_【20091225】千里導入明細資料_２２年度上期分（営業店ＡＰ－ＤＢ）" xfId="3721" xr:uid="{00000000-0005-0000-0000-0000470E0000}"/>
    <cellStyle name="_【最新】導入明細表（自動機監視)(09.07.16)_【20090807】千里導入明細資料_【20091225】千里導入明細資料_２２年度上期分（営業店ＡＰ－ＤＢ） 2" xfId="3722" xr:uid="{00000000-0005-0000-0000-000048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" xfId="3723" xr:uid="{00000000-0005-0000-0000-000049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 2" xfId="3724" xr:uid="{00000000-0005-0000-0000-00004A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" xfId="3725" xr:uid="{00000000-0005-0000-0000-00004B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 2" xfId="3726" xr:uid="{00000000-0005-0000-0000-00004C0E0000}"/>
    <cellStyle name="_【最新】導入明細表（自動機監視)(09.07.16)_【20090807】千里導入明細資料_【20091225】千里導入明細資料_２２年度上期分（営業店ＡＰ－ＤＢ）_Ⅹ_課題と対応策_20121211" xfId="3727" xr:uid="{00000000-0005-0000-0000-00004D0E0000}"/>
    <cellStyle name="_【最新】導入明細表（自動機監視)(09.07.16)_【20090807】千里導入明細資料_【20091225】千里導入明細資料_２２年度上期分（営業店ＡＰ－ＤＢ）_Ⅹ_課題と対応策_20121211 2" xfId="3728" xr:uid="{00000000-0005-0000-0000-00004E0E0000}"/>
    <cellStyle name="_【最新】導入明細表（自動機監視)(09.07.16)_【20090807】千里導入明細資料_【20091225】千里導入明細資料_２２年度上期分_営業店DB" xfId="3729" xr:uid="{00000000-0005-0000-0000-00004F0E0000}"/>
    <cellStyle name="_【最新】導入明細表（自動機監視)(09.07.16)_【20090807】千里導入明細資料_【20091225】千里導入明細資料_２２年度上期分_営業店DB 2" xfId="3730" xr:uid="{00000000-0005-0000-0000-0000500E0000}"/>
    <cellStyle name="_【最新】導入明細表（自動機監視)(09.07.16)_【20090807】千里導入明細資料_【20091225】千里導入明細資料_２２年度上期分_営業店DB_【調整中】千里導入明細資料_２２年度上期分_fj_20100127" xfId="3731" xr:uid="{00000000-0005-0000-0000-0000510E0000}"/>
    <cellStyle name="_【最新】導入明細表（自動機監視)(09.07.16)_【20090807】千里導入明細資料_【20091225】千里導入明細資料_２２年度上期分_営業店DB_【調整中】千里導入明細資料_２２年度上期分_fj_20100127 2" xfId="3732" xr:uid="{00000000-0005-0000-0000-0000520E0000}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" xfId="3733" xr:uid="{00000000-0005-0000-0000-0000530E0000}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 2" xfId="3734" xr:uid="{00000000-0005-0000-0000-0000540E0000}"/>
    <cellStyle name="_【最新】導入明細表（自動機監視)(09.07.16)_【20090807】千里導入明細資料_【20091225】千里導入明細資料_２２年度上期分_営業店DB_Ⅹ_課題と対応策_20121211" xfId="3735" xr:uid="{00000000-0005-0000-0000-0000550E0000}"/>
    <cellStyle name="_【最新】導入明細表（自動機監視)(09.07.16)_【20090807】千里導入明細資料_【20091225】千里導入明細資料_２２年度上期分_営業店DB_Ⅹ_課題と対応策_20121211 2" xfId="3736" xr:uid="{00000000-0005-0000-0000-0000560E0000}"/>
    <cellStyle name="_【最新】導入明細表（自動機監視)(09.07.16)_【20090807】千里導入明細資料_【20091225】千里導入明細資料_２２年度上期分_連携DB" xfId="3737" xr:uid="{00000000-0005-0000-0000-0000570E0000}"/>
    <cellStyle name="_【最新】導入明細表（自動機監視)(09.07.16)_【20090807】千里導入明細資料_【20091225】千里導入明細資料_２２年度上期分_連携DB 2" xfId="3738" xr:uid="{00000000-0005-0000-0000-0000580E0000}"/>
    <cellStyle name="_【最新】導入明細表（自動機監視)(09.07.16)_【20090807】千里導入明細資料_【20091225】千里導入明細資料_２２年度上期分_連携DB_【調整中】千里導入明細資料_２２年度上期分_fj_20100127" xfId="3739" xr:uid="{00000000-0005-0000-0000-0000590E0000}"/>
    <cellStyle name="_【最新】導入明細表（自動機監視)(09.07.16)_【20090807】千里導入明細資料_【20091225】千里導入明細資料_２２年度上期分_連携DB_【調整中】千里導入明細資料_２２年度上期分_fj_20100127 2" xfId="3740" xr:uid="{00000000-0005-0000-0000-00005A0E0000}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" xfId="3741" xr:uid="{00000000-0005-0000-0000-00005B0E0000}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 2" xfId="3742" xr:uid="{00000000-0005-0000-0000-00005C0E0000}"/>
    <cellStyle name="_【最新】導入明細表（自動機監視)(09.07.16)_【20090807】千里導入明細資料_【20091225】千里導入明細資料_２２年度上期分_連携DB_Ⅹ_課題と対応策_20121211" xfId="3743" xr:uid="{00000000-0005-0000-0000-00005D0E0000}"/>
    <cellStyle name="_【最新】導入明細表（自動機監視)(09.07.16)_【20090807】千里導入明細資料_【20091225】千里導入明細資料_２２年度上期分_連携DB_Ⅹ_課題と対応策_20121211 2" xfId="3744" xr:uid="{00000000-0005-0000-0000-00005E0E0000}"/>
    <cellStyle name="_【最新】導入明細表（自動機監視)(09.07.16)_【20090807】千里導入明細資料_【作成中】千里センター機器配置図（2010年対応分）_20091221" xfId="3745" xr:uid="{00000000-0005-0000-0000-00005F0E0000}"/>
    <cellStyle name="_【最新】導入明細表（自動機監視)(09.07.16)_【20090807】千里導入明細資料_【作成中】千里センター機器配置図（2010年対応分）_20091221 2" xfId="3746" xr:uid="{00000000-0005-0000-0000-000060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" xfId="3747" xr:uid="{00000000-0005-0000-0000-000061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 2" xfId="3748" xr:uid="{00000000-0005-0000-0000-000062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" xfId="3749" xr:uid="{00000000-0005-0000-0000-000063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 2" xfId="3750" xr:uid="{00000000-0005-0000-0000-0000640E0000}"/>
    <cellStyle name="_【最新】導入明細表（自動機監視)(09.07.16)_【20090807】千里導入明細資料_【作成中】千里センター機器配置図（2010年対応分）_20091221_Ⅹ_課題と対応策_20121211" xfId="3751" xr:uid="{00000000-0005-0000-0000-0000650E0000}"/>
    <cellStyle name="_【最新】導入明細表（自動機監視)(09.07.16)_【20090807】千里導入明細資料_【作成中】千里センター機器配置図（2010年対応分）_20091221_Ⅹ_課題と対応策_20121211 2" xfId="3752" xr:uid="{00000000-0005-0000-0000-0000660E0000}"/>
    <cellStyle name="_【最新】導入明細表（自動機監視)(09.07.16)_【20090807】千里導入明細資料_Ⅹ_課題と対応策_20121211" xfId="3753" xr:uid="{00000000-0005-0000-0000-0000670E0000}"/>
    <cellStyle name="_【最新】導入明細表（自動機監視)(09.07.16)_【20090807】千里導入明細資料_Ⅹ_課題と対応策_20121211 2" xfId="3754" xr:uid="{00000000-0005-0000-0000-0000680E0000}"/>
    <cellStyle name="_【最新】導入明細表（自動機監視)(09.07.16)_【20090814】千里導入明細資料_SDB追加" xfId="3755" xr:uid="{00000000-0005-0000-0000-0000690E0000}"/>
    <cellStyle name="_【最新】導入明細表（自動機監視)(09.07.16)_【20090814】千里導入明細資料_SDB追加 2" xfId="3756" xr:uid="{00000000-0005-0000-0000-00006A0E0000}"/>
    <cellStyle name="_【最新】導入明細表（自動機監視)(09.07.16)_【20090814】千里導入明細資料_SDB追加_【20091207】千里導入明細資料_２１年度分（ネットワーク敷設）" xfId="3757" xr:uid="{00000000-0005-0000-0000-00006B0E0000}"/>
    <cellStyle name="_【最新】導入明細表（自動機監視)(09.07.16)_【20090814】千里導入明細資料_SDB追加_【20091207】千里導入明細資料_２１年度分（ネットワーク敷設） 2" xfId="3758" xr:uid="{00000000-0005-0000-0000-00006C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" xfId="3759" xr:uid="{00000000-0005-0000-0000-00006D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 2" xfId="3760" xr:uid="{00000000-0005-0000-0000-00006E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" xfId="3761" xr:uid="{00000000-0005-0000-0000-00006F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 2" xfId="3762" xr:uid="{00000000-0005-0000-0000-0000700E0000}"/>
    <cellStyle name="_【最新】導入明細表（自動機監視)(09.07.16)_【20090814】千里導入明細資料_SDB追加_【20091207】千里導入明細資料_２１年度分（ネットワーク敷設）_Ⅹ_課題と対応策_20121211" xfId="3763" xr:uid="{00000000-0005-0000-0000-0000710E0000}"/>
    <cellStyle name="_【最新】導入明細表（自動機監視)(09.07.16)_【20090814】千里導入明細資料_SDB追加_【20091207】千里導入明細資料_２１年度分（ネットワーク敷設）_Ⅹ_課題と対応策_20121211 2" xfId="3764" xr:uid="{00000000-0005-0000-0000-000072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" xfId="3765" xr:uid="{00000000-0005-0000-0000-000073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 2" xfId="3766" xr:uid="{00000000-0005-0000-0000-000074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" xfId="3767" xr:uid="{00000000-0005-0000-0000-000075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 2" xfId="3768" xr:uid="{00000000-0005-0000-0000-0000760E0000}"/>
    <cellStyle name="_【最新】導入明細表（自動機監視)(09.07.16)_【20090814】千里導入明細資料_SDB追加_【20091225】千里導入明細資料_２２年度上期分（営業店ＡＰ－ＤＢ）" xfId="3769" xr:uid="{00000000-0005-0000-0000-0000770E0000}"/>
    <cellStyle name="_【最新】導入明細表（自動機監視)(09.07.16)_【20090814】千里導入明細資料_SDB追加_【20091225】千里導入明細資料_２２年度上期分（営業店ＡＰ－ＤＢ） 2" xfId="3770" xr:uid="{00000000-0005-0000-0000-000078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" xfId="3771" xr:uid="{00000000-0005-0000-0000-000079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 2" xfId="3772" xr:uid="{00000000-0005-0000-0000-00007A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" xfId="3773" xr:uid="{00000000-0005-0000-0000-00007B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 2" xfId="3774" xr:uid="{00000000-0005-0000-0000-00007C0E0000}"/>
    <cellStyle name="_【最新】導入明細表（自動機監視)(09.07.16)_【20090814】千里導入明細資料_SDB追加_【20091225】千里導入明細資料_２２年度上期分（営業店ＡＰ－ＤＢ）_Ⅹ_課題と対応策_20121211" xfId="3775" xr:uid="{00000000-0005-0000-0000-00007D0E0000}"/>
    <cellStyle name="_【最新】導入明細表（自動機監視)(09.07.16)_【20090814】千里導入明細資料_SDB追加_【20091225】千里導入明細資料_２２年度上期分（営業店ＡＰ－ＤＢ）_Ⅹ_課題と対応策_20121211 2" xfId="3776" xr:uid="{00000000-0005-0000-0000-00007E0E0000}"/>
    <cellStyle name="_【最新】導入明細表（自動機監視)(09.07.16)_【20090814】千里導入明細資料_SDB追加_【20091225】千里導入明細資料_２２年度上期分_営業店DB" xfId="3777" xr:uid="{00000000-0005-0000-0000-00007F0E0000}"/>
    <cellStyle name="_【最新】導入明細表（自動機監視)(09.07.16)_【20090814】千里導入明細資料_SDB追加_【20091225】千里導入明細資料_２２年度上期分_営業店DB 2" xfId="3778" xr:uid="{00000000-0005-0000-0000-000080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" xfId="3779" xr:uid="{00000000-0005-0000-0000-000081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 2" xfId="3780" xr:uid="{00000000-0005-0000-0000-000082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" xfId="3781" xr:uid="{00000000-0005-0000-0000-000083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 2" xfId="3782" xr:uid="{00000000-0005-0000-0000-0000840E0000}"/>
    <cellStyle name="_【最新】導入明細表（自動機監視)(09.07.16)_【20090814】千里導入明細資料_SDB追加_【20091225】千里導入明細資料_２２年度上期分_営業店DB_Ⅹ_課題と対応策_20121211" xfId="3783" xr:uid="{00000000-0005-0000-0000-0000850E0000}"/>
    <cellStyle name="_【最新】導入明細表（自動機監視)(09.07.16)_【20090814】千里導入明細資料_SDB追加_【20091225】千里導入明細資料_２２年度上期分_営業店DB_Ⅹ_課題と対応策_20121211 2" xfId="3784" xr:uid="{00000000-0005-0000-0000-0000860E0000}"/>
    <cellStyle name="_【最新】導入明細表（自動機監視)(09.07.16)_【20090814】千里導入明細資料_SDB追加_【20091225】千里導入明細資料_２２年度上期分_連携DB" xfId="3785" xr:uid="{00000000-0005-0000-0000-0000870E0000}"/>
    <cellStyle name="_【最新】導入明細表（自動機監視)(09.07.16)_【20090814】千里導入明細資料_SDB追加_【20091225】千里導入明細資料_２２年度上期分_連携DB 2" xfId="3786" xr:uid="{00000000-0005-0000-0000-000088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" xfId="3787" xr:uid="{00000000-0005-0000-0000-000089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 2" xfId="3788" xr:uid="{00000000-0005-0000-0000-00008A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" xfId="3789" xr:uid="{00000000-0005-0000-0000-00008B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 2" xfId="3790" xr:uid="{00000000-0005-0000-0000-00008C0E0000}"/>
    <cellStyle name="_【最新】導入明細表（自動機監視)(09.07.16)_【20090814】千里導入明細資料_SDB追加_【20091225】千里導入明細資料_２２年度上期分_連携DB_Ⅹ_課題と対応策_20121211" xfId="3791" xr:uid="{00000000-0005-0000-0000-00008D0E0000}"/>
    <cellStyle name="_【最新】導入明細表（自動機監視)(09.07.16)_【20090814】千里導入明細資料_SDB追加_【20091225】千里導入明細資料_２２年度上期分_連携DB_Ⅹ_課題と対応策_20121211 2" xfId="3792" xr:uid="{00000000-0005-0000-0000-00008E0E0000}"/>
    <cellStyle name="_【最新】導入明細表（自動機監視)(09.07.16)_【20090814】千里導入明細資料_SDB追加_【作成中】千里センター機器配置図（2010年対応分）_20091221" xfId="3793" xr:uid="{00000000-0005-0000-0000-00008F0E0000}"/>
    <cellStyle name="_【最新】導入明細表（自動機監視)(09.07.16)_【20090814】千里導入明細資料_SDB追加_【作成中】千里センター機器配置図（2010年対応分）_20091221 2" xfId="3794" xr:uid="{00000000-0005-0000-0000-000090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" xfId="3795" xr:uid="{00000000-0005-0000-0000-000091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 2" xfId="3796" xr:uid="{00000000-0005-0000-0000-000092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" xfId="3797" xr:uid="{00000000-0005-0000-0000-000093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 2" xfId="3798" xr:uid="{00000000-0005-0000-0000-0000940E0000}"/>
    <cellStyle name="_【最新】導入明細表（自動機監視)(09.07.16)_【20090814】千里導入明細資料_SDB追加_【作成中】千里センター機器配置図（2010年対応分）_20091221_Ⅹ_課題と対応策_20121211" xfId="3799" xr:uid="{00000000-0005-0000-0000-0000950E0000}"/>
    <cellStyle name="_【最新】導入明細表（自動機監視)(09.07.16)_【20090814】千里導入明細資料_SDB追加_【作成中】千里センター機器配置図（2010年対応分）_20091221_Ⅹ_課題と対応策_20121211 2" xfId="3800" xr:uid="{00000000-0005-0000-0000-0000960E0000}"/>
    <cellStyle name="_【最新】導入明細表（自動機監視)(09.07.16)_【20090814】千里導入明細資料_SDB追加_Ⅹ_課題と対応策_20121211" xfId="3801" xr:uid="{00000000-0005-0000-0000-0000970E0000}"/>
    <cellStyle name="_【最新】導入明細表（自動機監視)(09.07.16)_【20090814】千里導入明細資料_SDB追加_Ⅹ_課題と対応策_20121211 2" xfId="3802" xr:uid="{00000000-0005-0000-0000-0000980E0000}"/>
    <cellStyle name="_【最新】導入明細表（自動機監視)(09.07.16)_【20090821】千里ラック搭載図（NW機器）" xfId="3803" xr:uid="{00000000-0005-0000-0000-0000990E0000}"/>
    <cellStyle name="_【最新】導入明細表（自動機監視)(09.07.16)_【20090821】千里ラック搭載図（NW機器） 2" xfId="3804" xr:uid="{00000000-0005-0000-0000-00009A0E0000}"/>
    <cellStyle name="_【最新】導入明細表（自動機監視)(09.07.16)_【20090821】千里ラック搭載図（NW機器）_Ⅹ_課題と対応策_20121211" xfId="3805" xr:uid="{00000000-0005-0000-0000-00009B0E0000}"/>
    <cellStyle name="_【最新】導入明細表（自動機監視)(09.07.16)_【20090821】千里ラック搭載図（NW機器）_Ⅹ_課題と対応策_20121211 2" xfId="3806" xr:uid="{00000000-0005-0000-0000-00009C0E0000}"/>
    <cellStyle name="_【最新】導入明細表（自動機監視)(09.07.16)_【20091218】千里導入明細資料_２１年度分（ネットワーク敷設）" xfId="3807" xr:uid="{00000000-0005-0000-0000-00009D0E0000}"/>
    <cellStyle name="_【最新】導入明細表（自動機監視)(09.07.16)_【20091218】千里導入明細資料_２１年度分（ネットワーク敷設） 2" xfId="3808" xr:uid="{00000000-0005-0000-0000-00009E0E0000}"/>
    <cellStyle name="_【最新】導入明細表（自動機監視)(09.07.16)_【20091218】千里導入明細資料_２１年度分（ネットワーク敷設）_Ⅹ_課題と対応策_20121211" xfId="3809" xr:uid="{00000000-0005-0000-0000-00009F0E0000}"/>
    <cellStyle name="_【最新】導入明細表（自動機監視)(09.07.16)_【20091218】千里導入明細資料_２１年度分（ネットワーク敷設）_Ⅹ_課題と対応策_20121211 2" xfId="3810" xr:uid="{00000000-0005-0000-0000-0000A00E0000}"/>
    <cellStyle name="_【最新】導入明細表（自動機監視)(09.07.16)_【20091224】千里導入明細資料_２２年度上期分_営業店DB" xfId="3811" xr:uid="{00000000-0005-0000-0000-0000A10E0000}"/>
    <cellStyle name="_【最新】導入明細表（自動機監視)(09.07.16)_【20091224】千里導入明細資料_２２年度上期分_営業店DB 2" xfId="3812" xr:uid="{00000000-0005-0000-0000-0000A20E0000}"/>
    <cellStyle name="_【最新】導入明細表（自動機監視)(09.07.16)_【20091224】千里導入明細資料_２２年度上期分_営業店DB_【20091225】千里導入明細資料_２２年度上期分（営業店ＡＰ－ＤＢ）" xfId="3813" xr:uid="{00000000-0005-0000-0000-0000A30E0000}"/>
    <cellStyle name="_【最新】導入明細表（自動機監視)(09.07.16)_【20091224】千里導入明細資料_２２年度上期分_営業店DB_【20091225】千里導入明細資料_２２年度上期分（営業店ＡＰ－ＤＢ） 2" xfId="3814" xr:uid="{00000000-0005-0000-0000-0000A4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" xfId="3815" xr:uid="{00000000-0005-0000-0000-0000A5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 2" xfId="3816" xr:uid="{00000000-0005-0000-0000-0000A6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" xfId="3817" xr:uid="{00000000-0005-0000-0000-0000A7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818" xr:uid="{00000000-0005-0000-0000-0000A80E0000}"/>
    <cellStyle name="_【最新】導入明細表（自動機監視)(09.07.16)_【20091224】千里導入明細資料_２２年度上期分_営業店DB_【20091225】千里導入明細資料_２２年度上期分（営業店ＡＰ－ＤＢ）_Ⅹ_課題と対応策_20121211" xfId="3819" xr:uid="{00000000-0005-0000-0000-0000A90E0000}"/>
    <cellStyle name="_【最新】導入明細表（自動機監視)(09.07.16)_【20091224】千里導入明細資料_２２年度上期分_営業店DB_【20091225】千里導入明細資料_２２年度上期分（営業店ＡＰ－ＤＢ）_Ⅹ_課題と対応策_20121211 2" xfId="3820" xr:uid="{00000000-0005-0000-0000-0000AA0E0000}"/>
    <cellStyle name="_【最新】導入明細表（自動機監視)(09.07.16)_【20091224】千里導入明細資料_２２年度上期分_営業店DB_【20091225】千里導入明細資料_２２年度上期分_営業店DB" xfId="3821" xr:uid="{00000000-0005-0000-0000-0000AB0E0000}"/>
    <cellStyle name="_【最新】導入明細表（自動機監視)(09.07.16)_【20091224】千里導入明細資料_２２年度上期分_営業店DB_【20091225】千里導入明細資料_２２年度上期分_営業店DB 2" xfId="3822" xr:uid="{00000000-0005-0000-0000-0000AC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" xfId="3823" xr:uid="{00000000-0005-0000-0000-0000AD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 2" xfId="3824" xr:uid="{00000000-0005-0000-0000-0000AE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" xfId="3825" xr:uid="{00000000-0005-0000-0000-0000AF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 2" xfId="3826" xr:uid="{00000000-0005-0000-0000-0000B00E0000}"/>
    <cellStyle name="_【最新】導入明細表（自動機監視)(09.07.16)_【20091224】千里導入明細資料_２２年度上期分_営業店DB_【20091225】千里導入明細資料_２２年度上期分_営業店DB_Ⅹ_課題と対応策_20121211" xfId="3827" xr:uid="{00000000-0005-0000-0000-0000B10E0000}"/>
    <cellStyle name="_【最新】導入明細表（自動機監視)(09.07.16)_【20091224】千里導入明細資料_２２年度上期分_営業店DB_【20091225】千里導入明細資料_２２年度上期分_営業店DB_Ⅹ_課題と対応策_20121211 2" xfId="3828" xr:uid="{00000000-0005-0000-0000-0000B20E0000}"/>
    <cellStyle name="_【最新】導入明細表（自動機監視)(09.07.16)_【20091224】千里導入明細資料_２２年度上期分_営業店DB_Ⅹ_課題と対応策_20121211" xfId="3829" xr:uid="{00000000-0005-0000-0000-0000B30E0000}"/>
    <cellStyle name="_【最新】導入明細表（自動機監視)(09.07.16)_【20091224】千里導入明細資料_２２年度上期分_営業店DB_Ⅹ_課題と対応策_20121211 2" xfId="3830" xr:uid="{00000000-0005-0000-0000-0000B40E0000}"/>
    <cellStyle name="_【最新】導入明細表（自動機監視)(09.07.16)_【20091225】千里導入明細資料_２２年度上期分" xfId="3831" xr:uid="{00000000-0005-0000-0000-0000B50E0000}"/>
    <cellStyle name="_【最新】導入明細表（自動機監視)(09.07.16)_【20091225】千里導入明細資料_２２年度上期分 2" xfId="3832" xr:uid="{00000000-0005-0000-0000-0000B60E0000}"/>
    <cellStyle name="_【最新】導入明細表（自動機監視)(09.07.16)_【20091225】千里導入明細資料_２２年度上期分_Ⅹ_課題と対応策_20121211" xfId="3833" xr:uid="{00000000-0005-0000-0000-0000B70E0000}"/>
    <cellStyle name="_【最新】導入明細表（自動機監視)(09.07.16)_【20091225】千里導入明細資料_２２年度上期分_Ⅹ_課題と対応策_20121211 2" xfId="3834" xr:uid="{00000000-0005-0000-0000-0000B80E0000}"/>
    <cellStyle name="_【最新】導入明細表（自動機監視)(09.07.16)_【20091225】千里導入明細資料_２２年度上期分_営業店DB" xfId="3835" xr:uid="{00000000-0005-0000-0000-0000B90E0000}"/>
    <cellStyle name="_【最新】導入明細表（自動機監視)(09.07.16)_【20091225】千里導入明細資料_２２年度上期分_営業店DB 2" xfId="3836" xr:uid="{00000000-0005-0000-0000-0000BA0E0000}"/>
    <cellStyle name="_【最新】導入明細表（自動機監視)(09.07.16)_【20091225】千里導入明細資料_２２年度上期分_営業店DB_Ⅹ_課題と対応策_20121211" xfId="3837" xr:uid="{00000000-0005-0000-0000-0000BB0E0000}"/>
    <cellStyle name="_【最新】導入明細表（自動機監視)(09.07.16)_【20091225】千里導入明細資料_２２年度上期分_営業店DB_Ⅹ_課題と対応策_20121211 2" xfId="3838" xr:uid="{00000000-0005-0000-0000-0000BC0E0000}"/>
    <cellStyle name="_【最新】導入明細表（自動機監視)(09.07.16)_【20091225】千里導入明細資料_２２年度上期分_連携DB" xfId="3839" xr:uid="{00000000-0005-0000-0000-0000BD0E0000}"/>
    <cellStyle name="_【最新】導入明細表（自動機監視)(09.07.16)_【20091225】千里導入明細資料_２２年度上期分_連携DB 2" xfId="3840" xr:uid="{00000000-0005-0000-0000-0000BE0E0000}"/>
    <cellStyle name="_【最新】導入明細表（自動機監視)(09.07.16)_【20091225】千里導入明細資料_２２年度上期分_連携DB_Ⅹ_課題と対応策_20121211" xfId="3841" xr:uid="{00000000-0005-0000-0000-0000BF0E0000}"/>
    <cellStyle name="_【最新】導入明細表（自動機監視)(09.07.16)_【20091225】千里導入明細資料_２２年度上期分_連携DB_Ⅹ_課題と対応策_20121211 2" xfId="3842" xr:uid="{00000000-0005-0000-0000-0000C00E0000}"/>
    <cellStyle name="_【最新】導入明細表（自動機監視)(09.07.16)_【200912xx】千里導入明細資料_２２年度上期分" xfId="3843" xr:uid="{00000000-0005-0000-0000-0000C10E0000}"/>
    <cellStyle name="_【最新】導入明細表（自動機監視)(09.07.16)_【200912xx】千里導入明細資料_２２年度上期分 2" xfId="3844" xr:uid="{00000000-0005-0000-0000-0000C20E0000}"/>
    <cellStyle name="_【最新】導入明細表（自動機監視)(09.07.16)_【200912xx】千里導入明細資料_２２年度上期分（為替分）" xfId="3845" xr:uid="{00000000-0005-0000-0000-0000C30E0000}"/>
    <cellStyle name="_【最新】導入明細表（自動機監視)(09.07.16)_【200912xx】千里導入明細資料_２２年度上期分（為替分） 2" xfId="3846" xr:uid="{00000000-0005-0000-0000-0000C40E0000}"/>
    <cellStyle name="_【最新】導入明細表（自動機監視)(09.07.16)_【200912xx】千里導入明細資料_２２年度上期分（為替分）_Ⅹ_課題と対応策_20121211" xfId="3847" xr:uid="{00000000-0005-0000-0000-0000C50E0000}"/>
    <cellStyle name="_【最新】導入明細表（自動機監視)(09.07.16)_【200912xx】千里導入明細資料_２２年度上期分（為替分）_Ⅹ_課題と対応策_20121211 2" xfId="3848" xr:uid="{00000000-0005-0000-0000-0000C60E0000}"/>
    <cellStyle name="_【最新】導入明細表（自動機監視)(09.07.16)_【200912xx】千里導入明細資料_２２年度上期分_【20091225】千里導入明細資料_２２年度上期分（営業店ＡＰ－ＤＢ）" xfId="3849" xr:uid="{00000000-0005-0000-0000-0000C70E0000}"/>
    <cellStyle name="_【最新】導入明細表（自動機監視)(09.07.16)_【200912xx】千里導入明細資料_２２年度上期分_【20091225】千里導入明細資料_２２年度上期分（営業店ＡＰ－ＤＢ） 2" xfId="3850" xr:uid="{00000000-0005-0000-0000-0000C8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" xfId="3851" xr:uid="{00000000-0005-0000-0000-0000C9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 2" xfId="3852" xr:uid="{00000000-0005-0000-0000-0000CA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" xfId="3853" xr:uid="{00000000-0005-0000-0000-0000CB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 2" xfId="3854" xr:uid="{00000000-0005-0000-0000-0000CC0E0000}"/>
    <cellStyle name="_【最新】導入明細表（自動機監視)(09.07.16)_【200912xx】千里導入明細資料_２２年度上期分_【20091225】千里導入明細資料_２２年度上期分（営業店ＡＰ－ＤＢ）_Ⅹ_課題と対応策_20121211" xfId="3855" xr:uid="{00000000-0005-0000-0000-0000CD0E0000}"/>
    <cellStyle name="_【最新】導入明細表（自動機監視)(09.07.16)_【200912xx】千里導入明細資料_２２年度上期分_【20091225】千里導入明細資料_２２年度上期分（営業店ＡＰ－ＤＢ）_Ⅹ_課題と対応策_20121211 2" xfId="3856" xr:uid="{00000000-0005-0000-0000-0000CE0E0000}"/>
    <cellStyle name="_【最新】導入明細表（自動機監視)(09.07.16)_【200912xx】千里導入明細資料_２２年度上期分_【20091225】千里導入明細資料_２２年度上期分_営業店DB" xfId="3857" xr:uid="{00000000-0005-0000-0000-0000CF0E0000}"/>
    <cellStyle name="_【最新】導入明細表（自動機監視)(09.07.16)_【200912xx】千里導入明細資料_２２年度上期分_【20091225】千里導入明細資料_２２年度上期分_営業店DB 2" xfId="3858" xr:uid="{00000000-0005-0000-0000-0000D0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" xfId="3859" xr:uid="{00000000-0005-0000-0000-0000D1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 2" xfId="3860" xr:uid="{00000000-0005-0000-0000-0000D2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" xfId="3861" xr:uid="{00000000-0005-0000-0000-0000D3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 2" xfId="3862" xr:uid="{00000000-0005-0000-0000-0000D40E0000}"/>
    <cellStyle name="_【最新】導入明細表（自動機監視)(09.07.16)_【200912xx】千里導入明細資料_２２年度上期分_【20091225】千里導入明細資料_２２年度上期分_営業店DB_Ⅹ_課題と対応策_20121211" xfId="3863" xr:uid="{00000000-0005-0000-0000-0000D50E0000}"/>
    <cellStyle name="_【最新】導入明細表（自動機監視)(09.07.16)_【200912xx】千里導入明細資料_２２年度上期分_【20091225】千里導入明細資料_２２年度上期分_営業店DB_Ⅹ_課題と対応策_20121211 2" xfId="3864" xr:uid="{00000000-0005-0000-0000-0000D60E0000}"/>
    <cellStyle name="_【最新】導入明細表（自動機監視)(09.07.16)_【200912xx】千里導入明細資料_２２年度上期分_【20091225】千里導入明細資料_２２年度上期分_連携DB" xfId="3865" xr:uid="{00000000-0005-0000-0000-0000D70E0000}"/>
    <cellStyle name="_【最新】導入明細表（自動機監視)(09.07.16)_【200912xx】千里導入明細資料_２２年度上期分_【20091225】千里導入明細資料_２２年度上期分_連携DB 2" xfId="3866" xr:uid="{00000000-0005-0000-0000-0000D8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" xfId="3867" xr:uid="{00000000-0005-0000-0000-0000D9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 2" xfId="3868" xr:uid="{00000000-0005-0000-0000-0000DA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" xfId="3869" xr:uid="{00000000-0005-0000-0000-0000DB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 2" xfId="3870" xr:uid="{00000000-0005-0000-0000-0000DC0E0000}"/>
    <cellStyle name="_【最新】導入明細表（自動機監視)(09.07.16)_【200912xx】千里導入明細資料_２２年度上期分_【20091225】千里導入明細資料_２２年度上期分_連携DB_Ⅹ_課題と対応策_20121211" xfId="3871" xr:uid="{00000000-0005-0000-0000-0000DD0E0000}"/>
    <cellStyle name="_【最新】導入明細表（自動機監視)(09.07.16)_【200912xx】千里導入明細資料_２２年度上期分_【20091225】千里導入明細資料_２２年度上期分_連携DB_Ⅹ_課題と対応策_20121211 2" xfId="3872" xr:uid="{00000000-0005-0000-0000-0000DE0E0000}"/>
    <cellStyle name="_【最新】導入明細表（自動機監視)(09.07.16)_【200912xx】千里導入明細資料_２２年度上期分_Ⅹ_課題と対応策_20121211" xfId="3873" xr:uid="{00000000-0005-0000-0000-0000DF0E0000}"/>
    <cellStyle name="_【最新】導入明細表（自動機監視)(09.07.16)_【200912xx】千里導入明細資料_２２年度上期分_Ⅹ_課題と対応策_20121211 2" xfId="3874" xr:uid="{00000000-0005-0000-0000-0000E00E0000}"/>
    <cellStyle name="_【最新】導入明細表（自動機監視)(09.07.16)_【調整中】千里導入明細資料_２２年度上期分_fj_20100127" xfId="3875" xr:uid="{00000000-0005-0000-0000-0000E10E0000}"/>
    <cellStyle name="_【最新】導入明細表（自動機監視)(09.07.16)_【調整中】千里導入明細資料_２２年度上期分_fj_20100127 2" xfId="3876" xr:uid="{00000000-0005-0000-0000-0000E20E0000}"/>
    <cellStyle name="_【最新】導入明細表（自動機監視)(09.07.16)_【調整中】千里導入明細資料_２２年度上期分_fj_20100127_Ⅹ_課題と対応策_20121211" xfId="3877" xr:uid="{00000000-0005-0000-0000-0000E30E0000}"/>
    <cellStyle name="_【最新】導入明細表（自動機監視)(09.07.16)_【調整中】千里導入明細資料_２２年度上期分_fj_20100127_Ⅹ_課題と対応策_20121211 2" xfId="3878" xr:uid="{00000000-0005-0000-0000-0000E40E0000}"/>
    <cellStyle name="_【最新】導入明細表（自動機監視)(09.07.16)_①【20091225】千里導入明細資料_２２年度上期1分)" xfId="3879" xr:uid="{00000000-0005-0000-0000-0000E50E0000}"/>
    <cellStyle name="_【最新】導入明細表（自動機監視)(09.07.16)_①【20091225】千里導入明細資料_２２年度上期1分) 2" xfId="3880" xr:uid="{00000000-0005-0000-0000-0000E60E0000}"/>
    <cellStyle name="_【最新】導入明細表（自動機監視)(09.07.16)_①【20091225】千里導入明細資料_２２年度上期1分)_Ⅹ_課題と対応策_20121211" xfId="3881" xr:uid="{00000000-0005-0000-0000-0000E70E0000}"/>
    <cellStyle name="_【最新】導入明細表（自動機監視)(09.07.16)_①【20091225】千里導入明細資料_２２年度上期1分)_Ⅹ_課題と対応策_20121211 2" xfId="3882" xr:uid="{00000000-0005-0000-0000-0000E80E0000}"/>
    <cellStyle name="_【最新】導入明細表（自動機監視)(09.07.16)_Ⅹ_課題と対応策_20121211" xfId="3883" xr:uid="{00000000-0005-0000-0000-0000E90E0000}"/>
    <cellStyle name="_【最新】導入明細表（自動機監視)(09.07.16)_Ⅹ_課題と対応策_20121211 2" xfId="3884" xr:uid="{00000000-0005-0000-0000-0000EA0E0000}"/>
    <cellStyle name="_【最新】導入明細表（自動機監視)(09.07.16)_ラック構成図（千里_営業店・新事務）_20090805" xfId="3885" xr:uid="{00000000-0005-0000-0000-0000EB0E0000}"/>
    <cellStyle name="_【最新】導入明細表（自動機監視)(09.07.16)_ラック構成図（千里_営業店・新事務）_20090805 2" xfId="3886" xr:uid="{00000000-0005-0000-0000-0000EC0E0000}"/>
    <cellStyle name="_【最新】導入明細表（自動機監視)(09.07.16)_ラック構成図（千里_営業店・新事務）_20090805_【20091207】千里導入明細資料_２１年度分（ネットワーク敷設）" xfId="3887" xr:uid="{00000000-0005-0000-0000-0000ED0E0000}"/>
    <cellStyle name="_【最新】導入明細表（自動機監視)(09.07.16)_ラック構成図（千里_営業店・新事務）_20090805_【20091207】千里導入明細資料_２１年度分（ネットワーク敷設） 2" xfId="3888" xr:uid="{00000000-0005-0000-0000-0000EE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" xfId="3889" xr:uid="{00000000-0005-0000-0000-0000EF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 2" xfId="3890" xr:uid="{00000000-0005-0000-0000-0000F0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" xfId="3891" xr:uid="{00000000-0005-0000-0000-0000F1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 2" xfId="3892" xr:uid="{00000000-0005-0000-0000-0000F20E0000}"/>
    <cellStyle name="_【最新】導入明細表（自動機監視)(09.07.16)_ラック構成図（千里_営業店・新事務）_20090805_【20091207】千里導入明細資料_２１年度分（ネットワーク敷設）_Ⅹ_課題と対応策_20121211" xfId="3893" xr:uid="{00000000-0005-0000-0000-0000F30E0000}"/>
    <cellStyle name="_【最新】導入明細表（自動機監視)(09.07.16)_ラック構成図（千里_営業店・新事務）_20090805_【20091207】千里導入明細資料_２１年度分（ネットワーク敷設）_Ⅹ_課題と対応策_20121211 2" xfId="3894" xr:uid="{00000000-0005-0000-0000-0000F4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" xfId="3895" xr:uid="{00000000-0005-0000-0000-0000F5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 2" xfId="3896" xr:uid="{00000000-0005-0000-0000-0000F6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" xfId="3897" xr:uid="{00000000-0005-0000-0000-0000F7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 2" xfId="3898" xr:uid="{00000000-0005-0000-0000-0000F80E0000}"/>
    <cellStyle name="_【最新】導入明細表（自動機監視)(09.07.16)_ラック構成図（千里_営業店・新事務）_20090805_【20091225】千里導入明細資料_２２年度上期分（営業店ＡＰ－ＤＢ）" xfId="3899" xr:uid="{00000000-0005-0000-0000-0000F90E0000}"/>
    <cellStyle name="_【最新】導入明細表（自動機監視)(09.07.16)_ラック構成図（千里_営業店・新事務）_20090805_【20091225】千里導入明細資料_２２年度上期分（営業店ＡＰ－ＤＢ） 2" xfId="3900" xr:uid="{00000000-0005-0000-0000-0000FA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" xfId="3901" xr:uid="{00000000-0005-0000-0000-0000FB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 2" xfId="3902" xr:uid="{00000000-0005-0000-0000-0000FC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" xfId="3903" xr:uid="{00000000-0005-0000-0000-0000FD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 2" xfId="3904" xr:uid="{00000000-0005-0000-0000-0000FE0E0000}"/>
    <cellStyle name="_【最新】導入明細表（自動機監視)(09.07.16)_ラック構成図（千里_営業店・新事務）_20090805_【20091225】千里導入明細資料_２２年度上期分（営業店ＡＰ－ＤＢ）_Ⅹ_課題と対応策_20121211" xfId="3905" xr:uid="{00000000-0005-0000-0000-0000FF0E0000}"/>
    <cellStyle name="_【最新】導入明細表（自動機監視)(09.07.16)_ラック構成図（千里_営業店・新事務）_20090805_【20091225】千里導入明細資料_２２年度上期分（営業店ＡＰ－ＤＢ）_Ⅹ_課題と対応策_20121211 2" xfId="3906" xr:uid="{00000000-0005-0000-0000-0000000F0000}"/>
    <cellStyle name="_【最新】導入明細表（自動機監視)(09.07.16)_ラック構成図（千里_営業店・新事務）_20090805_【20091225】千里導入明細資料_２２年度上期分_営業店DB" xfId="3907" xr:uid="{00000000-0005-0000-0000-0000010F0000}"/>
    <cellStyle name="_【最新】導入明細表（自動機監視)(09.07.16)_ラック構成図（千里_営業店・新事務）_20090805_【20091225】千里導入明細資料_２２年度上期分_営業店DB 2" xfId="3908" xr:uid="{00000000-0005-0000-0000-000002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" xfId="3909" xr:uid="{00000000-0005-0000-0000-000003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 2" xfId="3910" xr:uid="{00000000-0005-0000-0000-000004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" xfId="3911" xr:uid="{00000000-0005-0000-0000-000005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 2" xfId="3912" xr:uid="{00000000-0005-0000-0000-0000060F0000}"/>
    <cellStyle name="_【最新】導入明細表（自動機監視)(09.07.16)_ラック構成図（千里_営業店・新事務）_20090805_【20091225】千里導入明細資料_２２年度上期分_営業店DB_Ⅹ_課題と対応策_20121211" xfId="3913" xr:uid="{00000000-0005-0000-0000-0000070F0000}"/>
    <cellStyle name="_【最新】導入明細表（自動機監視)(09.07.16)_ラック構成図（千里_営業店・新事務）_20090805_【20091225】千里導入明細資料_２２年度上期分_営業店DB_Ⅹ_課題と対応策_20121211 2" xfId="3914" xr:uid="{00000000-0005-0000-0000-0000080F0000}"/>
    <cellStyle name="_【最新】導入明細表（自動機監視)(09.07.16)_ラック構成図（千里_営業店・新事務）_20090805_【20091225】千里導入明細資料_２２年度上期分_連携DB" xfId="3915" xr:uid="{00000000-0005-0000-0000-0000090F0000}"/>
    <cellStyle name="_【最新】導入明細表（自動機監視)(09.07.16)_ラック構成図（千里_営業店・新事務）_20090805_【20091225】千里導入明細資料_２２年度上期分_連携DB 2" xfId="3916" xr:uid="{00000000-0005-0000-0000-00000A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" xfId="3917" xr:uid="{00000000-0005-0000-0000-00000B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 2" xfId="3918" xr:uid="{00000000-0005-0000-0000-00000C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" xfId="3919" xr:uid="{00000000-0005-0000-0000-00000D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 2" xfId="3920" xr:uid="{00000000-0005-0000-0000-00000E0F0000}"/>
    <cellStyle name="_【最新】導入明細表（自動機監視)(09.07.16)_ラック構成図（千里_営業店・新事務）_20090805_【20091225】千里導入明細資料_２２年度上期分_連携DB_Ⅹ_課題と対応策_20121211" xfId="3921" xr:uid="{00000000-0005-0000-0000-00000F0F0000}"/>
    <cellStyle name="_【最新】導入明細表（自動機監視)(09.07.16)_ラック構成図（千里_営業店・新事務）_20090805_【20091225】千里導入明細資料_２２年度上期分_連携DB_Ⅹ_課題と対応策_20121211 2" xfId="3922" xr:uid="{00000000-0005-0000-0000-0000100F0000}"/>
    <cellStyle name="_【最新】導入明細表（自動機監視)(09.07.16)_ラック構成図（千里_営業店・新事務）_20090805_【作成中】千里センター機器配置図（2010年対応分）_20091221" xfId="3923" xr:uid="{00000000-0005-0000-0000-0000110F0000}"/>
    <cellStyle name="_【最新】導入明細表（自動機監視)(09.07.16)_ラック構成図（千里_営業店・新事務）_20090805_【作成中】千里センター機器配置図（2010年対応分）_20091221 2" xfId="3924" xr:uid="{00000000-0005-0000-0000-000012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" xfId="3925" xr:uid="{00000000-0005-0000-0000-000013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 2" xfId="3926" xr:uid="{00000000-0005-0000-0000-000014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" xfId="3927" xr:uid="{00000000-0005-0000-0000-000015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 2" xfId="3928" xr:uid="{00000000-0005-0000-0000-0000160F0000}"/>
    <cellStyle name="_【最新】導入明細表（自動機監視)(09.07.16)_ラック構成図（千里_営業店・新事務）_20090805_【作成中】千里センター機器配置図（2010年対応分）_20091221_Ⅹ_課題と対応策_20121211" xfId="3929" xr:uid="{00000000-0005-0000-0000-0000170F0000}"/>
    <cellStyle name="_【最新】導入明細表（自動機監視)(09.07.16)_ラック構成図（千里_営業店・新事務）_20090805_【作成中】千里センター機器配置図（2010年対応分）_20091221_Ⅹ_課題と対応策_20121211 2" xfId="3930" xr:uid="{00000000-0005-0000-0000-0000180F0000}"/>
    <cellStyle name="_【最新】導入明細表（自動機監視)(09.07.16)_ラック構成図（千里_営業店・新事務）_20090805_Ⅹ_課題と対応策_20121211" xfId="3931" xr:uid="{00000000-0005-0000-0000-0000190F0000}"/>
    <cellStyle name="_【最新】導入明細表（自動機監視)(09.07.16)_ラック構成図（千里_営業店・新事務）_20090805_Ⅹ_課題と対応策_20121211 2" xfId="3932" xr:uid="{00000000-0005-0000-0000-00001A0F0000}"/>
    <cellStyle name="_【最新】導入明細表（自動機監視)(09.07.16)_ラック構成図_Catalyst直付け（新事務処理）" xfId="3933" xr:uid="{00000000-0005-0000-0000-00001B0F0000}"/>
    <cellStyle name="_【最新】導入明細表（自動機監視)(09.07.16)_ラック構成図_Catalyst直付け（新事務処理） 2" xfId="3934" xr:uid="{00000000-0005-0000-0000-00001C0F0000}"/>
    <cellStyle name="_【最新】導入明細表（自動機監視)(09.07.16)_ラック構成図_Catalyst直付け（新事務処理）_【20091207】千里導入明細資料_２１年度分（ネットワーク敷設）" xfId="3935" xr:uid="{00000000-0005-0000-0000-00001D0F0000}"/>
    <cellStyle name="_【最新】導入明細表（自動機監視)(09.07.16)_ラック構成図_Catalyst直付け（新事務処理）_【20091207】千里導入明細資料_２１年度分（ネットワーク敷設） 2" xfId="3936" xr:uid="{00000000-0005-0000-0000-00001E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" xfId="3937" xr:uid="{00000000-0005-0000-0000-00001F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 2" xfId="3938" xr:uid="{00000000-0005-0000-0000-000020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" xfId="3939" xr:uid="{00000000-0005-0000-0000-000021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 2" xfId="3940" xr:uid="{00000000-0005-0000-0000-0000220F0000}"/>
    <cellStyle name="_【最新】導入明細表（自動機監視)(09.07.16)_ラック構成図_Catalyst直付け（新事務処理）_【20091207】千里導入明細資料_２１年度分（ネットワーク敷設）_Ⅹ_課題と対応策_20121211" xfId="3941" xr:uid="{00000000-0005-0000-0000-0000230F0000}"/>
    <cellStyle name="_【最新】導入明細表（自動機監視)(09.07.16)_ラック構成図_Catalyst直付け（新事務処理）_【20091207】千里導入明細資料_２１年度分（ネットワーク敷設）_Ⅹ_課題と対応策_20121211 2" xfId="3942" xr:uid="{00000000-0005-0000-0000-000024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" xfId="3943" xr:uid="{00000000-0005-0000-0000-000025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 2" xfId="3944" xr:uid="{00000000-0005-0000-0000-000026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" xfId="3945" xr:uid="{00000000-0005-0000-0000-000027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 2" xfId="3946" xr:uid="{00000000-0005-0000-0000-0000280F0000}"/>
    <cellStyle name="_【最新】導入明細表（自動機監視)(09.07.16)_ラック構成図_Catalyst直付け（新事務処理）_【20091225】千里導入明細資料_２２年度上期分（営業店ＡＰ－ＤＢ）" xfId="3947" xr:uid="{00000000-0005-0000-0000-0000290F0000}"/>
    <cellStyle name="_【最新】導入明細表（自動機監視)(09.07.16)_ラック構成図_Catalyst直付け（新事務処理）_【20091225】千里導入明細資料_２２年度上期分（営業店ＡＰ－ＤＢ） 2" xfId="3948" xr:uid="{00000000-0005-0000-0000-00002A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" xfId="3949" xr:uid="{00000000-0005-0000-0000-00002B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 2" xfId="3950" xr:uid="{00000000-0005-0000-0000-00002C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" xfId="3951" xr:uid="{00000000-0005-0000-0000-00002D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 2" xfId="3952" xr:uid="{00000000-0005-0000-0000-00002E0F0000}"/>
    <cellStyle name="_【最新】導入明細表（自動機監視)(09.07.16)_ラック構成図_Catalyst直付け（新事務処理）_【20091225】千里導入明細資料_２２年度上期分（営業店ＡＰ－ＤＢ）_Ⅹ_課題と対応策_20121211" xfId="3953" xr:uid="{00000000-0005-0000-0000-00002F0F0000}"/>
    <cellStyle name="_【最新】導入明細表（自動機監視)(09.07.16)_ラック構成図_Catalyst直付け（新事務処理）_【20091225】千里導入明細資料_２２年度上期分（営業店ＡＰ－ＤＢ）_Ⅹ_課題と対応策_20121211 2" xfId="3954" xr:uid="{00000000-0005-0000-0000-0000300F0000}"/>
    <cellStyle name="_【最新】導入明細表（自動機監視)(09.07.16)_ラック構成図_Catalyst直付け（新事務処理）_【20091225】千里導入明細資料_２２年度上期分_営業店DB" xfId="3955" xr:uid="{00000000-0005-0000-0000-0000310F0000}"/>
    <cellStyle name="_【最新】導入明細表（自動機監視)(09.07.16)_ラック構成図_Catalyst直付け（新事務処理）_【20091225】千里導入明細資料_２２年度上期分_営業店DB 2" xfId="3956" xr:uid="{00000000-0005-0000-0000-000032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" xfId="3957" xr:uid="{00000000-0005-0000-0000-000033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 2" xfId="3958" xr:uid="{00000000-0005-0000-0000-000034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" xfId="3959" xr:uid="{00000000-0005-0000-0000-000035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 2" xfId="3960" xr:uid="{00000000-0005-0000-0000-0000360F0000}"/>
    <cellStyle name="_【最新】導入明細表（自動機監視)(09.07.16)_ラック構成図_Catalyst直付け（新事務処理）_【20091225】千里導入明細資料_２２年度上期分_営業店DB_Ⅹ_課題と対応策_20121211" xfId="3961" xr:uid="{00000000-0005-0000-0000-0000370F0000}"/>
    <cellStyle name="_【最新】導入明細表（自動機監視)(09.07.16)_ラック構成図_Catalyst直付け（新事務処理）_【20091225】千里導入明細資料_２２年度上期分_営業店DB_Ⅹ_課題と対応策_20121211 2" xfId="3962" xr:uid="{00000000-0005-0000-0000-0000380F0000}"/>
    <cellStyle name="_【最新】導入明細表（自動機監視)(09.07.16)_ラック構成図_Catalyst直付け（新事務処理）_【20091225】千里導入明細資料_２２年度上期分_連携DB" xfId="3963" xr:uid="{00000000-0005-0000-0000-0000390F0000}"/>
    <cellStyle name="_【最新】導入明細表（自動機監視)(09.07.16)_ラック構成図_Catalyst直付け（新事務処理）_【20091225】千里導入明細資料_２２年度上期分_連携DB 2" xfId="3964" xr:uid="{00000000-0005-0000-0000-00003A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" xfId="3965" xr:uid="{00000000-0005-0000-0000-00003B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 2" xfId="3966" xr:uid="{00000000-0005-0000-0000-00003C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" xfId="3967" xr:uid="{00000000-0005-0000-0000-00003D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 2" xfId="3968" xr:uid="{00000000-0005-0000-0000-00003E0F0000}"/>
    <cellStyle name="_【最新】導入明細表（自動機監視)(09.07.16)_ラック構成図_Catalyst直付け（新事務処理）_【20091225】千里導入明細資料_２２年度上期分_連携DB_Ⅹ_課題と対応策_20121211" xfId="3969" xr:uid="{00000000-0005-0000-0000-00003F0F0000}"/>
    <cellStyle name="_【最新】導入明細表（自動機監視)(09.07.16)_ラック構成図_Catalyst直付け（新事務処理）_【20091225】千里導入明細資料_２２年度上期分_連携DB_Ⅹ_課題と対応策_20121211 2" xfId="3970" xr:uid="{00000000-0005-0000-0000-0000400F0000}"/>
    <cellStyle name="_【最新】導入明細表（自動機監視)(09.07.16)_ラック構成図_Catalyst直付け（新事務処理）_【作成中】千里センター機器配置図（2010年対応分）_20091221" xfId="3971" xr:uid="{00000000-0005-0000-0000-0000410F0000}"/>
    <cellStyle name="_【最新】導入明細表（自動機監視)(09.07.16)_ラック構成図_Catalyst直付け（新事務処理）_【作成中】千里センター機器配置図（2010年対応分）_20091221 2" xfId="3972" xr:uid="{00000000-0005-0000-0000-000042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" xfId="3973" xr:uid="{00000000-0005-0000-0000-000043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 2" xfId="3974" xr:uid="{00000000-0005-0000-0000-000044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" xfId="3975" xr:uid="{00000000-0005-0000-0000-000045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 2" xfId="3976" xr:uid="{00000000-0005-0000-0000-0000460F0000}"/>
    <cellStyle name="_【最新】導入明細表（自動機監視)(09.07.16)_ラック構成図_Catalyst直付け（新事務処理）_【作成中】千里センター機器配置図（2010年対応分）_20091221_Ⅹ_課題と対応策_20121211" xfId="3977" xr:uid="{00000000-0005-0000-0000-0000470F0000}"/>
    <cellStyle name="_【最新】導入明細表（自動機監視)(09.07.16)_ラック構成図_Catalyst直付け（新事務処理）_【作成中】千里センター機器配置図（2010年対応分）_20091221_Ⅹ_課題と対応策_20121211 2" xfId="3978" xr:uid="{00000000-0005-0000-0000-0000480F0000}"/>
    <cellStyle name="_【最新】導入明細表（自動機監視)(09.07.16)_ラック構成図_Catalyst直付け（新事務処理）_Ⅹ_課題と対応策_20121211" xfId="3979" xr:uid="{00000000-0005-0000-0000-0000490F0000}"/>
    <cellStyle name="_【最新】導入明細表（自動機監視)(09.07.16)_ラック構成図_Catalyst直付け（新事務処理）_Ⅹ_課題と対応策_20121211 2" xfId="3980" xr:uid="{00000000-0005-0000-0000-00004A0F0000}"/>
    <cellStyle name="_【最新】導入明細表（自動機監視)(09.07.16)_ラック構成図_RX100Si-R削除(新事務処理)" xfId="3981" xr:uid="{00000000-0005-0000-0000-00004B0F0000}"/>
    <cellStyle name="_【最新】導入明細表（自動機監視)(09.07.16)_ラック構成図_RX100Si-R削除(新事務処理) 2" xfId="3982" xr:uid="{00000000-0005-0000-0000-00004C0F0000}"/>
    <cellStyle name="_【最新】導入明細表（自動機監視)(09.07.16)_ラック構成図_RX100Si-R削除(新事務処理)_【20091207】千里導入明細資料_２１年度分（ネットワーク敷設）" xfId="3983" xr:uid="{00000000-0005-0000-0000-00004D0F0000}"/>
    <cellStyle name="_【最新】導入明細表（自動機監視)(09.07.16)_ラック構成図_RX100Si-R削除(新事務処理)_【20091207】千里導入明細資料_２１年度分（ネットワーク敷設） 2" xfId="3984" xr:uid="{00000000-0005-0000-0000-00004E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" xfId="3985" xr:uid="{00000000-0005-0000-0000-00004F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 2" xfId="3986" xr:uid="{00000000-0005-0000-0000-000050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" xfId="3987" xr:uid="{00000000-0005-0000-0000-000051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 2" xfId="3988" xr:uid="{00000000-0005-0000-0000-0000520F0000}"/>
    <cellStyle name="_【最新】導入明細表（自動機監視)(09.07.16)_ラック構成図_RX100Si-R削除(新事務処理)_【20091207】千里導入明細資料_２１年度分（ネットワーク敷設）_Ⅹ_課題と対応策_20121211" xfId="3989" xr:uid="{00000000-0005-0000-0000-0000530F0000}"/>
    <cellStyle name="_【最新】導入明細表（自動機監視)(09.07.16)_ラック構成図_RX100Si-R削除(新事務処理)_【20091207】千里導入明細資料_２１年度分（ネットワーク敷設）_Ⅹ_課題と対応策_20121211 2" xfId="3990" xr:uid="{00000000-0005-0000-0000-000054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" xfId="3991" xr:uid="{00000000-0005-0000-0000-000055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 2" xfId="3992" xr:uid="{00000000-0005-0000-0000-000056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" xfId="3993" xr:uid="{00000000-0005-0000-0000-000057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 2" xfId="3994" xr:uid="{00000000-0005-0000-0000-0000580F0000}"/>
    <cellStyle name="_【最新】導入明細表（自動機監視)(09.07.16)_ラック構成図_RX100Si-R削除(新事務処理)_【20091225】千里導入明細資料_２２年度上期分（営業店ＡＰ－ＤＢ）" xfId="3995" xr:uid="{00000000-0005-0000-0000-0000590F0000}"/>
    <cellStyle name="_【最新】導入明細表（自動機監視)(09.07.16)_ラック構成図_RX100Si-R削除(新事務処理)_【20091225】千里導入明細資料_２２年度上期分（営業店ＡＰ－ＤＢ） 2" xfId="3996" xr:uid="{00000000-0005-0000-0000-00005A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" xfId="3997" xr:uid="{00000000-0005-0000-0000-00005B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 2" xfId="3998" xr:uid="{00000000-0005-0000-0000-00005C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" xfId="3999" xr:uid="{00000000-0005-0000-0000-00005D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 2" xfId="4000" xr:uid="{00000000-0005-0000-0000-00005E0F0000}"/>
    <cellStyle name="_【最新】導入明細表（自動機監視)(09.07.16)_ラック構成図_RX100Si-R削除(新事務処理)_【20091225】千里導入明細資料_２２年度上期分（営業店ＡＰ－ＤＢ）_Ⅹ_課題と対応策_20121211" xfId="4001" xr:uid="{00000000-0005-0000-0000-00005F0F0000}"/>
    <cellStyle name="_【最新】導入明細表（自動機監視)(09.07.16)_ラック構成図_RX100Si-R削除(新事務処理)_【20091225】千里導入明細資料_２２年度上期分（営業店ＡＰ－ＤＢ）_Ⅹ_課題と対応策_20121211 2" xfId="4002" xr:uid="{00000000-0005-0000-0000-0000600F0000}"/>
    <cellStyle name="_【最新】導入明細表（自動機監視)(09.07.16)_ラック構成図_RX100Si-R削除(新事務処理)_【20091225】千里導入明細資料_２２年度上期分_営業店DB" xfId="4003" xr:uid="{00000000-0005-0000-0000-0000610F0000}"/>
    <cellStyle name="_【最新】導入明細表（自動機監視)(09.07.16)_ラック構成図_RX100Si-R削除(新事務処理)_【20091225】千里導入明細資料_２２年度上期分_営業店DB 2" xfId="4004" xr:uid="{00000000-0005-0000-0000-000062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" xfId="4005" xr:uid="{00000000-0005-0000-0000-000063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 2" xfId="4006" xr:uid="{00000000-0005-0000-0000-000064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" xfId="4007" xr:uid="{00000000-0005-0000-0000-000065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 2" xfId="4008" xr:uid="{00000000-0005-0000-0000-0000660F0000}"/>
    <cellStyle name="_【最新】導入明細表（自動機監視)(09.07.16)_ラック構成図_RX100Si-R削除(新事務処理)_【20091225】千里導入明細資料_２２年度上期分_営業店DB_Ⅹ_課題と対応策_20121211" xfId="4009" xr:uid="{00000000-0005-0000-0000-0000670F0000}"/>
    <cellStyle name="_【最新】導入明細表（自動機監視)(09.07.16)_ラック構成図_RX100Si-R削除(新事務処理)_【20091225】千里導入明細資料_２２年度上期分_営業店DB_Ⅹ_課題と対応策_20121211 2" xfId="4010" xr:uid="{00000000-0005-0000-0000-0000680F0000}"/>
    <cellStyle name="_【最新】導入明細表（自動機監視)(09.07.16)_ラック構成図_RX100Si-R削除(新事務処理)_【20091225】千里導入明細資料_２２年度上期分_連携DB" xfId="4011" xr:uid="{00000000-0005-0000-0000-0000690F0000}"/>
    <cellStyle name="_【最新】導入明細表（自動機監視)(09.07.16)_ラック構成図_RX100Si-R削除(新事務処理)_【20091225】千里導入明細資料_２２年度上期分_連携DB 2" xfId="4012" xr:uid="{00000000-0005-0000-0000-00006A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" xfId="4013" xr:uid="{00000000-0005-0000-0000-00006B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 2" xfId="4014" xr:uid="{00000000-0005-0000-0000-00006C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" xfId="4015" xr:uid="{00000000-0005-0000-0000-00006D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 2" xfId="4016" xr:uid="{00000000-0005-0000-0000-00006E0F0000}"/>
    <cellStyle name="_【最新】導入明細表（自動機監視)(09.07.16)_ラック構成図_RX100Si-R削除(新事務処理)_【20091225】千里導入明細資料_２２年度上期分_連携DB_Ⅹ_課題と対応策_20121211" xfId="4017" xr:uid="{00000000-0005-0000-0000-00006F0F0000}"/>
    <cellStyle name="_【最新】導入明細表（自動機監視)(09.07.16)_ラック構成図_RX100Si-R削除(新事務処理)_【20091225】千里導入明細資料_２２年度上期分_連携DB_Ⅹ_課題と対応策_20121211 2" xfId="4018" xr:uid="{00000000-0005-0000-0000-0000700F0000}"/>
    <cellStyle name="_【最新】導入明細表（自動機監視)(09.07.16)_ラック構成図_RX100Si-R削除(新事務処理)_【作成中】千里センター機器配置図（2010年対応分）_20091221" xfId="4019" xr:uid="{00000000-0005-0000-0000-0000710F0000}"/>
    <cellStyle name="_【最新】導入明細表（自動機監視)(09.07.16)_ラック構成図_RX100Si-R削除(新事務処理)_【作成中】千里センター機器配置図（2010年対応分）_20091221 2" xfId="4020" xr:uid="{00000000-0005-0000-0000-000072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" xfId="4021" xr:uid="{00000000-0005-0000-0000-000073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 2" xfId="4022" xr:uid="{00000000-0005-0000-0000-000074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" xfId="4023" xr:uid="{00000000-0005-0000-0000-000075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 2" xfId="4024" xr:uid="{00000000-0005-0000-0000-0000760F0000}"/>
    <cellStyle name="_【最新】導入明細表（自動機監視)(09.07.16)_ラック構成図_RX100Si-R削除(新事務処理)_【作成中】千里センター機器配置図（2010年対応分）_20091221_Ⅹ_課題と対応策_20121211" xfId="4025" xr:uid="{00000000-0005-0000-0000-0000770F0000}"/>
    <cellStyle name="_【最新】導入明細表（自動機監視)(09.07.16)_ラック構成図_RX100Si-R削除(新事務処理)_【作成中】千里センター機器配置図（2010年対応分）_20091221_Ⅹ_課題と対応策_20121211 2" xfId="4026" xr:uid="{00000000-0005-0000-0000-0000780F0000}"/>
    <cellStyle name="_【最新】導入明細表（自動機監視)(09.07.16)_ラック構成図_RX100Si-R削除(新事務処理)_Ⅹ_課題と対応策_20121211" xfId="4027" xr:uid="{00000000-0005-0000-0000-0000790F0000}"/>
    <cellStyle name="_【最新】導入明細表（自動機監視)(09.07.16)_ラック構成図_RX100Si-R削除(新事務処理)_Ⅹ_課題と対応策_20121211 2" xfId="4028" xr:uid="{00000000-0005-0000-0000-00007A0F0000}"/>
    <cellStyle name="_【最新】導入明細表（自動機監視)(09.07.16)_千里導入明細資料_２２年度分（ネットワーク敷設）_fj" xfId="4029" xr:uid="{00000000-0005-0000-0000-00007B0F0000}"/>
    <cellStyle name="_【最新】導入明細表（自動機監視)(09.07.16)_千里導入明細資料_２２年度分（ネットワーク敷設）_fj 2" xfId="4030" xr:uid="{00000000-0005-0000-0000-00007C0F0000}"/>
    <cellStyle name="_【最新】導入明細表（自動機監視)(09.07.16)_千里導入明細資料_２２年度分（ネットワーク敷設）_fj_Ⅹ_課題と対応策_20121211" xfId="4031" xr:uid="{00000000-0005-0000-0000-00007D0F0000}"/>
    <cellStyle name="_【最新】導入明細表（自動機監視)(09.07.16)_千里導入明細資料_２２年度分（ネットワーク敷設）_fj_Ⅹ_課題と対応策_20121211 2" xfId="4032" xr:uid="{00000000-0005-0000-0000-00007E0F0000}"/>
    <cellStyle name="_【作成中】千里センター機器配置図（2010年対応分）_20091221" xfId="4033" xr:uid="{00000000-0005-0000-0000-00007F0F0000}"/>
    <cellStyle name="_【作成中】千里センター機器配置図（2010年対応分）_20091221 2" xfId="4034" xr:uid="{00000000-0005-0000-0000-0000800F0000}"/>
    <cellStyle name="_【作成中】千里センター機器配置図（2010年対応分）_20091221_【調整中】千里導入明細資料_２２年度上期分_fj_20100127" xfId="4035" xr:uid="{00000000-0005-0000-0000-0000810F0000}"/>
    <cellStyle name="_【作成中】千里センター機器配置図（2010年対応分）_20091221_【調整中】千里導入明細資料_２２年度上期分_fj_20100127 2" xfId="4036" xr:uid="{00000000-0005-0000-0000-0000820F0000}"/>
    <cellStyle name="_【作成中】千里センター機器配置図（2010年対応分）_20091221_【調整中】千里導入明細資料_２２年度上期分_fj_20100127_Ⅹ_課題と対応策_20121211" xfId="4037" xr:uid="{00000000-0005-0000-0000-0000830F0000}"/>
    <cellStyle name="_【作成中】千里センター機器配置図（2010年対応分）_20091221_【調整中】千里導入明細資料_２２年度上期分_fj_20100127_Ⅹ_課題と対応策_20121211 2" xfId="4038" xr:uid="{00000000-0005-0000-0000-0000840F0000}"/>
    <cellStyle name="_【作成中】千里センター機器配置図（2010年対応分）_20091221_Ⅹ_課題と対応策_20121211" xfId="4039" xr:uid="{00000000-0005-0000-0000-0000850F0000}"/>
    <cellStyle name="_【作成中】千里センター機器配置図（2010年対応分）_20091221_Ⅹ_課題と対応策_20121211 2" xfId="4040" xr:uid="{00000000-0005-0000-0000-0000860F0000}"/>
    <cellStyle name="_0016F760構成表_0130" xfId="4041" xr:uid="{00000000-0005-0000-0000-0000870F0000}"/>
    <cellStyle name="_00517389_xSeries構成表0306" xfId="4042" xr:uid="{00000000-0005-0000-0000-0000880F0000}"/>
    <cellStyle name="_016_ARCserve導入パラメータ070106" xfId="4043" xr:uid="{00000000-0005-0000-0000-0000890F0000}"/>
    <cellStyle name="_021_RHEL3導入パラメータ070106" xfId="4044" xr:uid="{00000000-0005-0000-0000-00008A0F0000}"/>
    <cellStyle name="_022_SLES9導入パラメータ070106" xfId="4045" xr:uid="{00000000-0005-0000-0000-00008B0F0000}"/>
    <cellStyle name="_024_DB2導入パラメータ_Linux_070106" xfId="4046" xr:uid="{00000000-0005-0000-0000-00008C0F0000}"/>
    <cellStyle name="_031_NetVault導入パラメータ070106" xfId="4047" xr:uid="{00000000-0005-0000-0000-00008D0F0000}"/>
    <cellStyle name="_12.17現調立会報告書(0712C01-0066)エヌ・ティ・ティ・データ(りそな銀行) りそな銀行第2野村ビル" xfId="4048" xr:uid="{00000000-0005-0000-0000-00008E0F0000}"/>
    <cellStyle name="_19インチラック実装図_深川090827【ソフィアサーバ加筆】.xls" xfId="4049" xr:uid="{00000000-0005-0000-0000-00008F0F0000}"/>
    <cellStyle name="_19インチラック実装図_深川090827【ソフィアサーバ加筆】.xls 2" xfId="4050" xr:uid="{00000000-0005-0000-0000-0000900F0000}"/>
    <cellStyle name="_19インチラック実装図_深川090827【ソフィアサーバ加筆】.xls_【深川ギャザリア】ラック搭載図_091218" xfId="4051" xr:uid="{00000000-0005-0000-0000-0000910F0000}"/>
    <cellStyle name="_19インチラック実装図_深川090827【ソフィアサーバ加筆】.xls_【深川ギャザリア】ラック搭載図_091218 2" xfId="4052" xr:uid="{00000000-0005-0000-0000-0000920F0000}"/>
    <cellStyle name="_19インチラック実装図_深川090827【ソフィアサーバ加筆】.xls_【深川ギャザリア】ラック搭載図_091218_Ⅹ_課題と対応策_20121211" xfId="4053" xr:uid="{00000000-0005-0000-0000-0000930F0000}"/>
    <cellStyle name="_19インチラック実装図_深川090827【ソフィアサーバ加筆】.xls_【深川ギャザリア】ラック搭載図_091218_Ⅹ_課題と対応策_20121211 2" xfId="4054" xr:uid="{00000000-0005-0000-0000-0000940F0000}"/>
    <cellStyle name="_19インチラック実装図_深川090827【ソフィアサーバ加筆】.xls_【東京本社】L2SW台数_ラックマウント_091203" xfId="4055" xr:uid="{00000000-0005-0000-0000-0000950F0000}"/>
    <cellStyle name="_19インチラック実装図_深川090827【ソフィアサーバ加筆】.xls_【東京本社】L2SW台数_ラックマウント_091203 2" xfId="4056" xr:uid="{00000000-0005-0000-0000-0000960F0000}"/>
    <cellStyle name="_19インチラック実装図_深川090827【ソフィアサーバ加筆】.xls_【東京本社】L2SW台数_ラックマウント_091203_Ⅹ_課題と対応策_20121211" xfId="4057" xr:uid="{00000000-0005-0000-0000-0000970F0000}"/>
    <cellStyle name="_19インチラック実装図_深川090827【ソフィアサーバ加筆】.xls_【東京本社】L2SW台数_ラックマウント_091203_Ⅹ_課題と対応策_20121211 2" xfId="4058" xr:uid="{00000000-0005-0000-0000-0000980F0000}"/>
    <cellStyle name="_19インチラック実装図_深川090827【ソフィアサーバ加筆】.xls_100223_全フロア記入19イン  チラック実装図_100108　修正" xfId="4059" xr:uid="{00000000-0005-0000-0000-0000990F0000}"/>
    <cellStyle name="_19インチラック実装図_深川090827【ソフィアサーバ加筆】.xls_100223_全フロア記入19イン  チラック実装図_100108　修正 2" xfId="4060" xr:uid="{00000000-0005-0000-0000-00009A0F0000}"/>
    <cellStyle name="_19インチラック実装図_深川090827【ソフィアサーバ加筆】.xls_100223_全フロア記入19イン  チラック実装図_100108　修正_Ⅹ_課題と対応策_20121211" xfId="4061" xr:uid="{00000000-0005-0000-0000-00009B0F0000}"/>
    <cellStyle name="_19インチラック実装図_深川090827【ソフィアサーバ加筆】.xls_100223_全フロア記入19イン  チラック実装図_100108　修正_Ⅹ_課題と対応策_20121211 2" xfId="4062" xr:uid="{00000000-0005-0000-0000-00009C0F0000}"/>
    <cellStyle name="_19インチラック実装図_深川090827【ソフィアサーバ加筆】.xls_100224_全フロア記入19インチラック実装図_1002_受領" xfId="4063" xr:uid="{00000000-0005-0000-0000-00009D0F0000}"/>
    <cellStyle name="_19インチラック実装図_深川090827【ソフィアサーバ加筆】.xls_100224_全フロア記入19インチラック実装図_1002_受領 2" xfId="4064" xr:uid="{00000000-0005-0000-0000-00009E0F0000}"/>
    <cellStyle name="_19インチラック実装図_深川090827【ソフィアサーバ加筆】.xls_100224_全フロア記入19インチラック実装図_1002_受領_Ⅹ_課題と対応策_20121211" xfId="4065" xr:uid="{00000000-0005-0000-0000-00009F0F0000}"/>
    <cellStyle name="_19インチラック実装図_深川090827【ソフィアサーバ加筆】.xls_100224_全フロア記入19インチラック実装図_1002_受領_Ⅹ_課題と対応策_20121211 2" xfId="4066" xr:uid="{00000000-0005-0000-0000-0000A00F0000}"/>
    <cellStyle name="_19インチラック実装図_深川090827【ソフィアサーバ加筆】.xls_19 インチラック実装図_深川090921" xfId="4067" xr:uid="{00000000-0005-0000-0000-0000A10F0000}"/>
    <cellStyle name="_19インチラック実装図_深川090827【ソフィアサーバ加筆】.xls_19 インチラック実装図_深川090921 2" xfId="4068" xr:uid="{00000000-0005-0000-0000-0000A20F0000}"/>
    <cellStyle name="_19インチラック実装図_深川090827【ソフィアサーバ加筆】.xls_19 インチラック実装図_深川090921_Ⅹ_課題と対応策_20121211" xfId="4069" xr:uid="{00000000-0005-0000-0000-0000A30F0000}"/>
    <cellStyle name="_19インチラック実装図_深川090827【ソフィアサーバ加筆】.xls_19 インチラック実装図_深川090921_Ⅹ_課題と対応策_20121211 2" xfId="4070" xr:uid="{00000000-0005-0000-0000-0000A40F0000}"/>
    <cellStyle name="_19インチラック実装図_深川090827【ソフィアサーバ加筆】.xls_19 インチラック実装図更新依頼" xfId="4071" xr:uid="{00000000-0005-0000-0000-0000A50F0000}"/>
    <cellStyle name="_19インチラック実装図_深川090827【ソフィアサーバ加筆】.xls_19 インチラック実装図更新依頼 2" xfId="4072" xr:uid="{00000000-0005-0000-0000-0000A60F0000}"/>
    <cellStyle name="_19インチラック実装図_深川090827【ソフィアサーバ加筆】.xls_19 インチラック実装図更新依頼_Ⅹ_課題と対応策_20121211" xfId="4073" xr:uid="{00000000-0005-0000-0000-0000A70F0000}"/>
    <cellStyle name="_19インチラック実装図_深川090827【ソフィアサーバ加筆】.xls_19 インチラック実装図更新依頼_Ⅹ_課題と対応策_20121211 2" xfId="4074" xr:uid="{00000000-0005-0000-0000-0000A80F0000}"/>
    <cellStyle name="_19インチラック実装図_深川090827【ソフィアサーバ加筆】.xls_19インチラック実装図_深川090921 (2)" xfId="4075" xr:uid="{00000000-0005-0000-0000-0000A90F0000}"/>
    <cellStyle name="_19インチラック実装図_深川090827【ソフィアサーバ加筆】.xls_19インチラック実装図_深川090921 (2) 2" xfId="4076" xr:uid="{00000000-0005-0000-0000-0000AA0F0000}"/>
    <cellStyle name="_19インチラック実装図_深川090827【ソフィアサーバ加筆】.xls_19インチラック実装図_深川090921 (2)_Ⅹ_課題と対応策_20121211" xfId="4077" xr:uid="{00000000-0005-0000-0000-0000AB0F0000}"/>
    <cellStyle name="_19インチラック実装図_深川090827【ソフィアサーバ加筆】.xls_19インチラック実装図_深川090921 (2)_Ⅹ_課題と対応策_20121211 2" xfId="4078" xr:uid="{00000000-0005-0000-0000-0000AC0F0000}"/>
    <cellStyle name="_19インチラック実装図_深川090827【ソフィアサーバ加筆】.xls_19インチラック実装図_深川090921R2(栗原作成中)" xfId="4079" xr:uid="{00000000-0005-0000-0000-0000AD0F0000}"/>
    <cellStyle name="_19インチラック実装図_深川090827【ソフィアサーバ加筆】.xls_19インチラック実装図_深川090921R2(栗原作成中) 2" xfId="4080" xr:uid="{00000000-0005-0000-0000-0000AE0F0000}"/>
    <cellStyle name="_19インチラック実装図_深川090827【ソフィアサーバ加筆】.xls_19インチラック実装図_深川090921R2(栗原作成中)_Ⅹ_課題と対応策_20121211" xfId="4081" xr:uid="{00000000-0005-0000-0000-0000AF0F0000}"/>
    <cellStyle name="_19インチラック実装図_深川090827【ソフィアサーバ加筆】.xls_19インチラック実装図_深川090921R2(栗原作成中)_Ⅹ_課題と対応策_20121211 2" xfId="4082" xr:uid="{00000000-0005-0000-0000-0000B00F0000}"/>
    <cellStyle name="_19インチラック実装図_深川090827【ソフィアサーバ加筆】.xls_2-5F記入19インチラック実装図_深川090924" xfId="4083" xr:uid="{00000000-0005-0000-0000-0000B10F0000}"/>
    <cellStyle name="_19インチラック実装図_深川090827【ソフィアサーバ加筆】.xls_2-5F記入19インチラック実装図_深川090924 2" xfId="4084" xr:uid="{00000000-0005-0000-0000-0000B20F0000}"/>
    <cellStyle name="_19インチラック実装図_深川090827【ソフィアサーバ加筆】.xls_2-5F記入19インチラック実装図_深川090924_Ⅹ_課題と対応策_20121211" xfId="4085" xr:uid="{00000000-0005-0000-0000-0000B30F0000}"/>
    <cellStyle name="_19インチラック実装図_深川090827【ソフィアサーバ加筆】.xls_2-5F記入19インチラック実装図_深川090924_Ⅹ_課題と対応策_20121211 2" xfId="4086" xr:uid="{00000000-0005-0000-0000-0000B40F0000}"/>
    <cellStyle name="_19インチラック実装図_深川090827【ソフィアサーバ加筆】.xls_2MRNW記入19インチラック実装図_深川091127" xfId="4087" xr:uid="{00000000-0005-0000-0000-0000B50F0000}"/>
    <cellStyle name="_19インチラック実装図_深川090827【ソフィアサーバ加筆】.xls_2MRNW記入19インチラック実装図_深川091127 2" xfId="4088" xr:uid="{00000000-0005-0000-0000-0000B60F0000}"/>
    <cellStyle name="_19インチラック実装図_深川090827【ソフィアサーバ加筆】.xls_2MRNW記入19インチラック実装図_深川091127_Ⅹ_課題と対応策_20121211" xfId="4089" xr:uid="{00000000-0005-0000-0000-0000B70F0000}"/>
    <cellStyle name="_19インチラック実装図_深川090827【ソフィアサーバ加筆】.xls_2MRNW記入19インチラック実装図_深川091127_Ⅹ_課題と対応策_20121211 2" xfId="4090" xr:uid="{00000000-0005-0000-0000-0000B80F0000}"/>
    <cellStyle name="_19インチラック実装図_深川090827【ソフィアサーバ加筆】.xls_3F_19インチラック実装図_深 川091225_ソフィア修正" xfId="4091" xr:uid="{00000000-0005-0000-0000-0000B90F0000}"/>
    <cellStyle name="_19インチラック実装図_深川090827【ソフィアサーバ加筆】.xls_3F_19インチラック実装図_深 川091225_ソフィア修正 2" xfId="4092" xr:uid="{00000000-0005-0000-0000-0000BA0F0000}"/>
    <cellStyle name="_19インチラック実装図_深川090827【ソフィアサーバ加筆】.xls_3F_19インチラック実装図_深 川091225_ソフィア修正_Ⅹ_課題と対応策_20121211" xfId="4093" xr:uid="{00000000-0005-0000-0000-0000BB0F0000}"/>
    <cellStyle name="_19インチラック実装図_深川090827【ソフィアサーバ加筆】.xls_3F_19インチラック実装図_深 川091225_ソフィア修正_Ⅹ_課題と対応策_20121211 2" xfId="4094" xr:uid="{00000000-0005-0000-0000-0000BC0F0000}"/>
    <cellStyle name="_19インチラック実装図_深川090827【ソフィアサーバ加筆】.xls_Ⅹ_課題と対応策_20121211" xfId="4095" xr:uid="{00000000-0005-0000-0000-0000BD0F0000}"/>
    <cellStyle name="_19インチラック実装図_深川090827【ソフィアサーバ加筆】.xls_Ⅹ_課題と対応策_20121211 2" xfId="4096" xr:uid="{00000000-0005-0000-0000-0000BE0F0000}"/>
    <cellStyle name="_19インチラック実装図_深川090827【ソフィアサーバ加筆】.xls_D&amp;I サーバ室配線（ラック実装図_深川より抜粋）" xfId="4097" xr:uid="{00000000-0005-0000-0000-0000BF0F0000}"/>
    <cellStyle name="_19インチラック実装図_深川090827【ソフィアサーバ加筆】.xls_D&amp;I サーバ室配線（ラック実装図_深川より抜粋） 2" xfId="4098" xr:uid="{00000000-0005-0000-0000-0000C00F0000}"/>
    <cellStyle name="_19インチラック実装図_深川090827【ソフィアサーバ加筆】.xls_D&amp;I サーバ室配線（ラック実装図_深川より抜粋）_Ⅹ_課題と対応策_20121211" xfId="4099" xr:uid="{00000000-0005-0000-0000-0000C10F0000}"/>
    <cellStyle name="_19インチラック実装図_深川090827【ソフィアサーバ加筆】.xls_D&amp;I サーバ室配線（ラック実装図_深川より抜粋）_Ⅹ_課題と対応策_20121211 2" xfId="4100" xr:uid="{00000000-0005-0000-0000-0000C20F0000}"/>
    <cellStyle name="_19インチラック実装図_深川090827【ソフィアサーバ加筆】.xls_MR_SV#B" xfId="4101" xr:uid="{00000000-0005-0000-0000-0000C30F0000}"/>
    <cellStyle name="_19インチラック実装図_深川090827【ソフィアサーバ加筆】.xls_MR_SV#B 2" xfId="4102" xr:uid="{00000000-0005-0000-0000-0000C40F0000}"/>
    <cellStyle name="_19インチラック実装図_深川090827【ソフィアサーバ加筆】.xls_MR_SV#B_Ⅹ_課題と対応策_20121211" xfId="4103" xr:uid="{00000000-0005-0000-0000-0000C50F0000}"/>
    <cellStyle name="_19インチラック実装図_深川090827【ソフィアサーバ加筆】.xls_MR_SV#B_Ⅹ_課題と対応策_20121211 2" xfId="4104" xr:uid="{00000000-0005-0000-0000-0000C60F0000}"/>
    <cellStyle name="_19インチラック実装図_深川090827【ソフィアサーバ加筆】.xls_MR内UTPﾊﾟｯﾁﾊﾟﾈﾙ物理構成図091218" xfId="4105" xr:uid="{00000000-0005-0000-0000-0000C70F0000}"/>
    <cellStyle name="_19インチラック実装図_深川090827【ソフィアサーバ加筆】.xls_MR内UTPﾊﾟｯﾁﾊﾟﾈﾙ物理構成図091218 2" xfId="4106" xr:uid="{00000000-0005-0000-0000-0000C80F0000}"/>
    <cellStyle name="_19インチラック実装図_深川090827【ソフィアサーバ加筆】.xls_MR内UTPﾊﾟｯﾁﾊﾟﾈﾙ物理構成図091218_Ⅹ_課題と対応策_20121211" xfId="4107" xr:uid="{00000000-0005-0000-0000-0000C90F0000}"/>
    <cellStyle name="_19インチラック実装図_深川090827【ソフィアサーバ加筆】.xls_MR内UTPﾊﾟｯﾁﾊﾟﾈﾙ物理構成図091218_Ⅹ_課題と対応策_20121211 2" xfId="4108" xr:uid="{00000000-0005-0000-0000-0000CA0F0000}"/>
    <cellStyle name="_19インチラック実装図_深川090827【ソフィアサーバ加筆】.xls_コピー全フロア記入19インチラック実装図_深川091210作成中" xfId="4109" xr:uid="{00000000-0005-0000-0000-0000CB0F0000}"/>
    <cellStyle name="_19インチラック実装図_深川090827【ソフィアサーバ加筆】.xls_コピー全フロア記入19インチラック実装図_深川091210作成中 2" xfId="4110" xr:uid="{00000000-0005-0000-0000-0000CC0F0000}"/>
    <cellStyle name="_19インチラック実装図_深川090827【ソフィアサーバ加筆】.xls_コピー全フロア記入19インチラック実装図_深川091210作成中_Ⅹ_課題と対応策_20121211" xfId="4111" xr:uid="{00000000-0005-0000-0000-0000CD0F0000}"/>
    <cellStyle name="_19インチラック実装図_深川090827【ソフィアサーバ加筆】.xls_コピー全フロア記入19インチラック実装図_深川091210作成中_Ⅹ_課題と対応策_20121211 2" xfId="4112" xr:uid="{00000000-0005-0000-0000-0000CE0F0000}"/>
    <cellStyle name="_19インチラック実装図_深川090827【ソフィアサーバ加筆】.xls_ラック実装2FMR_３～５F（ラック実装図_深川より抜粋）" xfId="4113" xr:uid="{00000000-0005-0000-0000-0000CF0F0000}"/>
    <cellStyle name="_19インチラック実装図_深川090827【ソフィアサーバ加筆】.xls_ラック実装2FMR_３～５F（ラック実装図_深川より抜粋） 2" xfId="4114" xr:uid="{00000000-0005-0000-0000-0000D00F0000}"/>
    <cellStyle name="_19インチラック実装図_深川090827【ソフィアサーバ加筆】.xls_ラック実装2FMR_３～５F（ラック実装図_深川より抜粋）_Ⅹ_課題と対応策_20121211" xfId="4115" xr:uid="{00000000-0005-0000-0000-0000D10F0000}"/>
    <cellStyle name="_19インチラック実装図_深川090827【ソフィアサーバ加筆】.xls_ラック実装2FMR_３～５F（ラック実装図_深川より抜粋）_Ⅹ_課題と対応策_20121211 2" xfId="4116" xr:uid="{00000000-0005-0000-0000-0000D20F0000}"/>
    <cellStyle name="_19インチラック実装図_深川090827【ソフィアサーバ加筆】.xls_深川DTSラックマウント" xfId="4117" xr:uid="{00000000-0005-0000-0000-0000D30F0000}"/>
    <cellStyle name="_19インチラック実装図_深川090827【ソフィアサーバ加筆】.xls_深川DTSラックマウント 2" xfId="4118" xr:uid="{00000000-0005-0000-0000-0000D40F0000}"/>
    <cellStyle name="_19インチラック実装図_深川090827【ソフィアサーバ加筆】.xls_深川DTSラックマウント_Ⅹ_課題と対応策_20121211" xfId="4119" xr:uid="{00000000-0005-0000-0000-0000D50F0000}"/>
    <cellStyle name="_19インチラック実装図_深川090827【ソフィアサーバ加筆】.xls_深川DTSラックマウント_Ⅹ_課題と対応策_20121211 2" xfId="4120" xr:uid="{00000000-0005-0000-0000-0000D60F0000}"/>
    <cellStyle name="_19インチラック実装図_深川090827【ソフィアサーバ加筆】.xls_深川TFX用FWラックマウント" xfId="4121" xr:uid="{00000000-0005-0000-0000-0000D70F0000}"/>
    <cellStyle name="_19インチラック実装図_深川090827【ソフィアサーバ加筆】.xls_深川TFX用FWラックマウント 2" xfId="4122" xr:uid="{00000000-0005-0000-0000-0000D80F0000}"/>
    <cellStyle name="_19インチラック実装図_深川090827【ソフィアサーバ加筆】.xls_深川TFX用FWラックマウント_Ⅹ_課題と対応策_20121211" xfId="4123" xr:uid="{00000000-0005-0000-0000-0000D90F0000}"/>
    <cellStyle name="_19インチラック実装図_深川090827【ソフィアサーバ加筆】.xls_深川TFX用FWラックマウント_Ⅹ_課題と対応策_20121211 2" xfId="4124" xr:uid="{00000000-0005-0000-0000-0000DA0F0000}"/>
    <cellStyle name="_19インチラック実装図_深川090827【ソフィアサーバ加筆】.xls_全フロア記入19イン  チラック実装図_100118　修正1" xfId="4125" xr:uid="{00000000-0005-0000-0000-0000DB0F0000}"/>
    <cellStyle name="_19インチラック実装図_深川090827【ソフィアサーバ加筆】.xls_全フロア記入19イン  チラック実装図_100118　修正1 2" xfId="4126" xr:uid="{00000000-0005-0000-0000-0000DC0F0000}"/>
    <cellStyle name="_19インチラック実装図_深川090827【ソフィアサーバ加筆】.xls_全フロア記入19イン  チラック実装図_100118　修正1_Ⅹ_課題と対応策_20121211" xfId="4127" xr:uid="{00000000-0005-0000-0000-0000DD0F0000}"/>
    <cellStyle name="_19インチラック実装図_深川090827【ソフィアサーバ加筆】.xls_全フロア記入19イン  チラック実装図_100118　修正1_Ⅹ_課題と対応策_20121211 2" xfId="4128" xr:uid="{00000000-0005-0000-0000-0000DE0F0000}"/>
    <cellStyle name="_19インチラック実装図_深川090827【ソフィアサーバ加筆】.xls_全フロア記入19イン  チラック実装図_深 川091224_ソフィア修正" xfId="4129" xr:uid="{00000000-0005-0000-0000-0000DF0F0000}"/>
    <cellStyle name="_19インチラック実装図_深川090827【ソフィアサーバ加筆】.xls_全フロア記入19イン  チラック実装図_深 川091224_ソフィア修正 2" xfId="4130" xr:uid="{00000000-0005-0000-0000-0000E00F0000}"/>
    <cellStyle name="_19インチラック実装図_深川090827【ソフィアサーバ加筆】.xls_全フロア記入19イン  チラック実装図_深 川091224_ソフィア修正_Ⅹ_課題と対応策_20121211" xfId="4131" xr:uid="{00000000-0005-0000-0000-0000E10F0000}"/>
    <cellStyle name="_19インチラック実装図_深川090827【ソフィアサーバ加筆】.xls_全フロア記入19イン  チラック実装図_深 川091224_ソフィア修正_Ⅹ_課題と対応策_20121211 2" xfId="4132" xr:uid="{00000000-0005-0000-0000-0000E20F0000}"/>
    <cellStyle name="_19インチラック実装図_深川090827【ソフィアサーバ加筆】.xls_全フロア記入19インチラック実装図_100120　修正 " xfId="4133" xr:uid="{00000000-0005-0000-0000-0000E30F0000}"/>
    <cellStyle name="_19インチラック実装図_深川090827【ソフィアサーバ加筆】.xls_全フロア記入19インチラック実装図_100120　修正  2" xfId="4134" xr:uid="{00000000-0005-0000-0000-0000E40F0000}"/>
    <cellStyle name="_19インチラック実装図_深川090827【ソフィアサーバ加筆】.xls_全フロア記入19インチラック実装図_100120　修正 _Ⅹ_課題と対応策_20121211" xfId="4135" xr:uid="{00000000-0005-0000-0000-0000E50F0000}"/>
    <cellStyle name="_19インチラック実装図_深川090827【ソフィアサーバ加筆】.xls_全フロア記入19インチラック実装図_100120　修正 _Ⅹ_課題と対応策_20121211 2" xfId="4136" xr:uid="{00000000-0005-0000-0000-0000E60F0000}"/>
    <cellStyle name="_19インチラック実装図_深川090827【ソフィアサーバ加筆】.xls_全フロア記入19インチラック実装図_100311修正" xfId="4137" xr:uid="{00000000-0005-0000-0000-0000E70F0000}"/>
    <cellStyle name="_19インチラック実装図_深川090827【ソフィアサーバ加筆】.xls_全フロア記入19インチラック実装図_100311修正 2" xfId="4138" xr:uid="{00000000-0005-0000-0000-0000E80F0000}"/>
    <cellStyle name="_19インチラック実装図_深川090827【ソフィアサーバ加筆】.xls_全フロア記入19インチラック実装図_100311修正_Ⅹ_課題と対応策_20121211" xfId="4139" xr:uid="{00000000-0005-0000-0000-0000E90F0000}"/>
    <cellStyle name="_19インチラック実装図_深川090827【ソフィアサーバ加筆】.xls_全フロア記入19インチラック実装図_100311修正_Ⅹ_課題と対応策_20121211 2" xfId="4140" xr:uid="{00000000-0005-0000-0000-0000EA0F0000}"/>
    <cellStyle name="_19インチラック実装図_深川090827【ソフィアサーバ加筆】.xls_全フロア記入19インチラック実装図_1003145NTTC" xfId="4141" xr:uid="{00000000-0005-0000-0000-0000EB0F0000}"/>
    <cellStyle name="_19インチラック実装図_深川090827【ソフィアサーバ加筆】.xls_全フロア記入19インチラック実装図_1003145NTTC 2" xfId="4142" xr:uid="{00000000-0005-0000-0000-0000EC0F0000}"/>
    <cellStyle name="_19インチラック実装図_深川090827【ソフィアサーバ加筆】.xls_全フロア記入19インチラック実装図_1003145NTTC_Ⅹ_課題と対応策_20121211" xfId="4143" xr:uid="{00000000-0005-0000-0000-0000ED0F0000}"/>
    <cellStyle name="_19インチラック実装図_深川090827【ソフィアサーバ加筆】.xls_全フロア記入19インチラック実装図_1003145NTTC_Ⅹ_課題と対応策_20121211 2" xfId="4144" xr:uid="{00000000-0005-0000-0000-0000EE0F0000}"/>
    <cellStyle name="_19インチラック実装図_深川090827【ソフィアサーバ加筆】.xls_全フロア記入19インチラック実装図_1003145NTTCom修正" xfId="4145" xr:uid="{00000000-0005-0000-0000-0000EF0F0000}"/>
    <cellStyle name="_19インチラック実装図_深川090827【ソフィアサーバ加筆】.xls_全フロア記入19インチラック実装図_1003145NTTCom修正 2" xfId="4146" xr:uid="{00000000-0005-0000-0000-0000F00F0000}"/>
    <cellStyle name="_19インチラック実装図_深川090827【ソフィアサーバ加筆】.xls_全フロア記入19インチラック実装図_1003145NTTCom修正_Ⅹ_課題と対応策_20121211" xfId="4147" xr:uid="{00000000-0005-0000-0000-0000F10F0000}"/>
    <cellStyle name="_19インチラック実装図_深川090827【ソフィアサーバ加筆】.xls_全フロア記入19インチラック実装図_1003145NTTCom修正_Ⅹ_課題と対応策_20121211 2" xfId="4148" xr:uid="{00000000-0005-0000-0000-0000F20F0000}"/>
    <cellStyle name="_19インチラック実装図_深川090827【ソフィアサーバ加筆】.xls_全フロア記入19インチラック実装図_100316 _修正" xfId="4149" xr:uid="{00000000-0005-0000-0000-0000F30F0000}"/>
    <cellStyle name="_19インチラック実装図_深川090827【ソフィアサーバ加筆】.xls_全フロア記入19インチラック実装図_100316 _修正 2" xfId="4150" xr:uid="{00000000-0005-0000-0000-0000F40F0000}"/>
    <cellStyle name="_19インチラック実装図_深川090827【ソフィアサーバ加筆】.xls_全フロア記入19インチラック実装図_100316 _修正_Ⅹ_課題と対応策_20121211" xfId="4151" xr:uid="{00000000-0005-0000-0000-0000F50F0000}"/>
    <cellStyle name="_19インチラック実装図_深川090827【ソフィアサーバ加筆】.xls_全フロア記入19インチラック実装図_100316 _修正_Ⅹ_課題と対応策_20121211 2" xfId="4152" xr:uid="{00000000-0005-0000-0000-0000F60F0000}"/>
    <cellStyle name="_19インチラック実装図_深川090827【ソフィアサーバ加筆】.xls_全フロア記入19インチラック実装図_100318_ソフィア修正" xfId="4153" xr:uid="{00000000-0005-0000-0000-0000F70F0000}"/>
    <cellStyle name="_19インチラック実装図_深川090827【ソフィアサーバ加筆】.xls_全フロア記入19インチラック実装図_100318_ソフィア修正 2" xfId="4154" xr:uid="{00000000-0005-0000-0000-0000F80F0000}"/>
    <cellStyle name="_19インチラック実装図_深川090827【ソフィアサーバ加筆】.xls_全フロア記入19インチラック実装図_100318_ソフィア修正_Ⅹ_課題と対応策_20121211" xfId="4155" xr:uid="{00000000-0005-0000-0000-0000F90F0000}"/>
    <cellStyle name="_19インチラック実装図_深川090827【ソフィアサーバ加筆】.xls_全フロア記入19インチラック実装図_100318_ソフィア修正_Ⅹ_課題と対応策_20121211 2" xfId="4156" xr:uid="{00000000-0005-0000-0000-0000FA0F0000}"/>
    <cellStyle name="_19インチラック実装図_深川090827【ソフィアサーバ加筆】.xls_全フロア記入19インチラック実装図_20100310_修正" xfId="4157" xr:uid="{00000000-0005-0000-0000-0000FB0F0000}"/>
    <cellStyle name="_19インチラック実装図_深川090827【ソフィアサーバ加筆】.xls_全フロア記入19インチラック実装図_20100310_修正 2" xfId="4158" xr:uid="{00000000-0005-0000-0000-0000FC0F0000}"/>
    <cellStyle name="_19インチラック実装図_深川090827【ソフィアサーバ加筆】.xls_全フロア記入19インチラック実装図_20100310_修正_Ⅹ_課題と対応策_20121211" xfId="4159" xr:uid="{00000000-0005-0000-0000-0000FD0F0000}"/>
    <cellStyle name="_19インチラック実装図_深川090827【ソフィアサーバ加筆】.xls_全フロア記入19インチラック実装図_20100310_修正_Ⅹ_課題と対応策_20121211 2" xfId="4160" xr:uid="{00000000-0005-0000-0000-0000FE0F0000}"/>
    <cellStyle name="_19インチラック実装図_深川090827【ソフィアサーバ加筆】.xls_全フロア記入19インチラック実装図_深川091210作成中(ソフィア修正) (1)" xfId="4161" xr:uid="{00000000-0005-0000-0000-0000FF0F0000}"/>
    <cellStyle name="_19インチラック実装図_深川090827【ソフィアサーバ加筆】.xls_全フロア記入19インチラック実装図_深川091210作成中(ソフィア修正) (1) 2" xfId="4162" xr:uid="{00000000-0005-0000-0000-000000100000}"/>
    <cellStyle name="_19インチラック実装図_深川090827【ソフィアサーバ加筆】.xls_全フロア記入19インチラック実装図_深川091210作成中(ソフィア修正) (1)_Ⅹ_課題と対応策_20121211" xfId="4163" xr:uid="{00000000-0005-0000-0000-000001100000}"/>
    <cellStyle name="_19インチラック実装図_深川090827【ソフィアサーバ加筆】.xls_全フロア記入19インチラック実装図_深川091210作成中(ソフィア修正) (1)_Ⅹ_課題と対応策_20121211 2" xfId="4164" xr:uid="{00000000-0005-0000-0000-000002100000}"/>
    <cellStyle name="_19インチラック実装図_深川090827【ソフィアサーバ加筆】.xls_全フロア記入19インチラック実装図_深川100311" xfId="4165" xr:uid="{00000000-0005-0000-0000-000003100000}"/>
    <cellStyle name="_19インチラック実装図_深川090827【ソフィアサーバ加筆】.xls_全フロア記入19インチラック実装図_深川100311 2" xfId="4166" xr:uid="{00000000-0005-0000-0000-000004100000}"/>
    <cellStyle name="_19インチラック実装図_深川090827【ソフィアサーバ加筆】.xls_全フロア記入19インチラック実装図_深川100311_Ⅹ_課題と対応策_20121211" xfId="4167" xr:uid="{00000000-0005-0000-0000-000005100000}"/>
    <cellStyle name="_19インチラック実装図_深川090827【ソフィアサーバ加筆】.xls_全フロア記入19インチラック実装図_深川100311_Ⅹ_課題と対応策_20121211 2" xfId="4168" xr:uid="{00000000-0005-0000-0000-000006100000}"/>
    <cellStyle name="_20101201変更依頼：千里構内回線敷設要望書（統合監視）" xfId="4169" xr:uid="{00000000-0005-0000-0000-000007100000}"/>
    <cellStyle name="_20101201変更依頼：千里構内回線敷設要望書（統合監視） 2" xfId="4170" xr:uid="{00000000-0005-0000-0000-000008100000}"/>
    <cellStyle name="_20101201変更依頼：千里構内回線敷設要望書（統合監視）_Ⅹ_課題と対応策_20121211" xfId="4171" xr:uid="{00000000-0005-0000-0000-000009100000}"/>
    <cellStyle name="_20101201変更依頼：千里構内回線敷設要望書（統合監視）_Ⅹ_課題と対応策_20121211 2" xfId="4172" xr:uid="{00000000-0005-0000-0000-00000A100000}"/>
    <cellStyle name="_4F設置場所" xfId="4173" xr:uid="{00000000-0005-0000-0000-00000B100000}"/>
    <cellStyle name="_4F設置場所 2" xfId="4174" xr:uid="{00000000-0005-0000-0000-00000C100000}"/>
    <cellStyle name="_4F設置場所_(自動機監視GW) 【20090602】千里導入明細資料_２１年度fj分" xfId="4175" xr:uid="{00000000-0005-0000-0000-00000D100000}"/>
    <cellStyle name="_4F設置場所_(自動機監視GW) 【20090602】千里導入明細資料_２１年度fj分 2" xfId="4176" xr:uid="{00000000-0005-0000-0000-00000E100000}"/>
    <cellStyle name="_4F設置場所_(自動機監視GW) 【20090602】千里導入明細資料_２１年度fj分_【20091218】千里導入明細資料_２１年度分（ネットワーク敷設）" xfId="4177" xr:uid="{00000000-0005-0000-0000-00000F100000}"/>
    <cellStyle name="_4F設置場所_(自動機監視GW) 【20090602】千里導入明細資料_２１年度fj分_【20091218】千里導入明細資料_２１年度分（ネットワーク敷設） 2" xfId="4178" xr:uid="{00000000-0005-0000-0000-000010100000}"/>
    <cellStyle name="_4F設置場所_(自動機監視GW) 【20090602】千里導入明細資料_２１年度fj分_【20091218】千里導入明細資料_２１年度分（ネットワーク敷設）_Ⅹ_課題と対応策_20121211" xfId="4179" xr:uid="{00000000-0005-0000-0000-000011100000}"/>
    <cellStyle name="_4F設置場所_(自動機監視GW) 【20090602】千里導入明細資料_２１年度fj分_【20091218】千里導入明細資料_２１年度分（ネットワーク敷設）_Ⅹ_課題と対応策_20121211 2" xfId="4180" xr:uid="{00000000-0005-0000-0000-000012100000}"/>
    <cellStyle name="_4F設置場所_(自動機監視GW) 【20090602】千里導入明細資料_２１年度fj分_Ⅹ_課題と対応策_20121211" xfId="4181" xr:uid="{00000000-0005-0000-0000-000013100000}"/>
    <cellStyle name="_4F設置場所_(自動機監視GW) 【20090602】千里導入明細資料_２１年度fj分_Ⅹ_課題と対応策_20121211 2" xfId="4182" xr:uid="{00000000-0005-0000-0000-000014100000}"/>
    <cellStyle name="_4F設置場所_(自動機監視GW) 【20090602】千里導入明細資料_２１年度fj分_千里導入明細資料_２２年度分（ネットワーク敷設）_fj" xfId="4183" xr:uid="{00000000-0005-0000-0000-000015100000}"/>
    <cellStyle name="_4F設置場所_(自動機監視GW) 【20090602】千里導入明細資料_２１年度fj分_千里導入明細資料_２２年度分（ネットワーク敷設）_fj 2" xfId="4184" xr:uid="{00000000-0005-0000-0000-000016100000}"/>
    <cellStyle name="_4F設置場所_(自動機監視GW) 【20090602】千里導入明細資料_２１年度fj分_千里導入明細資料_２２年度分（ネットワーク敷設）_fj_Ⅹ_課題と対応策_20121211" xfId="4185" xr:uid="{00000000-0005-0000-0000-000017100000}"/>
    <cellStyle name="_4F設置場所_(自動機監視GW) 【20090602】千里導入明細資料_２１年度fj分_千里導入明細資料_２２年度分（ネットワーク敷設）_fj_Ⅹ_課題と対応策_20121211 2" xfId="4186" xr:uid="{00000000-0005-0000-0000-000018100000}"/>
    <cellStyle name="_4F設置場所_【20090715】千里導入明細資料_２１年度分（９月工事分）_fj" xfId="4187" xr:uid="{00000000-0005-0000-0000-000019100000}"/>
    <cellStyle name="_4F設置場所_【20090715】千里導入明細資料_２１年度分（９月工事分）_fj 2" xfId="4188" xr:uid="{00000000-0005-0000-0000-00001A100000}"/>
    <cellStyle name="_4F設置場所_【20090715】千里導入明細資料_２１年度分（９月工事分）_fj_【20090721】千里導入明細資料_２１年度分" xfId="4189" xr:uid="{00000000-0005-0000-0000-00001B100000}"/>
    <cellStyle name="_4F設置場所_【20090715】千里導入明細資料_２１年度分（９月工事分）_fj_【20090721】千里導入明細資料_２１年度分 2" xfId="4190" xr:uid="{00000000-0005-0000-0000-00001C100000}"/>
    <cellStyle name="_4F設置場所_【20090715】千里導入明細資料_２１年度分（９月工事分）_fj_【20090721】千里導入明細資料_２１年度分（９月工事分）_ETERNUS追加" xfId="4191" xr:uid="{00000000-0005-0000-0000-00001D100000}"/>
    <cellStyle name="_4F設置場所_【20090715】千里導入明細資料_２１年度分（９月工事分）_fj_【20090721】千里導入明細資料_２１年度分（９月工事分）_ETERNUS追加 2" xfId="4192" xr:uid="{00000000-0005-0000-0000-00001E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" xfId="4193" xr:uid="{00000000-0005-0000-0000-00001F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 2" xfId="4194" xr:uid="{00000000-0005-0000-0000-000020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4195" xr:uid="{00000000-0005-0000-0000-000021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4196" xr:uid="{00000000-0005-0000-0000-000022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4197" xr:uid="{00000000-0005-0000-0000-000023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4198" xr:uid="{00000000-0005-0000-0000-000024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4199" xr:uid="{00000000-0005-0000-0000-000025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4200" xr:uid="{00000000-0005-0000-0000-000026100000}"/>
    <cellStyle name="_4F設置場所_【20090715】千里導入明細資料_２１年度分（９月工事分）_fj_【20090721】千里導入明細資料_２１年度分（９月工事分）_ETERNUS追加_【20090821】千里ラック搭載図（NW機器）" xfId="4201" xr:uid="{00000000-0005-0000-0000-000027100000}"/>
    <cellStyle name="_4F設置場所_【20090715】千里導入明細資料_２１年度分（９月工事分）_fj_【20090721】千里導入明細資料_２１年度分（９月工事分）_ETERNUS追加_【20090821】千里ラック搭載図（NW機器） 2" xfId="4202" xr:uid="{00000000-0005-0000-0000-000028100000}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" xfId="4203" xr:uid="{00000000-0005-0000-0000-000029100000}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 2" xfId="4204" xr:uid="{00000000-0005-0000-0000-00002A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" xfId="4205" xr:uid="{00000000-0005-0000-0000-00002B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 2" xfId="4206" xr:uid="{00000000-0005-0000-0000-00002C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4207" xr:uid="{00000000-0005-0000-0000-00002D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4208" xr:uid="{00000000-0005-0000-0000-00002E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" xfId="4209" xr:uid="{00000000-0005-0000-0000-00002F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 2" xfId="4210" xr:uid="{00000000-0005-0000-0000-000030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4211" xr:uid="{00000000-0005-0000-0000-000031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4212" xr:uid="{00000000-0005-0000-0000-000032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4213" xr:uid="{00000000-0005-0000-0000-000033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4214" xr:uid="{00000000-0005-0000-0000-000034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15" xr:uid="{00000000-0005-0000-0000-000035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16" xr:uid="{00000000-0005-0000-0000-000036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4217" xr:uid="{00000000-0005-0000-0000-000037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4218" xr:uid="{00000000-0005-0000-0000-000038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4219" xr:uid="{00000000-0005-0000-0000-000039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4220" xr:uid="{00000000-0005-0000-0000-00003A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4221" xr:uid="{00000000-0005-0000-0000-00003B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4222" xr:uid="{00000000-0005-0000-0000-00003C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4223" xr:uid="{00000000-0005-0000-0000-00003D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4224" xr:uid="{00000000-0005-0000-0000-00003E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4225" xr:uid="{00000000-0005-0000-0000-00003F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4226" xr:uid="{00000000-0005-0000-0000-000040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4227" xr:uid="{00000000-0005-0000-0000-000041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4228" xr:uid="{00000000-0005-0000-0000-000042100000}"/>
    <cellStyle name="_4F設置場所_【20090715】千里導入明細資料_２１年度分（９月工事分）_fj_【20090721】千里導入明細資料_２１年度分（９月工事分）_ETERNUS追加_【20091225】千里導入明細資料_２２年度上期分" xfId="4229" xr:uid="{00000000-0005-0000-0000-000043100000}"/>
    <cellStyle name="_4F設置場所_【20090715】千里導入明細資料_２１年度分（９月工事分）_fj_【20090721】千里導入明細資料_２１年度分（９月工事分）_ETERNUS追加_【20091225】千里導入明細資料_２２年度上期分 2" xfId="4230" xr:uid="{00000000-0005-0000-0000-000044100000}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" xfId="4231" xr:uid="{00000000-0005-0000-0000-000045100000}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 2" xfId="4232" xr:uid="{00000000-0005-0000-0000-000046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" xfId="4233" xr:uid="{00000000-0005-0000-0000-000047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 2" xfId="4234" xr:uid="{00000000-0005-0000-0000-000048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4235" xr:uid="{00000000-0005-0000-0000-000049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4236" xr:uid="{00000000-0005-0000-0000-00004A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" xfId="4237" xr:uid="{00000000-0005-0000-0000-00004B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 2" xfId="4238" xr:uid="{00000000-0005-0000-0000-00004C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" xfId="4239" xr:uid="{00000000-0005-0000-0000-00004D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4240" xr:uid="{00000000-0005-0000-0000-00004E100000}"/>
    <cellStyle name="_4F設置場所_【20090715】千里導入明細資料_２１年度分（９月工事分）_fj_【20090721】千里導入明細資料_２１年度分（９月工事分）_ETERNUS追加_【200912xx】千里導入明細資料_２２年度上期分" xfId="4241" xr:uid="{00000000-0005-0000-0000-00004F100000}"/>
    <cellStyle name="_4F設置場所_【20090715】千里導入明細資料_２１年度分（９月工事分）_fj_【20090721】千里導入明細資料_２１年度分（９月工事分）_ETERNUS追加_【200912xx】千里導入明細資料_２２年度上期分 2" xfId="4242" xr:uid="{00000000-0005-0000-0000-000050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" xfId="4243" xr:uid="{00000000-0005-0000-0000-000051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 2" xfId="4244" xr:uid="{00000000-0005-0000-0000-000052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4245" xr:uid="{00000000-0005-0000-0000-000053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4246" xr:uid="{00000000-0005-0000-0000-000054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4247" xr:uid="{00000000-0005-0000-0000-000055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4248" xr:uid="{00000000-0005-0000-0000-000056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4249" xr:uid="{00000000-0005-0000-0000-000057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4250" xr:uid="{00000000-0005-0000-0000-000058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4251" xr:uid="{00000000-0005-0000-0000-000059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4252" xr:uid="{00000000-0005-0000-0000-00005A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4253" xr:uid="{00000000-0005-0000-0000-00005B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4254" xr:uid="{00000000-0005-0000-0000-00005C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4255" xr:uid="{00000000-0005-0000-0000-00005D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4256" xr:uid="{00000000-0005-0000-0000-00005E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4257" xr:uid="{00000000-0005-0000-0000-00005F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4258" xr:uid="{00000000-0005-0000-0000-000060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4259" xr:uid="{00000000-0005-0000-0000-000061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4260" xr:uid="{00000000-0005-0000-0000-000062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4261" xr:uid="{00000000-0005-0000-0000-000063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4262" xr:uid="{00000000-0005-0000-0000-000064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4263" xr:uid="{00000000-0005-0000-0000-000065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4264" xr:uid="{00000000-0005-0000-0000-000066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4265" xr:uid="{00000000-0005-0000-0000-000067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4266" xr:uid="{00000000-0005-0000-0000-000068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4267" xr:uid="{00000000-0005-0000-0000-000069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4268" xr:uid="{00000000-0005-0000-0000-00006A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4269" xr:uid="{00000000-0005-0000-0000-00006B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4270" xr:uid="{00000000-0005-0000-0000-00006C100000}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" xfId="4271" xr:uid="{00000000-0005-0000-0000-00006D100000}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 2" xfId="4272" xr:uid="{00000000-0005-0000-0000-00006E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" xfId="4273" xr:uid="{00000000-0005-0000-0000-00006F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 2" xfId="4274" xr:uid="{00000000-0005-0000-0000-000070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4275" xr:uid="{00000000-0005-0000-0000-000071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4276" xr:uid="{00000000-0005-0000-0000-000072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" xfId="4277" xr:uid="{00000000-0005-0000-0000-000073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 2" xfId="4278" xr:uid="{00000000-0005-0000-0000-000074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" xfId="4279" xr:uid="{00000000-0005-0000-0000-000075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 2" xfId="4280" xr:uid="{00000000-0005-0000-0000-000076100000}"/>
    <cellStyle name="_4F設置場所_【20090715】千里導入明細資料_２１年度分（９月工事分）_fj_【20090721】千里導入明細資料_２１年度分（９月工事分）_ETERNUS追加_Ⅹ_課題と対応策_20121211" xfId="4281" xr:uid="{00000000-0005-0000-0000-000077100000}"/>
    <cellStyle name="_4F設置場所_【20090715】千里導入明細資料_２１年度分（９月工事分）_fj_【20090721】千里導入明細資料_２１年度分（９月工事分）_ETERNUS追加_Ⅹ_課題と対応策_20121211 2" xfId="4282" xr:uid="{00000000-0005-0000-0000-000078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" xfId="4283" xr:uid="{00000000-0005-0000-0000-000079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 2" xfId="4284" xr:uid="{00000000-0005-0000-0000-00007A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4285" xr:uid="{00000000-0005-0000-0000-00007B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4286" xr:uid="{00000000-0005-0000-0000-00007C100000}"/>
    <cellStyle name="_4F設置場所_【20090715】千里導入明細資料_２１年度分（９月工事分）_fj_【20090721】千里導入明細資料_２１年度分_【20091218】千里導入明細資料_２１年度分（ネットワーク敷設）" xfId="4287" xr:uid="{00000000-0005-0000-0000-00007D100000}"/>
    <cellStyle name="_4F設置場所_【20090715】千里導入明細資料_２１年度分（９月工事分）_fj_【20090721】千里導入明細資料_２１年度分_【20091218】千里導入明細資料_２１年度分（ネットワーク敷設） 2" xfId="4288" xr:uid="{00000000-0005-0000-0000-00007E100000}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" xfId="4289" xr:uid="{00000000-0005-0000-0000-00007F100000}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 2" xfId="4290" xr:uid="{00000000-0005-0000-0000-000080100000}"/>
    <cellStyle name="_4F設置場所_【20090715】千里導入明細資料_２１年度分（９月工事分）_fj_【20090721】千里導入明細資料_２１年度分_【20091224】千里導入明細資料_２２年度上期分_営業店DB" xfId="4291" xr:uid="{00000000-0005-0000-0000-000081100000}"/>
    <cellStyle name="_4F設置場所_【20090715】千里導入明細資料_２１年度分（９月工事分）_fj_【20090721】千里導入明細資料_２１年度分_【20091224】千里導入明細資料_２２年度上期分_営業店DB 2" xfId="4292" xr:uid="{00000000-0005-0000-0000-000082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4293" xr:uid="{00000000-0005-0000-0000-000083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4294" xr:uid="{00000000-0005-0000-0000-000084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4295" xr:uid="{00000000-0005-0000-0000-000085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4296" xr:uid="{00000000-0005-0000-0000-000086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97" xr:uid="{00000000-0005-0000-0000-000087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98" xr:uid="{00000000-0005-0000-0000-000088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4299" xr:uid="{00000000-0005-0000-0000-000089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4300" xr:uid="{00000000-0005-0000-0000-00008A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4301" xr:uid="{00000000-0005-0000-0000-00008B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4302" xr:uid="{00000000-0005-0000-0000-00008C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4303" xr:uid="{00000000-0005-0000-0000-00008D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4304" xr:uid="{00000000-0005-0000-0000-00008E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4305" xr:uid="{00000000-0005-0000-0000-00008F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4306" xr:uid="{00000000-0005-0000-0000-000090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4307" xr:uid="{00000000-0005-0000-0000-000091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4308" xr:uid="{00000000-0005-0000-0000-000092100000}"/>
    <cellStyle name="_4F設置場所_【20090715】千里導入明細資料_２１年度分（９月工事分）_fj_【20090721】千里導入明細資料_２１年度分_【20091224】千里導入明細資料_２２年度上期分_営業店DB_Ⅹ_課題と対応策_20121211" xfId="4309" xr:uid="{00000000-0005-0000-0000-000093100000}"/>
    <cellStyle name="_4F設置場所_【20090715】千里導入明細資料_２１年度分（９月工事分）_fj_【20090721】千里導入明細資料_２１年度分_【20091224】千里導入明細資料_２２年度上期分_営業店DB_Ⅹ_課題と対応策_20121211 2" xfId="4310" xr:uid="{00000000-0005-0000-0000-000094100000}"/>
    <cellStyle name="_4F設置場所_【20090715】千里導入明細資料_２１年度分（９月工事分）_fj_【20090721】千里導入明細資料_２１年度分_【20091225】千里導入明細資料_２２年度上期分" xfId="4311" xr:uid="{00000000-0005-0000-0000-000095100000}"/>
    <cellStyle name="_4F設置場所_【20090715】千里導入明細資料_２１年度分（９月工事分）_fj_【20090721】千里導入明細資料_２１年度分_【20091225】千里導入明細資料_２２年度上期分 2" xfId="4312" xr:uid="{00000000-0005-0000-0000-000096100000}"/>
    <cellStyle name="_4F設置場所_【20090715】千里導入明細資料_２１年度分（９月工事分）_fj_【20090721】千里導入明細資料_２１年度分_【20091225】千里導入明細資料_２２年度上期分_Ⅹ_課題と対応策_20121211" xfId="4313" xr:uid="{00000000-0005-0000-0000-000097100000}"/>
    <cellStyle name="_4F設置場所_【20090715】千里導入明細資料_２１年度分（９月工事分）_fj_【20090721】千里導入明細資料_２１年度分_【20091225】千里導入明細資料_２２年度上期分_Ⅹ_課題と対応策_20121211 2" xfId="4314" xr:uid="{00000000-0005-0000-0000-000098100000}"/>
    <cellStyle name="_4F設置場所_【20090715】千里導入明細資料_２１年度分（９月工事分）_fj_【20090721】千里導入明細資料_２１年度分_【20091225】千里導入明細資料_２２年度上期分_営業店DB" xfId="4315" xr:uid="{00000000-0005-0000-0000-000099100000}"/>
    <cellStyle name="_4F設置場所_【20090715】千里導入明細資料_２１年度分（９月工事分）_fj_【20090721】千里導入明細資料_２１年度分_【20091225】千里導入明細資料_２２年度上期分_営業店DB 2" xfId="4316" xr:uid="{00000000-0005-0000-0000-00009A100000}"/>
    <cellStyle name="_4F設置場所_【20090715】千里導入明細資料_２１年度分（９月工事分）_fj_【20090721】千里導入明細資料_２１年度分_【20091225】千里導入明細資料_２２年度上期分_営業店DB_Ⅹ_課題と対応策_20121211" xfId="4317" xr:uid="{00000000-0005-0000-0000-00009B100000}"/>
    <cellStyle name="_4F設置場所_【20090715】千里導入明細資料_２１年度分（９月工事分）_fj_【20090721】千里導入明細資料_２１年度分_【20091225】千里導入明細資料_２２年度上期分_営業店DB_Ⅹ_課題と対応策_20121211 2" xfId="4318" xr:uid="{00000000-0005-0000-0000-00009C100000}"/>
    <cellStyle name="_4F設置場所_【20090715】千里導入明細資料_２１年度分（９月工事分）_fj_【20090721】千里導入明細資料_２１年度分_【20091225】千里導入明細資料_２２年度上期分_連携DB" xfId="4319" xr:uid="{00000000-0005-0000-0000-00009D100000}"/>
    <cellStyle name="_4F設置場所_【20090715】千里導入明細資料_２１年度分（９月工事分）_fj_【20090721】千里導入明細資料_２１年度分_【20091225】千里導入明細資料_２２年度上期分_連携DB 2" xfId="4320" xr:uid="{00000000-0005-0000-0000-00009E100000}"/>
    <cellStyle name="_4F設置場所_【20090715】千里導入明細資料_２１年度分（９月工事分）_fj_【20090721】千里導入明細資料_２１年度分_【20091225】千里導入明細資料_２２年度上期分_連携DB_Ⅹ_課題と対応策_20121211" xfId="4321" xr:uid="{00000000-0005-0000-0000-00009F100000}"/>
    <cellStyle name="_4F設置場所_【20090715】千里導入明細資料_２１年度分（９月工事分）_fj_【20090721】千里導入明細資料_２１年度分_【20091225】千里導入明細資料_２２年度上期分_連携DB_Ⅹ_課題と対応策_20121211 2" xfId="4322" xr:uid="{00000000-0005-0000-0000-0000A0100000}"/>
    <cellStyle name="_4F設置場所_【20090715】千里導入明細資料_２１年度分（９月工事分）_fj_【20090721】千里導入明細資料_２１年度分_【200912xx】千里導入明細資料_２２年度上期分" xfId="4323" xr:uid="{00000000-0005-0000-0000-0000A1100000}"/>
    <cellStyle name="_4F設置場所_【20090715】千里導入明細資料_２１年度分（９月工事分）_fj_【20090721】千里導入明細資料_２１年度分_【200912xx】千里導入明細資料_２２年度上期分 2" xfId="4324" xr:uid="{00000000-0005-0000-0000-0000A2100000}"/>
    <cellStyle name="_4F設置場所_【20090715】千里導入明細資料_２１年度分（９月工事分）_fj_【20090721】千里導入明細資料_２１年度分_【200912xx】千里導入明細資料_２２年度上期分（為替分）" xfId="4325" xr:uid="{00000000-0005-0000-0000-0000A3100000}"/>
    <cellStyle name="_4F設置場所_【20090715】千里導入明細資料_２１年度分（９月工事分）_fj_【20090721】千里導入明細資料_２１年度分_【200912xx】千里導入明細資料_２２年度上期分（為替分） 2" xfId="4326" xr:uid="{00000000-0005-0000-0000-0000A4100000}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" xfId="4327" xr:uid="{00000000-0005-0000-0000-0000A5100000}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 2" xfId="4328" xr:uid="{00000000-0005-0000-0000-0000A6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4329" xr:uid="{00000000-0005-0000-0000-0000A7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4330" xr:uid="{00000000-0005-0000-0000-0000A8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4331" xr:uid="{00000000-0005-0000-0000-0000A9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4332" xr:uid="{00000000-0005-0000-0000-0000AA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4333" xr:uid="{00000000-0005-0000-0000-0000AB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4334" xr:uid="{00000000-0005-0000-0000-0000AC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4335" xr:uid="{00000000-0005-0000-0000-0000AD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4336" xr:uid="{00000000-0005-0000-0000-0000AE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" xfId="4337" xr:uid="{00000000-0005-0000-0000-0000AF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 2" xfId="4338" xr:uid="{00000000-0005-0000-0000-0000B0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4339" xr:uid="{00000000-0005-0000-0000-0000B1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4340" xr:uid="{00000000-0005-0000-0000-0000B2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4341" xr:uid="{00000000-0005-0000-0000-0000B3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4342" xr:uid="{00000000-0005-0000-0000-0000B4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4343" xr:uid="{00000000-0005-0000-0000-0000B5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4344" xr:uid="{00000000-0005-0000-0000-0000B6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" xfId="4345" xr:uid="{00000000-0005-0000-0000-0000B7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 2" xfId="4346" xr:uid="{00000000-0005-0000-0000-0000B8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4347" xr:uid="{00000000-0005-0000-0000-0000B9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4348" xr:uid="{00000000-0005-0000-0000-0000BA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4349" xr:uid="{00000000-0005-0000-0000-0000BB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4350" xr:uid="{00000000-0005-0000-0000-0000BC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4351" xr:uid="{00000000-0005-0000-0000-0000BD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4352" xr:uid="{00000000-0005-0000-0000-0000BE100000}"/>
    <cellStyle name="_4F設置場所_【20090715】千里導入明細資料_２１年度分（９月工事分）_fj_【20090721】千里導入明細資料_２１年度分_【200912xx】千里導入明細資料_２２年度上期分_Ⅹ_課題と対応策_20121211" xfId="4353" xr:uid="{00000000-0005-0000-0000-0000BF100000}"/>
    <cellStyle name="_4F設置場所_【20090715】千里導入明細資料_２１年度分（９月工事分）_fj_【20090721】千里導入明細資料_２１年度分_【200912xx】千里導入明細資料_２２年度上期分_Ⅹ_課題と対応策_20121211 2" xfId="4354" xr:uid="{00000000-0005-0000-0000-0000C0100000}"/>
    <cellStyle name="_4F設置場所_【20090715】千里導入明細資料_２１年度分（９月工事分）_fj_【20090721】千里導入明細資料_２１年度分_【調整中】千里導入明細資料_２２年度上期分_fj_20100127" xfId="4355" xr:uid="{00000000-0005-0000-0000-0000C1100000}"/>
    <cellStyle name="_4F設置場所_【20090715】千里導入明細資料_２１年度分（９月工事分）_fj_【20090721】千里導入明細資料_２１年度分_【調整中】千里導入明細資料_２２年度上期分_fj_20100127 2" xfId="4356" xr:uid="{00000000-0005-0000-0000-0000C2100000}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" xfId="4357" xr:uid="{00000000-0005-0000-0000-0000C3100000}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 2" xfId="4358" xr:uid="{00000000-0005-0000-0000-0000C4100000}"/>
    <cellStyle name="_4F設置場所_【20090715】千里導入明細資料_２１年度分（９月工事分）_fj_【20090721】千里導入明細資料_２１年度分_①【20091225】千里導入明細資料_２２年度上期1分)" xfId="4359" xr:uid="{00000000-0005-0000-0000-0000C5100000}"/>
    <cellStyle name="_4F設置場所_【20090715】千里導入明細資料_２１年度分（９月工事分）_fj_【20090721】千里導入明細資料_２１年度分_①【20091225】千里導入明細資料_２２年度上期1分) 2" xfId="4360" xr:uid="{00000000-0005-0000-0000-0000C6100000}"/>
    <cellStyle name="_4F設置場所_【20090715】千里導入明細資料_２１年度分（９月工事分）_fj_【20090721】千里導入明細資料_２１年度分_①【20091225】千里導入明細資料_２２年度上期1分)_Ⅹ_課題と対応策_20121211" xfId="4361" xr:uid="{00000000-0005-0000-0000-0000C7100000}"/>
    <cellStyle name="_4F設置場所_【20090715】千里導入明細資料_２１年度分（９月工事分）_fj_【20090721】千里導入明細資料_２１年度分_①【20091225】千里導入明細資料_２２年度上期1分)_Ⅹ_課題と対応策_20121211 2" xfId="4362" xr:uid="{00000000-0005-0000-0000-0000C8100000}"/>
    <cellStyle name="_4F設置場所_【20090715】千里導入明細資料_２１年度分（９月工事分）_fj_【20090721】千里導入明細資料_２１年度分_Ⅹ_課題と対応策_20121211" xfId="4363" xr:uid="{00000000-0005-0000-0000-0000C9100000}"/>
    <cellStyle name="_4F設置場所_【20090715】千里導入明細資料_２１年度分（９月工事分）_fj_【20090721】千里導入明細資料_２１年度分_Ⅹ_課題と対応策_20121211 2" xfId="4364" xr:uid="{00000000-0005-0000-0000-0000CA100000}"/>
    <cellStyle name="_4F設置場所_【20090715】千里導入明細資料_２１年度分（９月工事分）_fj_【20090721】千里導入明細資料_２１年度分_千里導入明細資料_２２年度分（ネットワーク敷設）_fj" xfId="4365" xr:uid="{00000000-0005-0000-0000-0000CB100000}"/>
    <cellStyle name="_4F設置場所_【20090715】千里導入明細資料_２１年度分（９月工事分）_fj_【20090721】千里導入明細資料_２１年度分_千里導入明細資料_２２年度分（ネットワーク敷設）_fj 2" xfId="4366" xr:uid="{00000000-0005-0000-0000-0000CC100000}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" xfId="4367" xr:uid="{00000000-0005-0000-0000-0000CD100000}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 2" xfId="4368" xr:uid="{00000000-0005-0000-0000-0000CE100000}"/>
    <cellStyle name="_4F設置場所_【20090715】千里導入明細資料_２１年度分（９月工事分）_fj_【20090821】千里ラック搭載図（NW機器）" xfId="4369" xr:uid="{00000000-0005-0000-0000-0000CF100000}"/>
    <cellStyle name="_4F設置場所_【20090715】千里導入明細資料_２１年度分（９月工事分）_fj_【20090821】千里ラック搭載図（NW機器） 2" xfId="4370" xr:uid="{00000000-0005-0000-0000-0000D0100000}"/>
    <cellStyle name="_4F設置場所_【20090715】千里導入明細資料_２１年度分（９月工事分）_fj_【20090821】千里ラック搭載図（NW機器）_Ⅹ_課題と対応策_20121211" xfId="4371" xr:uid="{00000000-0005-0000-0000-0000D1100000}"/>
    <cellStyle name="_4F設置場所_【20090715】千里導入明細資料_２１年度分（９月工事分）_fj_【20090821】千里ラック搭載図（NW機器）_Ⅹ_課題と対応策_20121211 2" xfId="4372" xr:uid="{00000000-0005-0000-0000-0000D2100000}"/>
    <cellStyle name="_4F設置場所_【20090715】千里導入明細資料_２１年度分（９月工事分）_fj_【20091207】千里導入明細資料_２１年度分（ネットワーク敷設）" xfId="4373" xr:uid="{00000000-0005-0000-0000-0000D3100000}"/>
    <cellStyle name="_4F設置場所_【20090715】千里導入明細資料_２１年度分（９月工事分）_fj_【20091207】千里導入明細資料_２１年度分（ネットワーク敷設） 2" xfId="4374" xr:uid="{00000000-0005-0000-0000-0000D4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" xfId="4375" xr:uid="{00000000-0005-0000-0000-0000D5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 2" xfId="4376" xr:uid="{00000000-0005-0000-0000-0000D6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377" xr:uid="{00000000-0005-0000-0000-0000D7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378" xr:uid="{00000000-0005-0000-0000-0000D8100000}"/>
    <cellStyle name="_4F設置場所_【20090715】千里導入明細資料_２１年度分（９月工事分）_fj_【20091207】千里導入明細資料_２１年度分（ネットワーク敷設）_Ⅹ_課題と対応策_20121211" xfId="4379" xr:uid="{00000000-0005-0000-0000-0000D9100000}"/>
    <cellStyle name="_4F設置場所_【20090715】千里導入明細資料_２１年度分（９月工事分）_fj_【20091207】千里導入明細資料_２１年度分（ネットワーク敷設）_Ⅹ_課題と対応策_20121211 2" xfId="4380" xr:uid="{00000000-0005-0000-0000-0000DA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" xfId="4381" xr:uid="{00000000-0005-0000-0000-0000DB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 2" xfId="4382" xr:uid="{00000000-0005-0000-0000-0000DC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" xfId="4383" xr:uid="{00000000-0005-0000-0000-0000DD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384" xr:uid="{00000000-0005-0000-0000-0000DE100000}"/>
    <cellStyle name="_4F設置場所_【20090715】千里導入明細資料_２１年度分（９月工事分）_fj_【20091225】千里導入明細資料_２２年度上期分（営業店ＡＰ－ＤＢ）" xfId="4385" xr:uid="{00000000-0005-0000-0000-0000DF100000}"/>
    <cellStyle name="_4F設置場所_【20090715】千里導入明細資料_２１年度分（９月工事分）_fj_【20091225】千里導入明細資料_２２年度上期分（営業店ＡＰ－ＤＢ） 2" xfId="4386" xr:uid="{00000000-0005-0000-0000-0000E0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" xfId="4387" xr:uid="{00000000-0005-0000-0000-0000E1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 2" xfId="4388" xr:uid="{00000000-0005-0000-0000-0000E2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389" xr:uid="{00000000-0005-0000-0000-0000E3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390" xr:uid="{00000000-0005-0000-0000-0000E4100000}"/>
    <cellStyle name="_4F設置場所_【20090715】千里導入明細資料_２１年度分（９月工事分）_fj_【20091225】千里導入明細資料_２２年度上期分（営業店ＡＰ－ＤＢ）_Ⅹ_課題と対応策_20121211" xfId="4391" xr:uid="{00000000-0005-0000-0000-0000E5100000}"/>
    <cellStyle name="_4F設置場所_【20090715】千里導入明細資料_２１年度分（９月工事分）_fj_【20091225】千里導入明細資料_２２年度上期分（営業店ＡＰ－ＤＢ）_Ⅹ_課題と対応策_20121211 2" xfId="4392" xr:uid="{00000000-0005-0000-0000-0000E6100000}"/>
    <cellStyle name="_4F設置場所_【20090715】千里導入明細資料_２１年度分（９月工事分）_fj_【20091225】千里導入明細資料_２２年度上期分_営業店DB" xfId="4393" xr:uid="{00000000-0005-0000-0000-0000E7100000}"/>
    <cellStyle name="_4F設置場所_【20090715】千里導入明細資料_２１年度分（９月工事分）_fj_【20091225】千里導入明細資料_２２年度上期分_営業店DB 2" xfId="4394" xr:uid="{00000000-0005-0000-0000-0000E8100000}"/>
    <cellStyle name="_4F設置場所_【20090715】千里導入明細資料_２１年度分（９月工事分）_fj_【20091225】千里導入明細資料_２２年度上期分_営業店DB_【調整中】千里導入明細資料_２２年度上期分_fj_20100127" xfId="4395" xr:uid="{00000000-0005-0000-0000-0000E9100000}"/>
    <cellStyle name="_4F設置場所_【20090715】千里導入明細資料_２１年度分（９月工事分）_fj_【20091225】千里導入明細資料_２２年度上期分_営業店DB_【調整中】千里導入明細資料_２２年度上期分_fj_20100127 2" xfId="4396" xr:uid="{00000000-0005-0000-0000-0000EA100000}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" xfId="4397" xr:uid="{00000000-0005-0000-0000-0000EB100000}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 2" xfId="4398" xr:uid="{00000000-0005-0000-0000-0000EC100000}"/>
    <cellStyle name="_4F設置場所_【20090715】千里導入明細資料_２１年度分（９月工事分）_fj_【20091225】千里導入明細資料_２２年度上期分_営業店DB_Ⅹ_課題と対応策_20121211" xfId="4399" xr:uid="{00000000-0005-0000-0000-0000ED100000}"/>
    <cellStyle name="_4F設置場所_【20090715】千里導入明細資料_２１年度分（９月工事分）_fj_【20091225】千里導入明細資料_２２年度上期分_営業店DB_Ⅹ_課題と対応策_20121211 2" xfId="4400" xr:uid="{00000000-0005-0000-0000-0000EE100000}"/>
    <cellStyle name="_4F設置場所_【20090715】千里導入明細資料_２１年度分（９月工事分）_fj_【20091225】千里導入明細資料_２２年度上期分_連携DB" xfId="4401" xr:uid="{00000000-0005-0000-0000-0000EF100000}"/>
    <cellStyle name="_4F設置場所_【20090715】千里導入明細資料_２１年度分（９月工事分）_fj_【20091225】千里導入明細資料_２２年度上期分_連携DB 2" xfId="4402" xr:uid="{00000000-0005-0000-0000-0000F0100000}"/>
    <cellStyle name="_4F設置場所_【20090715】千里導入明細資料_２１年度分（９月工事分）_fj_【20091225】千里導入明細資料_２２年度上期分_連携DB_【調整中】千里導入明細資料_２２年度上期分_fj_20100127" xfId="4403" xr:uid="{00000000-0005-0000-0000-0000F1100000}"/>
    <cellStyle name="_4F設置場所_【20090715】千里導入明細資料_２１年度分（９月工事分）_fj_【20091225】千里導入明細資料_２２年度上期分_連携DB_【調整中】千里導入明細資料_２２年度上期分_fj_20100127 2" xfId="4404" xr:uid="{00000000-0005-0000-0000-0000F2100000}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" xfId="4405" xr:uid="{00000000-0005-0000-0000-0000F3100000}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 2" xfId="4406" xr:uid="{00000000-0005-0000-0000-0000F4100000}"/>
    <cellStyle name="_4F設置場所_【20090715】千里導入明細資料_２１年度分（９月工事分）_fj_【20091225】千里導入明細資料_２２年度上期分_連携DB_Ⅹ_課題と対応策_20121211" xfId="4407" xr:uid="{00000000-0005-0000-0000-0000F5100000}"/>
    <cellStyle name="_4F設置場所_【20090715】千里導入明細資料_２１年度分（９月工事分）_fj_【20091225】千里導入明細資料_２２年度上期分_連携DB_Ⅹ_課題と対応策_20121211 2" xfId="4408" xr:uid="{00000000-0005-0000-0000-0000F6100000}"/>
    <cellStyle name="_4F設置場所_【20090715】千里導入明細資料_２１年度分（９月工事分）_fj_【作成中】千里センター機器配置図（2010年対応分）_20091221" xfId="4409" xr:uid="{00000000-0005-0000-0000-0000F7100000}"/>
    <cellStyle name="_4F設置場所_【20090715】千里導入明細資料_２１年度分（９月工事分）_fj_【作成中】千里センター機器配置図（2010年対応分）_20091221 2" xfId="4410" xr:uid="{00000000-0005-0000-0000-0000F8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" xfId="4411" xr:uid="{00000000-0005-0000-0000-0000F9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 2" xfId="4412" xr:uid="{00000000-0005-0000-0000-0000FA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" xfId="4413" xr:uid="{00000000-0005-0000-0000-0000FB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 2" xfId="4414" xr:uid="{00000000-0005-0000-0000-0000FC100000}"/>
    <cellStyle name="_4F設置場所_【20090715】千里導入明細資料_２１年度分（９月工事分）_fj_【作成中】千里センター機器配置図（2010年対応分）_20091221_Ⅹ_課題と対応策_20121211" xfId="4415" xr:uid="{00000000-0005-0000-0000-0000FD100000}"/>
    <cellStyle name="_4F設置場所_【20090715】千里導入明細資料_２１年度分（９月工事分）_fj_【作成中】千里センター機器配置図（2010年対応分）_20091221_Ⅹ_課題と対応策_20121211 2" xfId="4416" xr:uid="{00000000-0005-0000-0000-0000FE100000}"/>
    <cellStyle name="_4F設置場所_【20090715】千里導入明細資料_２１年度分（９月工事分）_fj_Ⅹ_課題と対応策_20121211" xfId="4417" xr:uid="{00000000-0005-0000-0000-0000FF100000}"/>
    <cellStyle name="_4F設置場所_【20090715】千里導入明細資料_２１年度分（９月工事分）_fj_Ⅹ_課題と対応策_20121211 2" xfId="4418" xr:uid="{00000000-0005-0000-0000-000000110000}"/>
    <cellStyle name="_4F設置場所_【20090715】千里導入明細資料_２１年度分（９月工事分）_fj_千里センター機器構築スケジュール（８月分）_20090731" xfId="4419" xr:uid="{00000000-0005-0000-0000-000001110000}"/>
    <cellStyle name="_4F設置場所_【20090715】千里導入明細資料_２１年度分（９月工事分）_fj_千里センター機器構築スケジュール（８月分）_20090731 2" xfId="4420" xr:uid="{00000000-0005-0000-0000-000002110000}"/>
    <cellStyle name="_4F設置場所_【20090715】千里導入明細資料_２１年度分（９月工事分）_fj_千里センター機器構築スケジュール（８月分）_20090731_【20090731】千里導入明細資料_２１年度分（９月工事分）" xfId="4421" xr:uid="{00000000-0005-0000-0000-000003110000}"/>
    <cellStyle name="_4F設置場所_【20090715】千里導入明細資料_２１年度分（９月工事分）_fj_千里センター機器構築スケジュール（８月分）_20090731_【20090731】千里導入明細資料_２１年度分（９月工事分） 2" xfId="4422" xr:uid="{00000000-0005-0000-0000-000004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423" xr:uid="{00000000-0005-0000-0000-000005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424" xr:uid="{00000000-0005-0000-0000-000006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425" xr:uid="{00000000-0005-0000-0000-000007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426" xr:uid="{00000000-0005-0000-0000-000008110000}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" xfId="4427" xr:uid="{00000000-0005-0000-0000-000009110000}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 2" xfId="4428" xr:uid="{00000000-0005-0000-0000-00000A110000}"/>
    <cellStyle name="_4F設置場所_【20090715】千里導入明細資料_２１年度分（９月工事分）_fj_千里センター機器構築スケジュール（８月分）_20090731_【20090821】千里ラック搭載図（NW機器）" xfId="4429" xr:uid="{00000000-0005-0000-0000-00000B110000}"/>
    <cellStyle name="_4F設置場所_【20090715】千里導入明細資料_２１年度分（９月工事分）_fj_千里センター機器構築スケジュール（８月分）_20090731_【20090821】千里ラック搭載図（NW機器） 2" xfId="4430" xr:uid="{00000000-0005-0000-0000-00000C110000}"/>
    <cellStyle name="_4F設置場所_【20090715】千里導入明細資料_２１年度分（９月工事分）_fj_千里センター機器構築スケジュール（８月分）_20090731_【20090821】千里ラック搭載図（NW機器）_Ⅹ_課題と対応策_20121211" xfId="4431" xr:uid="{00000000-0005-0000-0000-00000D110000}"/>
    <cellStyle name="_4F設置場所_【20090715】千里導入明細資料_２１年度分（９月工事分）_fj_千里センター機器構築スケジュール（８月分）_20090731_【20090821】千里ラック搭載図（NW機器）_Ⅹ_課題と対応策_20121211 2" xfId="4432" xr:uid="{00000000-0005-0000-0000-00000E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" xfId="4433" xr:uid="{00000000-0005-0000-0000-00000F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 2" xfId="4434" xr:uid="{00000000-0005-0000-0000-000010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" xfId="4435" xr:uid="{00000000-0005-0000-0000-000011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436" xr:uid="{00000000-0005-0000-0000-000012110000}"/>
    <cellStyle name="_4F設置場所_【20090715】千里導入明細資料_２１年度分（９月工事分）_fj_千里センター機器構築スケジュール（８月分）_20090731_【20091224】千里導入明細資料_２２年度上期分_営業店DB" xfId="4437" xr:uid="{00000000-0005-0000-0000-000013110000}"/>
    <cellStyle name="_4F設置場所_【20090715】千里導入明細資料_２１年度分（９月工事分）_fj_千里センター機器構築スケジュール（８月分）_20090731_【20091224】千里導入明細資料_２２年度上期分_営業店DB 2" xfId="4438" xr:uid="{00000000-0005-0000-0000-000014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439" xr:uid="{00000000-0005-0000-0000-000015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440" xr:uid="{00000000-0005-0000-0000-000016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441" xr:uid="{00000000-0005-0000-0000-000017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442" xr:uid="{00000000-0005-0000-0000-000018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443" xr:uid="{00000000-0005-0000-0000-000019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444" xr:uid="{00000000-0005-0000-0000-00001A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445" xr:uid="{00000000-0005-0000-0000-00001B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446" xr:uid="{00000000-0005-0000-0000-00001C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447" xr:uid="{00000000-0005-0000-0000-00001D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448" xr:uid="{00000000-0005-0000-0000-00001E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449" xr:uid="{00000000-0005-0000-0000-00001F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450" xr:uid="{00000000-0005-0000-0000-000020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451" xr:uid="{00000000-0005-0000-0000-000021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452" xr:uid="{00000000-0005-0000-0000-000022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453" xr:uid="{00000000-0005-0000-0000-000023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454" xr:uid="{00000000-0005-0000-0000-000024110000}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" xfId="4455" xr:uid="{00000000-0005-0000-0000-000025110000}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 2" xfId="4456" xr:uid="{00000000-0005-0000-0000-000026110000}"/>
    <cellStyle name="_4F設置場所_【20090715】千里導入明細資料_２１年度分（９月工事分）_fj_千里センター機器構築スケジュール（８月分）_20090731_【20091225】千里導入明細資料_２２年度上期分" xfId="4457" xr:uid="{00000000-0005-0000-0000-000027110000}"/>
    <cellStyle name="_4F設置場所_【20090715】千里導入明細資料_２１年度分（９月工事分）_fj_千里センター機器構築スケジュール（８月分）_20090731_【20091225】千里導入明細資料_２２年度上期分 2" xfId="4458" xr:uid="{00000000-0005-0000-0000-000028110000}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" xfId="4459" xr:uid="{00000000-0005-0000-0000-000029110000}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 2" xfId="4460" xr:uid="{00000000-0005-0000-0000-00002A110000}"/>
    <cellStyle name="_4F設置場所_【20090715】千里導入明細資料_２１年度分（９月工事分）_fj_千里センター機器構築スケジュール（８月分）_20090731_【20091225】千里導入明細資料_２２年度上期分_営業店DB" xfId="4461" xr:uid="{00000000-0005-0000-0000-00002B110000}"/>
    <cellStyle name="_4F設置場所_【20090715】千里導入明細資料_２１年度分（９月工事分）_fj_千里センター機器構築スケジュール（８月分）_20090731_【20091225】千里導入明細資料_２２年度上期分_営業店DB 2" xfId="4462" xr:uid="{00000000-0005-0000-0000-00002C110000}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" xfId="4463" xr:uid="{00000000-0005-0000-0000-00002D110000}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 2" xfId="4464" xr:uid="{00000000-0005-0000-0000-00002E110000}"/>
    <cellStyle name="_4F設置場所_【20090715】千里導入明細資料_２１年度分（９月工事分）_fj_千里センター機器構築スケジュール（８月分）_20090731_【20091225】千里導入明細資料_２２年度上期分_連携DB" xfId="4465" xr:uid="{00000000-0005-0000-0000-00002F110000}"/>
    <cellStyle name="_4F設置場所_【20090715】千里導入明細資料_２１年度分（９月工事分）_fj_千里センター機器構築スケジュール（８月分）_20090731_【20091225】千里導入明細資料_２２年度上期分_連携DB 2" xfId="4466" xr:uid="{00000000-0005-0000-0000-000030110000}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" xfId="4467" xr:uid="{00000000-0005-0000-0000-000031110000}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 2" xfId="4468" xr:uid="{00000000-0005-0000-0000-000032110000}"/>
    <cellStyle name="_4F設置場所_【20090715】千里導入明細資料_２１年度分（９月工事分）_fj_千里センター機器構築スケジュール（８月分）_20090731_【200912xx】千里導入明細資料_２２年度上期分" xfId="4469" xr:uid="{00000000-0005-0000-0000-000033110000}"/>
    <cellStyle name="_4F設置場所_【20090715】千里導入明細資料_２１年度分（９月工事分）_fj_千里センター機器構築スケジュール（８月分）_20090731_【200912xx】千里導入明細資料_２２年度上期分 2" xfId="4470" xr:uid="{00000000-0005-0000-0000-000034110000}"/>
    <cellStyle name="_4F設置場所_【20090715】千里導入明細資料_２１年度分（９月工事分）_fj_千里センター機器構築スケジュール（８月分）_20090731_【200912xx】千里導入明細資料_２２年度上期分（為替分）" xfId="4471" xr:uid="{00000000-0005-0000-0000-000035110000}"/>
    <cellStyle name="_4F設置場所_【20090715】千里導入明細資料_２１年度分（９月工事分）_fj_千里センター機器構築スケジュール（８月分）_20090731_【200912xx】千里導入明細資料_２２年度上期分（為替分） 2" xfId="4472" xr:uid="{00000000-0005-0000-0000-000036110000}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" xfId="4473" xr:uid="{00000000-0005-0000-0000-000037110000}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 2" xfId="4474" xr:uid="{00000000-0005-0000-0000-000038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4475" xr:uid="{00000000-0005-0000-0000-000039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4476" xr:uid="{00000000-0005-0000-0000-00003A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4477" xr:uid="{00000000-0005-0000-0000-00003B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4478" xr:uid="{00000000-0005-0000-0000-00003C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4479" xr:uid="{00000000-0005-0000-0000-00003D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4480" xr:uid="{00000000-0005-0000-0000-00003E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4481" xr:uid="{00000000-0005-0000-0000-00003F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4482" xr:uid="{00000000-0005-0000-0000-000040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4483" xr:uid="{00000000-0005-0000-0000-000041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4484" xr:uid="{00000000-0005-0000-0000-000042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4485" xr:uid="{00000000-0005-0000-0000-000043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4486" xr:uid="{00000000-0005-0000-0000-000044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4487" xr:uid="{00000000-0005-0000-0000-000045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4488" xr:uid="{00000000-0005-0000-0000-000046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4489" xr:uid="{00000000-0005-0000-0000-000047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4490" xr:uid="{00000000-0005-0000-0000-000048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4491" xr:uid="{00000000-0005-0000-0000-000049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4492" xr:uid="{00000000-0005-0000-0000-00004A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4493" xr:uid="{00000000-0005-0000-0000-00004B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4494" xr:uid="{00000000-0005-0000-0000-00004C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4495" xr:uid="{00000000-0005-0000-0000-00004D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4496" xr:uid="{00000000-0005-0000-0000-00004E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4497" xr:uid="{00000000-0005-0000-0000-00004F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4498" xr:uid="{00000000-0005-0000-0000-000050110000}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" xfId="4499" xr:uid="{00000000-0005-0000-0000-000051110000}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 2" xfId="4500" xr:uid="{00000000-0005-0000-0000-000052110000}"/>
    <cellStyle name="_4F設置場所_【20090715】千里導入明細資料_２１年度分（９月工事分）_fj_千里センター機器構築スケジュール（８月分）_20090731_【調整中】千里導入明細資料_２２年度上期分_fj_20100127" xfId="4501" xr:uid="{00000000-0005-0000-0000-000053110000}"/>
    <cellStyle name="_4F設置場所_【20090715】千里導入明細資料_２１年度分（９月工事分）_fj_千里センター機器構築スケジュール（８月分）_20090731_【調整中】千里導入明細資料_２２年度上期分_fj_20100127 2" xfId="4502" xr:uid="{00000000-0005-0000-0000-000054110000}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" xfId="4503" xr:uid="{00000000-0005-0000-0000-000055110000}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 2" xfId="4504" xr:uid="{00000000-0005-0000-0000-000056110000}"/>
    <cellStyle name="_4F設置場所_【20090715】千里導入明細資料_２１年度分（９月工事分）_fj_千里センター機器構築スケジュール（８月分）_20090731_①【20091225】千里導入明細資料_２２年度上期1分)" xfId="4505" xr:uid="{00000000-0005-0000-0000-000057110000}"/>
    <cellStyle name="_4F設置場所_【20090715】千里導入明細資料_２１年度分（９月工事分）_fj_千里センター機器構築スケジュール（８月分）_20090731_①【20091225】千里導入明細資料_２２年度上期1分) 2" xfId="4506" xr:uid="{00000000-0005-0000-0000-000058110000}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" xfId="4507" xr:uid="{00000000-0005-0000-0000-000059110000}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 2" xfId="4508" xr:uid="{00000000-0005-0000-0000-00005A110000}"/>
    <cellStyle name="_4F設置場所_【20090715】千里導入明細資料_２１年度分（９月工事分）_fj_千里センター機器構築スケジュール（８月分）_20090731_Ⅹ_課題と対応策_20121211" xfId="4509" xr:uid="{00000000-0005-0000-0000-00005B110000}"/>
    <cellStyle name="_4F設置場所_【20090715】千里導入明細資料_２１年度分（９月工事分）_fj_千里センター機器構築スケジュール（８月分）_20090731_Ⅹ_課題と対応策_20121211 2" xfId="4510" xr:uid="{00000000-0005-0000-0000-00005C110000}"/>
    <cellStyle name="_4F設置場所_【20090715】千里導入明細資料_２１年度分（９月工事分）_fj_千里センター機器構築スケジュール（８月分）_20090731_千里導入明細資料_２２年度分（ネットワーク敷設）_fj" xfId="4511" xr:uid="{00000000-0005-0000-0000-00005D110000}"/>
    <cellStyle name="_4F設置場所_【20090715】千里導入明細資料_２１年度分（９月工事分）_fj_千里センター機器構築スケジュール（８月分）_20090731_千里導入明細資料_２２年度分（ネットワーク敷設）_fj 2" xfId="4512" xr:uid="{00000000-0005-0000-0000-00005E110000}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" xfId="4513" xr:uid="{00000000-0005-0000-0000-00005F110000}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 2" xfId="4514" xr:uid="{00000000-0005-0000-0000-000060110000}"/>
    <cellStyle name="_4F設置場所_【20090724】千里導入明細資料_２１年度" xfId="4515" xr:uid="{00000000-0005-0000-0000-000061110000}"/>
    <cellStyle name="_4F設置場所_【20090724】千里導入明細資料_２１年度 2" xfId="4516" xr:uid="{00000000-0005-0000-0000-000062110000}"/>
    <cellStyle name="_4F設置場所_【20090724】千里導入明細資料_２１年度_【20091207】千里導入明細資料_２１年度分（ネットワーク敷設）" xfId="4517" xr:uid="{00000000-0005-0000-0000-000063110000}"/>
    <cellStyle name="_4F設置場所_【20090724】千里導入明細資料_２１年度_【20091207】千里導入明細資料_２１年度分（ネットワーク敷設） 2" xfId="4518" xr:uid="{00000000-0005-0000-0000-000064110000}"/>
    <cellStyle name="_4F設置場所_【20090724】千里導入明細資料_２１年度_【20091207】千里導入明細資料_２１年度分（ネットワーク敷設）_【20091218】千里導入明細資料_２１年度分（ネットワーク敷設）" xfId="4519" xr:uid="{00000000-0005-0000-0000-000065110000}"/>
    <cellStyle name="_4F設置場所_【20090724】千里導入明細資料_２１年度_【20091207】千里導入明細資料_２１年度分（ネットワーク敷設）_【20091218】千里導入明細資料_２１年度分（ネットワーク敷設） 2" xfId="4520" xr:uid="{00000000-0005-0000-0000-000066110000}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" xfId="4521" xr:uid="{00000000-0005-0000-0000-000067110000}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 2" xfId="4522" xr:uid="{00000000-0005-0000-0000-000068110000}"/>
    <cellStyle name="_4F設置場所_【20090724】千里導入明細資料_２１年度_【20091207】千里導入明細資料_２１年度分（ネットワーク敷設）_Ⅹ_課題と対応策_20121211" xfId="4523" xr:uid="{00000000-0005-0000-0000-000069110000}"/>
    <cellStyle name="_4F設置場所_【20090724】千里導入明細資料_２１年度_【20091207】千里導入明細資料_２１年度分（ネットワーク敷設）_Ⅹ_課題と対応策_20121211 2" xfId="4524" xr:uid="{00000000-0005-0000-0000-00006A110000}"/>
    <cellStyle name="_4F設置場所_【20090724】千里導入明細資料_２１年度_【20091207】千里導入明細資料_２１年度分（ネットワーク敷設）_千里導入明細資料_２２年度分（ネットワーク敷設）_fj" xfId="4525" xr:uid="{00000000-0005-0000-0000-00006B110000}"/>
    <cellStyle name="_4F設置場所_【20090724】千里導入明細資料_２１年度_【20091207】千里導入明細資料_２１年度分（ネットワーク敷設）_千里導入明細資料_２２年度分（ネットワーク敷設）_fj 2" xfId="4526" xr:uid="{00000000-0005-0000-0000-00006C110000}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" xfId="4527" xr:uid="{00000000-0005-0000-0000-00006D110000}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 2" xfId="4528" xr:uid="{00000000-0005-0000-0000-00006E110000}"/>
    <cellStyle name="_4F設置場所_【20090724】千里導入明細資料_２１年度_【20091225】千里導入明細資料_２２年度上期分（営業店ＡＰ－ＤＢ）" xfId="4529" xr:uid="{00000000-0005-0000-0000-00006F110000}"/>
    <cellStyle name="_4F設置場所_【20090724】千里導入明細資料_２１年度_【20091225】千里導入明細資料_２２年度上期分（営業店ＡＰ－ＤＢ） 2" xfId="4530" xr:uid="{00000000-0005-0000-0000-000070110000}"/>
    <cellStyle name="_4F設置場所_【20090724】千里導入明細資料_２１年度_【20091225】千里導入明細資料_２２年度上期分（営業店ＡＰ－ＤＢ）_【調整中】千里導入明細資料_２２年度上期分_fj_20100127" xfId="4531" xr:uid="{00000000-0005-0000-0000-000071110000}"/>
    <cellStyle name="_4F設置場所_【20090724】千里導入明細資料_２１年度_【20091225】千里導入明細資料_２２年度上期分（営業店ＡＰ－ＤＢ）_【調整中】千里導入明細資料_２２年度上期分_fj_20100127 2" xfId="4532" xr:uid="{00000000-0005-0000-0000-000072110000}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" xfId="4533" xr:uid="{00000000-0005-0000-0000-000073110000}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 2" xfId="4534" xr:uid="{00000000-0005-0000-0000-000074110000}"/>
    <cellStyle name="_4F設置場所_【20090724】千里導入明細資料_２１年度_【20091225】千里導入明細資料_２２年度上期分（営業店ＡＰ－ＤＢ）_Ⅹ_課題と対応策_20121211" xfId="4535" xr:uid="{00000000-0005-0000-0000-000075110000}"/>
    <cellStyle name="_4F設置場所_【20090724】千里導入明細資料_２１年度_【20091225】千里導入明細資料_２２年度上期分（営業店ＡＰ－ＤＢ）_Ⅹ_課題と対応策_20121211 2" xfId="4536" xr:uid="{00000000-0005-0000-0000-000076110000}"/>
    <cellStyle name="_4F設置場所_【20090724】千里導入明細資料_２１年度_【20091225】千里導入明細資料_２２年度上期分_営業店DB" xfId="4537" xr:uid="{00000000-0005-0000-0000-000077110000}"/>
    <cellStyle name="_4F設置場所_【20090724】千里導入明細資料_２１年度_【20091225】千里導入明細資料_２２年度上期分_営業店DB 2" xfId="4538" xr:uid="{00000000-0005-0000-0000-000078110000}"/>
    <cellStyle name="_4F設置場所_【20090724】千里導入明細資料_２１年度_【20091225】千里導入明細資料_２２年度上期分_営業店DB_【調整中】千里導入明細資料_２２年度上期分_fj_20100127" xfId="4539" xr:uid="{00000000-0005-0000-0000-000079110000}"/>
    <cellStyle name="_4F設置場所_【20090724】千里導入明細資料_２１年度_【20091225】千里導入明細資料_２２年度上期分_営業店DB_【調整中】千里導入明細資料_２２年度上期分_fj_20100127 2" xfId="4540" xr:uid="{00000000-0005-0000-0000-00007A110000}"/>
    <cellStyle name="_4F設置場所_【20090724】千里導入明細資料_２１年度_【20091225】千里導入明細資料_２２年度上期分_営業店DB_【調整中】千里導入明細資料_２２年度上期分_fj_20100127_Ⅹ_課題と対応策_20121211" xfId="4541" xr:uid="{00000000-0005-0000-0000-00007B110000}"/>
    <cellStyle name="_4F設置場所_【20090724】千里導入明細資料_２１年度_【20091225】千里導入明細資料_２２年度上期分_営業店DB_【調整中】千里導入明細資料_２２年度上期分_fj_20100127_Ⅹ_課題と対応策_20121211 2" xfId="4542" xr:uid="{00000000-0005-0000-0000-00007C110000}"/>
    <cellStyle name="_4F設置場所_【20090724】千里導入明細資料_２１年度_【20091225】千里導入明細資料_２２年度上期分_営業店DB_Ⅹ_課題と対応策_20121211" xfId="4543" xr:uid="{00000000-0005-0000-0000-00007D110000}"/>
    <cellStyle name="_4F設置場所_【20090724】千里導入明細資料_２１年度_【20091225】千里導入明細資料_２２年度上期分_営業店DB_Ⅹ_課題と対応策_20121211 2" xfId="4544" xr:uid="{00000000-0005-0000-0000-00007E110000}"/>
    <cellStyle name="_4F設置場所_【20090724】千里導入明細資料_２１年度_【20091225】千里導入明細資料_２２年度上期分_連携DB" xfId="4545" xr:uid="{00000000-0005-0000-0000-00007F110000}"/>
    <cellStyle name="_4F設置場所_【20090724】千里導入明細資料_２１年度_【20091225】千里導入明細資料_２２年度上期分_連携DB 2" xfId="4546" xr:uid="{00000000-0005-0000-0000-000080110000}"/>
    <cellStyle name="_4F設置場所_【20090724】千里導入明細資料_２１年度_【20091225】千里導入明細資料_２２年度上期分_連携DB_【調整中】千里導入明細資料_２２年度上期分_fj_20100127" xfId="4547" xr:uid="{00000000-0005-0000-0000-000081110000}"/>
    <cellStyle name="_4F設置場所_【20090724】千里導入明細資料_２１年度_【20091225】千里導入明細資料_２２年度上期分_連携DB_【調整中】千里導入明細資料_２２年度上期分_fj_20100127 2" xfId="4548" xr:uid="{00000000-0005-0000-0000-000082110000}"/>
    <cellStyle name="_4F設置場所_【20090724】千里導入明細資料_２１年度_【20091225】千里導入明細資料_２２年度上期分_連携DB_【調整中】千里導入明細資料_２２年度上期分_fj_20100127_Ⅹ_課題と対応策_20121211" xfId="4549" xr:uid="{00000000-0005-0000-0000-000083110000}"/>
    <cellStyle name="_4F設置場所_【20090724】千里導入明細資料_２１年度_【20091225】千里導入明細資料_２２年度上期分_連携DB_【調整中】千里導入明細資料_２２年度上期分_fj_20100127_Ⅹ_課題と対応策_20121211 2" xfId="4550" xr:uid="{00000000-0005-0000-0000-000084110000}"/>
    <cellStyle name="_4F設置場所_【20090724】千里導入明細資料_２１年度_【20091225】千里導入明細資料_２２年度上期分_連携DB_Ⅹ_課題と対応策_20121211" xfId="4551" xr:uid="{00000000-0005-0000-0000-000085110000}"/>
    <cellStyle name="_4F設置場所_【20090724】千里導入明細資料_２１年度_【20091225】千里導入明細資料_２２年度上期分_連携DB_Ⅹ_課題と対応策_20121211 2" xfId="4552" xr:uid="{00000000-0005-0000-0000-000086110000}"/>
    <cellStyle name="_4F設置場所_【20090724】千里導入明細資料_２１年度_【作成中】千里センター機器配置図（2010年対応分）_20091221" xfId="4553" xr:uid="{00000000-0005-0000-0000-000087110000}"/>
    <cellStyle name="_4F設置場所_【20090724】千里導入明細資料_２１年度_【作成中】千里センター機器配置図（2010年対応分）_20091221 2" xfId="4554" xr:uid="{00000000-0005-0000-0000-000088110000}"/>
    <cellStyle name="_4F設置場所_【20090724】千里導入明細資料_２１年度_【作成中】千里センター機器配置図（2010年対応分）_20091221_【調整中】千里導入明細資料_２２年度上期分_fj_20100127" xfId="4555" xr:uid="{00000000-0005-0000-0000-000089110000}"/>
    <cellStyle name="_4F設置場所_【20090724】千里導入明細資料_２１年度_【作成中】千里センター機器配置図（2010年対応分）_20091221_【調整中】千里導入明細資料_２２年度上期分_fj_20100127 2" xfId="4556" xr:uid="{00000000-0005-0000-0000-00008A110000}"/>
    <cellStyle name="_4F設置場所_【20090724】千里導入明細資料_２１年度_【作成中】千里センター機器配置図（2010年対応分）_20091221_【調整中】千里導入明細資料_２２年度上期分_fj_20100127_Ⅹ_課題と対応策_20121211" xfId="4557" xr:uid="{00000000-0005-0000-0000-00008B110000}"/>
    <cellStyle name="_4F設置場所_【20090724】千里導入明細資料_２１年度_【作成中】千里センター機器配置図（2010年対応分）_20091221_【調整中】千里導入明細資料_２２年度上期分_fj_20100127_Ⅹ_課題と対応策_20121211 2" xfId="4558" xr:uid="{00000000-0005-0000-0000-00008C110000}"/>
    <cellStyle name="_4F設置場所_【20090724】千里導入明細資料_２１年度_【作成中】千里センター機器配置図（2010年対応分）_20091221_Ⅹ_課題と対応策_20121211" xfId="4559" xr:uid="{00000000-0005-0000-0000-00008D110000}"/>
    <cellStyle name="_4F設置場所_【20090724】千里導入明細資料_２１年度_【作成中】千里センター機器配置図（2010年対応分）_20091221_Ⅹ_課題と対応策_20121211 2" xfId="4560" xr:uid="{00000000-0005-0000-0000-00008E110000}"/>
    <cellStyle name="_4F設置場所_【20090724】千里導入明細資料_２１年度_Ⅹ_課題と対応策_20121211" xfId="4561" xr:uid="{00000000-0005-0000-0000-00008F110000}"/>
    <cellStyle name="_4F設置場所_【20090724】千里導入明細資料_２１年度_Ⅹ_課題と対応策_20121211 2" xfId="4562" xr:uid="{00000000-0005-0000-0000-000090110000}"/>
    <cellStyle name="_4F設置場所_【20090724】千里導入明細資料_２１年度分（９月工事分）" xfId="4563" xr:uid="{00000000-0005-0000-0000-000091110000}"/>
    <cellStyle name="_4F設置場所_【20090724】千里導入明細資料_２１年度分（９月工事分） 2" xfId="4564" xr:uid="{00000000-0005-0000-0000-000092110000}"/>
    <cellStyle name="_4F設置場所_【20090724】千里導入明細資料_２１年度分（９月工事分）_【20091207】千里導入明細資料_２１年度分（ネットワーク敷設）" xfId="4565" xr:uid="{00000000-0005-0000-0000-000093110000}"/>
    <cellStyle name="_4F設置場所_【20090724】千里導入明細資料_２１年度分（９月工事分）_【20091207】千里導入明細資料_２１年度分（ネットワーク敷設） 2" xfId="4566" xr:uid="{00000000-0005-0000-0000-000094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" xfId="4567" xr:uid="{00000000-0005-0000-0000-000095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 2" xfId="4568" xr:uid="{00000000-0005-0000-0000-000096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4569" xr:uid="{00000000-0005-0000-0000-000097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4570" xr:uid="{00000000-0005-0000-0000-000098110000}"/>
    <cellStyle name="_4F設置場所_【20090724】千里導入明細資料_２１年度分（９月工事分）_【20091207】千里導入明細資料_２１年度分（ネットワーク敷設）_Ⅹ_課題と対応策_20121211" xfId="4571" xr:uid="{00000000-0005-0000-0000-000099110000}"/>
    <cellStyle name="_4F設置場所_【20090724】千里導入明細資料_２１年度分（９月工事分）_【20091207】千里導入明細資料_２１年度分（ネットワーク敷設）_Ⅹ_課題と対応策_20121211 2" xfId="4572" xr:uid="{00000000-0005-0000-0000-00009A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" xfId="4573" xr:uid="{00000000-0005-0000-0000-00009B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 2" xfId="4574" xr:uid="{00000000-0005-0000-0000-00009C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" xfId="4575" xr:uid="{00000000-0005-0000-0000-00009D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 2" xfId="4576" xr:uid="{00000000-0005-0000-0000-00009E110000}"/>
    <cellStyle name="_4F設置場所_【20090724】千里導入明細資料_２１年度分（９月工事分）_【20091225】千里導入明細資料_２２年度上期分（営業店ＡＰ－ＤＢ）" xfId="4577" xr:uid="{00000000-0005-0000-0000-00009F110000}"/>
    <cellStyle name="_4F設置場所_【20090724】千里導入明細資料_２１年度分（９月工事分）_【20091225】千里導入明細資料_２２年度上期分（営業店ＡＰ－ＤＢ） 2" xfId="4578" xr:uid="{00000000-0005-0000-0000-0000A0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" xfId="4579" xr:uid="{00000000-0005-0000-0000-0000A1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 2" xfId="4580" xr:uid="{00000000-0005-0000-0000-0000A2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4581" xr:uid="{00000000-0005-0000-0000-0000A3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4582" xr:uid="{00000000-0005-0000-0000-0000A4110000}"/>
    <cellStyle name="_4F設置場所_【20090724】千里導入明細資料_２１年度分（９月工事分）_【20091225】千里導入明細資料_２２年度上期分（営業店ＡＰ－ＤＢ）_Ⅹ_課題と対応策_20121211" xfId="4583" xr:uid="{00000000-0005-0000-0000-0000A5110000}"/>
    <cellStyle name="_4F設置場所_【20090724】千里導入明細資料_２１年度分（９月工事分）_【20091225】千里導入明細資料_２２年度上期分（営業店ＡＰ－ＤＢ）_Ⅹ_課題と対応策_20121211 2" xfId="4584" xr:uid="{00000000-0005-0000-0000-0000A6110000}"/>
    <cellStyle name="_4F設置場所_【20090724】千里導入明細資料_２１年度分（９月工事分）_【20091225】千里導入明細資料_２２年度上期分_営業店DB" xfId="4585" xr:uid="{00000000-0005-0000-0000-0000A7110000}"/>
    <cellStyle name="_4F設置場所_【20090724】千里導入明細資料_２１年度分（９月工事分）_【20091225】千里導入明細資料_２２年度上期分_営業店DB 2" xfId="4586" xr:uid="{00000000-0005-0000-0000-0000A8110000}"/>
    <cellStyle name="_4F設置場所_【20090724】千里導入明細資料_２１年度分（９月工事分）_【20091225】千里導入明細資料_２２年度上期分_営業店DB_【調整中】千里導入明細資料_２２年度上期分_fj_20100127" xfId="4587" xr:uid="{00000000-0005-0000-0000-0000A9110000}"/>
    <cellStyle name="_4F設置場所_【20090724】千里導入明細資料_２１年度分（９月工事分）_【20091225】千里導入明細資料_２２年度上期分_営業店DB_【調整中】千里導入明細資料_２２年度上期分_fj_20100127 2" xfId="4588" xr:uid="{00000000-0005-0000-0000-0000AA110000}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" xfId="4589" xr:uid="{00000000-0005-0000-0000-0000AB110000}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 2" xfId="4590" xr:uid="{00000000-0005-0000-0000-0000AC110000}"/>
    <cellStyle name="_4F設置場所_【20090724】千里導入明細資料_２１年度分（９月工事分）_【20091225】千里導入明細資料_２２年度上期分_営業店DB_Ⅹ_課題と対応策_20121211" xfId="4591" xr:uid="{00000000-0005-0000-0000-0000AD110000}"/>
    <cellStyle name="_4F設置場所_【20090724】千里導入明細資料_２１年度分（９月工事分）_【20091225】千里導入明細資料_２２年度上期分_営業店DB_Ⅹ_課題と対応策_20121211 2" xfId="4592" xr:uid="{00000000-0005-0000-0000-0000AE110000}"/>
    <cellStyle name="_4F設置場所_【20090724】千里導入明細資料_２１年度分（９月工事分）_【20091225】千里導入明細資料_２２年度上期分_連携DB" xfId="4593" xr:uid="{00000000-0005-0000-0000-0000AF110000}"/>
    <cellStyle name="_4F設置場所_【20090724】千里導入明細資料_２１年度分（９月工事分）_【20091225】千里導入明細資料_２２年度上期分_連携DB 2" xfId="4594" xr:uid="{00000000-0005-0000-0000-0000B0110000}"/>
    <cellStyle name="_4F設置場所_【20090724】千里導入明細資料_２１年度分（９月工事分）_【20091225】千里導入明細資料_２２年度上期分_連携DB_【調整中】千里導入明細資料_２２年度上期分_fj_20100127" xfId="4595" xr:uid="{00000000-0005-0000-0000-0000B1110000}"/>
    <cellStyle name="_4F設置場所_【20090724】千里導入明細資料_２１年度分（９月工事分）_【20091225】千里導入明細資料_２２年度上期分_連携DB_【調整中】千里導入明細資料_２２年度上期分_fj_20100127 2" xfId="4596" xr:uid="{00000000-0005-0000-0000-0000B2110000}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" xfId="4597" xr:uid="{00000000-0005-0000-0000-0000B3110000}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 2" xfId="4598" xr:uid="{00000000-0005-0000-0000-0000B4110000}"/>
    <cellStyle name="_4F設置場所_【20090724】千里導入明細資料_２１年度分（９月工事分）_【20091225】千里導入明細資料_２２年度上期分_連携DB_Ⅹ_課題と対応策_20121211" xfId="4599" xr:uid="{00000000-0005-0000-0000-0000B5110000}"/>
    <cellStyle name="_4F設置場所_【20090724】千里導入明細資料_２１年度分（９月工事分）_【20091225】千里導入明細資料_２２年度上期分_連携DB_Ⅹ_課題と対応策_20121211 2" xfId="4600" xr:uid="{00000000-0005-0000-0000-0000B6110000}"/>
    <cellStyle name="_4F設置場所_【20090724】千里導入明細資料_２１年度分（９月工事分）_【作成中】千里センター機器配置図（2010年対応分）_20091221" xfId="4601" xr:uid="{00000000-0005-0000-0000-0000B7110000}"/>
    <cellStyle name="_4F設置場所_【20090724】千里導入明細資料_２１年度分（９月工事分）_【作成中】千里センター機器配置図（2010年対応分）_20091221 2" xfId="4602" xr:uid="{00000000-0005-0000-0000-0000B8110000}"/>
    <cellStyle name="_4F設置場所_【20090724】千里導入明細資料_２１年度分（９月工事分）_【作成中】千里センター機器配置図（2010年対応分）_20091221_【調整中】千里導入明細資料_２２年度上期分_fj_20100127" xfId="4603" xr:uid="{00000000-0005-0000-0000-0000B9110000}"/>
    <cellStyle name="_4F設置場所_【20090724】千里導入明細資料_２１年度分（９月工事分）_【作成中】千里センター機器配置図（2010年対応分）_20091221_【調整中】千里導入明細資料_２２年度上期分_fj_20100127 2" xfId="4604" xr:uid="{00000000-0005-0000-0000-0000BA110000}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" xfId="4605" xr:uid="{00000000-0005-0000-0000-0000BB110000}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 2" xfId="4606" xr:uid="{00000000-0005-0000-0000-0000BC110000}"/>
    <cellStyle name="_4F設置場所_【20090724】千里導入明細資料_２１年度分（９月工事分）_【作成中】千里センター機器配置図（2010年対応分）_20091221_Ⅹ_課題と対応策_20121211" xfId="4607" xr:uid="{00000000-0005-0000-0000-0000BD110000}"/>
    <cellStyle name="_4F設置場所_【20090724】千里導入明細資料_２１年度分（９月工事分）_【作成中】千里センター機器配置図（2010年対応分）_20091221_Ⅹ_課題と対応策_20121211 2" xfId="4608" xr:uid="{00000000-0005-0000-0000-0000BE110000}"/>
    <cellStyle name="_4F設置場所_【20090724】千里導入明細資料_２１年度分（９月工事分）_Ⅹ_課題と対応策_20121211" xfId="4609" xr:uid="{00000000-0005-0000-0000-0000BF110000}"/>
    <cellStyle name="_4F設置場所_【20090724】千里導入明細資料_２１年度分（９月工事分）_Ⅹ_課題と対応策_20121211 2" xfId="4610" xr:uid="{00000000-0005-0000-0000-0000C0110000}"/>
    <cellStyle name="_4F設置場所_【20090731】千里導入明細資料_２１年度分（９月工事分）" xfId="4611" xr:uid="{00000000-0005-0000-0000-0000C1110000}"/>
    <cellStyle name="_4F設置場所_【20090731】千里導入明細資料_２１年度分（９月工事分） 2" xfId="4612" xr:uid="{00000000-0005-0000-0000-0000C2110000}"/>
    <cellStyle name="_4F設置場所_【20090731】千里導入明細資料_２１年度分（９月工事分）_【20090821】千里ラック搭載図（NW機器）" xfId="4613" xr:uid="{00000000-0005-0000-0000-0000C3110000}"/>
    <cellStyle name="_4F設置場所_【20090731】千里導入明細資料_２１年度分（９月工事分）_【20090821】千里ラック搭載図（NW機器） 2" xfId="4614" xr:uid="{00000000-0005-0000-0000-0000C4110000}"/>
    <cellStyle name="_4F設置場所_【20090731】千里導入明細資料_２１年度分（９月工事分）_【20090821】千里ラック搭載図（NW機器）_Ⅹ_課題と対応策_20121211" xfId="4615" xr:uid="{00000000-0005-0000-0000-0000C5110000}"/>
    <cellStyle name="_4F設置場所_【20090731】千里導入明細資料_２１年度分（９月工事分）_【20090821】千里ラック搭載図（NW機器）_Ⅹ_課題と対応策_20121211 2" xfId="4616" xr:uid="{00000000-0005-0000-0000-0000C6110000}"/>
    <cellStyle name="_4F設置場所_【20090731】千里導入明細資料_２１年度分（９月工事分）_Ⅹ_課題と対応策_20121211" xfId="4617" xr:uid="{00000000-0005-0000-0000-0000C7110000}"/>
    <cellStyle name="_4F設置場所_【20090731】千里導入明細資料_２１年度分（９月工事分）_Ⅹ_課題と対応策_20121211 2" xfId="4618" xr:uid="{00000000-0005-0000-0000-0000C8110000}"/>
    <cellStyle name="_4F設置場所_【20090807】千里導入明細資料" xfId="4619" xr:uid="{00000000-0005-0000-0000-0000C9110000}"/>
    <cellStyle name="_4F設置場所_【20090807】千里導入明細資料 2" xfId="4620" xr:uid="{00000000-0005-0000-0000-0000CA110000}"/>
    <cellStyle name="_4F設置場所_【20090807】千里導入明細資料_【20091207】千里導入明細資料_２１年度分（ネットワーク敷設）" xfId="4621" xr:uid="{00000000-0005-0000-0000-0000CB110000}"/>
    <cellStyle name="_4F設置場所_【20090807】千里導入明細資料_【20091207】千里導入明細資料_２１年度分（ネットワーク敷設） 2" xfId="4622" xr:uid="{00000000-0005-0000-0000-0000CC110000}"/>
    <cellStyle name="_4F設置場所_【20090807】千里導入明細資料_【20091207】千里導入明細資料_２１年度分（ネットワーク敷設）_【20091218】千里導入明細資料_２１年度分（ネットワーク敷設）" xfId="4623" xr:uid="{00000000-0005-0000-0000-0000CD110000}"/>
    <cellStyle name="_4F設置場所_【20090807】千里導入明細資料_【20091207】千里導入明細資料_２１年度分（ネットワーク敷設）_【20091218】千里導入明細資料_２１年度分（ネットワーク敷設） 2" xfId="4624" xr:uid="{00000000-0005-0000-0000-0000CE110000}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" xfId="4625" xr:uid="{00000000-0005-0000-0000-0000CF110000}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 2" xfId="4626" xr:uid="{00000000-0005-0000-0000-0000D0110000}"/>
    <cellStyle name="_4F設置場所_【20090807】千里導入明細資料_【20091207】千里導入明細資料_２１年度分（ネットワーク敷設）_Ⅹ_課題と対応策_20121211" xfId="4627" xr:uid="{00000000-0005-0000-0000-0000D1110000}"/>
    <cellStyle name="_4F設置場所_【20090807】千里導入明細資料_【20091207】千里導入明細資料_２１年度分（ネットワーク敷設）_Ⅹ_課題と対応策_20121211 2" xfId="4628" xr:uid="{00000000-0005-0000-0000-0000D2110000}"/>
    <cellStyle name="_4F設置場所_【20090807】千里導入明細資料_【20091207】千里導入明細資料_２１年度分（ネットワーク敷設）_千里導入明細資料_２２年度分（ネットワーク敷設）_fj" xfId="4629" xr:uid="{00000000-0005-0000-0000-0000D3110000}"/>
    <cellStyle name="_4F設置場所_【20090807】千里導入明細資料_【20091207】千里導入明細資料_２１年度分（ネットワーク敷設）_千里導入明細資料_２２年度分（ネットワーク敷設）_fj 2" xfId="4630" xr:uid="{00000000-0005-0000-0000-0000D4110000}"/>
    <cellStyle name="_4F設置場所_【20090807】千里導入明細資料_【20091207】千里導入明細資料_２１年度分（ネットワーク敷設）_千里導入明細資料_２２年度分（ネットワーク敷設）_fj_Ⅹ_課題と対応策_20121211" xfId="4631" xr:uid="{00000000-0005-0000-0000-0000D5110000}"/>
    <cellStyle name="_4F設置場所_【20090807】千里導入明細資料_【20091207】千里導入明細資料_２１年度分（ネットワーク敷設）_千里導入明細資料_２２年度分（ネットワーク敷設）_fj_Ⅹ_課題と対応策_20121211 2" xfId="4632" xr:uid="{00000000-0005-0000-0000-0000D6110000}"/>
    <cellStyle name="_4F設置場所_【20090807】千里導入明細資料_【20091225】千里導入明細資料_２２年度上期分（営業店ＡＰ－ＤＢ）" xfId="4633" xr:uid="{00000000-0005-0000-0000-0000D7110000}"/>
    <cellStyle name="_4F設置場所_【20090807】千里導入明細資料_【20091225】千里導入明細資料_２２年度上期分（営業店ＡＰ－ＤＢ） 2" xfId="4634" xr:uid="{00000000-0005-0000-0000-0000D8110000}"/>
    <cellStyle name="_4F設置場所_【20090807】千里導入明細資料_【20091225】千里導入明細資料_２２年度上期分（営業店ＡＰ－ＤＢ）_【調整中】千里導入明細資料_２２年度上期分_fj_20100127" xfId="4635" xr:uid="{00000000-0005-0000-0000-0000D9110000}"/>
    <cellStyle name="_4F設置場所_【20090807】千里導入明細資料_【20091225】千里導入明細資料_２２年度上期分（営業店ＡＰ－ＤＢ）_【調整中】千里導入明細資料_２２年度上期分_fj_20100127 2" xfId="4636" xr:uid="{00000000-0005-0000-0000-0000DA110000}"/>
    <cellStyle name="_4F設置場所_【20090807】千里導入明細資料_【20091225】千里導入明細資料_２２年度上期分（営業店ＡＰ－ＤＢ）_【調整中】千里導入明細資料_２２年度上期分_fj_20100127_Ⅹ_課題と対応策_20121211" xfId="4637" xr:uid="{00000000-0005-0000-0000-0000DB110000}"/>
    <cellStyle name="_4F設置場所_【20090807】千里導入明細資料_【20091225】千里導入明細資料_２２年度上期分（営業店ＡＰ－ＤＢ）_【調整中】千里導入明細資料_２２年度上期分_fj_20100127_Ⅹ_課題と対応策_20121211 2" xfId="4638" xr:uid="{00000000-0005-0000-0000-0000DC110000}"/>
    <cellStyle name="_4F設置場所_【20090807】千里導入明細資料_【20091225】千里導入明細資料_２２年度上期分（営業店ＡＰ－ＤＢ）_Ⅹ_課題と対応策_20121211" xfId="4639" xr:uid="{00000000-0005-0000-0000-0000DD110000}"/>
    <cellStyle name="_4F設置場所_【20090807】千里導入明細資料_【20091225】千里導入明細資料_２２年度上期分（営業店ＡＰ－ＤＢ）_Ⅹ_課題と対応策_20121211 2" xfId="4640" xr:uid="{00000000-0005-0000-0000-0000DE110000}"/>
    <cellStyle name="_4F設置場所_【20090807】千里導入明細資料_【20091225】千里導入明細資料_２２年度上期分_営業店DB" xfId="4641" xr:uid="{00000000-0005-0000-0000-0000DF110000}"/>
    <cellStyle name="_4F設置場所_【20090807】千里導入明細資料_【20091225】千里導入明細資料_２２年度上期分_営業店DB 2" xfId="4642" xr:uid="{00000000-0005-0000-0000-0000E0110000}"/>
    <cellStyle name="_4F設置場所_【20090807】千里導入明細資料_【20091225】千里導入明細資料_２２年度上期分_営業店DB_【調整中】千里導入明細資料_２２年度上期分_fj_20100127" xfId="4643" xr:uid="{00000000-0005-0000-0000-0000E1110000}"/>
    <cellStyle name="_4F設置場所_【20090807】千里導入明細資料_【20091225】千里導入明細資料_２２年度上期分_営業店DB_【調整中】千里導入明細資料_２２年度上期分_fj_20100127 2" xfId="4644" xr:uid="{00000000-0005-0000-0000-0000E2110000}"/>
    <cellStyle name="_4F設置場所_【20090807】千里導入明細資料_【20091225】千里導入明細資料_２２年度上期分_営業店DB_【調整中】千里導入明細資料_２２年度上期分_fj_20100127_Ⅹ_課題と対応策_20121211" xfId="4645" xr:uid="{00000000-0005-0000-0000-0000E3110000}"/>
    <cellStyle name="_4F設置場所_【20090807】千里導入明細資料_【20091225】千里導入明細資料_２２年度上期分_営業店DB_【調整中】千里導入明細資料_２２年度上期分_fj_20100127_Ⅹ_課題と対応策_20121211 2" xfId="4646" xr:uid="{00000000-0005-0000-0000-0000E4110000}"/>
    <cellStyle name="_4F設置場所_【20090807】千里導入明細資料_【20091225】千里導入明細資料_２２年度上期分_営業店DB_Ⅹ_課題と対応策_20121211" xfId="4647" xr:uid="{00000000-0005-0000-0000-0000E5110000}"/>
    <cellStyle name="_4F設置場所_【20090807】千里導入明細資料_【20091225】千里導入明細資料_２２年度上期分_営業店DB_Ⅹ_課題と対応策_20121211 2" xfId="4648" xr:uid="{00000000-0005-0000-0000-0000E6110000}"/>
    <cellStyle name="_4F設置場所_【20090807】千里導入明細資料_【20091225】千里導入明細資料_２２年度上期分_連携DB" xfId="4649" xr:uid="{00000000-0005-0000-0000-0000E7110000}"/>
    <cellStyle name="_4F設置場所_【20090807】千里導入明細資料_【20091225】千里導入明細資料_２２年度上期分_連携DB 2" xfId="4650" xr:uid="{00000000-0005-0000-0000-0000E8110000}"/>
    <cellStyle name="_4F設置場所_【20090807】千里導入明細資料_【20091225】千里導入明細資料_２２年度上期分_連携DB_【調整中】千里導入明細資料_２２年度上期分_fj_20100127" xfId="4651" xr:uid="{00000000-0005-0000-0000-0000E9110000}"/>
    <cellStyle name="_4F設置場所_【20090807】千里導入明細資料_【20091225】千里導入明細資料_２２年度上期分_連携DB_【調整中】千里導入明細資料_２２年度上期分_fj_20100127 2" xfId="4652" xr:uid="{00000000-0005-0000-0000-0000EA110000}"/>
    <cellStyle name="_4F設置場所_【20090807】千里導入明細資料_【20091225】千里導入明細資料_２２年度上期分_連携DB_【調整中】千里導入明細資料_２２年度上期分_fj_20100127_Ⅹ_課題と対応策_20121211" xfId="4653" xr:uid="{00000000-0005-0000-0000-0000EB110000}"/>
    <cellStyle name="_4F設置場所_【20090807】千里導入明細資料_【20091225】千里導入明細資料_２２年度上期分_連携DB_【調整中】千里導入明細資料_２２年度上期分_fj_20100127_Ⅹ_課題と対応策_20121211 2" xfId="4654" xr:uid="{00000000-0005-0000-0000-0000EC110000}"/>
    <cellStyle name="_4F設置場所_【20090807】千里導入明細資料_【20091225】千里導入明細資料_２２年度上期分_連携DB_Ⅹ_課題と対応策_20121211" xfId="4655" xr:uid="{00000000-0005-0000-0000-0000ED110000}"/>
    <cellStyle name="_4F設置場所_【20090807】千里導入明細資料_【20091225】千里導入明細資料_２２年度上期分_連携DB_Ⅹ_課題と対応策_20121211 2" xfId="4656" xr:uid="{00000000-0005-0000-0000-0000EE110000}"/>
    <cellStyle name="_4F設置場所_【20090807】千里導入明細資料_【作成中】千里センター機器配置図（2010年対応分）_20091221" xfId="4657" xr:uid="{00000000-0005-0000-0000-0000EF110000}"/>
    <cellStyle name="_4F設置場所_【20090807】千里導入明細資料_【作成中】千里センター機器配置図（2010年対応分）_20091221 2" xfId="4658" xr:uid="{00000000-0005-0000-0000-0000F0110000}"/>
    <cellStyle name="_4F設置場所_【20090807】千里導入明細資料_【作成中】千里センター機器配置図（2010年対応分）_20091221_【調整中】千里導入明細資料_２２年度上期分_fj_20100127" xfId="4659" xr:uid="{00000000-0005-0000-0000-0000F1110000}"/>
    <cellStyle name="_4F設置場所_【20090807】千里導入明細資料_【作成中】千里センター機器配置図（2010年対応分）_20091221_【調整中】千里導入明細資料_２２年度上期分_fj_20100127 2" xfId="4660" xr:uid="{00000000-0005-0000-0000-0000F2110000}"/>
    <cellStyle name="_4F設置場所_【20090807】千里導入明細資料_【作成中】千里センター機器配置図（2010年対応分）_20091221_【調整中】千里導入明細資料_２２年度上期分_fj_20100127_Ⅹ_課題と対応策_20121211" xfId="4661" xr:uid="{00000000-0005-0000-0000-0000F3110000}"/>
    <cellStyle name="_4F設置場所_【20090807】千里導入明細資料_【作成中】千里センター機器配置図（2010年対応分）_20091221_【調整中】千里導入明細資料_２２年度上期分_fj_20100127_Ⅹ_課題と対応策_20121211 2" xfId="4662" xr:uid="{00000000-0005-0000-0000-0000F4110000}"/>
    <cellStyle name="_4F設置場所_【20090807】千里導入明細資料_【作成中】千里センター機器配置図（2010年対応分）_20091221_Ⅹ_課題と対応策_20121211" xfId="4663" xr:uid="{00000000-0005-0000-0000-0000F5110000}"/>
    <cellStyle name="_4F設置場所_【20090807】千里導入明細資料_【作成中】千里センター機器配置図（2010年対応分）_20091221_Ⅹ_課題と対応策_20121211 2" xfId="4664" xr:uid="{00000000-0005-0000-0000-0000F6110000}"/>
    <cellStyle name="_4F設置場所_【20090807】千里導入明細資料_Ⅹ_課題と対応策_20121211" xfId="4665" xr:uid="{00000000-0005-0000-0000-0000F7110000}"/>
    <cellStyle name="_4F設置場所_【20090807】千里導入明細資料_Ⅹ_課題と対応策_20121211 2" xfId="4666" xr:uid="{00000000-0005-0000-0000-0000F8110000}"/>
    <cellStyle name="_4F設置場所_【20090814】千里導入明細資料_SDB追加" xfId="4667" xr:uid="{00000000-0005-0000-0000-0000F9110000}"/>
    <cellStyle name="_4F設置場所_【20090814】千里導入明細資料_SDB追加 2" xfId="4668" xr:uid="{00000000-0005-0000-0000-0000FA110000}"/>
    <cellStyle name="_4F設置場所_【20090814】千里導入明細資料_SDB追加_【20091207】千里導入明細資料_２１年度分（ネットワーク敷設）" xfId="4669" xr:uid="{00000000-0005-0000-0000-0000FB110000}"/>
    <cellStyle name="_4F設置場所_【20090814】千里導入明細資料_SDB追加_【20091207】千里導入明細資料_２１年度分（ネットワーク敷設） 2" xfId="4670" xr:uid="{00000000-0005-0000-0000-0000FC110000}"/>
    <cellStyle name="_4F設置場所_【20090814】千里導入明細資料_SDB追加_【20091207】千里導入明細資料_２１年度分（ネットワーク敷設）_【20091218】千里導入明細資料_２１年度分（ネットワーク敷設）" xfId="4671" xr:uid="{00000000-0005-0000-0000-0000FD110000}"/>
    <cellStyle name="_4F設置場所_【20090814】千里導入明細資料_SDB追加_【20091207】千里導入明細資料_２１年度分（ネットワーク敷設）_【20091218】千里導入明細資料_２１年度分（ネットワーク敷設） 2" xfId="4672" xr:uid="{00000000-0005-0000-0000-0000FE110000}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" xfId="4673" xr:uid="{00000000-0005-0000-0000-0000FF110000}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 2" xfId="4674" xr:uid="{00000000-0005-0000-0000-000000120000}"/>
    <cellStyle name="_4F設置場所_【20090814】千里導入明細資料_SDB追加_【20091207】千里導入明細資料_２１年度分（ネットワーク敷設）_Ⅹ_課題と対応策_20121211" xfId="4675" xr:uid="{00000000-0005-0000-0000-000001120000}"/>
    <cellStyle name="_4F設置場所_【20090814】千里導入明細資料_SDB追加_【20091207】千里導入明細資料_２１年度分（ネットワーク敷設）_Ⅹ_課題と対応策_20121211 2" xfId="4676" xr:uid="{00000000-0005-0000-0000-000002120000}"/>
    <cellStyle name="_4F設置場所_【20090814】千里導入明細資料_SDB追加_【20091207】千里導入明細資料_２１年度分（ネットワーク敷設）_千里導入明細資料_２２年度分（ネットワーク敷設）_fj" xfId="4677" xr:uid="{00000000-0005-0000-0000-000003120000}"/>
    <cellStyle name="_4F設置場所_【20090814】千里導入明細資料_SDB追加_【20091207】千里導入明細資料_２１年度分（ネットワーク敷設）_千里導入明細資料_２２年度分（ネットワーク敷設）_fj 2" xfId="4678" xr:uid="{00000000-0005-0000-0000-000004120000}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" xfId="4679" xr:uid="{00000000-0005-0000-0000-000005120000}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 2" xfId="4680" xr:uid="{00000000-0005-0000-0000-000006120000}"/>
    <cellStyle name="_4F設置場所_【20090814】千里導入明細資料_SDB追加_【20091225】千里導入明細資料_２２年度上期分（営業店ＡＰ－ＤＢ）" xfId="4681" xr:uid="{00000000-0005-0000-0000-000007120000}"/>
    <cellStyle name="_4F設置場所_【20090814】千里導入明細資料_SDB追加_【20091225】千里導入明細資料_２２年度上期分（営業店ＡＰ－ＤＢ） 2" xfId="4682" xr:uid="{00000000-0005-0000-0000-000008120000}"/>
    <cellStyle name="_4F設置場所_【20090814】千里導入明細資料_SDB追加_【20091225】千里導入明細資料_２２年度上期分（営業店ＡＰ－ＤＢ）_【調整中】千里導入明細資料_２２年度上期分_fj_20100127" xfId="4683" xr:uid="{00000000-0005-0000-0000-000009120000}"/>
    <cellStyle name="_4F設置場所_【20090814】千里導入明細資料_SDB追加_【20091225】千里導入明細資料_２２年度上期分（営業店ＡＰ－ＤＢ）_【調整中】千里導入明細資料_２２年度上期分_fj_20100127 2" xfId="4684" xr:uid="{00000000-0005-0000-0000-00000A120000}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" xfId="4685" xr:uid="{00000000-0005-0000-0000-00000B120000}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 2" xfId="4686" xr:uid="{00000000-0005-0000-0000-00000C120000}"/>
    <cellStyle name="_4F設置場所_【20090814】千里導入明細資料_SDB追加_【20091225】千里導入明細資料_２２年度上期分（営業店ＡＰ－ＤＢ）_Ⅹ_課題と対応策_20121211" xfId="4687" xr:uid="{00000000-0005-0000-0000-00000D120000}"/>
    <cellStyle name="_4F設置場所_【20090814】千里導入明細資料_SDB追加_【20091225】千里導入明細資料_２２年度上期分（営業店ＡＰ－ＤＢ）_Ⅹ_課題と対応策_20121211 2" xfId="4688" xr:uid="{00000000-0005-0000-0000-00000E120000}"/>
    <cellStyle name="_4F設置場所_【20090814】千里導入明細資料_SDB追加_【20091225】千里導入明細資料_２２年度上期分_営業店DB" xfId="4689" xr:uid="{00000000-0005-0000-0000-00000F120000}"/>
    <cellStyle name="_4F設置場所_【20090814】千里導入明細資料_SDB追加_【20091225】千里導入明細資料_２２年度上期分_営業店DB 2" xfId="4690" xr:uid="{00000000-0005-0000-0000-000010120000}"/>
    <cellStyle name="_4F設置場所_【20090814】千里導入明細資料_SDB追加_【20091225】千里導入明細資料_２２年度上期分_営業店DB_【調整中】千里導入明細資料_２２年度上期分_fj_20100127" xfId="4691" xr:uid="{00000000-0005-0000-0000-000011120000}"/>
    <cellStyle name="_4F設置場所_【20090814】千里導入明細資料_SDB追加_【20091225】千里導入明細資料_２２年度上期分_営業店DB_【調整中】千里導入明細資料_２２年度上期分_fj_20100127 2" xfId="4692" xr:uid="{00000000-0005-0000-0000-000012120000}"/>
    <cellStyle name="_4F設置場所_【20090814】千里導入明細資料_SDB追加_【20091225】千里導入明細資料_２２年度上期分_営業店DB_【調整中】千里導入明細資料_２２年度上期分_fj_20100127_Ⅹ_課題と対応策_20121211" xfId="4693" xr:uid="{00000000-0005-0000-0000-000013120000}"/>
    <cellStyle name="_4F設置場所_【20090814】千里導入明細資料_SDB追加_【20091225】千里導入明細資料_２２年度上期分_営業店DB_【調整中】千里導入明細資料_２２年度上期分_fj_20100127_Ⅹ_課題と対応策_20121211 2" xfId="4694" xr:uid="{00000000-0005-0000-0000-000014120000}"/>
    <cellStyle name="_4F設置場所_【20090814】千里導入明細資料_SDB追加_【20091225】千里導入明細資料_２２年度上期分_営業店DB_Ⅹ_課題と対応策_20121211" xfId="4695" xr:uid="{00000000-0005-0000-0000-000015120000}"/>
    <cellStyle name="_4F設置場所_【20090814】千里導入明細資料_SDB追加_【20091225】千里導入明細資料_２２年度上期分_営業店DB_Ⅹ_課題と対応策_20121211 2" xfId="4696" xr:uid="{00000000-0005-0000-0000-000016120000}"/>
    <cellStyle name="_4F設置場所_【20090814】千里導入明細資料_SDB追加_【20091225】千里導入明細資料_２２年度上期分_連携DB" xfId="4697" xr:uid="{00000000-0005-0000-0000-000017120000}"/>
    <cellStyle name="_4F設置場所_【20090814】千里導入明細資料_SDB追加_【20091225】千里導入明細資料_２２年度上期分_連携DB 2" xfId="4698" xr:uid="{00000000-0005-0000-0000-000018120000}"/>
    <cellStyle name="_4F設置場所_【20090814】千里導入明細資料_SDB追加_【20091225】千里導入明細資料_２２年度上期分_連携DB_【調整中】千里導入明細資料_２２年度上期分_fj_20100127" xfId="4699" xr:uid="{00000000-0005-0000-0000-000019120000}"/>
    <cellStyle name="_4F設置場所_【20090814】千里導入明細資料_SDB追加_【20091225】千里導入明細資料_２２年度上期分_連携DB_【調整中】千里導入明細資料_２２年度上期分_fj_20100127 2" xfId="4700" xr:uid="{00000000-0005-0000-0000-00001A120000}"/>
    <cellStyle name="_4F設置場所_【20090814】千里導入明細資料_SDB追加_【20091225】千里導入明細資料_２２年度上期分_連携DB_【調整中】千里導入明細資料_２２年度上期分_fj_20100127_Ⅹ_課題と対応策_20121211" xfId="4701" xr:uid="{00000000-0005-0000-0000-00001B120000}"/>
    <cellStyle name="_4F設置場所_【20090814】千里導入明細資料_SDB追加_【20091225】千里導入明細資料_２２年度上期分_連携DB_【調整中】千里導入明細資料_２２年度上期分_fj_20100127_Ⅹ_課題と対応策_20121211 2" xfId="4702" xr:uid="{00000000-0005-0000-0000-00001C120000}"/>
    <cellStyle name="_4F設置場所_【20090814】千里導入明細資料_SDB追加_【20091225】千里導入明細資料_２２年度上期分_連携DB_Ⅹ_課題と対応策_20121211" xfId="4703" xr:uid="{00000000-0005-0000-0000-00001D120000}"/>
    <cellStyle name="_4F設置場所_【20090814】千里導入明細資料_SDB追加_【20091225】千里導入明細資料_２２年度上期分_連携DB_Ⅹ_課題と対応策_20121211 2" xfId="4704" xr:uid="{00000000-0005-0000-0000-00001E120000}"/>
    <cellStyle name="_4F設置場所_【20090814】千里導入明細資料_SDB追加_【作成中】千里センター機器配置図（2010年対応分）_20091221" xfId="4705" xr:uid="{00000000-0005-0000-0000-00001F120000}"/>
    <cellStyle name="_4F設置場所_【20090814】千里導入明細資料_SDB追加_【作成中】千里センター機器配置図（2010年対応分）_20091221 2" xfId="4706" xr:uid="{00000000-0005-0000-0000-000020120000}"/>
    <cellStyle name="_4F設置場所_【20090814】千里導入明細資料_SDB追加_【作成中】千里センター機器配置図（2010年対応分）_20091221_【調整中】千里導入明細資料_２２年度上期分_fj_20100127" xfId="4707" xr:uid="{00000000-0005-0000-0000-000021120000}"/>
    <cellStyle name="_4F設置場所_【20090814】千里導入明細資料_SDB追加_【作成中】千里センター機器配置図（2010年対応分）_20091221_【調整中】千里導入明細資料_２２年度上期分_fj_20100127 2" xfId="4708" xr:uid="{00000000-0005-0000-0000-000022120000}"/>
    <cellStyle name="_4F設置場所_【20090814】千里導入明細資料_SDB追加_【作成中】千里センター機器配置図（2010年対応分）_20091221_【調整中】千里導入明細資料_２２年度上期分_fj_20100127_Ⅹ_課題と対応策_20121211" xfId="4709" xr:uid="{00000000-0005-0000-0000-000023120000}"/>
    <cellStyle name="_4F設置場所_【20090814】千里導入明細資料_SDB追加_【作成中】千里センター機器配置図（2010年対応分）_20091221_【調整中】千里導入明細資料_２２年度上期分_fj_20100127_Ⅹ_課題と対応策_20121211 2" xfId="4710" xr:uid="{00000000-0005-0000-0000-000024120000}"/>
    <cellStyle name="_4F設置場所_【20090814】千里導入明細資料_SDB追加_【作成中】千里センター機器配置図（2010年対応分）_20091221_Ⅹ_課題と対応策_20121211" xfId="4711" xr:uid="{00000000-0005-0000-0000-000025120000}"/>
    <cellStyle name="_4F設置場所_【20090814】千里導入明細資料_SDB追加_【作成中】千里センター機器配置図（2010年対応分）_20091221_Ⅹ_課題と対応策_20121211 2" xfId="4712" xr:uid="{00000000-0005-0000-0000-000026120000}"/>
    <cellStyle name="_4F設置場所_【20090814】千里導入明細資料_SDB追加_Ⅹ_課題と対応策_20121211" xfId="4713" xr:uid="{00000000-0005-0000-0000-000027120000}"/>
    <cellStyle name="_4F設置場所_【20090814】千里導入明細資料_SDB追加_Ⅹ_課題と対応策_20121211 2" xfId="4714" xr:uid="{00000000-0005-0000-0000-000028120000}"/>
    <cellStyle name="_4F設置場所_【20090821】千里ラック搭載図（NW機器）" xfId="4715" xr:uid="{00000000-0005-0000-0000-000029120000}"/>
    <cellStyle name="_4F設置場所_【20090821】千里ラック搭載図（NW機器） 2" xfId="4716" xr:uid="{00000000-0005-0000-0000-00002A120000}"/>
    <cellStyle name="_4F設置場所_【20090821】千里ラック搭載図（NW機器）_Ⅹ_課題と対応策_20121211" xfId="4717" xr:uid="{00000000-0005-0000-0000-00002B120000}"/>
    <cellStyle name="_4F設置場所_【20090821】千里ラック搭載図（NW機器）_Ⅹ_課題と対応策_20121211 2" xfId="4718" xr:uid="{00000000-0005-0000-0000-00002C120000}"/>
    <cellStyle name="_4F設置場所_【20091218】千里導入明細資料_２１年度分（ネットワーク敷設）" xfId="4719" xr:uid="{00000000-0005-0000-0000-00002D120000}"/>
    <cellStyle name="_4F設置場所_【20091218】千里導入明細資料_２１年度分（ネットワーク敷設） 2" xfId="4720" xr:uid="{00000000-0005-0000-0000-00002E120000}"/>
    <cellStyle name="_4F設置場所_【20091218】千里導入明細資料_２１年度分（ネットワーク敷設）_Ⅹ_課題と対応策_20121211" xfId="4721" xr:uid="{00000000-0005-0000-0000-00002F120000}"/>
    <cellStyle name="_4F設置場所_【20091218】千里導入明細資料_２１年度分（ネットワーク敷設）_Ⅹ_課題と対応策_20121211 2" xfId="4722" xr:uid="{00000000-0005-0000-0000-000030120000}"/>
    <cellStyle name="_4F設置場所_【20091224】千里導入明細資料_２２年度上期分_営業店DB" xfId="4723" xr:uid="{00000000-0005-0000-0000-000031120000}"/>
    <cellStyle name="_4F設置場所_【20091224】千里導入明細資料_２２年度上期分_営業店DB 2" xfId="4724" xr:uid="{00000000-0005-0000-0000-000032120000}"/>
    <cellStyle name="_4F設置場所_【20091224】千里導入明細資料_２２年度上期分_営業店DB_【20091225】千里導入明細資料_２２年度上期分（営業店ＡＰ－ＤＢ）" xfId="4725" xr:uid="{00000000-0005-0000-0000-000033120000}"/>
    <cellStyle name="_4F設置場所_【20091224】千里導入明細資料_２２年度上期分_営業店DB_【20091225】千里導入明細資料_２２年度上期分（営業店ＡＰ－ＤＢ） 2" xfId="4726" xr:uid="{00000000-0005-0000-0000-000034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" xfId="4727" xr:uid="{00000000-0005-0000-0000-000035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 2" xfId="4728" xr:uid="{00000000-0005-0000-0000-000036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29" xr:uid="{00000000-0005-0000-0000-000037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30" xr:uid="{00000000-0005-0000-0000-000038120000}"/>
    <cellStyle name="_4F設置場所_【20091224】千里導入明細資料_２２年度上期分_営業店DB_【20091225】千里導入明細資料_２２年度上期分（営業店ＡＰ－ＤＢ）_Ⅹ_課題と対応策_20121211" xfId="4731" xr:uid="{00000000-0005-0000-0000-000039120000}"/>
    <cellStyle name="_4F設置場所_【20091224】千里導入明細資料_２２年度上期分_営業店DB_【20091225】千里導入明細資料_２２年度上期分（営業店ＡＰ－ＤＢ）_Ⅹ_課題と対応策_20121211 2" xfId="4732" xr:uid="{00000000-0005-0000-0000-00003A120000}"/>
    <cellStyle name="_4F設置場所_【20091224】千里導入明細資料_２２年度上期分_営業店DB_【20091225】千里導入明細資料_２２年度上期分_営業店DB" xfId="4733" xr:uid="{00000000-0005-0000-0000-00003B120000}"/>
    <cellStyle name="_4F設置場所_【20091224】千里導入明細資料_２２年度上期分_営業店DB_【20091225】千里導入明細資料_２２年度上期分_営業店DB 2" xfId="4734" xr:uid="{00000000-0005-0000-0000-00003C120000}"/>
    <cellStyle name="_4F設置場所_【20091224】千里導入明細資料_２２年度上期分_営業店DB_【20091225】千里導入明細資料_２２年度上期分_営業店DB_【調整中】千里導入明細資料_２２年度上期分_fj_20100127" xfId="4735" xr:uid="{00000000-0005-0000-0000-00003D120000}"/>
    <cellStyle name="_4F設置場所_【20091224】千里導入明細資料_２２年度上期分_営業店DB_【20091225】千里導入明細資料_２２年度上期分_営業店DB_【調整中】千里導入明細資料_２２年度上期分_fj_20100127 2" xfId="4736" xr:uid="{00000000-0005-0000-0000-00003E120000}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" xfId="4737" xr:uid="{00000000-0005-0000-0000-00003F120000}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 2" xfId="4738" xr:uid="{00000000-0005-0000-0000-000040120000}"/>
    <cellStyle name="_4F設置場所_【20091224】千里導入明細資料_２２年度上期分_営業店DB_【20091225】千里導入明細資料_２２年度上期分_営業店DB_Ⅹ_課題と対応策_20121211" xfId="4739" xr:uid="{00000000-0005-0000-0000-000041120000}"/>
    <cellStyle name="_4F設置場所_【20091224】千里導入明細資料_２２年度上期分_営業店DB_【20091225】千里導入明細資料_２２年度上期分_営業店DB_Ⅹ_課題と対応策_20121211 2" xfId="4740" xr:uid="{00000000-0005-0000-0000-000042120000}"/>
    <cellStyle name="_4F設置場所_【20091224】千里導入明細資料_２２年度上期分_営業店DB_Ⅹ_課題と対応策_20121211" xfId="4741" xr:uid="{00000000-0005-0000-0000-000043120000}"/>
    <cellStyle name="_4F設置場所_【20091224】千里導入明細資料_２２年度上期分_営業店DB_Ⅹ_課題と対応策_20121211 2" xfId="4742" xr:uid="{00000000-0005-0000-0000-000044120000}"/>
    <cellStyle name="_4F設置場所_【20091225】千里導入明細資料_２２年度上期分" xfId="4743" xr:uid="{00000000-0005-0000-0000-000045120000}"/>
    <cellStyle name="_4F設置場所_【20091225】千里導入明細資料_２２年度上期分 2" xfId="4744" xr:uid="{00000000-0005-0000-0000-000046120000}"/>
    <cellStyle name="_4F設置場所_【20091225】千里導入明細資料_２２年度上期分_Ⅹ_課題と対応策_20121211" xfId="4745" xr:uid="{00000000-0005-0000-0000-000047120000}"/>
    <cellStyle name="_4F設置場所_【20091225】千里導入明細資料_２２年度上期分_Ⅹ_課題と対応策_20121211 2" xfId="4746" xr:uid="{00000000-0005-0000-0000-000048120000}"/>
    <cellStyle name="_4F設置場所_【20091225】千里導入明細資料_２２年度上期分_営業店DB" xfId="4747" xr:uid="{00000000-0005-0000-0000-000049120000}"/>
    <cellStyle name="_4F設置場所_【20091225】千里導入明細資料_２２年度上期分_営業店DB 2" xfId="4748" xr:uid="{00000000-0005-0000-0000-00004A120000}"/>
    <cellStyle name="_4F設置場所_【20091225】千里導入明細資料_２２年度上期分_営業店DB_Ⅹ_課題と対応策_20121211" xfId="4749" xr:uid="{00000000-0005-0000-0000-00004B120000}"/>
    <cellStyle name="_4F設置場所_【20091225】千里導入明細資料_２２年度上期分_営業店DB_Ⅹ_課題と対応策_20121211 2" xfId="4750" xr:uid="{00000000-0005-0000-0000-00004C120000}"/>
    <cellStyle name="_4F設置場所_【20091225】千里導入明細資料_２２年度上期分_連携DB" xfId="4751" xr:uid="{00000000-0005-0000-0000-00004D120000}"/>
    <cellStyle name="_4F設置場所_【20091225】千里導入明細資料_２２年度上期分_連携DB 2" xfId="4752" xr:uid="{00000000-0005-0000-0000-00004E120000}"/>
    <cellStyle name="_4F設置場所_【20091225】千里導入明細資料_２２年度上期分_連携DB_Ⅹ_課題と対応策_20121211" xfId="4753" xr:uid="{00000000-0005-0000-0000-00004F120000}"/>
    <cellStyle name="_4F設置場所_【20091225】千里導入明細資料_２２年度上期分_連携DB_Ⅹ_課題と対応策_20121211 2" xfId="4754" xr:uid="{00000000-0005-0000-0000-000050120000}"/>
    <cellStyle name="_4F設置場所_【200912xx】千里導入明細資料_２２年度上期分" xfId="4755" xr:uid="{00000000-0005-0000-0000-000051120000}"/>
    <cellStyle name="_4F設置場所_【200912xx】千里導入明細資料_２２年度上期分 2" xfId="4756" xr:uid="{00000000-0005-0000-0000-000052120000}"/>
    <cellStyle name="_4F設置場所_【200912xx】千里導入明細資料_２２年度上期分（為替分）" xfId="4757" xr:uid="{00000000-0005-0000-0000-000053120000}"/>
    <cellStyle name="_4F設置場所_【200912xx】千里導入明細資料_２２年度上期分（為替分） 2" xfId="4758" xr:uid="{00000000-0005-0000-0000-000054120000}"/>
    <cellStyle name="_4F設置場所_【200912xx】千里導入明細資料_２２年度上期分（為替分）_Ⅹ_課題と対応策_20121211" xfId="4759" xr:uid="{00000000-0005-0000-0000-000055120000}"/>
    <cellStyle name="_4F設置場所_【200912xx】千里導入明細資料_２２年度上期分（為替分）_Ⅹ_課題と対応策_20121211 2" xfId="4760" xr:uid="{00000000-0005-0000-0000-000056120000}"/>
    <cellStyle name="_4F設置場所_【200912xx】千里導入明細資料_２２年度上期分_【20091225】千里導入明細資料_２２年度上期分（営業店ＡＰ－ＤＢ）" xfId="4761" xr:uid="{00000000-0005-0000-0000-000057120000}"/>
    <cellStyle name="_4F設置場所_【200912xx】千里導入明細資料_２２年度上期分_【20091225】千里導入明細資料_２２年度上期分（営業店ＡＰ－ＤＢ） 2" xfId="4762" xr:uid="{00000000-0005-0000-0000-000058120000}"/>
    <cellStyle name="_4F設置場所_【200912xx】千里導入明細資料_２２年度上期分_【20091225】千里導入明細資料_２２年度上期分（営業店ＡＰ－ＤＢ）_【調整中】千里導入明細資料_２２年度上期分_fj_20100127" xfId="4763" xr:uid="{00000000-0005-0000-0000-000059120000}"/>
    <cellStyle name="_4F設置場所_【200912xx】千里導入明細資料_２２年度上期分_【20091225】千里導入明細資料_２２年度上期分（営業店ＡＰ－ＤＢ）_【調整中】千里導入明細資料_２２年度上期分_fj_20100127 2" xfId="4764" xr:uid="{00000000-0005-0000-0000-00005A120000}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" xfId="4765" xr:uid="{00000000-0005-0000-0000-00005B120000}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 2" xfId="4766" xr:uid="{00000000-0005-0000-0000-00005C120000}"/>
    <cellStyle name="_4F設置場所_【200912xx】千里導入明細資料_２２年度上期分_【20091225】千里導入明細資料_２２年度上期分（営業店ＡＰ－ＤＢ）_Ⅹ_課題と対応策_20121211" xfId="4767" xr:uid="{00000000-0005-0000-0000-00005D120000}"/>
    <cellStyle name="_4F設置場所_【200912xx】千里導入明細資料_２２年度上期分_【20091225】千里導入明細資料_２２年度上期分（営業店ＡＰ－ＤＢ）_Ⅹ_課題と対応策_20121211 2" xfId="4768" xr:uid="{00000000-0005-0000-0000-00005E120000}"/>
    <cellStyle name="_4F設置場所_【200912xx】千里導入明細資料_２２年度上期分_【20091225】千里導入明細資料_２２年度上期分_営業店DB" xfId="4769" xr:uid="{00000000-0005-0000-0000-00005F120000}"/>
    <cellStyle name="_4F設置場所_【200912xx】千里導入明細資料_２２年度上期分_【20091225】千里導入明細資料_２２年度上期分_営業店DB 2" xfId="4770" xr:uid="{00000000-0005-0000-0000-000060120000}"/>
    <cellStyle name="_4F設置場所_【200912xx】千里導入明細資料_２２年度上期分_【20091225】千里導入明細資料_２２年度上期分_営業店DB_【調整中】千里導入明細資料_２２年度上期分_fj_20100127" xfId="4771" xr:uid="{00000000-0005-0000-0000-000061120000}"/>
    <cellStyle name="_4F設置場所_【200912xx】千里導入明細資料_２２年度上期分_【20091225】千里導入明細資料_２２年度上期分_営業店DB_【調整中】千里導入明細資料_２２年度上期分_fj_20100127 2" xfId="4772" xr:uid="{00000000-0005-0000-0000-000062120000}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" xfId="4773" xr:uid="{00000000-0005-0000-0000-000063120000}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 2" xfId="4774" xr:uid="{00000000-0005-0000-0000-000064120000}"/>
    <cellStyle name="_4F設置場所_【200912xx】千里導入明細資料_２２年度上期分_【20091225】千里導入明細資料_２２年度上期分_営業店DB_Ⅹ_課題と対応策_20121211" xfId="4775" xr:uid="{00000000-0005-0000-0000-000065120000}"/>
    <cellStyle name="_4F設置場所_【200912xx】千里導入明細資料_２２年度上期分_【20091225】千里導入明細資料_２２年度上期分_営業店DB_Ⅹ_課題と対応策_20121211 2" xfId="4776" xr:uid="{00000000-0005-0000-0000-000066120000}"/>
    <cellStyle name="_4F設置場所_【200912xx】千里導入明細資料_２２年度上期分_【20091225】千里導入明細資料_２２年度上期分_連携DB" xfId="4777" xr:uid="{00000000-0005-0000-0000-000067120000}"/>
    <cellStyle name="_4F設置場所_【200912xx】千里導入明細資料_２２年度上期分_【20091225】千里導入明細資料_２２年度上期分_連携DB 2" xfId="4778" xr:uid="{00000000-0005-0000-0000-000068120000}"/>
    <cellStyle name="_4F設置場所_【200912xx】千里導入明細資料_２２年度上期分_【20091225】千里導入明細資料_２２年度上期分_連携DB_【調整中】千里導入明細資料_２２年度上期分_fj_20100127" xfId="4779" xr:uid="{00000000-0005-0000-0000-000069120000}"/>
    <cellStyle name="_4F設置場所_【200912xx】千里導入明細資料_２２年度上期分_【20091225】千里導入明細資料_２２年度上期分_連携DB_【調整中】千里導入明細資料_２２年度上期分_fj_20100127 2" xfId="4780" xr:uid="{00000000-0005-0000-0000-00006A120000}"/>
    <cellStyle name="_4F設置場所_【200912xx】千里導入明細資料_２２年度上期分_【20091225】千里導入明細資料_２２年度上期分_連携DB_【調整中】千里導入明細資料_２２年度上期分_fj_20100127_Ⅹ_課題と対応策_20121211" xfId="4781" xr:uid="{00000000-0005-0000-0000-00006B120000}"/>
    <cellStyle name="_4F設置場所_【200912xx】千里導入明細資料_２２年度上期分_【20091225】千里導入明細資料_２２年度上期分_連携DB_【調整中】千里導入明細資料_２２年度上期分_fj_20100127_Ⅹ_課題と対応策_20121211 2" xfId="4782" xr:uid="{00000000-0005-0000-0000-00006C120000}"/>
    <cellStyle name="_4F設置場所_【200912xx】千里導入明細資料_２２年度上期分_【20091225】千里導入明細資料_２２年度上期分_連携DB_Ⅹ_課題と対応策_20121211" xfId="4783" xr:uid="{00000000-0005-0000-0000-00006D120000}"/>
    <cellStyle name="_4F設置場所_【200912xx】千里導入明細資料_２２年度上期分_【20091225】千里導入明細資料_２２年度上期分_連携DB_Ⅹ_課題と対応策_20121211 2" xfId="4784" xr:uid="{00000000-0005-0000-0000-00006E120000}"/>
    <cellStyle name="_4F設置場所_【200912xx】千里導入明細資料_２２年度上期分_Ⅹ_課題と対応策_20121211" xfId="4785" xr:uid="{00000000-0005-0000-0000-00006F120000}"/>
    <cellStyle name="_4F設置場所_【200912xx】千里導入明細資料_２２年度上期分_Ⅹ_課題と対応策_20121211 2" xfId="4786" xr:uid="{00000000-0005-0000-0000-000070120000}"/>
    <cellStyle name="_4F設置場所_【調整中】千里導入明細資料_２２年度上期分_fj_20100127" xfId="4787" xr:uid="{00000000-0005-0000-0000-000071120000}"/>
    <cellStyle name="_4F設置場所_【調整中】千里導入明細資料_２２年度上期分_fj_20100127 2" xfId="4788" xr:uid="{00000000-0005-0000-0000-000072120000}"/>
    <cellStyle name="_4F設置場所_【調整中】千里導入明細資料_２２年度上期分_fj_20100127_Ⅹ_課題と対応策_20121211" xfId="4789" xr:uid="{00000000-0005-0000-0000-000073120000}"/>
    <cellStyle name="_4F設置場所_【調整中】千里導入明細資料_２２年度上期分_fj_20100127_Ⅹ_課題と対応策_20121211 2" xfId="4790" xr:uid="{00000000-0005-0000-0000-000074120000}"/>
    <cellStyle name="_4F設置場所_①【20091225】千里導入明細資料_２２年度上期1分)" xfId="4791" xr:uid="{00000000-0005-0000-0000-000075120000}"/>
    <cellStyle name="_4F設置場所_①【20091225】千里導入明細資料_２２年度上期1分) 2" xfId="4792" xr:uid="{00000000-0005-0000-0000-000076120000}"/>
    <cellStyle name="_4F設置場所_①【20091225】千里導入明細資料_２２年度上期1分)_Ⅹ_課題と対応策_20121211" xfId="4793" xr:uid="{00000000-0005-0000-0000-000077120000}"/>
    <cellStyle name="_4F設置場所_①【20091225】千里導入明細資料_２２年度上期1分)_Ⅹ_課題と対応策_20121211 2" xfId="4794" xr:uid="{00000000-0005-0000-0000-000078120000}"/>
    <cellStyle name="_4F設置場所_Ⅹ_課題と対応策_20121211" xfId="4795" xr:uid="{00000000-0005-0000-0000-000079120000}"/>
    <cellStyle name="_4F設置場所_Ⅹ_課題と対応策_20121211 2" xfId="4796" xr:uid="{00000000-0005-0000-0000-00007A120000}"/>
    <cellStyle name="_4F設置場所_ラック構成図（千里_営業店・新事務）_20090805" xfId="4797" xr:uid="{00000000-0005-0000-0000-00007B120000}"/>
    <cellStyle name="_4F設置場所_ラック構成図（千里_営業店・新事務）_20090805 2" xfId="4798" xr:uid="{00000000-0005-0000-0000-00007C120000}"/>
    <cellStyle name="_4F設置場所_ラック構成図（千里_営業店・新事務）_20090805_【20091207】千里導入明細資料_２１年度分（ネットワーク敷設）" xfId="4799" xr:uid="{00000000-0005-0000-0000-00007D120000}"/>
    <cellStyle name="_4F設置場所_ラック構成図（千里_営業店・新事務）_20090805_【20091207】千里導入明細資料_２１年度分（ネットワーク敷設） 2" xfId="4800" xr:uid="{00000000-0005-0000-0000-00007E120000}"/>
    <cellStyle name="_4F設置場所_ラック構成図（千里_営業店・新事務）_20090805_【20091207】千里導入明細資料_２１年度分（ネットワーク敷設）_【20091218】千里導入明細資料_２１年度分（ネットワーク敷設）" xfId="4801" xr:uid="{00000000-0005-0000-0000-00007F120000}"/>
    <cellStyle name="_4F設置場所_ラック構成図（千里_営業店・新事務）_20090805_【20091207】千里導入明細資料_２１年度分（ネットワーク敷設）_【20091218】千里導入明細資料_２１年度分（ネットワーク敷設） 2" xfId="4802" xr:uid="{00000000-0005-0000-0000-000080120000}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" xfId="4803" xr:uid="{00000000-0005-0000-0000-000081120000}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 2" xfId="4804" xr:uid="{00000000-0005-0000-0000-000082120000}"/>
    <cellStyle name="_4F設置場所_ラック構成図（千里_営業店・新事務）_20090805_【20091207】千里導入明細資料_２１年度分（ネットワーク敷設）_Ⅹ_課題と対応策_20121211" xfId="4805" xr:uid="{00000000-0005-0000-0000-000083120000}"/>
    <cellStyle name="_4F設置場所_ラック構成図（千里_営業店・新事務）_20090805_【20091207】千里導入明細資料_２１年度分（ネットワーク敷設）_Ⅹ_課題と対応策_20121211 2" xfId="4806" xr:uid="{00000000-0005-0000-0000-000084120000}"/>
    <cellStyle name="_4F設置場所_ラック構成図（千里_営業店・新事務）_20090805_【20091207】千里導入明細資料_２１年度分（ネットワーク敷設）_千里導入明細資料_２２年度分（ネットワーク敷設）_fj" xfId="4807" xr:uid="{00000000-0005-0000-0000-000085120000}"/>
    <cellStyle name="_4F設置場所_ラック構成図（千里_営業店・新事務）_20090805_【20091207】千里導入明細資料_２１年度分（ネットワーク敷設）_千里導入明細資料_２２年度分（ネットワーク敷設）_fj 2" xfId="4808" xr:uid="{00000000-0005-0000-0000-000086120000}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" xfId="4809" xr:uid="{00000000-0005-0000-0000-000087120000}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 2" xfId="4810" xr:uid="{00000000-0005-0000-0000-000088120000}"/>
    <cellStyle name="_4F設置場所_ラック構成図（千里_営業店・新事務）_20090805_【20091225】千里導入明細資料_２２年度上期分（営業店ＡＰ－ＤＢ）" xfId="4811" xr:uid="{00000000-0005-0000-0000-000089120000}"/>
    <cellStyle name="_4F設置場所_ラック構成図（千里_営業店・新事務）_20090805_【20091225】千里導入明細資料_２２年度上期分（営業店ＡＰ－ＤＢ） 2" xfId="4812" xr:uid="{00000000-0005-0000-0000-00008A120000}"/>
    <cellStyle name="_4F設置場所_ラック構成図（千里_営業店・新事務）_20090805_【20091225】千里導入明細資料_２２年度上期分（営業店ＡＰ－ＤＢ）_【調整中】千里導入明細資料_２２年度上期分_fj_20100127" xfId="4813" xr:uid="{00000000-0005-0000-0000-00008B120000}"/>
    <cellStyle name="_4F設置場所_ラック構成図（千里_営業店・新事務）_20090805_【20091225】千里導入明細資料_２２年度上期分（営業店ＡＰ－ＤＢ）_【調整中】千里導入明細資料_２２年度上期分_fj_20100127 2" xfId="4814" xr:uid="{00000000-0005-0000-0000-00008C120000}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" xfId="4815" xr:uid="{00000000-0005-0000-0000-00008D120000}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 2" xfId="4816" xr:uid="{00000000-0005-0000-0000-00008E120000}"/>
    <cellStyle name="_4F設置場所_ラック構成図（千里_営業店・新事務）_20090805_【20091225】千里導入明細資料_２２年度上期分（営業店ＡＰ－ＤＢ）_Ⅹ_課題と対応策_20121211" xfId="4817" xr:uid="{00000000-0005-0000-0000-00008F120000}"/>
    <cellStyle name="_4F設置場所_ラック構成図（千里_営業店・新事務）_20090805_【20091225】千里導入明細資料_２２年度上期分（営業店ＡＰ－ＤＢ）_Ⅹ_課題と対応策_20121211 2" xfId="4818" xr:uid="{00000000-0005-0000-0000-000090120000}"/>
    <cellStyle name="_4F設置場所_ラック構成図（千里_営業店・新事務）_20090805_【20091225】千里導入明細資料_２２年度上期分_営業店DB" xfId="4819" xr:uid="{00000000-0005-0000-0000-000091120000}"/>
    <cellStyle name="_4F設置場所_ラック構成図（千里_営業店・新事務）_20090805_【20091225】千里導入明細資料_２２年度上期分_営業店DB 2" xfId="4820" xr:uid="{00000000-0005-0000-0000-000092120000}"/>
    <cellStyle name="_4F設置場所_ラック構成図（千里_営業店・新事務）_20090805_【20091225】千里導入明細資料_２２年度上期分_営業店DB_【調整中】千里導入明細資料_２２年度上期分_fj_20100127" xfId="4821" xr:uid="{00000000-0005-0000-0000-000093120000}"/>
    <cellStyle name="_4F設置場所_ラック構成図（千里_営業店・新事務）_20090805_【20091225】千里導入明細資料_２２年度上期分_営業店DB_【調整中】千里導入明細資料_２２年度上期分_fj_20100127 2" xfId="4822" xr:uid="{00000000-0005-0000-0000-000094120000}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" xfId="4823" xr:uid="{00000000-0005-0000-0000-000095120000}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 2" xfId="4824" xr:uid="{00000000-0005-0000-0000-000096120000}"/>
    <cellStyle name="_4F設置場所_ラック構成図（千里_営業店・新事務）_20090805_【20091225】千里導入明細資料_２２年度上期分_営業店DB_Ⅹ_課題と対応策_20121211" xfId="4825" xr:uid="{00000000-0005-0000-0000-000097120000}"/>
    <cellStyle name="_4F設置場所_ラック構成図（千里_営業店・新事務）_20090805_【20091225】千里導入明細資料_２２年度上期分_営業店DB_Ⅹ_課題と対応策_20121211 2" xfId="4826" xr:uid="{00000000-0005-0000-0000-000098120000}"/>
    <cellStyle name="_4F設置場所_ラック構成図（千里_営業店・新事務）_20090805_【20091225】千里導入明細資料_２２年度上期分_連携DB" xfId="4827" xr:uid="{00000000-0005-0000-0000-000099120000}"/>
    <cellStyle name="_4F設置場所_ラック構成図（千里_営業店・新事務）_20090805_【20091225】千里導入明細資料_２２年度上期分_連携DB 2" xfId="4828" xr:uid="{00000000-0005-0000-0000-00009A120000}"/>
    <cellStyle name="_4F設置場所_ラック構成図（千里_営業店・新事務）_20090805_【20091225】千里導入明細資料_２２年度上期分_連携DB_【調整中】千里導入明細資料_２２年度上期分_fj_20100127" xfId="4829" xr:uid="{00000000-0005-0000-0000-00009B120000}"/>
    <cellStyle name="_4F設置場所_ラック構成図（千里_営業店・新事務）_20090805_【20091225】千里導入明細資料_２２年度上期分_連携DB_【調整中】千里導入明細資料_２２年度上期分_fj_20100127 2" xfId="4830" xr:uid="{00000000-0005-0000-0000-00009C120000}"/>
    <cellStyle name="_4F設置場所_ラック構成図（千里_営業店・新事務）_20090805_【20091225】千里導入明細資料_２２年度上期分_連携DB_【調整中】千里導入明細資料_２２年度上期分_fj_20100127_Ⅹ_課題と対応策_20121211" xfId="4831" xr:uid="{00000000-0005-0000-0000-00009D120000}"/>
    <cellStyle name="_4F設置場所_ラック構成図（千里_営業店・新事務）_20090805_【20091225】千里導入明細資料_２２年度上期分_連携DB_【調整中】千里導入明細資料_２２年度上期分_fj_20100127_Ⅹ_課題と対応策_20121211 2" xfId="4832" xr:uid="{00000000-0005-0000-0000-00009E120000}"/>
    <cellStyle name="_4F設置場所_ラック構成図（千里_営業店・新事務）_20090805_【20091225】千里導入明細資料_２２年度上期分_連携DB_Ⅹ_課題と対応策_20121211" xfId="4833" xr:uid="{00000000-0005-0000-0000-00009F120000}"/>
    <cellStyle name="_4F設置場所_ラック構成図（千里_営業店・新事務）_20090805_【20091225】千里導入明細資料_２２年度上期分_連携DB_Ⅹ_課題と対応策_20121211 2" xfId="4834" xr:uid="{00000000-0005-0000-0000-0000A0120000}"/>
    <cellStyle name="_4F設置場所_ラック構成図（千里_営業店・新事務）_20090805_【作成中】千里センター機器配置図（2010年対応分）_20091221" xfId="4835" xr:uid="{00000000-0005-0000-0000-0000A1120000}"/>
    <cellStyle name="_4F設置場所_ラック構成図（千里_営業店・新事務）_20090805_【作成中】千里センター機器配置図（2010年対応分）_20091221 2" xfId="4836" xr:uid="{00000000-0005-0000-0000-0000A2120000}"/>
    <cellStyle name="_4F設置場所_ラック構成図（千里_営業店・新事務）_20090805_【作成中】千里センター機器配置図（2010年対応分）_20091221_【調整中】千里導入明細資料_２２年度上期分_fj_20100127" xfId="4837" xr:uid="{00000000-0005-0000-0000-0000A3120000}"/>
    <cellStyle name="_4F設置場所_ラック構成図（千里_営業店・新事務）_20090805_【作成中】千里センター機器配置図（2010年対応分）_20091221_【調整中】千里導入明細資料_２２年度上期分_fj_20100127 2" xfId="4838" xr:uid="{00000000-0005-0000-0000-0000A4120000}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" xfId="4839" xr:uid="{00000000-0005-0000-0000-0000A5120000}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 2" xfId="4840" xr:uid="{00000000-0005-0000-0000-0000A6120000}"/>
    <cellStyle name="_4F設置場所_ラック構成図（千里_営業店・新事務）_20090805_【作成中】千里センター機器配置図（2010年対応分）_20091221_Ⅹ_課題と対応策_20121211" xfId="4841" xr:uid="{00000000-0005-0000-0000-0000A7120000}"/>
    <cellStyle name="_4F設置場所_ラック構成図（千里_営業店・新事務）_20090805_【作成中】千里センター機器配置図（2010年対応分）_20091221_Ⅹ_課題と対応策_20121211 2" xfId="4842" xr:uid="{00000000-0005-0000-0000-0000A8120000}"/>
    <cellStyle name="_4F設置場所_ラック構成図（千里_営業店・新事務）_20090805_Ⅹ_課題と対応策_20121211" xfId="4843" xr:uid="{00000000-0005-0000-0000-0000A9120000}"/>
    <cellStyle name="_4F設置場所_ラック構成図（千里_営業店・新事務）_20090805_Ⅹ_課題と対応策_20121211 2" xfId="4844" xr:uid="{00000000-0005-0000-0000-0000AA120000}"/>
    <cellStyle name="_4F設置場所_ラック構成図_Catalyst直付け（新事務処理）" xfId="4845" xr:uid="{00000000-0005-0000-0000-0000AB120000}"/>
    <cellStyle name="_4F設置場所_ラック構成図_Catalyst直付け（新事務処理） 2" xfId="4846" xr:uid="{00000000-0005-0000-0000-0000AC120000}"/>
    <cellStyle name="_4F設置場所_ラック構成図_Catalyst直付け（新事務処理）_【20091207】千里導入明細資料_２１年度分（ネットワーク敷設）" xfId="4847" xr:uid="{00000000-0005-0000-0000-0000AD120000}"/>
    <cellStyle name="_4F設置場所_ラック構成図_Catalyst直付け（新事務処理）_【20091207】千里導入明細資料_２１年度分（ネットワーク敷設） 2" xfId="4848" xr:uid="{00000000-0005-0000-0000-0000AE120000}"/>
    <cellStyle name="_4F設置場所_ラック構成図_Catalyst直付け（新事務処理）_【20091207】千里導入明細資料_２１年度分（ネットワーク敷設）_【20091218】千里導入明細資料_２１年度分（ネットワーク敷設）" xfId="4849" xr:uid="{00000000-0005-0000-0000-0000AF120000}"/>
    <cellStyle name="_4F設置場所_ラック構成図_Catalyst直付け（新事務処理）_【20091207】千里導入明細資料_２１年度分（ネットワーク敷設）_【20091218】千里導入明細資料_２１年度分（ネットワーク敷設） 2" xfId="4850" xr:uid="{00000000-0005-0000-0000-0000B0120000}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" xfId="4851" xr:uid="{00000000-0005-0000-0000-0000B1120000}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 2" xfId="4852" xr:uid="{00000000-0005-0000-0000-0000B2120000}"/>
    <cellStyle name="_4F設置場所_ラック構成図_Catalyst直付け（新事務処理）_【20091207】千里導入明細資料_２１年度分（ネットワーク敷設）_Ⅹ_課題と対応策_20121211" xfId="4853" xr:uid="{00000000-0005-0000-0000-0000B3120000}"/>
    <cellStyle name="_4F設置場所_ラック構成図_Catalyst直付け（新事務処理）_【20091207】千里導入明細資料_２１年度分（ネットワーク敷設）_Ⅹ_課題と対応策_20121211 2" xfId="4854" xr:uid="{00000000-0005-0000-0000-0000B4120000}"/>
    <cellStyle name="_4F設置場所_ラック構成図_Catalyst直付け（新事務処理）_【20091207】千里導入明細資料_２１年度分（ネットワーク敷設）_千里導入明細資料_２２年度分（ネットワーク敷設）_fj" xfId="4855" xr:uid="{00000000-0005-0000-0000-0000B5120000}"/>
    <cellStyle name="_4F設置場所_ラック構成図_Catalyst直付け（新事務処理）_【20091207】千里導入明細資料_２１年度分（ネットワーク敷設）_千里導入明細資料_２２年度分（ネットワーク敷設）_fj 2" xfId="4856" xr:uid="{00000000-0005-0000-0000-0000B6120000}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" xfId="4857" xr:uid="{00000000-0005-0000-0000-0000B7120000}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 2" xfId="4858" xr:uid="{00000000-0005-0000-0000-0000B8120000}"/>
    <cellStyle name="_4F設置場所_ラック構成図_Catalyst直付け（新事務処理）_【20091225】千里導入明細資料_２２年度上期分（営業店ＡＰ－ＤＢ）" xfId="4859" xr:uid="{00000000-0005-0000-0000-0000B9120000}"/>
    <cellStyle name="_4F設置場所_ラック構成図_Catalyst直付け（新事務処理）_【20091225】千里導入明細資料_２２年度上期分（営業店ＡＰ－ＤＢ） 2" xfId="4860" xr:uid="{00000000-0005-0000-0000-0000BA120000}"/>
    <cellStyle name="_4F設置場所_ラック構成図_Catalyst直付け（新事務処理）_【20091225】千里導入明細資料_２２年度上期分（営業店ＡＰ－ＤＢ）_【調整中】千里導入明細資料_２２年度上期分_fj_20100127" xfId="4861" xr:uid="{00000000-0005-0000-0000-0000BB120000}"/>
    <cellStyle name="_4F設置場所_ラック構成図_Catalyst直付け（新事務処理）_【20091225】千里導入明細資料_２２年度上期分（営業店ＡＰ－ＤＢ）_【調整中】千里導入明細資料_２２年度上期分_fj_20100127 2" xfId="4862" xr:uid="{00000000-0005-0000-0000-0000BC120000}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" xfId="4863" xr:uid="{00000000-0005-0000-0000-0000BD120000}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 2" xfId="4864" xr:uid="{00000000-0005-0000-0000-0000BE120000}"/>
    <cellStyle name="_4F設置場所_ラック構成図_Catalyst直付け（新事務処理）_【20091225】千里導入明細資料_２２年度上期分（営業店ＡＰ－ＤＢ）_Ⅹ_課題と対応策_20121211" xfId="4865" xr:uid="{00000000-0005-0000-0000-0000BF120000}"/>
    <cellStyle name="_4F設置場所_ラック構成図_Catalyst直付け（新事務処理）_【20091225】千里導入明細資料_２２年度上期分（営業店ＡＰ－ＤＢ）_Ⅹ_課題と対応策_20121211 2" xfId="4866" xr:uid="{00000000-0005-0000-0000-0000C0120000}"/>
    <cellStyle name="_4F設置場所_ラック構成図_Catalyst直付け（新事務処理）_【20091225】千里導入明細資料_２２年度上期分_営業店DB" xfId="4867" xr:uid="{00000000-0005-0000-0000-0000C1120000}"/>
    <cellStyle name="_4F設置場所_ラック構成図_Catalyst直付け（新事務処理）_【20091225】千里導入明細資料_２２年度上期分_営業店DB 2" xfId="4868" xr:uid="{00000000-0005-0000-0000-0000C2120000}"/>
    <cellStyle name="_4F設置場所_ラック構成図_Catalyst直付け（新事務処理）_【20091225】千里導入明細資料_２２年度上期分_営業店DB_【調整中】千里導入明細資料_２２年度上期分_fj_20100127" xfId="4869" xr:uid="{00000000-0005-0000-0000-0000C3120000}"/>
    <cellStyle name="_4F設置場所_ラック構成図_Catalyst直付け（新事務処理）_【20091225】千里導入明細資料_２２年度上期分_営業店DB_【調整中】千里導入明細資料_２２年度上期分_fj_20100127 2" xfId="4870" xr:uid="{00000000-0005-0000-0000-0000C4120000}"/>
    <cellStyle name="_4F設置場所_ラック構成図_Catalyst直付け（新事務処理）_【20091225】千里導入明細資料_２２年度上期分_営業店DB_【調整中】千里導入明細資料_２２年度上期分_fj_20100127_Ⅹ_課題と対応策_20121211" xfId="4871" xr:uid="{00000000-0005-0000-0000-0000C5120000}"/>
    <cellStyle name="_4F設置場所_ラック構成図_Catalyst直付け（新事務処理）_【20091225】千里導入明細資料_２２年度上期分_営業店DB_【調整中】千里導入明細資料_２２年度上期分_fj_20100127_Ⅹ_課題と対応策_20121211 2" xfId="4872" xr:uid="{00000000-0005-0000-0000-0000C6120000}"/>
    <cellStyle name="_4F設置場所_ラック構成図_Catalyst直付け（新事務処理）_【20091225】千里導入明細資料_２２年度上期分_営業店DB_Ⅹ_課題と対応策_20121211" xfId="4873" xr:uid="{00000000-0005-0000-0000-0000C7120000}"/>
    <cellStyle name="_4F設置場所_ラック構成図_Catalyst直付け（新事務処理）_【20091225】千里導入明細資料_２２年度上期分_営業店DB_Ⅹ_課題と対応策_20121211 2" xfId="4874" xr:uid="{00000000-0005-0000-0000-0000C8120000}"/>
    <cellStyle name="_4F設置場所_ラック構成図_Catalyst直付け（新事務処理）_【20091225】千里導入明細資料_２２年度上期分_連携DB" xfId="4875" xr:uid="{00000000-0005-0000-0000-0000C9120000}"/>
    <cellStyle name="_4F設置場所_ラック構成図_Catalyst直付け（新事務処理）_【20091225】千里導入明細資料_２２年度上期分_連携DB 2" xfId="4876" xr:uid="{00000000-0005-0000-0000-0000CA120000}"/>
    <cellStyle name="_4F設置場所_ラック構成図_Catalyst直付け（新事務処理）_【20091225】千里導入明細資料_２２年度上期分_連携DB_【調整中】千里導入明細資料_２２年度上期分_fj_20100127" xfId="4877" xr:uid="{00000000-0005-0000-0000-0000CB120000}"/>
    <cellStyle name="_4F設置場所_ラック構成図_Catalyst直付け（新事務処理）_【20091225】千里導入明細資料_２２年度上期分_連携DB_【調整中】千里導入明細資料_２２年度上期分_fj_20100127 2" xfId="4878" xr:uid="{00000000-0005-0000-0000-0000CC120000}"/>
    <cellStyle name="_4F設置場所_ラック構成図_Catalyst直付け（新事務処理）_【20091225】千里導入明細資料_２２年度上期分_連携DB_【調整中】千里導入明細資料_２２年度上期分_fj_20100127_Ⅹ_課題と対応策_20121211" xfId="4879" xr:uid="{00000000-0005-0000-0000-0000CD120000}"/>
    <cellStyle name="_4F設置場所_ラック構成図_Catalyst直付け（新事務処理）_【20091225】千里導入明細資料_２２年度上期分_連携DB_【調整中】千里導入明細資料_２２年度上期分_fj_20100127_Ⅹ_課題と対応策_20121211 2" xfId="4880" xr:uid="{00000000-0005-0000-0000-0000CE120000}"/>
    <cellStyle name="_4F設置場所_ラック構成図_Catalyst直付け（新事務処理）_【20091225】千里導入明細資料_２２年度上期分_連携DB_Ⅹ_課題と対応策_20121211" xfId="4881" xr:uid="{00000000-0005-0000-0000-0000CF120000}"/>
    <cellStyle name="_4F設置場所_ラック構成図_Catalyst直付け（新事務処理）_【20091225】千里導入明細資料_２２年度上期分_連携DB_Ⅹ_課題と対応策_20121211 2" xfId="4882" xr:uid="{00000000-0005-0000-0000-0000D0120000}"/>
    <cellStyle name="_4F設置場所_ラック構成図_Catalyst直付け（新事務処理）_【作成中】千里センター機器配置図（2010年対応分）_20091221" xfId="4883" xr:uid="{00000000-0005-0000-0000-0000D1120000}"/>
    <cellStyle name="_4F設置場所_ラック構成図_Catalyst直付け（新事務処理）_【作成中】千里センター機器配置図（2010年対応分）_20091221 2" xfId="4884" xr:uid="{00000000-0005-0000-0000-0000D2120000}"/>
    <cellStyle name="_4F設置場所_ラック構成図_Catalyst直付け（新事務処理）_【作成中】千里センター機器配置図（2010年対応分）_20091221_【調整中】千里導入明細資料_２２年度上期分_fj_20100127" xfId="4885" xr:uid="{00000000-0005-0000-0000-0000D3120000}"/>
    <cellStyle name="_4F設置場所_ラック構成図_Catalyst直付け（新事務処理）_【作成中】千里センター機器配置図（2010年対応分）_20091221_【調整中】千里導入明細資料_２２年度上期分_fj_20100127 2" xfId="4886" xr:uid="{00000000-0005-0000-0000-0000D4120000}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" xfId="4887" xr:uid="{00000000-0005-0000-0000-0000D5120000}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 2" xfId="4888" xr:uid="{00000000-0005-0000-0000-0000D6120000}"/>
    <cellStyle name="_4F設置場所_ラック構成図_Catalyst直付け（新事務処理）_【作成中】千里センター機器配置図（2010年対応分）_20091221_Ⅹ_課題と対応策_20121211" xfId="4889" xr:uid="{00000000-0005-0000-0000-0000D7120000}"/>
    <cellStyle name="_4F設置場所_ラック構成図_Catalyst直付け（新事務処理）_【作成中】千里センター機器配置図（2010年対応分）_20091221_Ⅹ_課題と対応策_20121211 2" xfId="4890" xr:uid="{00000000-0005-0000-0000-0000D8120000}"/>
    <cellStyle name="_4F設置場所_ラック構成図_Catalyst直付け（新事務処理）_Ⅹ_課題と対応策_20121211" xfId="4891" xr:uid="{00000000-0005-0000-0000-0000D9120000}"/>
    <cellStyle name="_4F設置場所_ラック構成図_Catalyst直付け（新事務処理）_Ⅹ_課題と対応策_20121211 2" xfId="4892" xr:uid="{00000000-0005-0000-0000-0000DA120000}"/>
    <cellStyle name="_4F設置場所_ラック構成図_RX100Si-R削除(新事務処理)" xfId="4893" xr:uid="{00000000-0005-0000-0000-0000DB120000}"/>
    <cellStyle name="_4F設置場所_ラック構成図_RX100Si-R削除(新事務処理) 2" xfId="4894" xr:uid="{00000000-0005-0000-0000-0000DC120000}"/>
    <cellStyle name="_4F設置場所_ラック構成図_RX100Si-R削除(新事務処理)_【20091207】千里導入明細資料_２１年度分（ネットワーク敷設）" xfId="4895" xr:uid="{00000000-0005-0000-0000-0000DD120000}"/>
    <cellStyle name="_4F設置場所_ラック構成図_RX100Si-R削除(新事務処理)_【20091207】千里導入明細資料_２１年度分（ネットワーク敷設） 2" xfId="4896" xr:uid="{00000000-0005-0000-0000-0000DE120000}"/>
    <cellStyle name="_4F設置場所_ラック構成図_RX100Si-R削除(新事務処理)_【20091207】千里導入明細資料_２１年度分（ネットワーク敷設）_【20091218】千里導入明細資料_２１年度分（ネットワーク敷設）" xfId="4897" xr:uid="{00000000-0005-0000-0000-0000DF120000}"/>
    <cellStyle name="_4F設置場所_ラック構成図_RX100Si-R削除(新事務処理)_【20091207】千里導入明細資料_２１年度分（ネットワーク敷設）_【20091218】千里導入明細資料_２１年度分（ネットワーク敷設） 2" xfId="4898" xr:uid="{00000000-0005-0000-0000-0000E0120000}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" xfId="4899" xr:uid="{00000000-0005-0000-0000-0000E1120000}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 2" xfId="4900" xr:uid="{00000000-0005-0000-0000-0000E2120000}"/>
    <cellStyle name="_4F設置場所_ラック構成図_RX100Si-R削除(新事務処理)_【20091207】千里導入明細資料_２１年度分（ネットワーク敷設）_Ⅹ_課題と対応策_20121211" xfId="4901" xr:uid="{00000000-0005-0000-0000-0000E3120000}"/>
    <cellStyle name="_4F設置場所_ラック構成図_RX100Si-R削除(新事務処理)_【20091207】千里導入明細資料_２１年度分（ネットワーク敷設）_Ⅹ_課題と対応策_20121211 2" xfId="4902" xr:uid="{00000000-0005-0000-0000-0000E4120000}"/>
    <cellStyle name="_4F設置場所_ラック構成図_RX100Si-R削除(新事務処理)_【20091207】千里導入明細資料_２１年度分（ネットワーク敷設）_千里導入明細資料_２２年度分（ネットワーク敷設）_fj" xfId="4903" xr:uid="{00000000-0005-0000-0000-0000E5120000}"/>
    <cellStyle name="_4F設置場所_ラック構成図_RX100Si-R削除(新事務処理)_【20091207】千里導入明細資料_２１年度分（ネットワーク敷設）_千里導入明細資料_２２年度分（ネットワーク敷設）_fj 2" xfId="4904" xr:uid="{00000000-0005-0000-0000-0000E6120000}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" xfId="4905" xr:uid="{00000000-0005-0000-0000-0000E7120000}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 2" xfId="4906" xr:uid="{00000000-0005-0000-0000-0000E8120000}"/>
    <cellStyle name="_4F設置場所_ラック構成図_RX100Si-R削除(新事務処理)_【20091225】千里導入明細資料_２２年度上期分（営業店ＡＰ－ＤＢ）" xfId="4907" xr:uid="{00000000-0005-0000-0000-0000E9120000}"/>
    <cellStyle name="_4F設置場所_ラック構成図_RX100Si-R削除(新事務処理)_【20091225】千里導入明細資料_２２年度上期分（営業店ＡＰ－ＤＢ） 2" xfId="4908" xr:uid="{00000000-0005-0000-0000-0000EA120000}"/>
    <cellStyle name="_4F設置場所_ラック構成図_RX100Si-R削除(新事務処理)_【20091225】千里導入明細資料_２２年度上期分（営業店ＡＰ－ＤＢ）_【調整中】千里導入明細資料_２２年度上期分_fj_20100127" xfId="4909" xr:uid="{00000000-0005-0000-0000-0000EB120000}"/>
    <cellStyle name="_4F設置場所_ラック構成図_RX100Si-R削除(新事務処理)_【20091225】千里導入明細資料_２２年度上期分（営業店ＡＰ－ＤＢ）_【調整中】千里導入明細資料_２２年度上期分_fj_20100127 2" xfId="4910" xr:uid="{00000000-0005-0000-0000-0000EC120000}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" xfId="4911" xr:uid="{00000000-0005-0000-0000-0000ED120000}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 2" xfId="4912" xr:uid="{00000000-0005-0000-0000-0000EE120000}"/>
    <cellStyle name="_4F設置場所_ラック構成図_RX100Si-R削除(新事務処理)_【20091225】千里導入明細資料_２２年度上期分（営業店ＡＰ－ＤＢ）_Ⅹ_課題と対応策_20121211" xfId="4913" xr:uid="{00000000-0005-0000-0000-0000EF120000}"/>
    <cellStyle name="_4F設置場所_ラック構成図_RX100Si-R削除(新事務処理)_【20091225】千里導入明細資料_２２年度上期分（営業店ＡＰ－ＤＢ）_Ⅹ_課題と対応策_20121211 2" xfId="4914" xr:uid="{00000000-0005-0000-0000-0000F0120000}"/>
    <cellStyle name="_4F設置場所_ラック構成図_RX100Si-R削除(新事務処理)_【20091225】千里導入明細資料_２２年度上期分_営業店DB" xfId="4915" xr:uid="{00000000-0005-0000-0000-0000F1120000}"/>
    <cellStyle name="_4F設置場所_ラック構成図_RX100Si-R削除(新事務処理)_【20091225】千里導入明細資料_２２年度上期分_営業店DB 2" xfId="4916" xr:uid="{00000000-0005-0000-0000-0000F2120000}"/>
    <cellStyle name="_4F設置場所_ラック構成図_RX100Si-R削除(新事務処理)_【20091225】千里導入明細資料_２２年度上期分_営業店DB_【調整中】千里導入明細資料_２２年度上期分_fj_20100127" xfId="4917" xr:uid="{00000000-0005-0000-0000-0000F3120000}"/>
    <cellStyle name="_4F設置場所_ラック構成図_RX100Si-R削除(新事務処理)_【20091225】千里導入明細資料_２２年度上期分_営業店DB_【調整中】千里導入明細資料_２２年度上期分_fj_20100127 2" xfId="4918" xr:uid="{00000000-0005-0000-0000-0000F4120000}"/>
    <cellStyle name="_4F設置場所_ラック構成図_RX100Si-R削除(新事務処理)_【20091225】千里導入明細資料_２２年度上期分_営業店DB_【調整中】千里導入明細資料_２２年度上期分_fj_20100127_Ⅹ_課題と対応策_20121211" xfId="4919" xr:uid="{00000000-0005-0000-0000-0000F5120000}"/>
    <cellStyle name="_4F設置場所_ラック構成図_RX100Si-R削除(新事務処理)_【20091225】千里導入明細資料_２２年度上期分_営業店DB_【調整中】千里導入明細資料_２２年度上期分_fj_20100127_Ⅹ_課題と対応策_20121211 2" xfId="4920" xr:uid="{00000000-0005-0000-0000-0000F6120000}"/>
    <cellStyle name="_4F設置場所_ラック構成図_RX100Si-R削除(新事務処理)_【20091225】千里導入明細資料_２２年度上期分_営業店DB_Ⅹ_課題と対応策_20121211" xfId="4921" xr:uid="{00000000-0005-0000-0000-0000F7120000}"/>
    <cellStyle name="_4F設置場所_ラック構成図_RX100Si-R削除(新事務処理)_【20091225】千里導入明細資料_２２年度上期分_営業店DB_Ⅹ_課題と対応策_20121211 2" xfId="4922" xr:uid="{00000000-0005-0000-0000-0000F8120000}"/>
    <cellStyle name="_4F設置場所_ラック構成図_RX100Si-R削除(新事務処理)_【20091225】千里導入明細資料_２２年度上期分_連携DB" xfId="4923" xr:uid="{00000000-0005-0000-0000-0000F9120000}"/>
    <cellStyle name="_4F設置場所_ラック構成図_RX100Si-R削除(新事務処理)_【20091225】千里導入明細資料_２２年度上期分_連携DB 2" xfId="4924" xr:uid="{00000000-0005-0000-0000-0000FA120000}"/>
    <cellStyle name="_4F設置場所_ラック構成図_RX100Si-R削除(新事務処理)_【20091225】千里導入明細資料_２２年度上期分_連携DB_【調整中】千里導入明細資料_２２年度上期分_fj_20100127" xfId="4925" xr:uid="{00000000-0005-0000-0000-0000FB120000}"/>
    <cellStyle name="_4F設置場所_ラック構成図_RX100Si-R削除(新事務処理)_【20091225】千里導入明細資料_２２年度上期分_連携DB_【調整中】千里導入明細資料_２２年度上期分_fj_20100127 2" xfId="4926" xr:uid="{00000000-0005-0000-0000-0000FC120000}"/>
    <cellStyle name="_4F設置場所_ラック構成図_RX100Si-R削除(新事務処理)_【20091225】千里導入明細資料_２２年度上期分_連携DB_【調整中】千里導入明細資料_２２年度上期分_fj_20100127_Ⅹ_課題と対応策_20121211" xfId="4927" xr:uid="{00000000-0005-0000-0000-0000FD120000}"/>
    <cellStyle name="_4F設置場所_ラック構成図_RX100Si-R削除(新事務処理)_【20091225】千里導入明細資料_２２年度上期分_連携DB_【調整中】千里導入明細資料_２２年度上期分_fj_20100127_Ⅹ_課題と対応策_20121211 2" xfId="4928" xr:uid="{00000000-0005-0000-0000-0000FE120000}"/>
    <cellStyle name="_4F設置場所_ラック構成図_RX100Si-R削除(新事務処理)_【20091225】千里導入明細資料_２２年度上期分_連携DB_Ⅹ_課題と対応策_20121211" xfId="4929" xr:uid="{00000000-0005-0000-0000-0000FF120000}"/>
    <cellStyle name="_4F設置場所_ラック構成図_RX100Si-R削除(新事務処理)_【20091225】千里導入明細資料_２２年度上期分_連携DB_Ⅹ_課題と対応策_20121211 2" xfId="4930" xr:uid="{00000000-0005-0000-0000-000000130000}"/>
    <cellStyle name="_4F設置場所_ラック構成図_RX100Si-R削除(新事務処理)_【作成中】千里センター機器配置図（2010年対応分）_20091221" xfId="4931" xr:uid="{00000000-0005-0000-0000-000001130000}"/>
    <cellStyle name="_4F設置場所_ラック構成図_RX100Si-R削除(新事務処理)_【作成中】千里センター機器配置図（2010年対応分）_20091221 2" xfId="4932" xr:uid="{00000000-0005-0000-0000-000002130000}"/>
    <cellStyle name="_4F設置場所_ラック構成図_RX100Si-R削除(新事務処理)_【作成中】千里センター機器配置図（2010年対応分）_20091221_【調整中】千里導入明細資料_２２年度上期分_fj_20100127" xfId="4933" xr:uid="{00000000-0005-0000-0000-000003130000}"/>
    <cellStyle name="_4F設置場所_ラック構成図_RX100Si-R削除(新事務処理)_【作成中】千里センター機器配置図（2010年対応分）_20091221_【調整中】千里導入明細資料_２２年度上期分_fj_20100127 2" xfId="4934" xr:uid="{00000000-0005-0000-0000-000004130000}"/>
    <cellStyle name="_4F設置場所_ラック構成図_RX100Si-R削除(新事務処理)_【作成中】千里センター機器配置図（2010年対応分）_20091221_【調整中】千里導入明細資料_２２年度上期分_fj_20100127_Ⅹ_課題と対応策_20121211" xfId="4935" xr:uid="{00000000-0005-0000-0000-000005130000}"/>
    <cellStyle name="_4F設置場所_ラック構成図_RX100Si-R削除(新事務処理)_【作成中】千里センター機器配置図（2010年対応分）_20091221_【調整中】千里導入明細資料_２２年度上期分_fj_20100127_Ⅹ_課題と対応策_20121211 2" xfId="4936" xr:uid="{00000000-0005-0000-0000-000006130000}"/>
    <cellStyle name="_4F設置場所_ラック構成図_RX100Si-R削除(新事務処理)_【作成中】千里センター機器配置図（2010年対応分）_20091221_Ⅹ_課題と対応策_20121211" xfId="4937" xr:uid="{00000000-0005-0000-0000-000007130000}"/>
    <cellStyle name="_4F設置場所_ラック構成図_RX100Si-R削除(新事務処理)_【作成中】千里センター機器配置図（2010年対応分）_20091221_Ⅹ_課題と対応策_20121211 2" xfId="4938" xr:uid="{00000000-0005-0000-0000-000008130000}"/>
    <cellStyle name="_4F設置場所_ラック構成図_RX100Si-R削除(新事務処理)_Ⅹ_課題と対応策_20121211" xfId="4939" xr:uid="{00000000-0005-0000-0000-000009130000}"/>
    <cellStyle name="_4F設置場所_ラック構成図_RX100Si-R削除(新事務処理)_Ⅹ_課題と対応策_20121211 2" xfId="4940" xr:uid="{00000000-0005-0000-0000-00000A130000}"/>
    <cellStyle name="_4F設置場所_千里導入明細資料_２２年度分（ネットワーク敷設）_fj" xfId="4941" xr:uid="{00000000-0005-0000-0000-00000B130000}"/>
    <cellStyle name="_4F設置場所_千里導入明細資料_２２年度分（ネットワーク敷設）_fj 2" xfId="4942" xr:uid="{00000000-0005-0000-0000-00000C130000}"/>
    <cellStyle name="_4F設置場所_千里導入明細資料_２２年度分（ネットワーク敷設）_fj_Ⅹ_課題と対応策_20121211" xfId="4943" xr:uid="{00000000-0005-0000-0000-00000D130000}"/>
    <cellStyle name="_4F設置場所_千里導入明細資料_２２年度分（ネットワーク敷設）_fj_Ⅹ_課題と対応策_20121211 2" xfId="4944" xr:uid="{00000000-0005-0000-0000-00000E130000}"/>
    <cellStyle name="_BestwayKO見積り依頼書(フル構成)" xfId="4945" xr:uid="{00000000-0005-0000-0000-00000F130000}"/>
    <cellStyle name="_Bestway信託見積もり依頼書_再見積り" xfId="4946" xr:uid="{00000000-0005-0000-0000-000010130000}"/>
    <cellStyle name="_FACTSETシステム更改_要件定義兼外部設計_20100816_01版" xfId="4947" xr:uid="{00000000-0005-0000-0000-000011130000}"/>
    <cellStyle name="_FACTSETシステム更改_要件定義兼外部設計_20100816_01版 2" xfId="4948" xr:uid="{00000000-0005-0000-0000-000012130000}"/>
    <cellStyle name="_FACTSETシステム更改_要件定義兼外部設計_20100816_01版_Ⅹ_課題と対応策_20121211" xfId="4949" xr:uid="{00000000-0005-0000-0000-000013130000}"/>
    <cellStyle name="_FACTSETシステム更改_要件定義兼外部設計_20100816_01版_Ⅹ_課題と対応策_20121211 2" xfId="4950" xr:uid="{00000000-0005-0000-0000-000014130000}"/>
    <cellStyle name="_w2k3ヒアリングシート_20060519" xfId="4951" xr:uid="{00000000-0005-0000-0000-000015130000}"/>
    <cellStyle name="_基盤設計書_tmp（根岸編集） 20060519" xfId="4952" xr:uid="{00000000-0005-0000-0000-000016130000}"/>
    <cellStyle name="_三菱UFJ信託銀行様お見積り20071214" xfId="4953" xr:uid="{00000000-0005-0000-0000-000017130000}"/>
    <cellStyle name="_資源配付更改費用サマリ_20090311b" xfId="4954" xr:uid="{00000000-0005-0000-0000-000018130000}"/>
    <cellStyle name="_千里センター機器構築スケジュール（８月分）_20090731" xfId="4955" xr:uid="{00000000-0005-0000-0000-000019130000}"/>
    <cellStyle name="_千里センター機器構築スケジュール（８月分）_20090731 2" xfId="4956" xr:uid="{00000000-0005-0000-0000-00001A130000}"/>
    <cellStyle name="_千里センター機器構築スケジュール（８月分）_20090731_【20090731】千里導入明細資料_２１年度分（９月工事分）" xfId="4957" xr:uid="{00000000-0005-0000-0000-00001B130000}"/>
    <cellStyle name="_千里センター機器構築スケジュール（８月分）_20090731_【20090731】千里導入明細資料_２１年度分（９月工事分） 2" xfId="4958" xr:uid="{00000000-0005-0000-0000-00001C130000}"/>
    <cellStyle name="_千里センター機器構築スケジュール（８月分）_20090731_【20090731】千里導入明細資料_２１年度分（９月工事分）_【20090821】千里ラック搭載図（NW機器）" xfId="4959" xr:uid="{00000000-0005-0000-0000-00001D130000}"/>
    <cellStyle name="_千里センター機器構築スケジュール（８月分）_20090731_【20090731】千里導入明細資料_２１年度分（９月工事分）_【20090821】千里ラック搭載図（NW機器） 2" xfId="4960" xr:uid="{00000000-0005-0000-0000-00001E130000}"/>
    <cellStyle name="_千里センター機器構築スケジュール（８月分）_20090731_【20090731】千里導入明細資料_２１年度分（９月工事分）_【20090821】千里ラック搭載図（NW機器）_Ⅹ_課題と対応策_20121211" xfId="4961" xr:uid="{00000000-0005-0000-0000-00001F130000}"/>
    <cellStyle name="_千里センター機器構築スケジュール（８月分）_20090731_【20090731】千里導入明細資料_２１年度分（９月工事分）_【20090821】千里ラック搭載図（NW機器）_Ⅹ_課題と対応策_20121211 2" xfId="4962" xr:uid="{00000000-0005-0000-0000-000020130000}"/>
    <cellStyle name="_千里センター機器構築スケジュール（８月分）_20090731_【20090731】千里導入明細資料_２１年度分（９月工事分）_Ⅹ_課題と対応策_20121211" xfId="4963" xr:uid="{00000000-0005-0000-0000-000021130000}"/>
    <cellStyle name="_千里センター機器構築スケジュール（８月分）_20090731_【20090731】千里導入明細資料_２１年度分（９月工事分）_Ⅹ_課題と対応策_20121211 2" xfId="4964" xr:uid="{00000000-0005-0000-0000-000022130000}"/>
    <cellStyle name="_千里センター機器構築スケジュール（８月分）_20090731_【20090821】千里ラック搭載図（NW機器）" xfId="4965" xr:uid="{00000000-0005-0000-0000-000023130000}"/>
    <cellStyle name="_千里センター機器構築スケジュール（８月分）_20090731_【20090821】千里ラック搭載図（NW機器） 2" xfId="4966" xr:uid="{00000000-0005-0000-0000-000024130000}"/>
    <cellStyle name="_千里センター機器構築スケジュール（８月分）_20090731_【20090821】千里ラック搭載図（NW機器）_Ⅹ_課題と対応策_20121211" xfId="4967" xr:uid="{00000000-0005-0000-0000-000025130000}"/>
    <cellStyle name="_千里センター機器構築スケジュール（８月分）_20090731_【20090821】千里ラック搭載図（NW機器）_Ⅹ_課題と対応策_20121211 2" xfId="4968" xr:uid="{00000000-0005-0000-0000-000026130000}"/>
    <cellStyle name="_千里センター機器構築スケジュール（８月分）_20090731_【20091218】千里導入明細資料_２１年度分（ネットワーク敷設）" xfId="4969" xr:uid="{00000000-0005-0000-0000-000027130000}"/>
    <cellStyle name="_千里センター機器構築スケジュール（８月分）_20090731_【20091218】千里導入明細資料_２１年度分（ネットワーク敷設） 2" xfId="4970" xr:uid="{00000000-0005-0000-0000-000028130000}"/>
    <cellStyle name="_千里センター機器構築スケジュール（８月分）_20090731_【20091218】千里導入明細資料_２１年度分（ネットワーク敷設）_Ⅹ_課題と対応策_20121211" xfId="4971" xr:uid="{00000000-0005-0000-0000-000029130000}"/>
    <cellStyle name="_千里センター機器構築スケジュール（８月分）_20090731_【20091218】千里導入明細資料_２１年度分（ネットワーク敷設）_Ⅹ_課題と対応策_20121211 2" xfId="4972" xr:uid="{00000000-0005-0000-0000-00002A130000}"/>
    <cellStyle name="_千里センター機器構築スケジュール（８月分）_20090731_【20091224】千里導入明細資料_２２年度上期分_営業店DB" xfId="4973" xr:uid="{00000000-0005-0000-0000-00002B130000}"/>
    <cellStyle name="_千里センター機器構築スケジュール（８月分）_20090731_【20091224】千里導入明細資料_２２年度上期分_営業店DB 2" xfId="4974" xr:uid="{00000000-0005-0000-0000-00002C130000}"/>
    <cellStyle name="_千里センター機器構築スケジュール（８月分）_20090731_【20091224】千里導入明細資料_２２年度上期分_営業店DB_【20091225】千里導入明細資料_２２年度上期分（営業店ＡＰ－ＤＢ）" xfId="4975" xr:uid="{00000000-0005-0000-0000-00002D130000}"/>
    <cellStyle name="_千里センター機器構築スケジュール（８月分）_20090731_【20091224】千里導入明細資料_２２年度上期分_営業店DB_【20091225】千里導入明細資料_２２年度上期分（営業店ＡＰ－ＤＢ） 2" xfId="4976" xr:uid="{00000000-0005-0000-0000-00002E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977" xr:uid="{00000000-0005-0000-0000-00002F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978" xr:uid="{00000000-0005-0000-0000-000030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979" xr:uid="{00000000-0005-0000-0000-000031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980" xr:uid="{00000000-0005-0000-0000-000032130000}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" xfId="4981" xr:uid="{00000000-0005-0000-0000-000033130000}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982" xr:uid="{00000000-0005-0000-0000-000034130000}"/>
    <cellStyle name="_千里センター機器構築スケジュール（８月分）_20090731_【20091224】千里導入明細資料_２２年度上期分_営業店DB_【20091225】千里導入明細資料_２２年度上期分_営業店DB" xfId="4983" xr:uid="{00000000-0005-0000-0000-000035130000}"/>
    <cellStyle name="_千里センター機器構築スケジュール（８月分）_20090731_【20091224】千里導入明細資料_２２年度上期分_営業店DB_【20091225】千里導入明細資料_２２年度上期分_営業店DB 2" xfId="4984" xr:uid="{00000000-0005-0000-0000-000036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985" xr:uid="{00000000-0005-0000-0000-000037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986" xr:uid="{00000000-0005-0000-0000-000038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987" xr:uid="{00000000-0005-0000-0000-000039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988" xr:uid="{00000000-0005-0000-0000-00003A130000}"/>
    <cellStyle name="_千里センター機器構築スケジュール（８月分）_20090731_【20091224】千里導入明細資料_２２年度上期分_営業店DB_【20091225】千里導入明細資料_２２年度上期分_営業店DB_Ⅹ_課題と対応策_20121211" xfId="4989" xr:uid="{00000000-0005-0000-0000-00003B130000}"/>
    <cellStyle name="_千里センター機器構築スケジュール（８月分）_20090731_【20091224】千里導入明細資料_２２年度上期分_営業店DB_【20091225】千里導入明細資料_２２年度上期分_営業店DB_Ⅹ_課題と対応策_20121211 2" xfId="4990" xr:uid="{00000000-0005-0000-0000-00003C130000}"/>
    <cellStyle name="_千里センター機器構築スケジュール（８月分）_20090731_【20091224】千里導入明細資料_２２年度上期分_営業店DB_Ⅹ_課題と対応策_20121211" xfId="4991" xr:uid="{00000000-0005-0000-0000-00003D130000}"/>
    <cellStyle name="_千里センター機器構築スケジュール（８月分）_20090731_【20091224】千里導入明細資料_２２年度上期分_営業店DB_Ⅹ_課題と対応策_20121211 2" xfId="4992" xr:uid="{00000000-0005-0000-0000-00003E130000}"/>
    <cellStyle name="_千里センター機器構築スケジュール（８月分）_20090731_【20091225】千里導入明細資料_２２年度上期分" xfId="4993" xr:uid="{00000000-0005-0000-0000-00003F130000}"/>
    <cellStyle name="_千里センター機器構築スケジュール（８月分）_20090731_【20091225】千里導入明細資料_２２年度上期分 2" xfId="4994" xr:uid="{00000000-0005-0000-0000-000040130000}"/>
    <cellStyle name="_千里センター機器構築スケジュール（８月分）_20090731_【20091225】千里導入明細資料_２２年度上期分_Ⅹ_課題と対応策_20121211" xfId="4995" xr:uid="{00000000-0005-0000-0000-000041130000}"/>
    <cellStyle name="_千里センター機器構築スケジュール（８月分）_20090731_【20091225】千里導入明細資料_２２年度上期分_Ⅹ_課題と対応策_20121211 2" xfId="4996" xr:uid="{00000000-0005-0000-0000-000042130000}"/>
    <cellStyle name="_千里センター機器構築スケジュール（８月分）_20090731_【20091225】千里導入明細資料_２２年度上期分_営業店DB" xfId="4997" xr:uid="{00000000-0005-0000-0000-000043130000}"/>
    <cellStyle name="_千里センター機器構築スケジュール（８月分）_20090731_【20091225】千里導入明細資料_２２年度上期分_営業店DB 2" xfId="4998" xr:uid="{00000000-0005-0000-0000-000044130000}"/>
    <cellStyle name="_千里センター機器構築スケジュール（８月分）_20090731_【20091225】千里導入明細資料_２２年度上期分_営業店DB_Ⅹ_課題と対応策_20121211" xfId="4999" xr:uid="{00000000-0005-0000-0000-000045130000}"/>
    <cellStyle name="_千里センター機器構築スケジュール（８月分）_20090731_【20091225】千里導入明細資料_２２年度上期分_営業店DB_Ⅹ_課題と対応策_20121211 2" xfId="5000" xr:uid="{00000000-0005-0000-0000-000046130000}"/>
    <cellStyle name="_千里センター機器構築スケジュール（８月分）_20090731_【20091225】千里導入明細資料_２２年度上期分_連携DB" xfId="5001" xr:uid="{00000000-0005-0000-0000-000047130000}"/>
    <cellStyle name="_千里センター機器構築スケジュール（８月分）_20090731_【20091225】千里導入明細資料_２２年度上期分_連携DB 2" xfId="5002" xr:uid="{00000000-0005-0000-0000-000048130000}"/>
    <cellStyle name="_千里センター機器構築スケジュール（８月分）_20090731_【20091225】千里導入明細資料_２２年度上期分_連携DB_Ⅹ_課題と対応策_20121211" xfId="5003" xr:uid="{00000000-0005-0000-0000-000049130000}"/>
    <cellStyle name="_千里センター機器構築スケジュール（８月分）_20090731_【20091225】千里導入明細資料_２２年度上期分_連携DB_Ⅹ_課題と対応策_20121211 2" xfId="5004" xr:uid="{00000000-0005-0000-0000-00004A130000}"/>
    <cellStyle name="_千里センター機器構築スケジュール（８月分）_20090731_【200912xx】千里導入明細資料_２２年度上期分" xfId="5005" xr:uid="{00000000-0005-0000-0000-00004B130000}"/>
    <cellStyle name="_千里センター機器構築スケジュール（８月分）_20090731_【200912xx】千里導入明細資料_２２年度上期分 2" xfId="5006" xr:uid="{00000000-0005-0000-0000-00004C130000}"/>
    <cellStyle name="_千里センター機器構築スケジュール（８月分）_20090731_【200912xx】千里導入明細資料_２２年度上期分（為替分）" xfId="5007" xr:uid="{00000000-0005-0000-0000-00004D130000}"/>
    <cellStyle name="_千里センター機器構築スケジュール（８月分）_20090731_【200912xx】千里導入明細資料_２２年度上期分（為替分） 2" xfId="5008" xr:uid="{00000000-0005-0000-0000-00004E130000}"/>
    <cellStyle name="_千里センター機器構築スケジュール（８月分）_20090731_【200912xx】千里導入明細資料_２２年度上期分（為替分）_Ⅹ_課題と対応策_20121211" xfId="5009" xr:uid="{00000000-0005-0000-0000-00004F130000}"/>
    <cellStyle name="_千里センター機器構築スケジュール（８月分）_20090731_【200912xx】千里導入明細資料_２２年度上期分（為替分）_Ⅹ_課題と対応策_20121211 2" xfId="5010" xr:uid="{00000000-0005-0000-0000-000050130000}"/>
    <cellStyle name="_千里センター機器構築スケジュール（８月分）_20090731_【200912xx】千里導入明細資料_２２年度上期分_【20091225】千里導入明細資料_２２年度上期分（営業店ＡＰ－ＤＢ）" xfId="5011" xr:uid="{00000000-0005-0000-0000-000051130000}"/>
    <cellStyle name="_千里センター機器構築スケジュール（８月分）_20090731_【200912xx】千里導入明細資料_２２年度上期分_【20091225】千里導入明細資料_２２年度上期分（営業店ＡＰ－ＤＢ） 2" xfId="5012" xr:uid="{00000000-0005-0000-0000-000052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13" xr:uid="{00000000-0005-0000-0000-000053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14" xr:uid="{00000000-0005-0000-0000-000054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15" xr:uid="{00000000-0005-0000-0000-000055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16" xr:uid="{00000000-0005-0000-0000-000056130000}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" xfId="5017" xr:uid="{00000000-0005-0000-0000-000057130000}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 2" xfId="5018" xr:uid="{00000000-0005-0000-0000-000058130000}"/>
    <cellStyle name="_千里センター機器構築スケジュール（８月分）_20090731_【200912xx】千里導入明細資料_２２年度上期分_【20091225】千里導入明細資料_２２年度上期分_営業店DB" xfId="5019" xr:uid="{00000000-0005-0000-0000-000059130000}"/>
    <cellStyle name="_千里センター機器構築スケジュール（８月分）_20090731_【200912xx】千里導入明細資料_２２年度上期分_【20091225】千里導入明細資料_２２年度上期分_営業店DB 2" xfId="5020" xr:uid="{00000000-0005-0000-0000-00005A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021" xr:uid="{00000000-0005-0000-0000-00005B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022" xr:uid="{00000000-0005-0000-0000-00005C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023" xr:uid="{00000000-0005-0000-0000-00005D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024" xr:uid="{00000000-0005-0000-0000-00005E130000}"/>
    <cellStyle name="_千里センター機器構築スケジュール（８月分）_20090731_【200912xx】千里導入明細資料_２２年度上期分_【20091225】千里導入明細資料_２２年度上期分_営業店DB_Ⅹ_課題と対応策_20121211" xfId="5025" xr:uid="{00000000-0005-0000-0000-00005F130000}"/>
    <cellStyle name="_千里センター機器構築スケジュール（８月分）_20090731_【200912xx】千里導入明細資料_２２年度上期分_【20091225】千里導入明細資料_２２年度上期分_営業店DB_Ⅹ_課題と対応策_20121211 2" xfId="5026" xr:uid="{00000000-0005-0000-0000-000060130000}"/>
    <cellStyle name="_千里センター機器構築スケジュール（８月分）_20090731_【200912xx】千里導入明細資料_２２年度上期分_【20091225】千里導入明細資料_２２年度上期分_連携DB" xfId="5027" xr:uid="{00000000-0005-0000-0000-000061130000}"/>
    <cellStyle name="_千里センター機器構築スケジュール（８月分）_20090731_【200912xx】千里導入明細資料_２２年度上期分_【20091225】千里導入明細資料_２２年度上期分_連携DB 2" xfId="5028" xr:uid="{00000000-0005-0000-0000-000062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029" xr:uid="{00000000-0005-0000-0000-000063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030" xr:uid="{00000000-0005-0000-0000-000064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031" xr:uid="{00000000-0005-0000-0000-000065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032" xr:uid="{00000000-0005-0000-0000-000066130000}"/>
    <cellStyle name="_千里センター機器構築スケジュール（８月分）_20090731_【200912xx】千里導入明細資料_２２年度上期分_【20091225】千里導入明細資料_２２年度上期分_連携DB_Ⅹ_課題と対応策_20121211" xfId="5033" xr:uid="{00000000-0005-0000-0000-000067130000}"/>
    <cellStyle name="_千里センター機器構築スケジュール（８月分）_20090731_【200912xx】千里導入明細資料_２２年度上期分_【20091225】千里導入明細資料_２２年度上期分_連携DB_Ⅹ_課題と対応策_20121211 2" xfId="5034" xr:uid="{00000000-0005-0000-0000-000068130000}"/>
    <cellStyle name="_千里センター機器構築スケジュール（８月分）_20090731_【200912xx】千里導入明細資料_２２年度上期分_Ⅹ_課題と対応策_20121211" xfId="5035" xr:uid="{00000000-0005-0000-0000-000069130000}"/>
    <cellStyle name="_千里センター機器構築スケジュール（８月分）_20090731_【200912xx】千里導入明細資料_２２年度上期分_Ⅹ_課題と対応策_20121211 2" xfId="5036" xr:uid="{00000000-0005-0000-0000-00006A130000}"/>
    <cellStyle name="_千里センター機器構築スケジュール（８月分）_20090731_【調整中】千里導入明細資料_２２年度上期分_fj_20100127" xfId="5037" xr:uid="{00000000-0005-0000-0000-00006B130000}"/>
    <cellStyle name="_千里センター機器構築スケジュール（８月分）_20090731_【調整中】千里導入明細資料_２２年度上期分_fj_20100127 2" xfId="5038" xr:uid="{00000000-0005-0000-0000-00006C130000}"/>
    <cellStyle name="_千里センター機器構築スケジュール（８月分）_20090731_【調整中】千里導入明細資料_２２年度上期分_fj_20100127_Ⅹ_課題と対応策_20121211" xfId="5039" xr:uid="{00000000-0005-0000-0000-00006D130000}"/>
    <cellStyle name="_千里センター機器構築スケジュール（８月分）_20090731_【調整中】千里導入明細資料_２２年度上期分_fj_20100127_Ⅹ_課題と対応策_20121211 2" xfId="5040" xr:uid="{00000000-0005-0000-0000-00006E130000}"/>
    <cellStyle name="_千里センター機器構築スケジュール（８月分）_20090731_①【20091225】千里導入明細資料_２２年度上期1分)" xfId="5041" xr:uid="{00000000-0005-0000-0000-00006F130000}"/>
    <cellStyle name="_千里センター機器構築スケジュール（８月分）_20090731_①【20091225】千里導入明細資料_２２年度上期1分) 2" xfId="5042" xr:uid="{00000000-0005-0000-0000-000070130000}"/>
    <cellStyle name="_千里センター機器構築スケジュール（８月分）_20090731_①【20091225】千里導入明細資料_２２年度上期1分)_Ⅹ_課題と対応策_20121211" xfId="5043" xr:uid="{00000000-0005-0000-0000-000071130000}"/>
    <cellStyle name="_千里センター機器構築スケジュール（８月分）_20090731_①【20091225】千里導入明細資料_２２年度上期1分)_Ⅹ_課題と対応策_20121211 2" xfId="5044" xr:uid="{00000000-0005-0000-0000-000072130000}"/>
    <cellStyle name="_千里センター機器構築スケジュール（８月分）_20090731_Ⅹ_課題と対応策_20121211" xfId="5045" xr:uid="{00000000-0005-0000-0000-000073130000}"/>
    <cellStyle name="_千里センター機器構築スケジュール（８月分）_20090731_Ⅹ_課題と対応策_20121211 2" xfId="5046" xr:uid="{00000000-0005-0000-0000-000074130000}"/>
    <cellStyle name="_千里センター機器構築スケジュール（８月分）_20090731_千里導入明細資料_２２年度分（ネットワーク敷設）_fj" xfId="5047" xr:uid="{00000000-0005-0000-0000-000075130000}"/>
    <cellStyle name="_千里センター機器構築スケジュール（８月分）_20090731_千里導入明細資料_２２年度分（ネットワーク敷設）_fj 2" xfId="5048" xr:uid="{00000000-0005-0000-0000-000076130000}"/>
    <cellStyle name="_千里センター機器構築スケジュール（８月分）_20090731_千里導入明細資料_２２年度分（ネットワーク敷設）_fj_Ⅹ_課題と対応策_20121211" xfId="5049" xr:uid="{00000000-0005-0000-0000-000077130000}"/>
    <cellStyle name="_千里センター機器構築スケジュール（８月分）_20090731_千里導入明細資料_２２年度分（ネットワーク敷設）_fj_Ⅹ_課題と対応策_20121211 2" xfId="5050" xr:uid="{00000000-0005-0000-0000-000078130000}"/>
    <cellStyle name="_他社ｿﾌﾄｳｪｱ使用条件確認依頼書ﾌﾞﾗﾝｸ(購買）" xfId="5051" xr:uid="{00000000-0005-0000-0000-000079130000}"/>
    <cellStyle name="_電源" xfId="5052" xr:uid="{00000000-0005-0000-0000-00007A130000}"/>
    <cellStyle name="_与信審査支援システム再見積依頼書一式" xfId="5053" xr:uid="{00000000-0005-0000-0000-00007B130000}"/>
    <cellStyle name="_与信審査支援システム再見積依頼書一式_2" xfId="5054" xr:uid="{00000000-0005-0000-0000-00007C130000}"/>
    <cellStyle name="_与信審査支援システム再見積依頼書一式_KO_20070323_disk2t" xfId="5055" xr:uid="{00000000-0005-0000-0000-00007D130000}"/>
    <cellStyle name="_与信審査支援システム再見積依頼書一式_KO_20070516" xfId="5056" xr:uid="{00000000-0005-0000-0000-00007E130000}"/>
    <cellStyle name="_与信審査支援システム発注依頼書一式_4" xfId="5057" xr:uid="{00000000-0005-0000-0000-00007F130000}"/>
    <cellStyle name="&lt;H&gt;罫無" xfId="5058" xr:uid="{00000000-0005-0000-0000-000080130000}"/>
    <cellStyle name="&lt;H&gt;罫有" xfId="5059" xr:uid="{00000000-0005-0000-0000-000081130000}"/>
    <cellStyle name="•W?_Ach-0020.XLS" xfId="5060" xr:uid="{00000000-0005-0000-0000-000082130000}"/>
    <cellStyle name="•W€_?–?”•\" xfId="5061" xr:uid="{00000000-0005-0000-0000-000083130000}"/>
    <cellStyle name="\|IEEnCp[N" xfId="5062" xr:uid="{00000000-0005-0000-0000-000084130000}"/>
    <cellStyle name="\¦ÏÝÌnCp[N" xfId="5063" xr:uid="{00000000-0005-0000-0000-000085130000}"/>
    <cellStyle name="nCp[N" xfId="5064" xr:uid="{00000000-0005-0000-0000-000086130000}"/>
    <cellStyle name="W_il®j" xfId="5065" xr:uid="{00000000-0005-0000-0000-000087130000}"/>
    <cellStyle name="Wdl" xfId="5066" xr:uid="{00000000-0005-0000-0000-000088130000}"/>
    <cellStyle name="0" xfId="5067" xr:uid="{00000000-0005-0000-0000-000089130000}"/>
    <cellStyle name="0 2" xfId="5068" xr:uid="{00000000-0005-0000-0000-00008A130000}"/>
    <cellStyle name="0 3" xfId="5069" xr:uid="{00000000-0005-0000-0000-00008B130000}"/>
    <cellStyle name="0%" xfId="5070" xr:uid="{00000000-0005-0000-0000-00008C130000}"/>
    <cellStyle name="0,0_x000d__x000a_NA_x000d__x000a_" xfId="2" xr:uid="{00000000-0005-0000-0000-00008D130000}"/>
    <cellStyle name="0,0_x000d__x000a_NA_x000d__x000a_ 2" xfId="5071" xr:uid="{00000000-0005-0000-0000-00008E130000}"/>
    <cellStyle name="0,0_x000d__x000a_NA_x000d__x000a_ 2 2" xfId="5072" xr:uid="{00000000-0005-0000-0000-00008F130000}"/>
    <cellStyle name="0,0_x000d__x000a_NA_x000d__x000a_ 3" xfId="5073" xr:uid="{00000000-0005-0000-0000-000090130000}"/>
    <cellStyle name="0,0_x000d__x000a_NA_x000d__x000a_ 4" xfId="5074" xr:uid="{00000000-0005-0000-0000-000091130000}"/>
    <cellStyle name="0.0" xfId="5075" xr:uid="{00000000-0005-0000-0000-000092130000}"/>
    <cellStyle name="0.0%" xfId="5076" xr:uid="{00000000-0005-0000-0000-000093130000}"/>
    <cellStyle name="0.00%" xfId="5077" xr:uid="{00000000-0005-0000-0000-000094130000}"/>
    <cellStyle name="00" xfId="5078" xr:uid="{00000000-0005-0000-0000-000095130000}"/>
    <cellStyle name="0000" xfId="3" xr:uid="{00000000-0005-0000-0000-000096130000}"/>
    <cellStyle name="１" xfId="5079" xr:uid="{00000000-0005-0000-0000-000097130000}"/>
    <cellStyle name="１_PJ管理フォームテンプレート" xfId="5080" xr:uid="{00000000-0005-0000-0000-000098130000}"/>
    <cellStyle name="10p,表組,m" xfId="5081" xr:uid="{00000000-0005-0000-0000-000099130000}"/>
    <cellStyle name="10p,表組,m 2" xfId="5082" xr:uid="{00000000-0005-0000-0000-00009A130000}"/>
    <cellStyle name="10p,表組,m 2 2" xfId="5083" xr:uid="{00000000-0005-0000-0000-00009B130000}"/>
    <cellStyle name="10p,表組,m 2 3" xfId="5084" xr:uid="{00000000-0005-0000-0000-00009C130000}"/>
    <cellStyle name="10p,表組,m 2 4" xfId="5085" xr:uid="{00000000-0005-0000-0000-00009D130000}"/>
    <cellStyle name="10p,表組,m 3" xfId="5086" xr:uid="{00000000-0005-0000-0000-00009E130000}"/>
    <cellStyle name="10p,表組,m 4" xfId="5087" xr:uid="{00000000-0005-0000-0000-00009F130000}"/>
    <cellStyle name="10p,表組,m 5" xfId="5088" xr:uid="{00000000-0005-0000-0000-0000A0130000}"/>
    <cellStyle name="11.5" xfId="5089" xr:uid="{00000000-0005-0000-0000-0000A1130000}"/>
    <cellStyle name="11.5 2" xfId="5090" xr:uid="{00000000-0005-0000-0000-0000A2130000}"/>
    <cellStyle name="11.5 2 2" xfId="5091" xr:uid="{00000000-0005-0000-0000-0000A3130000}"/>
    <cellStyle name="11.5 2 3" xfId="5092" xr:uid="{00000000-0005-0000-0000-0000A4130000}"/>
    <cellStyle name="11.5 2 4" xfId="5093" xr:uid="{00000000-0005-0000-0000-0000A5130000}"/>
    <cellStyle name="11.5 3" xfId="5094" xr:uid="{00000000-0005-0000-0000-0000A6130000}"/>
    <cellStyle name="11.5 4" xfId="5095" xr:uid="{00000000-0005-0000-0000-0000A7130000}"/>
    <cellStyle name="11.5 5" xfId="5096" xr:uid="{00000000-0005-0000-0000-0000A8130000}"/>
    <cellStyle name="２" xfId="5097" xr:uid="{00000000-0005-0000-0000-0000A9130000}"/>
    <cellStyle name="２ 2" xfId="5098" xr:uid="{00000000-0005-0000-0000-0000AA130000}"/>
    <cellStyle name="２ 2 2" xfId="5099" xr:uid="{00000000-0005-0000-0000-0000AB130000}"/>
    <cellStyle name="２ 2 2 2" xfId="5100" xr:uid="{00000000-0005-0000-0000-0000AC130000}"/>
    <cellStyle name="２ 2 2 2 2" xfId="5101" xr:uid="{00000000-0005-0000-0000-0000AD130000}"/>
    <cellStyle name="２ 2 2 3" xfId="5102" xr:uid="{00000000-0005-0000-0000-0000AE130000}"/>
    <cellStyle name="２ 2 2 3 2" xfId="5103" xr:uid="{00000000-0005-0000-0000-0000AF130000}"/>
    <cellStyle name="２ 2 3" xfId="5104" xr:uid="{00000000-0005-0000-0000-0000B0130000}"/>
    <cellStyle name="２ 2 3 2" xfId="5105" xr:uid="{00000000-0005-0000-0000-0000B1130000}"/>
    <cellStyle name="２ 2 4" xfId="5106" xr:uid="{00000000-0005-0000-0000-0000B2130000}"/>
    <cellStyle name="２ 2 4 2" xfId="5107" xr:uid="{00000000-0005-0000-0000-0000B3130000}"/>
    <cellStyle name="２ 3" xfId="5108" xr:uid="{00000000-0005-0000-0000-0000B4130000}"/>
    <cellStyle name="２ 3 2" xfId="5109" xr:uid="{00000000-0005-0000-0000-0000B5130000}"/>
    <cellStyle name="２ 4" xfId="5110" xr:uid="{00000000-0005-0000-0000-0000B6130000}"/>
    <cellStyle name="２ 4 2" xfId="5111" xr:uid="{00000000-0005-0000-0000-0000B7130000}"/>
    <cellStyle name="20% - Accent1" xfId="5112" xr:uid="{00000000-0005-0000-0000-0000B8130000}"/>
    <cellStyle name="20% - Accent2" xfId="5113" xr:uid="{00000000-0005-0000-0000-0000B9130000}"/>
    <cellStyle name="20% - Accent3" xfId="5114" xr:uid="{00000000-0005-0000-0000-0000BA130000}"/>
    <cellStyle name="20% - Accent4" xfId="5115" xr:uid="{00000000-0005-0000-0000-0000BB130000}"/>
    <cellStyle name="20% - Accent5" xfId="5116" xr:uid="{00000000-0005-0000-0000-0000BC130000}"/>
    <cellStyle name="20% - Accent6" xfId="5117" xr:uid="{00000000-0005-0000-0000-0000BD130000}"/>
    <cellStyle name="20% - アクセント 1 2" xfId="5118" xr:uid="{00000000-0005-0000-0000-0000BE130000}"/>
    <cellStyle name="20% - アクセント 1 2 2" xfId="5119" xr:uid="{00000000-0005-0000-0000-0000BF130000}"/>
    <cellStyle name="20% - アクセント 1 2 2 2" xfId="5120" xr:uid="{00000000-0005-0000-0000-0000C0130000}"/>
    <cellStyle name="20% - アクセント 1 2 3" xfId="5121" xr:uid="{00000000-0005-0000-0000-0000C1130000}"/>
    <cellStyle name="20% - アクセント 1 3" xfId="5122" xr:uid="{00000000-0005-0000-0000-0000C2130000}"/>
    <cellStyle name="20% - アクセント 1 3 2" xfId="5123" xr:uid="{00000000-0005-0000-0000-0000C3130000}"/>
    <cellStyle name="20% - アクセント 1 4" xfId="5124" xr:uid="{00000000-0005-0000-0000-0000C4130000}"/>
    <cellStyle name="20% - アクセント 1 5" xfId="5125" xr:uid="{00000000-0005-0000-0000-0000C5130000}"/>
    <cellStyle name="20% - アクセント 2 2" xfId="5126" xr:uid="{00000000-0005-0000-0000-0000C6130000}"/>
    <cellStyle name="20% - アクセント 2 2 2" xfId="5127" xr:uid="{00000000-0005-0000-0000-0000C7130000}"/>
    <cellStyle name="20% - アクセント 2 2 2 2" xfId="5128" xr:uid="{00000000-0005-0000-0000-0000C8130000}"/>
    <cellStyle name="20% - アクセント 2 2 3" xfId="5129" xr:uid="{00000000-0005-0000-0000-0000C9130000}"/>
    <cellStyle name="20% - アクセント 2 3" xfId="5130" xr:uid="{00000000-0005-0000-0000-0000CA130000}"/>
    <cellStyle name="20% - アクセント 2 3 2" xfId="5131" xr:uid="{00000000-0005-0000-0000-0000CB130000}"/>
    <cellStyle name="20% - アクセント 2 4" xfId="5132" xr:uid="{00000000-0005-0000-0000-0000CC130000}"/>
    <cellStyle name="20% - アクセント 2 5" xfId="5133" xr:uid="{00000000-0005-0000-0000-0000CD130000}"/>
    <cellStyle name="20% - アクセント 3 2" xfId="5134" xr:uid="{00000000-0005-0000-0000-0000CE130000}"/>
    <cellStyle name="20% - アクセント 3 2 2" xfId="5135" xr:uid="{00000000-0005-0000-0000-0000CF130000}"/>
    <cellStyle name="20% - アクセント 3 2 2 2" xfId="5136" xr:uid="{00000000-0005-0000-0000-0000D0130000}"/>
    <cellStyle name="20% - アクセント 3 2 3" xfId="5137" xr:uid="{00000000-0005-0000-0000-0000D1130000}"/>
    <cellStyle name="20% - アクセント 3 3" xfId="5138" xr:uid="{00000000-0005-0000-0000-0000D2130000}"/>
    <cellStyle name="20% - アクセント 3 3 2" xfId="5139" xr:uid="{00000000-0005-0000-0000-0000D3130000}"/>
    <cellStyle name="20% - アクセント 3 4" xfId="5140" xr:uid="{00000000-0005-0000-0000-0000D4130000}"/>
    <cellStyle name="20% - アクセント 3 5" xfId="5141" xr:uid="{00000000-0005-0000-0000-0000D5130000}"/>
    <cellStyle name="20% - アクセント 4 2" xfId="5142" xr:uid="{00000000-0005-0000-0000-0000D6130000}"/>
    <cellStyle name="20% - アクセント 4 2 2" xfId="5143" xr:uid="{00000000-0005-0000-0000-0000D7130000}"/>
    <cellStyle name="20% - アクセント 4 2 2 2" xfId="5144" xr:uid="{00000000-0005-0000-0000-0000D8130000}"/>
    <cellStyle name="20% - アクセント 4 2 3" xfId="5145" xr:uid="{00000000-0005-0000-0000-0000D9130000}"/>
    <cellStyle name="20% - アクセント 4 3" xfId="5146" xr:uid="{00000000-0005-0000-0000-0000DA130000}"/>
    <cellStyle name="20% - アクセント 4 3 2" xfId="5147" xr:uid="{00000000-0005-0000-0000-0000DB130000}"/>
    <cellStyle name="20% - アクセント 4 4" xfId="5148" xr:uid="{00000000-0005-0000-0000-0000DC130000}"/>
    <cellStyle name="20% - アクセント 4 5" xfId="5149" xr:uid="{00000000-0005-0000-0000-0000DD130000}"/>
    <cellStyle name="20% - アクセント 5 2" xfId="5150" xr:uid="{00000000-0005-0000-0000-0000DE130000}"/>
    <cellStyle name="20% - アクセント 5 2 2" xfId="5151" xr:uid="{00000000-0005-0000-0000-0000DF130000}"/>
    <cellStyle name="20% - アクセント 5 2 2 2" xfId="5152" xr:uid="{00000000-0005-0000-0000-0000E0130000}"/>
    <cellStyle name="20% - アクセント 5 2 3" xfId="5153" xr:uid="{00000000-0005-0000-0000-0000E1130000}"/>
    <cellStyle name="20% - アクセント 5 3" xfId="5154" xr:uid="{00000000-0005-0000-0000-0000E2130000}"/>
    <cellStyle name="20% - アクセント 5 3 2" xfId="5155" xr:uid="{00000000-0005-0000-0000-0000E3130000}"/>
    <cellStyle name="20% - アクセント 5 4" xfId="5156" xr:uid="{00000000-0005-0000-0000-0000E4130000}"/>
    <cellStyle name="20% - アクセント 5 5" xfId="5157" xr:uid="{00000000-0005-0000-0000-0000E5130000}"/>
    <cellStyle name="20% - アクセント 6 2" xfId="5158" xr:uid="{00000000-0005-0000-0000-0000E6130000}"/>
    <cellStyle name="20% - アクセント 6 2 2" xfId="5159" xr:uid="{00000000-0005-0000-0000-0000E7130000}"/>
    <cellStyle name="20% - アクセント 6 2 2 2" xfId="5160" xr:uid="{00000000-0005-0000-0000-0000E8130000}"/>
    <cellStyle name="20% - アクセント 6 2 3" xfId="5161" xr:uid="{00000000-0005-0000-0000-0000E9130000}"/>
    <cellStyle name="20% - アクセント 6 3" xfId="5162" xr:uid="{00000000-0005-0000-0000-0000EA130000}"/>
    <cellStyle name="20% - アクセント 6 3 2" xfId="5163" xr:uid="{00000000-0005-0000-0000-0000EB130000}"/>
    <cellStyle name="20% - アクセント 6 4" xfId="5164" xr:uid="{00000000-0005-0000-0000-0000EC130000}"/>
    <cellStyle name="20% - アクセント 6 5" xfId="5165" xr:uid="{00000000-0005-0000-0000-0000ED130000}"/>
    <cellStyle name="24" xfId="5166" xr:uid="{00000000-0005-0000-0000-0000EE130000}"/>
    <cellStyle name="40% - Accent1" xfId="5167" xr:uid="{00000000-0005-0000-0000-0000EF130000}"/>
    <cellStyle name="40% - Accent2" xfId="5168" xr:uid="{00000000-0005-0000-0000-0000F0130000}"/>
    <cellStyle name="40% - Accent3" xfId="5169" xr:uid="{00000000-0005-0000-0000-0000F1130000}"/>
    <cellStyle name="40% - Accent4" xfId="5170" xr:uid="{00000000-0005-0000-0000-0000F2130000}"/>
    <cellStyle name="40% - Accent5" xfId="5171" xr:uid="{00000000-0005-0000-0000-0000F3130000}"/>
    <cellStyle name="40% - Accent6" xfId="5172" xr:uid="{00000000-0005-0000-0000-0000F4130000}"/>
    <cellStyle name="40% - アクセント 1 2" xfId="5173" xr:uid="{00000000-0005-0000-0000-0000F5130000}"/>
    <cellStyle name="40% - アクセント 1 2 2" xfId="5174" xr:uid="{00000000-0005-0000-0000-0000F6130000}"/>
    <cellStyle name="40% - アクセント 1 2 2 2" xfId="5175" xr:uid="{00000000-0005-0000-0000-0000F7130000}"/>
    <cellStyle name="40% - アクセント 1 2 3" xfId="5176" xr:uid="{00000000-0005-0000-0000-0000F8130000}"/>
    <cellStyle name="40% - アクセント 1 3" xfId="5177" xr:uid="{00000000-0005-0000-0000-0000F9130000}"/>
    <cellStyle name="40% - アクセント 1 3 2" xfId="5178" xr:uid="{00000000-0005-0000-0000-0000FA130000}"/>
    <cellStyle name="40% - アクセント 1 4" xfId="5179" xr:uid="{00000000-0005-0000-0000-0000FB130000}"/>
    <cellStyle name="40% - アクセント 1 5" xfId="5180" xr:uid="{00000000-0005-0000-0000-0000FC130000}"/>
    <cellStyle name="40% - アクセント 2 2" xfId="5181" xr:uid="{00000000-0005-0000-0000-0000FD130000}"/>
    <cellStyle name="40% - アクセント 2 2 2" xfId="5182" xr:uid="{00000000-0005-0000-0000-0000FE130000}"/>
    <cellStyle name="40% - アクセント 2 2 2 2" xfId="5183" xr:uid="{00000000-0005-0000-0000-0000FF130000}"/>
    <cellStyle name="40% - アクセント 2 2 3" xfId="5184" xr:uid="{00000000-0005-0000-0000-000000140000}"/>
    <cellStyle name="40% - アクセント 2 3" xfId="5185" xr:uid="{00000000-0005-0000-0000-000001140000}"/>
    <cellStyle name="40% - アクセント 2 3 2" xfId="5186" xr:uid="{00000000-0005-0000-0000-000002140000}"/>
    <cellStyle name="40% - アクセント 2 4" xfId="5187" xr:uid="{00000000-0005-0000-0000-000003140000}"/>
    <cellStyle name="40% - アクセント 2 5" xfId="5188" xr:uid="{00000000-0005-0000-0000-000004140000}"/>
    <cellStyle name="40% - アクセント 3 2" xfId="5189" xr:uid="{00000000-0005-0000-0000-000005140000}"/>
    <cellStyle name="40% - アクセント 3 2 2" xfId="5190" xr:uid="{00000000-0005-0000-0000-000006140000}"/>
    <cellStyle name="40% - アクセント 3 2 2 2" xfId="5191" xr:uid="{00000000-0005-0000-0000-000007140000}"/>
    <cellStyle name="40% - アクセント 3 2 3" xfId="5192" xr:uid="{00000000-0005-0000-0000-000008140000}"/>
    <cellStyle name="40% - アクセント 3 3" xfId="5193" xr:uid="{00000000-0005-0000-0000-000009140000}"/>
    <cellStyle name="40% - アクセント 3 3 2" xfId="5194" xr:uid="{00000000-0005-0000-0000-00000A140000}"/>
    <cellStyle name="40% - アクセント 3 4" xfId="5195" xr:uid="{00000000-0005-0000-0000-00000B140000}"/>
    <cellStyle name="40% - アクセント 3 5" xfId="5196" xr:uid="{00000000-0005-0000-0000-00000C140000}"/>
    <cellStyle name="40% - アクセント 4 2" xfId="5197" xr:uid="{00000000-0005-0000-0000-00000D140000}"/>
    <cellStyle name="40% - アクセント 4 2 2" xfId="5198" xr:uid="{00000000-0005-0000-0000-00000E140000}"/>
    <cellStyle name="40% - アクセント 4 2 2 2" xfId="5199" xr:uid="{00000000-0005-0000-0000-00000F140000}"/>
    <cellStyle name="40% - アクセント 4 2 3" xfId="5200" xr:uid="{00000000-0005-0000-0000-000010140000}"/>
    <cellStyle name="40% - アクセント 4 3" xfId="5201" xr:uid="{00000000-0005-0000-0000-000011140000}"/>
    <cellStyle name="40% - アクセント 4 3 2" xfId="5202" xr:uid="{00000000-0005-0000-0000-000012140000}"/>
    <cellStyle name="40% - アクセント 4 4" xfId="5203" xr:uid="{00000000-0005-0000-0000-000013140000}"/>
    <cellStyle name="40% - アクセント 4 5" xfId="5204" xr:uid="{00000000-0005-0000-0000-000014140000}"/>
    <cellStyle name="40% - アクセント 5 2" xfId="5205" xr:uid="{00000000-0005-0000-0000-000015140000}"/>
    <cellStyle name="40% - アクセント 5 2 2" xfId="5206" xr:uid="{00000000-0005-0000-0000-000016140000}"/>
    <cellStyle name="40% - アクセント 5 2 2 2" xfId="5207" xr:uid="{00000000-0005-0000-0000-000017140000}"/>
    <cellStyle name="40% - アクセント 5 2 3" xfId="5208" xr:uid="{00000000-0005-0000-0000-000018140000}"/>
    <cellStyle name="40% - アクセント 5 3" xfId="5209" xr:uid="{00000000-0005-0000-0000-000019140000}"/>
    <cellStyle name="40% - アクセント 5 3 2" xfId="5210" xr:uid="{00000000-0005-0000-0000-00001A140000}"/>
    <cellStyle name="40% - アクセント 5 4" xfId="5211" xr:uid="{00000000-0005-0000-0000-00001B140000}"/>
    <cellStyle name="40% - アクセント 5 5" xfId="5212" xr:uid="{00000000-0005-0000-0000-00001C140000}"/>
    <cellStyle name="40% - アクセント 6 2" xfId="5213" xr:uid="{00000000-0005-0000-0000-00001D140000}"/>
    <cellStyle name="40% - アクセント 6 2 2" xfId="5214" xr:uid="{00000000-0005-0000-0000-00001E140000}"/>
    <cellStyle name="40% - アクセント 6 2 2 2" xfId="5215" xr:uid="{00000000-0005-0000-0000-00001F140000}"/>
    <cellStyle name="40% - アクセント 6 2 3" xfId="5216" xr:uid="{00000000-0005-0000-0000-000020140000}"/>
    <cellStyle name="40% - アクセント 6 3" xfId="5217" xr:uid="{00000000-0005-0000-0000-000021140000}"/>
    <cellStyle name="40% - アクセント 6 3 2" xfId="5218" xr:uid="{00000000-0005-0000-0000-000022140000}"/>
    <cellStyle name="40% - アクセント 6 4" xfId="5219" xr:uid="{00000000-0005-0000-0000-000023140000}"/>
    <cellStyle name="40% - アクセント 6 5" xfId="5220" xr:uid="{00000000-0005-0000-0000-000024140000}"/>
    <cellStyle name="60% - Accent1" xfId="5221" xr:uid="{00000000-0005-0000-0000-000025140000}"/>
    <cellStyle name="60% - Accent2" xfId="5222" xr:uid="{00000000-0005-0000-0000-000026140000}"/>
    <cellStyle name="60% - Accent3" xfId="5223" xr:uid="{00000000-0005-0000-0000-000027140000}"/>
    <cellStyle name="60% - Accent4" xfId="5224" xr:uid="{00000000-0005-0000-0000-000028140000}"/>
    <cellStyle name="60% - Accent5" xfId="5225" xr:uid="{00000000-0005-0000-0000-000029140000}"/>
    <cellStyle name="60% - Accent6" xfId="5226" xr:uid="{00000000-0005-0000-0000-00002A140000}"/>
    <cellStyle name="60% - アクセント 1 2" xfId="5227" xr:uid="{00000000-0005-0000-0000-00002B140000}"/>
    <cellStyle name="60% - アクセント 1 2 2" xfId="5228" xr:uid="{00000000-0005-0000-0000-00002C140000}"/>
    <cellStyle name="60% - アクセント 1 3" xfId="5229" xr:uid="{00000000-0005-0000-0000-00002D140000}"/>
    <cellStyle name="60% - アクセント 1 4" xfId="5230" xr:uid="{00000000-0005-0000-0000-00002E140000}"/>
    <cellStyle name="60% - アクセント 2 2" xfId="5231" xr:uid="{00000000-0005-0000-0000-00002F140000}"/>
    <cellStyle name="60% - アクセント 2 2 2" xfId="5232" xr:uid="{00000000-0005-0000-0000-000030140000}"/>
    <cellStyle name="60% - アクセント 2 3" xfId="5233" xr:uid="{00000000-0005-0000-0000-000031140000}"/>
    <cellStyle name="60% - アクセント 2 4" xfId="5234" xr:uid="{00000000-0005-0000-0000-000032140000}"/>
    <cellStyle name="60% - アクセント 3 2" xfId="5235" xr:uid="{00000000-0005-0000-0000-000033140000}"/>
    <cellStyle name="60% - アクセント 3 2 2" xfId="5236" xr:uid="{00000000-0005-0000-0000-000034140000}"/>
    <cellStyle name="60% - アクセント 3 3" xfId="5237" xr:uid="{00000000-0005-0000-0000-000035140000}"/>
    <cellStyle name="60% - アクセント 3 4" xfId="5238" xr:uid="{00000000-0005-0000-0000-000036140000}"/>
    <cellStyle name="60% - アクセント 4 2" xfId="5239" xr:uid="{00000000-0005-0000-0000-000037140000}"/>
    <cellStyle name="60% - アクセント 4 2 2" xfId="5240" xr:uid="{00000000-0005-0000-0000-000038140000}"/>
    <cellStyle name="60% - アクセント 4 3" xfId="5241" xr:uid="{00000000-0005-0000-0000-000039140000}"/>
    <cellStyle name="60% - アクセント 4 4" xfId="5242" xr:uid="{00000000-0005-0000-0000-00003A140000}"/>
    <cellStyle name="60% - アクセント 5 2" xfId="5243" xr:uid="{00000000-0005-0000-0000-00003B140000}"/>
    <cellStyle name="60% - アクセント 5 2 2" xfId="5244" xr:uid="{00000000-0005-0000-0000-00003C140000}"/>
    <cellStyle name="60% - アクセント 5 3" xfId="5245" xr:uid="{00000000-0005-0000-0000-00003D140000}"/>
    <cellStyle name="60% - アクセント 5 4" xfId="5246" xr:uid="{00000000-0005-0000-0000-00003E140000}"/>
    <cellStyle name="60% - アクセント 6 2" xfId="5247" xr:uid="{00000000-0005-0000-0000-00003F140000}"/>
    <cellStyle name="60% - アクセント 6 2 2" xfId="5248" xr:uid="{00000000-0005-0000-0000-000040140000}"/>
    <cellStyle name="60% - アクセント 6 3" xfId="5249" xr:uid="{00000000-0005-0000-0000-000041140000}"/>
    <cellStyle name="60% - アクセント 6 4" xfId="5250" xr:uid="{00000000-0005-0000-0000-000042140000}"/>
    <cellStyle name="7" xfId="4" xr:uid="{00000000-0005-0000-0000-000043140000}"/>
    <cellStyle name="a" xfId="5251" xr:uid="{00000000-0005-0000-0000-000044140000}"/>
    <cellStyle name="a 2" xfId="5252" xr:uid="{00000000-0005-0000-0000-000045140000}"/>
    <cellStyle name="a 3" xfId="5253" xr:uid="{00000000-0005-0000-0000-000046140000}"/>
    <cellStyle name="a 4" xfId="5254" xr:uid="{00000000-0005-0000-0000-000047140000}"/>
    <cellStyle name="Accent1" xfId="5255" xr:uid="{00000000-0005-0000-0000-000048140000}"/>
    <cellStyle name="Accent2" xfId="5256" xr:uid="{00000000-0005-0000-0000-000049140000}"/>
    <cellStyle name="Accent3" xfId="5257" xr:uid="{00000000-0005-0000-0000-00004A140000}"/>
    <cellStyle name="Accent4" xfId="5258" xr:uid="{00000000-0005-0000-0000-00004B140000}"/>
    <cellStyle name="Accent5" xfId="5259" xr:uid="{00000000-0005-0000-0000-00004C140000}"/>
    <cellStyle name="Accent6" xfId="5260" xr:uid="{00000000-0005-0000-0000-00004D140000}"/>
    <cellStyle name="After Cutover" xfId="5261" xr:uid="{00000000-0005-0000-0000-00004E140000}"/>
    <cellStyle name="After Cutover 2" xfId="5262" xr:uid="{00000000-0005-0000-0000-00004F140000}"/>
    <cellStyle name="ando" xfId="5263" xr:uid="{00000000-0005-0000-0000-000050140000}"/>
    <cellStyle name="ANS標準" xfId="5264" xr:uid="{00000000-0005-0000-0000-000051140000}"/>
    <cellStyle name="ANS標準 2" xfId="5265" xr:uid="{00000000-0005-0000-0000-000052140000}"/>
    <cellStyle name="ANS標準 3" xfId="5266" xr:uid="{00000000-0005-0000-0000-000053140000}"/>
    <cellStyle name="ANS標準 4" xfId="5267" xr:uid="{00000000-0005-0000-0000-000054140000}"/>
    <cellStyle name="args.style" xfId="5268" xr:uid="{00000000-0005-0000-0000-000055140000}"/>
    <cellStyle name="Bad" xfId="5269" xr:uid="{00000000-0005-0000-0000-000056140000}"/>
    <cellStyle name="ＢＢＢ" xfId="5270" xr:uid="{00000000-0005-0000-0000-000057140000}"/>
    <cellStyle name="ＢＢＢ 2" xfId="5271" xr:uid="{00000000-0005-0000-0000-000058140000}"/>
    <cellStyle name="ＢＢＢ 2 2" xfId="5272" xr:uid="{00000000-0005-0000-0000-000059140000}"/>
    <cellStyle name="ＢＢＢ 2 2 2" xfId="5273" xr:uid="{00000000-0005-0000-0000-00005A140000}"/>
    <cellStyle name="ＢＢＢ 2 2 3" xfId="5274" xr:uid="{00000000-0005-0000-0000-00005B140000}"/>
    <cellStyle name="ＢＢＢ 2 3" xfId="5275" xr:uid="{00000000-0005-0000-0000-00005C140000}"/>
    <cellStyle name="ＢＢＢ 2 4" xfId="5276" xr:uid="{00000000-0005-0000-0000-00005D140000}"/>
    <cellStyle name="ＢＢＢ 3" xfId="5277" xr:uid="{00000000-0005-0000-0000-00005E140000}"/>
    <cellStyle name="ＢＢＢ 4" xfId="5278" xr:uid="{00000000-0005-0000-0000-00005F140000}"/>
    <cellStyle name="Body" xfId="5" xr:uid="{00000000-0005-0000-0000-000060140000}"/>
    <cellStyle name="Border" xfId="5279" xr:uid="{00000000-0005-0000-0000-000061140000}"/>
    <cellStyle name="Border 2" xfId="5280" xr:uid="{00000000-0005-0000-0000-000062140000}"/>
    <cellStyle name="Border 3" xfId="5281" xr:uid="{00000000-0005-0000-0000-000063140000}"/>
    <cellStyle name="Border 4" xfId="5282" xr:uid="{00000000-0005-0000-0000-000064140000}"/>
    <cellStyle name="Border 5" xfId="5283" xr:uid="{00000000-0005-0000-0000-000065140000}"/>
    <cellStyle name="Border 6" xfId="5284" xr:uid="{00000000-0005-0000-0000-000066140000}"/>
    <cellStyle name="Calc Currency (0)" xfId="6" xr:uid="{00000000-0005-0000-0000-000067140000}"/>
    <cellStyle name="Calc Currency (2)" xfId="5285" xr:uid="{00000000-0005-0000-0000-000068140000}"/>
    <cellStyle name="Calc Currency (2) 2" xfId="5286" xr:uid="{00000000-0005-0000-0000-000069140000}"/>
    <cellStyle name="Calc Percent (0)" xfId="5287" xr:uid="{00000000-0005-0000-0000-00006A140000}"/>
    <cellStyle name="Calc Percent (0) 2" xfId="5288" xr:uid="{00000000-0005-0000-0000-00006B140000}"/>
    <cellStyle name="Calc Percent (1)" xfId="5289" xr:uid="{00000000-0005-0000-0000-00006C140000}"/>
    <cellStyle name="Calc Percent (1) 2" xfId="5290" xr:uid="{00000000-0005-0000-0000-00006D140000}"/>
    <cellStyle name="Calc Percent (2)" xfId="5291" xr:uid="{00000000-0005-0000-0000-00006E140000}"/>
    <cellStyle name="Calc Percent (2) 2" xfId="5292" xr:uid="{00000000-0005-0000-0000-00006F140000}"/>
    <cellStyle name="Calc Units (0)" xfId="5293" xr:uid="{00000000-0005-0000-0000-000070140000}"/>
    <cellStyle name="Calc Units (0) 2" xfId="5294" xr:uid="{00000000-0005-0000-0000-000071140000}"/>
    <cellStyle name="Calc Units (1)" xfId="5295" xr:uid="{00000000-0005-0000-0000-000072140000}"/>
    <cellStyle name="Calc Units (1) 2" xfId="5296" xr:uid="{00000000-0005-0000-0000-000073140000}"/>
    <cellStyle name="Calc Units (2)" xfId="5297" xr:uid="{00000000-0005-0000-0000-000074140000}"/>
    <cellStyle name="Calc Units (2) 2" xfId="5298" xr:uid="{00000000-0005-0000-0000-000075140000}"/>
    <cellStyle name="Calculation" xfId="5299" xr:uid="{00000000-0005-0000-0000-000076140000}"/>
    <cellStyle name="Calculation 2" xfId="5300" xr:uid="{00000000-0005-0000-0000-000077140000}"/>
    <cellStyle name="Calculation 3" xfId="5301" xr:uid="{00000000-0005-0000-0000-000078140000}"/>
    <cellStyle name="Calculation 4" xfId="5302" xr:uid="{00000000-0005-0000-0000-000079140000}"/>
    <cellStyle name="Calculation 5" xfId="5303" xr:uid="{00000000-0005-0000-0000-00007A140000}"/>
    <cellStyle name="CALENDAR" xfId="5304" xr:uid="{00000000-0005-0000-0000-00007B140000}"/>
    <cellStyle name="Check Cell" xfId="5305" xr:uid="{00000000-0005-0000-0000-00007C140000}"/>
    <cellStyle name="Col Heads" xfId="5306" xr:uid="{00000000-0005-0000-0000-00007D140000}"/>
    <cellStyle name="Comma [0]" xfId="5307" xr:uid="{00000000-0005-0000-0000-00007E140000}"/>
    <cellStyle name="Comma [00]" xfId="5308" xr:uid="{00000000-0005-0000-0000-00007F140000}"/>
    <cellStyle name="Comma [00] 2" xfId="5309" xr:uid="{00000000-0005-0000-0000-000080140000}"/>
    <cellStyle name="Comma,0" xfId="5310" xr:uid="{00000000-0005-0000-0000-000081140000}"/>
    <cellStyle name="Comma,1" xfId="5311" xr:uid="{00000000-0005-0000-0000-000082140000}"/>
    <cellStyle name="Comma,2" xfId="5312" xr:uid="{00000000-0005-0000-0000-000083140000}"/>
    <cellStyle name="Comma_#6 Temps &amp; Contractors" xfId="5313" xr:uid="{00000000-0005-0000-0000-000084140000}"/>
    <cellStyle name="Comma0" xfId="5314" xr:uid="{00000000-0005-0000-0000-000085140000}"/>
    <cellStyle name="Copied" xfId="5315" xr:uid="{00000000-0005-0000-0000-000086140000}"/>
    <cellStyle name="Currency [0]" xfId="5316" xr:uid="{00000000-0005-0000-0000-000087140000}"/>
    <cellStyle name="Currency [00]" xfId="5317" xr:uid="{00000000-0005-0000-0000-000088140000}"/>
    <cellStyle name="Currency [00] 2" xfId="5318" xr:uid="{00000000-0005-0000-0000-000089140000}"/>
    <cellStyle name="Currency,0" xfId="5319" xr:uid="{00000000-0005-0000-0000-00008A140000}"/>
    <cellStyle name="Currency,2" xfId="5320" xr:uid="{00000000-0005-0000-0000-00008B140000}"/>
    <cellStyle name="Currency_#6 Temps &amp; Contractors" xfId="5321" xr:uid="{00000000-0005-0000-0000-00008C140000}"/>
    <cellStyle name="Currency0" xfId="5322" xr:uid="{00000000-0005-0000-0000-00008D140000}"/>
    <cellStyle name="Current Live" xfId="5323" xr:uid="{00000000-0005-0000-0000-00008E140000}"/>
    <cellStyle name="Current Live 2" xfId="5324" xr:uid="{00000000-0005-0000-0000-00008F140000}"/>
    <cellStyle name="Date" xfId="5325" xr:uid="{00000000-0005-0000-0000-000090140000}"/>
    <cellStyle name="Date Short" xfId="5326" xr:uid="{00000000-0005-0000-0000-000091140000}"/>
    <cellStyle name="DDD" xfId="7" xr:uid="{00000000-0005-0000-0000-000092140000}"/>
    <cellStyle name="development" xfId="5327" xr:uid="{00000000-0005-0000-0000-000093140000}"/>
    <cellStyle name="development 2" xfId="5328" xr:uid="{00000000-0005-0000-0000-000094140000}"/>
    <cellStyle name="discount" xfId="5329" xr:uid="{00000000-0005-0000-0000-000095140000}"/>
    <cellStyle name="ENG/GEN" xfId="5330" xr:uid="{00000000-0005-0000-0000-000096140000}"/>
    <cellStyle name="ENG/GEN7pt" xfId="5331" xr:uid="{00000000-0005-0000-0000-000097140000}"/>
    <cellStyle name="ENG/WAKU" xfId="5332" xr:uid="{00000000-0005-0000-0000-000098140000}"/>
    <cellStyle name="ENG/WAKU7pt" xfId="5333" xr:uid="{00000000-0005-0000-0000-000099140000}"/>
    <cellStyle name="ENG/WAKU-AMI" xfId="5334" xr:uid="{00000000-0005-0000-0000-00009A140000}"/>
    <cellStyle name="Enter Currency (0)" xfId="5335" xr:uid="{00000000-0005-0000-0000-00009B140000}"/>
    <cellStyle name="Enter Currency (0) 2" xfId="5336" xr:uid="{00000000-0005-0000-0000-00009C140000}"/>
    <cellStyle name="Enter Currency (2)" xfId="5337" xr:uid="{00000000-0005-0000-0000-00009D140000}"/>
    <cellStyle name="Enter Currency (2) 2" xfId="5338" xr:uid="{00000000-0005-0000-0000-00009E140000}"/>
    <cellStyle name="Enter Units (0)" xfId="5339" xr:uid="{00000000-0005-0000-0000-00009F140000}"/>
    <cellStyle name="Enter Units (0) 2" xfId="5340" xr:uid="{00000000-0005-0000-0000-0000A0140000}"/>
    <cellStyle name="Enter Units (1)" xfId="5341" xr:uid="{00000000-0005-0000-0000-0000A1140000}"/>
    <cellStyle name="Enter Units (1) 2" xfId="5342" xr:uid="{00000000-0005-0000-0000-0000A2140000}"/>
    <cellStyle name="Enter Units (2)" xfId="5343" xr:uid="{00000000-0005-0000-0000-0000A3140000}"/>
    <cellStyle name="Enter Units (2) 2" xfId="5344" xr:uid="{00000000-0005-0000-0000-0000A4140000}"/>
    <cellStyle name="Entered" xfId="5345" xr:uid="{00000000-0005-0000-0000-0000A5140000}"/>
    <cellStyle name="entry" xfId="8" xr:uid="{00000000-0005-0000-0000-0000A6140000}"/>
    <cellStyle name="Explanatory Text" xfId="5346" xr:uid="{00000000-0005-0000-0000-0000A7140000}"/>
    <cellStyle name="Followed Hyperlink" xfId="5347" xr:uid="{00000000-0005-0000-0000-0000A8140000}"/>
    <cellStyle name="Followed Hyperlink 2" xfId="5348" xr:uid="{00000000-0005-0000-0000-0000A9140000}"/>
    <cellStyle name="GBS Files" xfId="5349" xr:uid="{00000000-0005-0000-0000-0000AA140000}"/>
    <cellStyle name="Good" xfId="5350" xr:uid="{00000000-0005-0000-0000-0000AB140000}"/>
    <cellStyle name="Grey" xfId="9" xr:uid="{00000000-0005-0000-0000-0000AC140000}"/>
    <cellStyle name="gs]_x000d__x000a_UNDELETE.DLL=A:\DOS\MSTOOLS.DLL_x000d__x000a_Window=25,17,550,300, , ,2_x000d__x000a_dir1=0,0,640,174,-1,-1,1,0,201,1814,231,B:\*" xfId="5351" xr:uid="{00000000-0005-0000-0000-0000AD140000}"/>
    <cellStyle name="Head 1" xfId="10" xr:uid="{00000000-0005-0000-0000-0000AE140000}"/>
    <cellStyle name="Head 1 2" xfId="5352" xr:uid="{00000000-0005-0000-0000-0000AF140000}"/>
    <cellStyle name="Head 1 3" xfId="5353" xr:uid="{00000000-0005-0000-0000-0000B0140000}"/>
    <cellStyle name="Head 1 4" xfId="5354" xr:uid="{00000000-0005-0000-0000-0000B1140000}"/>
    <cellStyle name="Header1" xfId="11" xr:uid="{00000000-0005-0000-0000-0000B2140000}"/>
    <cellStyle name="Header2" xfId="12" xr:uid="{00000000-0005-0000-0000-0000B3140000}"/>
    <cellStyle name="Header2 2" xfId="5355" xr:uid="{00000000-0005-0000-0000-0000B4140000}"/>
    <cellStyle name="Header2 2 2" xfId="5356" xr:uid="{00000000-0005-0000-0000-0000B5140000}"/>
    <cellStyle name="Header2 2 3" xfId="5357" xr:uid="{00000000-0005-0000-0000-0000B6140000}"/>
    <cellStyle name="Header2 2 4" xfId="5358" xr:uid="{00000000-0005-0000-0000-0000B7140000}"/>
    <cellStyle name="Header2 3" xfId="5359" xr:uid="{00000000-0005-0000-0000-0000B8140000}"/>
    <cellStyle name="Header2 4" xfId="5360" xr:uid="{00000000-0005-0000-0000-0000B9140000}"/>
    <cellStyle name="Header2 5" xfId="5361" xr:uid="{00000000-0005-0000-0000-0000BA140000}"/>
    <cellStyle name="Heading" xfId="5362" xr:uid="{00000000-0005-0000-0000-0000BB140000}"/>
    <cellStyle name="Heading 1" xfId="5363" xr:uid="{00000000-0005-0000-0000-0000BC140000}"/>
    <cellStyle name="Heading 2" xfId="5364" xr:uid="{00000000-0005-0000-0000-0000BD140000}"/>
    <cellStyle name="Heading 3" xfId="5365" xr:uid="{00000000-0005-0000-0000-0000BE140000}"/>
    <cellStyle name="Heading 4" xfId="5366" xr:uid="{00000000-0005-0000-0000-0000BF140000}"/>
    <cellStyle name="HEADINGS" xfId="5367" xr:uid="{00000000-0005-0000-0000-0000C0140000}"/>
    <cellStyle name="HEADINGSTOP" xfId="5368" xr:uid="{00000000-0005-0000-0000-0000C1140000}"/>
    <cellStyle name="Hyperlink" xfId="5369" xr:uid="{00000000-0005-0000-0000-0000C2140000}"/>
    <cellStyle name="Hyperlink 2" xfId="5370" xr:uid="{00000000-0005-0000-0000-0000C3140000}"/>
    <cellStyle name="I" xfId="5371" xr:uid="{00000000-0005-0000-0000-0000C4140000}"/>
    <cellStyle name="IBM(401K)" xfId="13" xr:uid="{00000000-0005-0000-0000-0000C5140000}"/>
    <cellStyle name="Input" xfId="5372" xr:uid="{00000000-0005-0000-0000-0000C6140000}"/>
    <cellStyle name="Input [yellow]" xfId="14" xr:uid="{00000000-0005-0000-0000-0000C7140000}"/>
    <cellStyle name="Input [yellow] 2" xfId="5373" xr:uid="{00000000-0005-0000-0000-0000C8140000}"/>
    <cellStyle name="Input [yellow] 3" xfId="5374" xr:uid="{00000000-0005-0000-0000-0000C9140000}"/>
    <cellStyle name="Input [yellow] 4" xfId="5375" xr:uid="{00000000-0005-0000-0000-0000CA140000}"/>
    <cellStyle name="Input 2" xfId="5376" xr:uid="{00000000-0005-0000-0000-0000CB140000}"/>
    <cellStyle name="Input 3" xfId="5377" xr:uid="{00000000-0005-0000-0000-0000CC140000}"/>
    <cellStyle name="Input 4" xfId="5378" xr:uid="{00000000-0005-0000-0000-0000CD140000}"/>
    <cellStyle name="Input 5" xfId="5379" xr:uid="{00000000-0005-0000-0000-0000CE140000}"/>
    <cellStyle name="Intermediate" xfId="5380" xr:uid="{00000000-0005-0000-0000-0000CF140000}"/>
    <cellStyle name="Introduction" xfId="5381" xr:uid="{00000000-0005-0000-0000-0000D0140000}"/>
    <cellStyle name="ITA" xfId="5382" xr:uid="{00000000-0005-0000-0000-0000D1140000}"/>
    <cellStyle name="ITA 2" xfId="5383" xr:uid="{00000000-0005-0000-0000-0000D2140000}"/>
    <cellStyle name="ITB1" xfId="5384" xr:uid="{00000000-0005-0000-0000-0000D3140000}"/>
    <cellStyle name="ITB1 2" xfId="5385" xr:uid="{00000000-0005-0000-0000-0000D4140000}"/>
    <cellStyle name="ITB22" xfId="5386" xr:uid="{00000000-0005-0000-0000-0000D5140000}"/>
    <cellStyle name="ITB22 2" xfId="5387" xr:uid="{00000000-0005-0000-0000-0000D6140000}"/>
    <cellStyle name="IT計画書 (1)" xfId="5388" xr:uid="{00000000-0005-0000-0000-0000D7140000}"/>
    <cellStyle name="J401K" xfId="15" xr:uid="{00000000-0005-0000-0000-0000D8140000}"/>
    <cellStyle name="JOB(かっこ付)" xfId="5389" xr:uid="{00000000-0005-0000-0000-0000D9140000}"/>
    <cellStyle name="JOB囲" xfId="5390" xr:uid="{00000000-0005-0000-0000-0000DA140000}"/>
    <cellStyle name="JOB囲み" xfId="5391" xr:uid="{00000000-0005-0000-0000-0000DB140000}"/>
    <cellStyle name="JOB一般" xfId="5392" xr:uid="{00000000-0005-0000-0000-0000DC140000}"/>
    <cellStyle name="JOB左下" xfId="5393" xr:uid="{00000000-0005-0000-0000-0000DD140000}"/>
    <cellStyle name="JOB左上" xfId="5394" xr:uid="{00000000-0005-0000-0000-0000DE140000}"/>
    <cellStyle name="JOB標準" xfId="5395" xr:uid="{00000000-0005-0000-0000-0000DF140000}"/>
    <cellStyle name="JOB網" xfId="5396" xr:uid="{00000000-0005-0000-0000-0000E0140000}"/>
    <cellStyle name="L1" xfId="5397" xr:uid="{00000000-0005-0000-0000-0000E1140000}"/>
    <cellStyle name="L2" xfId="5398" xr:uid="{00000000-0005-0000-0000-0000E2140000}"/>
    <cellStyle name="Legato CPL Master Cover" xfId="5399" xr:uid="{00000000-0005-0000-0000-0000E3140000}"/>
    <cellStyle name="Link Currency (0)" xfId="5400" xr:uid="{00000000-0005-0000-0000-0000E4140000}"/>
    <cellStyle name="Link Currency (0) 2" xfId="5401" xr:uid="{00000000-0005-0000-0000-0000E5140000}"/>
    <cellStyle name="Link Currency (2)" xfId="5402" xr:uid="{00000000-0005-0000-0000-0000E6140000}"/>
    <cellStyle name="Link Currency (2) 2" xfId="5403" xr:uid="{00000000-0005-0000-0000-0000E7140000}"/>
    <cellStyle name="Link Units (0)" xfId="5404" xr:uid="{00000000-0005-0000-0000-0000E8140000}"/>
    <cellStyle name="Link Units (0) 2" xfId="5405" xr:uid="{00000000-0005-0000-0000-0000E9140000}"/>
    <cellStyle name="Link Units (1)" xfId="5406" xr:uid="{00000000-0005-0000-0000-0000EA140000}"/>
    <cellStyle name="Link Units (1) 2" xfId="5407" xr:uid="{00000000-0005-0000-0000-0000EB140000}"/>
    <cellStyle name="Link Units (2)" xfId="5408" xr:uid="{00000000-0005-0000-0000-0000EC140000}"/>
    <cellStyle name="Link Units (2) 2" xfId="5409" xr:uid="{00000000-0005-0000-0000-0000ED140000}"/>
    <cellStyle name="Linked Cell" xfId="5410" xr:uid="{00000000-0005-0000-0000-0000EE140000}"/>
    <cellStyle name="manual" xfId="5411" xr:uid="{00000000-0005-0000-0000-0000EF140000}"/>
    <cellStyle name="manual 2" xfId="5412" xr:uid="{00000000-0005-0000-0000-0000F0140000}"/>
    <cellStyle name="manual 3" xfId="5413" xr:uid="{00000000-0005-0000-0000-0000F1140000}"/>
    <cellStyle name="manual 4" xfId="5414" xr:uid="{00000000-0005-0000-0000-0000F2140000}"/>
    <cellStyle name="Millares [0]_BRASIL (2)" xfId="5415" xr:uid="{00000000-0005-0000-0000-0000F3140000}"/>
    <cellStyle name="Millares_5670-t123" xfId="5416" xr:uid="{00000000-0005-0000-0000-0000F4140000}"/>
    <cellStyle name="Milliers [0]_!!!GO" xfId="5417" xr:uid="{00000000-0005-0000-0000-0000F5140000}"/>
    <cellStyle name="Milliers_!!!GO" xfId="5418" xr:uid="{00000000-0005-0000-0000-0000F6140000}"/>
    <cellStyle name="Moneda [0]_BRASIL (2)" xfId="5419" xr:uid="{00000000-0005-0000-0000-0000F7140000}"/>
    <cellStyle name="Moneda_5670-t123" xfId="5420" xr:uid="{00000000-0005-0000-0000-0000F8140000}"/>
    <cellStyle name="Mon騁aire [0]_!!!GO" xfId="5421" xr:uid="{00000000-0005-0000-0000-0000F9140000}"/>
    <cellStyle name="Mon騁aire_!!!GO" xfId="5422" xr:uid="{00000000-0005-0000-0000-0000FA140000}"/>
    <cellStyle name="ms明朝9" xfId="5423" xr:uid="{00000000-0005-0000-0000-0000FB140000}"/>
    <cellStyle name="MyStyle" xfId="5424" xr:uid="{00000000-0005-0000-0000-0000FC140000}"/>
    <cellStyle name="N_x000c_｡ﾚ_x0012_宇_x0008_｡ﾘ_x0012_宇_x0006_]X_x001f_ﾋ_x001f_ﾃ" xfId="16" xr:uid="{00000000-0005-0000-0000-0000FD140000}"/>
    <cellStyle name="Neutral" xfId="5425" xr:uid="{00000000-0005-0000-0000-0000FE140000}"/>
    <cellStyle name="no dec" xfId="17" xr:uid="{00000000-0005-0000-0000-0000FF140000}"/>
    <cellStyle name="No/ENG" xfId="5426" xr:uid="{00000000-0005-0000-0000-000000150000}"/>
    <cellStyle name="Normal - Style1" xfId="18" xr:uid="{00000000-0005-0000-0000-000001150000}"/>
    <cellStyle name="Normal - Style1 2" xfId="19" xr:uid="{00000000-0005-0000-0000-000002150000}"/>
    <cellStyle name="Normal - Style1 2 2" xfId="5427" xr:uid="{00000000-0005-0000-0000-000003150000}"/>
    <cellStyle name="Normal - Style1 2 3" xfId="5428" xr:uid="{00000000-0005-0000-0000-000004150000}"/>
    <cellStyle name="Normal - Style1 3" xfId="5429" xr:uid="{00000000-0005-0000-0000-000005150000}"/>
    <cellStyle name="Normal_# 41-Market &amp;Trends" xfId="5430" xr:uid="{00000000-0005-0000-0000-000006150000}"/>
    <cellStyle name="Normale_LSCO0697" xfId="5431" xr:uid="{00000000-0005-0000-0000-000007150000}"/>
    <cellStyle name="Note" xfId="5432" xr:uid="{00000000-0005-0000-0000-000008150000}"/>
    <cellStyle name="Note 2" xfId="5433" xr:uid="{00000000-0005-0000-0000-000009150000}"/>
    <cellStyle name="Note 2 2" xfId="5434" xr:uid="{00000000-0005-0000-0000-00000A150000}"/>
    <cellStyle name="Note 2 3" xfId="5435" xr:uid="{00000000-0005-0000-0000-00000B150000}"/>
    <cellStyle name="Note 2 4" xfId="5436" xr:uid="{00000000-0005-0000-0000-00000C150000}"/>
    <cellStyle name="Note 2 5" xfId="5437" xr:uid="{00000000-0005-0000-0000-00000D150000}"/>
    <cellStyle name="Note 3" xfId="5438" xr:uid="{00000000-0005-0000-0000-00000E150000}"/>
    <cellStyle name="Note 4" xfId="5439" xr:uid="{00000000-0005-0000-0000-00000F150000}"/>
    <cellStyle name="Note 5" xfId="5440" xr:uid="{00000000-0005-0000-0000-000010150000}"/>
    <cellStyle name="Note 6" xfId="5441" xr:uid="{00000000-0005-0000-0000-000011150000}"/>
    <cellStyle name="nozawa" xfId="5442" xr:uid="{00000000-0005-0000-0000-000012150000}"/>
    <cellStyle name="Oasis" xfId="5443" xr:uid="{00000000-0005-0000-0000-000013150000}"/>
    <cellStyle name="Oasis 2" xfId="5444" xr:uid="{00000000-0005-0000-0000-000014150000}"/>
    <cellStyle name="Oasis 3" xfId="5445" xr:uid="{00000000-0005-0000-0000-000015150000}"/>
    <cellStyle name="Oasis 4" xfId="5446" xr:uid="{00000000-0005-0000-0000-000016150000}"/>
    <cellStyle name="Œ…‹æØ‚è [0.00]_laroux" xfId="5447" xr:uid="{00000000-0005-0000-0000-000017150000}"/>
    <cellStyle name="Œ…‹æØ‚è_laroux" xfId="5448" xr:uid="{00000000-0005-0000-0000-000018150000}"/>
    <cellStyle name="oft Excel]_x000a__x000a_Options5=1155_x000a__x000a_Pos=-12,9,1048,771_x000a__x000a_MRUFuncs=345,205,221,1,65,28,37,24,3,36_x000a__x000a_StickyPtX=574_x000a__x000a_StickyPtY=45" xfId="5449" xr:uid="{00000000-0005-0000-0000-000019150000}"/>
    <cellStyle name="oft Excel]_x000d__x000a_Options5=1155_x000d__x000a_Pos=-12,9,1048,771_x000d__x000a_MRUFuncs=345,205,221,1,65,28,37,24,3,36_x000d__x000a_StickyPtX=574_x000d__x000a_StickyPtY=45" xfId="5450" xr:uid="{00000000-0005-0000-0000-00001A150000}"/>
    <cellStyle name="oft Excel]_x000d__x000a_Options5=1667_x000d__x000a_Options3=0_x000d__x000a_Basics=1_x000d__x000a_USER=アサヒ_x000d__x000a_CBTLOCATION=A:\MSOFFICE\EXCEL5\EXCELCBT_x000d__x000a_Pos=5,14,628" xfId="5451" xr:uid="{00000000-0005-0000-0000-00001B150000}"/>
    <cellStyle name="Option" xfId="5452" xr:uid="{00000000-0005-0000-0000-00001C150000}"/>
    <cellStyle name="Output" xfId="5453" xr:uid="{00000000-0005-0000-0000-00001D150000}"/>
    <cellStyle name="Output 2" xfId="5454" xr:uid="{00000000-0005-0000-0000-00001E150000}"/>
    <cellStyle name="Output 3" xfId="5455" xr:uid="{00000000-0005-0000-0000-00001F150000}"/>
    <cellStyle name="Output 4" xfId="5456" xr:uid="{00000000-0005-0000-0000-000020150000}"/>
    <cellStyle name="Output 5" xfId="5457" xr:uid="{00000000-0005-0000-0000-000021150000}"/>
    <cellStyle name="per.style" xfId="5458" xr:uid="{00000000-0005-0000-0000-000022150000}"/>
    <cellStyle name="Percent (0)" xfId="5459" xr:uid="{00000000-0005-0000-0000-000023150000}"/>
    <cellStyle name="Percent [0]" xfId="5460" xr:uid="{00000000-0005-0000-0000-000024150000}"/>
    <cellStyle name="Percent [0] 2" xfId="5461" xr:uid="{00000000-0005-0000-0000-000025150000}"/>
    <cellStyle name="Percent [00]" xfId="5462" xr:uid="{00000000-0005-0000-0000-000026150000}"/>
    <cellStyle name="Percent [00] 2" xfId="5463" xr:uid="{00000000-0005-0000-0000-000027150000}"/>
    <cellStyle name="Percent [2]" xfId="20" xr:uid="{00000000-0005-0000-0000-000028150000}"/>
    <cellStyle name="Percent_#6 Temps &amp; Contractors" xfId="5464" xr:uid="{00000000-0005-0000-0000-000029150000}"/>
    <cellStyle name="Period" xfId="5465" xr:uid="{00000000-0005-0000-0000-00002A150000}"/>
    <cellStyle name="PrePop Currency (0)" xfId="5466" xr:uid="{00000000-0005-0000-0000-00002B150000}"/>
    <cellStyle name="PrePop Currency (0) 2" xfId="5467" xr:uid="{00000000-0005-0000-0000-00002C150000}"/>
    <cellStyle name="PrePop Currency (2)" xfId="5468" xr:uid="{00000000-0005-0000-0000-00002D150000}"/>
    <cellStyle name="PrePop Currency (2) 2" xfId="5469" xr:uid="{00000000-0005-0000-0000-00002E150000}"/>
    <cellStyle name="PrePop Units (0)" xfId="5470" xr:uid="{00000000-0005-0000-0000-00002F150000}"/>
    <cellStyle name="PrePop Units (0) 2" xfId="5471" xr:uid="{00000000-0005-0000-0000-000030150000}"/>
    <cellStyle name="PrePop Units (1)" xfId="5472" xr:uid="{00000000-0005-0000-0000-000031150000}"/>
    <cellStyle name="PrePop Units (1) 2" xfId="5473" xr:uid="{00000000-0005-0000-0000-000032150000}"/>
    <cellStyle name="PrePop Units (2)" xfId="5474" xr:uid="{00000000-0005-0000-0000-000033150000}"/>
    <cellStyle name="PrePop Units (2) 2" xfId="5475" xr:uid="{00000000-0005-0000-0000-000034150000}"/>
    <cellStyle name="price" xfId="21" xr:uid="{00000000-0005-0000-0000-000035150000}"/>
    <cellStyle name="Prices" xfId="5476" xr:uid="{00000000-0005-0000-0000-000036150000}"/>
    <cellStyle name="pricing" xfId="5477" xr:uid="{00000000-0005-0000-0000-000037150000}"/>
    <cellStyle name="PSChar" xfId="22" xr:uid="{00000000-0005-0000-0000-000038150000}"/>
    <cellStyle name="PSDate" xfId="5478" xr:uid="{00000000-0005-0000-0000-000039150000}"/>
    <cellStyle name="PSDec" xfId="5479" xr:uid="{00000000-0005-0000-0000-00003A150000}"/>
    <cellStyle name="PSHeading" xfId="23" xr:uid="{00000000-0005-0000-0000-00003B150000}"/>
    <cellStyle name="PSInt" xfId="5480" xr:uid="{00000000-0005-0000-0000-00003C150000}"/>
    <cellStyle name="PSSpacer" xfId="5481" xr:uid="{00000000-0005-0000-0000-00003D150000}"/>
    <cellStyle name="R1" xfId="5482" xr:uid="{00000000-0005-0000-0000-00003E150000}"/>
    <cellStyle name="R2" xfId="5483" xr:uid="{00000000-0005-0000-0000-00003F150000}"/>
    <cellStyle name="red" xfId="5484" xr:uid="{00000000-0005-0000-0000-000040150000}"/>
    <cellStyle name="regstoresfromspecstores" xfId="5485" xr:uid="{00000000-0005-0000-0000-000041150000}"/>
    <cellStyle name="revised" xfId="24" xr:uid="{00000000-0005-0000-0000-000042150000}"/>
    <cellStyle name="RevList" xfId="5486" xr:uid="{00000000-0005-0000-0000-000043150000}"/>
    <cellStyle name="section" xfId="25" xr:uid="{00000000-0005-0000-0000-000044150000}"/>
    <cellStyle name="SHADEDSTORES" xfId="5487" xr:uid="{00000000-0005-0000-0000-000045150000}"/>
    <cellStyle name="SHADEDSTORES 2" xfId="5488" xr:uid="{00000000-0005-0000-0000-000046150000}"/>
    <cellStyle name="SHADEDSTORES 3" xfId="5489" xr:uid="{00000000-0005-0000-0000-000047150000}"/>
    <cellStyle name="SHADEDSTORES 4" xfId="5490" xr:uid="{00000000-0005-0000-0000-000048150000}"/>
    <cellStyle name="specstores" xfId="5491" xr:uid="{00000000-0005-0000-0000-000049150000}"/>
    <cellStyle name="standard" xfId="5492" xr:uid="{00000000-0005-0000-0000-00004A150000}"/>
    <cellStyle name="Style 28" xfId="5493" xr:uid="{00000000-0005-0000-0000-00004B150000}"/>
    <cellStyle name="subhead" xfId="26" xr:uid="{00000000-0005-0000-0000-00004C150000}"/>
    <cellStyle name="Subtotal" xfId="5494" xr:uid="{00000000-0005-0000-0000-00004D150000}"/>
    <cellStyle name="TC_Comment" xfId="5495" xr:uid="{00000000-0005-0000-0000-00004E150000}"/>
    <cellStyle name="Text Indent A" xfId="5496" xr:uid="{00000000-0005-0000-0000-00004F150000}"/>
    <cellStyle name="Text Indent B" xfId="5497" xr:uid="{00000000-0005-0000-0000-000050150000}"/>
    <cellStyle name="Text Indent B 2" xfId="5498" xr:uid="{00000000-0005-0000-0000-000051150000}"/>
    <cellStyle name="Text Indent C" xfId="5499" xr:uid="{00000000-0005-0000-0000-000052150000}"/>
    <cellStyle name="Text Indent C 2" xfId="5500" xr:uid="{00000000-0005-0000-0000-000053150000}"/>
    <cellStyle name="Tickmark" xfId="5501" xr:uid="{00000000-0005-0000-0000-000054150000}"/>
    <cellStyle name="title" xfId="27" xr:uid="{00000000-0005-0000-0000-000055150000}"/>
    <cellStyle name="todo" xfId="5502" xr:uid="{00000000-0005-0000-0000-000056150000}"/>
    <cellStyle name="Total" xfId="5503" xr:uid="{00000000-0005-0000-0000-000057150000}"/>
    <cellStyle name="umeda" xfId="5504" xr:uid="{00000000-0005-0000-0000-000058150000}"/>
    <cellStyle name="V2" xfId="5505" xr:uid="{00000000-0005-0000-0000-000059150000}"/>
    <cellStyle name="Warning Text" xfId="5506" xr:uid="{00000000-0005-0000-0000-00005A150000}"/>
    <cellStyle name="アクセント 1 2" xfId="5507" xr:uid="{00000000-0005-0000-0000-00005B150000}"/>
    <cellStyle name="アクセント 1 2 2" xfId="5508" xr:uid="{00000000-0005-0000-0000-00005C150000}"/>
    <cellStyle name="アクセント 1 3" xfId="5509" xr:uid="{00000000-0005-0000-0000-00005D150000}"/>
    <cellStyle name="アクセント 1 4" xfId="5510" xr:uid="{00000000-0005-0000-0000-00005E150000}"/>
    <cellStyle name="アクセント 2 2" xfId="5511" xr:uid="{00000000-0005-0000-0000-00005F150000}"/>
    <cellStyle name="アクセント 2 2 2" xfId="5512" xr:uid="{00000000-0005-0000-0000-000060150000}"/>
    <cellStyle name="アクセント 2 3" xfId="5513" xr:uid="{00000000-0005-0000-0000-000061150000}"/>
    <cellStyle name="アクセント 2 4" xfId="5514" xr:uid="{00000000-0005-0000-0000-000062150000}"/>
    <cellStyle name="アクセント 3 2" xfId="5515" xr:uid="{00000000-0005-0000-0000-000063150000}"/>
    <cellStyle name="アクセント 3 2 2" xfId="5516" xr:uid="{00000000-0005-0000-0000-000064150000}"/>
    <cellStyle name="アクセント 3 3" xfId="5517" xr:uid="{00000000-0005-0000-0000-000065150000}"/>
    <cellStyle name="アクセント 3 4" xfId="5518" xr:uid="{00000000-0005-0000-0000-000066150000}"/>
    <cellStyle name="アクセント 4 2" xfId="5519" xr:uid="{00000000-0005-0000-0000-000067150000}"/>
    <cellStyle name="アクセント 4 2 2" xfId="5520" xr:uid="{00000000-0005-0000-0000-000068150000}"/>
    <cellStyle name="アクセント 4 3" xfId="5521" xr:uid="{00000000-0005-0000-0000-000069150000}"/>
    <cellStyle name="アクセント 4 4" xfId="5522" xr:uid="{00000000-0005-0000-0000-00006A150000}"/>
    <cellStyle name="アクセント 5 2" xfId="5523" xr:uid="{00000000-0005-0000-0000-00006B150000}"/>
    <cellStyle name="アクセント 5 2 2" xfId="5524" xr:uid="{00000000-0005-0000-0000-00006C150000}"/>
    <cellStyle name="アクセント 5 3" xfId="5525" xr:uid="{00000000-0005-0000-0000-00006D150000}"/>
    <cellStyle name="アクセント 5 4" xfId="5526" xr:uid="{00000000-0005-0000-0000-00006E150000}"/>
    <cellStyle name="アクセント 6 2" xfId="5527" xr:uid="{00000000-0005-0000-0000-00006F150000}"/>
    <cellStyle name="アクセント 6 2 2" xfId="5528" xr:uid="{00000000-0005-0000-0000-000070150000}"/>
    <cellStyle name="アクセント 6 3" xfId="5529" xr:uid="{00000000-0005-0000-0000-000071150000}"/>
    <cellStyle name="アクセント 6 4" xfId="5530" xr:uid="{00000000-0005-0000-0000-000072150000}"/>
    <cellStyle name="あさひ" xfId="5531" xr:uid="{00000000-0005-0000-0000-000073150000}"/>
    <cellStyle name="あさひ 2" xfId="5532" xr:uid="{00000000-0005-0000-0000-000074150000}"/>
    <cellStyle name="あさひ 3" xfId="5533" xr:uid="{00000000-0005-0000-0000-000075150000}"/>
    <cellStyle name="あさひ 4" xfId="5534" xr:uid="{00000000-0005-0000-0000-000076150000}"/>
    <cellStyle name="あさひＤＢ" xfId="5535" xr:uid="{00000000-0005-0000-0000-000077150000}"/>
    <cellStyle name="ｳ｣ｹ訐laroux" xfId="28" xr:uid="{00000000-0005-0000-0000-000078150000}"/>
    <cellStyle name="ｳ｣ｹ訐PERSONAL" xfId="29" xr:uid="{00000000-0005-0000-0000-000079150000}"/>
    <cellStyle name="ｳ｣ｹ訐ﾓｲｼ" xfId="30" xr:uid="{00000000-0005-0000-0000-00007A150000}"/>
    <cellStyle name="ｳ｣ｹ訐ﾗ､ﾂ昉・" xfId="31" xr:uid="{00000000-0005-0000-0000-00007B150000}"/>
    <cellStyle name="ゴシック8pt" xfId="5536" xr:uid="{00000000-0005-0000-0000-00007C150000}"/>
    <cellStyle name="ｻﾒ[0]_laroux" xfId="32" xr:uid="{00000000-0005-0000-0000-00007D150000}"/>
    <cellStyle name="ｻﾒ_1000A UNIX" xfId="33" xr:uid="{00000000-0005-0000-0000-00007E150000}"/>
    <cellStyle name="スタイル 1" xfId="34" xr:uid="{00000000-0005-0000-0000-00007F150000}"/>
    <cellStyle name="スタイル 1 2" xfId="5537" xr:uid="{00000000-0005-0000-0000-000080150000}"/>
    <cellStyle name="スタイル 1 2 2" xfId="5538" xr:uid="{00000000-0005-0000-0000-000081150000}"/>
    <cellStyle name="スタイル 1 3" xfId="5539" xr:uid="{00000000-0005-0000-0000-000082150000}"/>
    <cellStyle name="スタイル 1 4" xfId="5540" xr:uid="{00000000-0005-0000-0000-000083150000}"/>
    <cellStyle name="センター" xfId="5541" xr:uid="{00000000-0005-0000-0000-000084150000}"/>
    <cellStyle name="タイトル 2" xfId="5542" xr:uid="{00000000-0005-0000-0000-000085150000}"/>
    <cellStyle name="タイトル 2 2" xfId="5543" xr:uid="{00000000-0005-0000-0000-000086150000}"/>
    <cellStyle name="タイトル 3" xfId="5544" xr:uid="{00000000-0005-0000-0000-000087150000}"/>
    <cellStyle name="タイトル 4" xfId="5545" xr:uid="{00000000-0005-0000-0000-000088150000}"/>
    <cellStyle name="チェック セル 2" xfId="5546" xr:uid="{00000000-0005-0000-0000-000089150000}"/>
    <cellStyle name="チェック セル 2 2" xfId="5547" xr:uid="{00000000-0005-0000-0000-00008A150000}"/>
    <cellStyle name="チェック セル 3" xfId="5548" xr:uid="{00000000-0005-0000-0000-00008B150000}"/>
    <cellStyle name="チェック セル 4" xfId="5549" xr:uid="{00000000-0005-0000-0000-00008C150000}"/>
    <cellStyle name="どちらでもない 2" xfId="5550" xr:uid="{00000000-0005-0000-0000-00008D150000}"/>
    <cellStyle name="どちらでもない 2 2" xfId="5551" xr:uid="{00000000-0005-0000-0000-00008E150000}"/>
    <cellStyle name="どちらでもない 3" xfId="5552" xr:uid="{00000000-0005-0000-0000-00008F150000}"/>
    <cellStyle name="どちらでもない 4" xfId="5553" xr:uid="{00000000-0005-0000-0000-000090150000}"/>
    <cellStyle name="なし" xfId="35" xr:uid="{00000000-0005-0000-0000-000091150000}"/>
    <cellStyle name="なし 2" xfId="5554" xr:uid="{00000000-0005-0000-0000-000092150000}"/>
    <cellStyle name="ﾇｧﾎｻ[0]_laroux" xfId="36" xr:uid="{00000000-0005-0000-0000-000093150000}"/>
    <cellStyle name="ﾇｧﾎｻ_laroux" xfId="37" xr:uid="{00000000-0005-0000-0000-000094150000}"/>
    <cellStyle name="ﾇｧﾎｻｷﾖｸ0]_PERSONAL" xfId="38" xr:uid="{00000000-0005-0000-0000-000095150000}"/>
    <cellStyle name="ﾇｧﾎｻｷﾖｸPERSONAL" xfId="39" xr:uid="{00000000-0005-0000-0000-000096150000}"/>
    <cellStyle name="パーセント 2" xfId="5555" xr:uid="{00000000-0005-0000-0000-000097150000}"/>
    <cellStyle name="パーセント 3" xfId="5556" xr:uid="{00000000-0005-0000-0000-000098150000}"/>
    <cellStyle name="パーセント()" xfId="5557" xr:uid="{00000000-0005-0000-0000-000099150000}"/>
    <cellStyle name="パーセント(0.00)" xfId="5558" xr:uid="{00000000-0005-0000-0000-00009A150000}"/>
    <cellStyle name="パーセント[0.00]" xfId="5559" xr:uid="{00000000-0005-0000-0000-00009B150000}"/>
    <cellStyle name="ハイパーリンク 2" xfId="5560" xr:uid="{00000000-0005-0000-0000-00009C150000}"/>
    <cellStyle name="ﾋﾟﾘｵﾄﾞ" xfId="5561" xr:uid="{00000000-0005-0000-0000-00009D150000}"/>
    <cellStyle name="ﾋﾟﾘｵﾄﾞ右" xfId="5562" xr:uid="{00000000-0005-0000-0000-00009E150000}"/>
    <cellStyle name="ヘッダ" xfId="5563" xr:uid="{00000000-0005-0000-0000-00009F150000}"/>
    <cellStyle name="ヘッダ 2" xfId="5564" xr:uid="{00000000-0005-0000-0000-0000A0150000}"/>
    <cellStyle name="ヘッダ 3" xfId="5565" xr:uid="{00000000-0005-0000-0000-0000A1150000}"/>
    <cellStyle name="ヘッダ 4" xfId="5566" xr:uid="{00000000-0005-0000-0000-0000A2150000}"/>
    <cellStyle name="メモ 2" xfId="5567" xr:uid="{00000000-0005-0000-0000-0000A3150000}"/>
    <cellStyle name="メモ 2 2" xfId="5568" xr:uid="{00000000-0005-0000-0000-0000A4150000}"/>
    <cellStyle name="メモ 2 2 2" xfId="5569" xr:uid="{00000000-0005-0000-0000-0000A5150000}"/>
    <cellStyle name="メモ 2 2 3" xfId="5570" xr:uid="{00000000-0005-0000-0000-0000A6150000}"/>
    <cellStyle name="メモ 2 2 4" xfId="5571" xr:uid="{00000000-0005-0000-0000-0000A7150000}"/>
    <cellStyle name="メモ 2 2 5" xfId="5572" xr:uid="{00000000-0005-0000-0000-0000A8150000}"/>
    <cellStyle name="メモ 2 3" xfId="5573" xr:uid="{00000000-0005-0000-0000-0000A9150000}"/>
    <cellStyle name="メモ 2 3 2" xfId="5574" xr:uid="{00000000-0005-0000-0000-0000AA150000}"/>
    <cellStyle name="メモ 2 3 3" xfId="5575" xr:uid="{00000000-0005-0000-0000-0000AB150000}"/>
    <cellStyle name="メモ 2 3 4" xfId="5576" xr:uid="{00000000-0005-0000-0000-0000AC150000}"/>
    <cellStyle name="メモ 2 3 5" xfId="5577" xr:uid="{00000000-0005-0000-0000-0000AD150000}"/>
    <cellStyle name="メモ 2 4" xfId="5578" xr:uid="{00000000-0005-0000-0000-0000AE150000}"/>
    <cellStyle name="メモ 2 5" xfId="5579" xr:uid="{00000000-0005-0000-0000-0000AF150000}"/>
    <cellStyle name="メモ 2 6" xfId="5580" xr:uid="{00000000-0005-0000-0000-0000B0150000}"/>
    <cellStyle name="メモ 2 7" xfId="5581" xr:uid="{00000000-0005-0000-0000-0000B1150000}"/>
    <cellStyle name="メモ 2 8" xfId="5582" xr:uid="{00000000-0005-0000-0000-0000B2150000}"/>
    <cellStyle name="メモ 3" xfId="5583" xr:uid="{00000000-0005-0000-0000-0000B3150000}"/>
    <cellStyle name="メモ 3 2" xfId="5584" xr:uid="{00000000-0005-0000-0000-0000B4150000}"/>
    <cellStyle name="メモ 3 2 2" xfId="5585" xr:uid="{00000000-0005-0000-0000-0000B5150000}"/>
    <cellStyle name="メモ 3 2 3" xfId="5586" xr:uid="{00000000-0005-0000-0000-0000B6150000}"/>
    <cellStyle name="メモ 3 2 4" xfId="5587" xr:uid="{00000000-0005-0000-0000-0000B7150000}"/>
    <cellStyle name="メモ 3 2 5" xfId="5588" xr:uid="{00000000-0005-0000-0000-0000B8150000}"/>
    <cellStyle name="メモ 3 3" xfId="5589" xr:uid="{00000000-0005-0000-0000-0000B9150000}"/>
    <cellStyle name="メモ 3 4" xfId="5590" xr:uid="{00000000-0005-0000-0000-0000BA150000}"/>
    <cellStyle name="メモ 3 5" xfId="5591" xr:uid="{00000000-0005-0000-0000-0000BB150000}"/>
    <cellStyle name="メモ 3 6" xfId="5592" xr:uid="{00000000-0005-0000-0000-0000BC150000}"/>
    <cellStyle name="メモ 4" xfId="5593" xr:uid="{00000000-0005-0000-0000-0000BD150000}"/>
    <cellStyle name="メモ 4 2" xfId="5594" xr:uid="{00000000-0005-0000-0000-0000BE150000}"/>
    <cellStyle name="メモ 4 2 2" xfId="5595" xr:uid="{00000000-0005-0000-0000-0000BF150000}"/>
    <cellStyle name="メモ 4 2 3" xfId="5596" xr:uid="{00000000-0005-0000-0000-0000C0150000}"/>
    <cellStyle name="メモ 4 2 4" xfId="5597" xr:uid="{00000000-0005-0000-0000-0000C1150000}"/>
    <cellStyle name="メモ 4 2 5" xfId="5598" xr:uid="{00000000-0005-0000-0000-0000C2150000}"/>
    <cellStyle name="メモ 4 3" xfId="5599" xr:uid="{00000000-0005-0000-0000-0000C3150000}"/>
    <cellStyle name="メモ 4 4" xfId="5600" xr:uid="{00000000-0005-0000-0000-0000C4150000}"/>
    <cellStyle name="メモ 4 5" xfId="5601" xr:uid="{00000000-0005-0000-0000-0000C5150000}"/>
    <cellStyle name="メモ 4 6" xfId="5602" xr:uid="{00000000-0005-0000-0000-0000C6150000}"/>
    <cellStyle name="メモ 5" xfId="5603" xr:uid="{00000000-0005-0000-0000-0000C7150000}"/>
    <cellStyle name="メモ 5 2" xfId="5604" xr:uid="{00000000-0005-0000-0000-0000C8150000}"/>
    <cellStyle name="メモ 5 3" xfId="5605" xr:uid="{00000000-0005-0000-0000-0000C9150000}"/>
    <cellStyle name="メモ 5 4" xfId="5606" xr:uid="{00000000-0005-0000-0000-0000CA150000}"/>
    <cellStyle name="メモ 5 5" xfId="5607" xr:uid="{00000000-0005-0000-0000-0000CB150000}"/>
    <cellStyle name="リンク セル 2" xfId="5608" xr:uid="{00000000-0005-0000-0000-0000CC150000}"/>
    <cellStyle name="リンク セル 2 2" xfId="5609" xr:uid="{00000000-0005-0000-0000-0000CD150000}"/>
    <cellStyle name="リンク セル 3" xfId="5610" xr:uid="{00000000-0005-0000-0000-0000CE150000}"/>
    <cellStyle name="リンク セル 4" xfId="5611" xr:uid="{00000000-0005-0000-0000-0000CF150000}"/>
    <cellStyle name="るるるー" xfId="5612" xr:uid="{00000000-0005-0000-0000-0000D0150000}"/>
    <cellStyle name="・'_x000c_・・・V_x0001_ｳ_x0018_ﾘ0_x0007__x0001__x0001_" xfId="40" xr:uid="{00000000-0005-0000-0000-0000D1150000}"/>
    <cellStyle name="・'_x000c_・・・V_x0001_ｳ_x0018_ﾘ0_x0007__x0001__x0001_?_x0003_ｯ?(_x0002_!&gt; ???&quot;M??ﾎ_x0004__x0006__x001e_??????????????ﾍ!ﾋ??????????           ?????           ????*ｪ?_x000d__x0002_ｪｨ_x000a__x0002_ｪｪ1_x0002_ｪ・ｪｪ・_x0002_ｪあ*ｪ_x0002_ｪあｨ_x000a_ｪ?_x0002_ｪあｪ_x0002_ｪ_x001f__x0002_ｪがｪｪ・_x0002_ｪｨ_x000a_ｪｪｪ?逗・ｪｪAｪｪｪ_x000f__x0002_ｪｪ針ｪｪ・_x0002_ｪｪ､_x001a_ｪｪﾃ・ｪｪ・ｪｪ_▲PGM進捗管理表(2)600行" xfId="5613" xr:uid="{00000000-0005-0000-0000-0000D2150000}"/>
    <cellStyle name="_x001d_・_x000c_ﾏ・_x000d_ﾂ・_x0001__x0016__x0011_F5_x0007__x0001__x0001_" xfId="5614" xr:uid="{00000000-0005-0000-0000-0000D3150000}"/>
    <cellStyle name="_x001d_・_x000c_ﾏ・_x000d_ﾂ・_x0001__x0016__x0011_F5_x0007__x0001__x0001_?_x0002_ｯ?(_x0002_ A ???&quot;P????_x0006__x001e_??????????????ﾍ!ﾋ??????????           ?????           ?????????_x000d_EXIST U:\DCDB\USERS\TERA\PROFILE.BAT CALL U:\DCDB\USERS\TERA\PROFILE.BAT_x000d_????????????????????????????????????????????" xfId="5615" xr:uid="{00000000-0005-0000-0000-0000D4150000}"/>
    <cellStyle name="悪い 2" xfId="5616" xr:uid="{00000000-0005-0000-0000-0000D5150000}"/>
    <cellStyle name="悪い 2 2" xfId="5617" xr:uid="{00000000-0005-0000-0000-0000D6150000}"/>
    <cellStyle name="悪い 3" xfId="5618" xr:uid="{00000000-0005-0000-0000-0000D7150000}"/>
    <cellStyle name="悪い 4" xfId="5619" xr:uid="{00000000-0005-0000-0000-0000D8150000}"/>
    <cellStyle name="案件No" xfId="5620" xr:uid="{00000000-0005-0000-0000-0000D9150000}"/>
    <cellStyle name="移行計画書" xfId="5621" xr:uid="{00000000-0005-0000-0000-0000DA150000}"/>
    <cellStyle name="鵜" xfId="41" xr:uid="{00000000-0005-0000-0000-0000DB150000}"/>
    <cellStyle name="下点線" xfId="5622" xr:uid="{00000000-0005-0000-0000-0000DC150000}"/>
    <cellStyle name="下点線 2" xfId="5623" xr:uid="{00000000-0005-0000-0000-0000DD150000}"/>
    <cellStyle name="価格桁区切り" xfId="42" xr:uid="{00000000-0005-0000-0000-0000DE150000}"/>
    <cellStyle name="外部設計" xfId="5624" xr:uid="{00000000-0005-0000-0000-0000DF150000}"/>
    <cellStyle name="基礎枚数" xfId="5625" xr:uid="{00000000-0005-0000-0000-0000E0150000}"/>
    <cellStyle name="基礎枚数 2" xfId="5626" xr:uid="{00000000-0005-0000-0000-0000E1150000}"/>
    <cellStyle name="基礎枚数 2 2" xfId="5912" xr:uid="{00000000-0005-0000-0000-0000E2150000}"/>
    <cellStyle name="基礎枚数 3" xfId="5627" xr:uid="{00000000-0005-0000-0000-0000E3150000}"/>
    <cellStyle name="基礎枚数 3 2" xfId="5913" xr:uid="{00000000-0005-0000-0000-0000E4150000}"/>
    <cellStyle name="基礎枚数 4" xfId="5628" xr:uid="{00000000-0005-0000-0000-0000E5150000}"/>
    <cellStyle name="基礎枚数 4 2" xfId="5914" xr:uid="{00000000-0005-0000-0000-0000E6150000}"/>
    <cellStyle name="基礎枚数 5" xfId="5629" xr:uid="{00000000-0005-0000-0000-0000E7150000}"/>
    <cellStyle name="基礎枚数 5 2" xfId="5915" xr:uid="{00000000-0005-0000-0000-0000E8150000}"/>
    <cellStyle name="基礎枚数 6" xfId="5630" xr:uid="{00000000-0005-0000-0000-0000E9150000}"/>
    <cellStyle name="基礎枚数 6 2" xfId="5916" xr:uid="{00000000-0005-0000-0000-0000EA150000}"/>
    <cellStyle name="基礎枚数 7" xfId="5911" xr:uid="{00000000-0005-0000-0000-0000EB150000}"/>
    <cellStyle name="基本フォーム" xfId="43" xr:uid="{00000000-0005-0000-0000-0000EC150000}"/>
    <cellStyle name="基本フォーム 2" xfId="5631" xr:uid="{00000000-0005-0000-0000-0000ED150000}"/>
    <cellStyle name="基本フォーム 3" xfId="5632" xr:uid="{00000000-0005-0000-0000-0000EE150000}"/>
    <cellStyle name="基本フォーム 4" xfId="5633" xr:uid="{00000000-0005-0000-0000-0000EF150000}"/>
    <cellStyle name="基本フォーム 5" xfId="5634" xr:uid="{00000000-0005-0000-0000-0000F0150000}"/>
    <cellStyle name="期末評価" xfId="5635" xr:uid="{00000000-0005-0000-0000-0000F1150000}"/>
    <cellStyle name="競馬スタイル" xfId="44" xr:uid="{00000000-0005-0000-0000-0000F2150000}"/>
    <cellStyle name="競馬スタイル 2" xfId="5636" xr:uid="{00000000-0005-0000-0000-0000F3150000}"/>
    <cellStyle name="型番" xfId="45" xr:uid="{00000000-0005-0000-0000-0000F4150000}"/>
    <cellStyle name="計算 2" xfId="5637" xr:uid="{00000000-0005-0000-0000-0000F5150000}"/>
    <cellStyle name="計算 2 2" xfId="5638" xr:uid="{00000000-0005-0000-0000-0000F6150000}"/>
    <cellStyle name="計算 2 2 2" xfId="5639" xr:uid="{00000000-0005-0000-0000-0000F7150000}"/>
    <cellStyle name="計算 2 2 3" xfId="5640" xr:uid="{00000000-0005-0000-0000-0000F8150000}"/>
    <cellStyle name="計算 2 2 4" xfId="5641" xr:uid="{00000000-0005-0000-0000-0000F9150000}"/>
    <cellStyle name="計算 2 2 5" xfId="5642" xr:uid="{00000000-0005-0000-0000-0000FA150000}"/>
    <cellStyle name="計算 2 3" xfId="5643" xr:uid="{00000000-0005-0000-0000-0000FB150000}"/>
    <cellStyle name="計算 2 4" xfId="5644" xr:uid="{00000000-0005-0000-0000-0000FC150000}"/>
    <cellStyle name="計算 2 5" xfId="5645" xr:uid="{00000000-0005-0000-0000-0000FD150000}"/>
    <cellStyle name="計算 2 6" xfId="5646" xr:uid="{00000000-0005-0000-0000-0000FE150000}"/>
    <cellStyle name="計算 3" xfId="5647" xr:uid="{00000000-0005-0000-0000-0000FF150000}"/>
    <cellStyle name="計算 3 2" xfId="5648" xr:uid="{00000000-0005-0000-0000-000000160000}"/>
    <cellStyle name="計算 3 3" xfId="5649" xr:uid="{00000000-0005-0000-0000-000001160000}"/>
    <cellStyle name="計算 3 4" xfId="5650" xr:uid="{00000000-0005-0000-0000-000002160000}"/>
    <cellStyle name="計算 3 5" xfId="5651" xr:uid="{00000000-0005-0000-0000-000003160000}"/>
    <cellStyle name="計算 4" xfId="5652" xr:uid="{00000000-0005-0000-0000-000004160000}"/>
    <cellStyle name="計算 4 2" xfId="5653" xr:uid="{00000000-0005-0000-0000-000005160000}"/>
    <cellStyle name="計算 4 3" xfId="5654" xr:uid="{00000000-0005-0000-0000-000006160000}"/>
    <cellStyle name="計算 4 4" xfId="5655" xr:uid="{00000000-0005-0000-0000-000007160000}"/>
    <cellStyle name="計算 4 5" xfId="5656" xr:uid="{00000000-0005-0000-0000-000008160000}"/>
    <cellStyle name="警告文 2" xfId="5657" xr:uid="{00000000-0005-0000-0000-000009160000}"/>
    <cellStyle name="警告文 2 2" xfId="5658" xr:uid="{00000000-0005-0000-0000-00000A160000}"/>
    <cellStyle name="警告文 3" xfId="5659" xr:uid="{00000000-0005-0000-0000-00000B160000}"/>
    <cellStyle name="警告文 4" xfId="5660" xr:uid="{00000000-0005-0000-0000-00000C160000}"/>
    <cellStyle name="桁蟻唇Ｆ [0.00]_DATA" xfId="5661" xr:uid="{00000000-0005-0000-0000-00000D160000}"/>
    <cellStyle name="桁蟻唇Ｆ_DATA" xfId="5662" xr:uid="{00000000-0005-0000-0000-00000E160000}"/>
    <cellStyle name="桁区切? [0.00]" xfId="5663" xr:uid="{00000000-0005-0000-0000-00000F160000}"/>
    <cellStyle name="桁区切? [0.00] 2" xfId="5664" xr:uid="{00000000-0005-0000-0000-000010160000}"/>
    <cellStyle name="桁区切り 2" xfId="5665" xr:uid="{00000000-0005-0000-0000-000011160000}"/>
    <cellStyle name="桁区切り 2 2" xfId="5666" xr:uid="{00000000-0005-0000-0000-000012160000}"/>
    <cellStyle name="桁区切り 2 2 2" xfId="5667" xr:uid="{00000000-0005-0000-0000-000013160000}"/>
    <cellStyle name="桁区切り 2 3" xfId="5668" xr:uid="{00000000-0005-0000-0000-000014160000}"/>
    <cellStyle name="見出し 1 2" xfId="5669" xr:uid="{00000000-0005-0000-0000-000015160000}"/>
    <cellStyle name="見出し 1 2 2" xfId="5670" xr:uid="{00000000-0005-0000-0000-000016160000}"/>
    <cellStyle name="見出し 1 3" xfId="5671" xr:uid="{00000000-0005-0000-0000-000017160000}"/>
    <cellStyle name="見出し 1 4" xfId="5672" xr:uid="{00000000-0005-0000-0000-000018160000}"/>
    <cellStyle name="見出し 2 2" xfId="5673" xr:uid="{00000000-0005-0000-0000-000019160000}"/>
    <cellStyle name="見出し 2 2 2" xfId="5674" xr:uid="{00000000-0005-0000-0000-00001A160000}"/>
    <cellStyle name="見出し 2 3" xfId="5675" xr:uid="{00000000-0005-0000-0000-00001B160000}"/>
    <cellStyle name="見出し 2 4" xfId="5676" xr:uid="{00000000-0005-0000-0000-00001C160000}"/>
    <cellStyle name="見出し 3 2" xfId="5677" xr:uid="{00000000-0005-0000-0000-00001D160000}"/>
    <cellStyle name="見出し 3 2 2" xfId="5678" xr:uid="{00000000-0005-0000-0000-00001E160000}"/>
    <cellStyle name="見出し 3 3" xfId="5679" xr:uid="{00000000-0005-0000-0000-00001F160000}"/>
    <cellStyle name="見出し 3 4" xfId="5680" xr:uid="{00000000-0005-0000-0000-000020160000}"/>
    <cellStyle name="見出し 4 2" xfId="5681" xr:uid="{00000000-0005-0000-0000-000021160000}"/>
    <cellStyle name="見出し 4 2 2" xfId="5682" xr:uid="{00000000-0005-0000-0000-000022160000}"/>
    <cellStyle name="見出し 4 3" xfId="5683" xr:uid="{00000000-0005-0000-0000-000023160000}"/>
    <cellStyle name="見出し 4 4" xfId="5684" xr:uid="{00000000-0005-0000-0000-000024160000}"/>
    <cellStyle name="見出し1" xfId="5685" xr:uid="{00000000-0005-0000-0000-000025160000}"/>
    <cellStyle name="見出し１" xfId="5686" xr:uid="{00000000-0005-0000-0000-000026160000}"/>
    <cellStyle name="見出し1 1" xfId="5687" xr:uid="{00000000-0005-0000-0000-000027160000}"/>
    <cellStyle name="見出し2" xfId="5688" xr:uid="{00000000-0005-0000-0000-000028160000}"/>
    <cellStyle name="見出し2 2" xfId="5689" xr:uid="{00000000-0005-0000-0000-000029160000}"/>
    <cellStyle name="見出し3" xfId="5690" xr:uid="{00000000-0005-0000-0000-00002A160000}"/>
    <cellStyle name="見出し4" xfId="5691" xr:uid="{00000000-0005-0000-0000-00002B160000}"/>
    <cellStyle name="見出し5" xfId="5692" xr:uid="{00000000-0005-0000-0000-00002C160000}"/>
    <cellStyle name="見出し6" xfId="5693" xr:uid="{00000000-0005-0000-0000-00002D160000}"/>
    <cellStyle name="作業手順ﾌﾛｰ" xfId="46" xr:uid="{00000000-0005-0000-0000-00002E160000}"/>
    <cellStyle name="作成・更新日" xfId="5694" xr:uid="{00000000-0005-0000-0000-00002F160000}"/>
    <cellStyle name="集計 2" xfId="5695" xr:uid="{00000000-0005-0000-0000-000030160000}"/>
    <cellStyle name="集計 2 2" xfId="5696" xr:uid="{00000000-0005-0000-0000-000031160000}"/>
    <cellStyle name="集計 2 2 2" xfId="5697" xr:uid="{00000000-0005-0000-0000-000032160000}"/>
    <cellStyle name="集計 2 2 3" xfId="5698" xr:uid="{00000000-0005-0000-0000-000033160000}"/>
    <cellStyle name="集計 2 2 4" xfId="5699" xr:uid="{00000000-0005-0000-0000-000034160000}"/>
    <cellStyle name="集計 2 2 5" xfId="5700" xr:uid="{00000000-0005-0000-0000-000035160000}"/>
    <cellStyle name="集計 2 3" xfId="5701" xr:uid="{00000000-0005-0000-0000-000036160000}"/>
    <cellStyle name="集計 2 4" xfId="5702" xr:uid="{00000000-0005-0000-0000-000037160000}"/>
    <cellStyle name="集計 2 5" xfId="5703" xr:uid="{00000000-0005-0000-0000-000038160000}"/>
    <cellStyle name="集計 2 6" xfId="5704" xr:uid="{00000000-0005-0000-0000-000039160000}"/>
    <cellStyle name="集計 3" xfId="5705" xr:uid="{00000000-0005-0000-0000-00003A160000}"/>
    <cellStyle name="集計 3 2" xfId="5706" xr:uid="{00000000-0005-0000-0000-00003B160000}"/>
    <cellStyle name="集計 3 3" xfId="5707" xr:uid="{00000000-0005-0000-0000-00003C160000}"/>
    <cellStyle name="集計 3 4" xfId="5708" xr:uid="{00000000-0005-0000-0000-00003D160000}"/>
    <cellStyle name="集計 3 5" xfId="5709" xr:uid="{00000000-0005-0000-0000-00003E160000}"/>
    <cellStyle name="集計 4" xfId="5710" xr:uid="{00000000-0005-0000-0000-00003F160000}"/>
    <cellStyle name="集計 4 2" xfId="5711" xr:uid="{00000000-0005-0000-0000-000040160000}"/>
    <cellStyle name="集計 4 3" xfId="5712" xr:uid="{00000000-0005-0000-0000-000041160000}"/>
    <cellStyle name="集計 4 4" xfId="5713" xr:uid="{00000000-0005-0000-0000-000042160000}"/>
    <cellStyle name="集計 4 5" xfId="5714" xr:uid="{00000000-0005-0000-0000-000043160000}"/>
    <cellStyle name="出力 2" xfId="5715" xr:uid="{00000000-0005-0000-0000-000044160000}"/>
    <cellStyle name="出力 2 2" xfId="5716" xr:uid="{00000000-0005-0000-0000-000045160000}"/>
    <cellStyle name="出力 2 2 2" xfId="5717" xr:uid="{00000000-0005-0000-0000-000046160000}"/>
    <cellStyle name="出力 2 2 3" xfId="5718" xr:uid="{00000000-0005-0000-0000-000047160000}"/>
    <cellStyle name="出力 2 2 4" xfId="5719" xr:uid="{00000000-0005-0000-0000-000048160000}"/>
    <cellStyle name="出力 2 2 5" xfId="5720" xr:uid="{00000000-0005-0000-0000-000049160000}"/>
    <cellStyle name="出力 2 3" xfId="5721" xr:uid="{00000000-0005-0000-0000-00004A160000}"/>
    <cellStyle name="出力 2 4" xfId="5722" xr:uid="{00000000-0005-0000-0000-00004B160000}"/>
    <cellStyle name="出力 2 5" xfId="5723" xr:uid="{00000000-0005-0000-0000-00004C160000}"/>
    <cellStyle name="出力 2 6" xfId="5724" xr:uid="{00000000-0005-0000-0000-00004D160000}"/>
    <cellStyle name="出力 3" xfId="5725" xr:uid="{00000000-0005-0000-0000-00004E160000}"/>
    <cellStyle name="出力 3 2" xfId="5726" xr:uid="{00000000-0005-0000-0000-00004F160000}"/>
    <cellStyle name="出力 3 3" xfId="5727" xr:uid="{00000000-0005-0000-0000-000050160000}"/>
    <cellStyle name="出力 3 4" xfId="5728" xr:uid="{00000000-0005-0000-0000-000051160000}"/>
    <cellStyle name="出力 3 5" xfId="5729" xr:uid="{00000000-0005-0000-0000-000052160000}"/>
    <cellStyle name="出力 4" xfId="5730" xr:uid="{00000000-0005-0000-0000-000053160000}"/>
    <cellStyle name="出力 4 2" xfId="5731" xr:uid="{00000000-0005-0000-0000-000054160000}"/>
    <cellStyle name="出力 4 3" xfId="5732" xr:uid="{00000000-0005-0000-0000-000055160000}"/>
    <cellStyle name="出力 4 4" xfId="5733" xr:uid="{00000000-0005-0000-0000-000056160000}"/>
    <cellStyle name="出力 4 5" xfId="5734" xr:uid="{00000000-0005-0000-0000-000057160000}"/>
    <cellStyle name="処理機能等" xfId="5735" xr:uid="{00000000-0005-0000-0000-000058160000}"/>
    <cellStyle name="小タイトル" xfId="5736" xr:uid="{00000000-0005-0000-0000-000059160000}"/>
    <cellStyle name="小タイトル 2" xfId="5737" xr:uid="{00000000-0005-0000-0000-00005A160000}"/>
    <cellStyle name="少数１位" xfId="5738" xr:uid="{00000000-0005-0000-0000-00005B160000}"/>
    <cellStyle name="少数２位" xfId="5739" xr:uid="{00000000-0005-0000-0000-00005C160000}"/>
    <cellStyle name="詳細" xfId="5740" xr:uid="{00000000-0005-0000-0000-00005D160000}"/>
    <cellStyle name="常规_MD詳細設計書雛型（オンライン）20050428" xfId="5741" xr:uid="{00000000-0005-0000-0000-00005E160000}"/>
    <cellStyle name="進捗" xfId="5742" xr:uid="{00000000-0005-0000-0000-00005F160000}"/>
    <cellStyle name="進捗 2" xfId="5743" xr:uid="{00000000-0005-0000-0000-000060160000}"/>
    <cellStyle name="進捗 3" xfId="5744" xr:uid="{00000000-0005-0000-0000-000061160000}"/>
    <cellStyle name="進捗 4" xfId="5745" xr:uid="{00000000-0005-0000-0000-000062160000}"/>
    <cellStyle name="進捗 5" xfId="5746" xr:uid="{00000000-0005-0000-0000-000063160000}"/>
    <cellStyle name="人月" xfId="47" xr:uid="{00000000-0005-0000-0000-000064160000}"/>
    <cellStyle name="人月 2" xfId="5747" xr:uid="{00000000-0005-0000-0000-000065160000}"/>
    <cellStyle name="人月 2 2" xfId="5748" xr:uid="{00000000-0005-0000-0000-000066160000}"/>
    <cellStyle name="数値" xfId="48" xr:uid="{00000000-0005-0000-0000-000067160000}"/>
    <cellStyle name="数値（桁区切り）" xfId="5749" xr:uid="{00000000-0005-0000-0000-000068160000}"/>
    <cellStyle name="数値_【20031208時点の決定金額】" xfId="5750" xr:uid="{00000000-0005-0000-0000-000069160000}"/>
    <cellStyle name="整数値" xfId="49" xr:uid="{00000000-0005-0000-0000-00006A160000}"/>
    <cellStyle name="整数値 2" xfId="5751" xr:uid="{00000000-0005-0000-0000-00006B160000}"/>
    <cellStyle name="整数値 3" xfId="5752" xr:uid="{00000000-0005-0000-0000-00006C160000}"/>
    <cellStyle name="製品通知&quot;-&quot;" xfId="5753" xr:uid="{00000000-0005-0000-0000-00006D160000}"/>
    <cellStyle name="製品通知価格" xfId="5754" xr:uid="{00000000-0005-0000-0000-00006E160000}"/>
    <cellStyle name="製品通知日付" xfId="5755" xr:uid="{00000000-0005-0000-0000-00006F160000}"/>
    <cellStyle name="製品通知文字列" xfId="5756" xr:uid="{00000000-0005-0000-0000-000070160000}"/>
    <cellStyle name="折り返し" xfId="5757" xr:uid="{00000000-0005-0000-0000-000071160000}"/>
    <cellStyle name="説明文 2" xfId="5758" xr:uid="{00000000-0005-0000-0000-000072160000}"/>
    <cellStyle name="説明文 2 2" xfId="5759" xr:uid="{00000000-0005-0000-0000-000073160000}"/>
    <cellStyle name="説明文 3" xfId="5760" xr:uid="{00000000-0005-0000-0000-000074160000}"/>
    <cellStyle name="説明文 4" xfId="5761" xr:uid="{00000000-0005-0000-0000-000075160000}"/>
    <cellStyle name="大タイトル" xfId="5762" xr:uid="{00000000-0005-0000-0000-000076160000}"/>
    <cellStyle name="脱浦 [0.00]_~0007176" xfId="5763" xr:uid="{00000000-0005-0000-0000-000077160000}"/>
    <cellStyle name="脱浦_~0007176" xfId="5764" xr:uid="{00000000-0005-0000-0000-000078160000}"/>
    <cellStyle name="弾訊" xfId="5765" xr:uid="{00000000-0005-0000-0000-000079160000}"/>
    <cellStyle name="中タイトル" xfId="5766" xr:uid="{00000000-0005-0000-0000-00007A160000}"/>
    <cellStyle name="中央" xfId="5767" xr:uid="{00000000-0005-0000-0000-00007B160000}"/>
    <cellStyle name="帳票" xfId="5768" xr:uid="{00000000-0005-0000-0000-00007C160000}"/>
    <cellStyle name="帳票 2" xfId="5769" xr:uid="{00000000-0005-0000-0000-00007D160000}"/>
    <cellStyle name="帳票 2 2" xfId="5770" xr:uid="{00000000-0005-0000-0000-00007E160000}"/>
    <cellStyle name="帳票 2 2 2" xfId="5771" xr:uid="{00000000-0005-0000-0000-00007F160000}"/>
    <cellStyle name="帳票 2 2 2 2" xfId="5772" xr:uid="{00000000-0005-0000-0000-000080160000}"/>
    <cellStyle name="帳票 2 2 3" xfId="5773" xr:uid="{00000000-0005-0000-0000-000081160000}"/>
    <cellStyle name="帳票 2 2 3 2" xfId="5774" xr:uid="{00000000-0005-0000-0000-000082160000}"/>
    <cellStyle name="帳票 2 3" xfId="5775" xr:uid="{00000000-0005-0000-0000-000083160000}"/>
    <cellStyle name="帳票 2 3 2" xfId="5776" xr:uid="{00000000-0005-0000-0000-000084160000}"/>
    <cellStyle name="帳票 2 4" xfId="5777" xr:uid="{00000000-0005-0000-0000-000085160000}"/>
    <cellStyle name="帳票 2 4 2" xfId="5778" xr:uid="{00000000-0005-0000-0000-000086160000}"/>
    <cellStyle name="帳票 3" xfId="5779" xr:uid="{00000000-0005-0000-0000-000087160000}"/>
    <cellStyle name="帳票 3 2" xfId="5780" xr:uid="{00000000-0005-0000-0000-000088160000}"/>
    <cellStyle name="帳票 4" xfId="5781" xr:uid="{00000000-0005-0000-0000-000089160000}"/>
    <cellStyle name="帳票 4 2" xfId="5782" xr:uid="{00000000-0005-0000-0000-00008A160000}"/>
    <cellStyle name="追加スタイル（梅田）" xfId="5783" xr:uid="{00000000-0005-0000-0000-00008B160000}"/>
    <cellStyle name="通貨 [0.00" xfId="5784" xr:uid="{00000000-0005-0000-0000-00008C160000}"/>
    <cellStyle name="通貨 2" xfId="5785" xr:uid="{00000000-0005-0000-0000-00008D160000}"/>
    <cellStyle name="通貨 3" xfId="5786" xr:uid="{00000000-0005-0000-0000-00008E160000}"/>
    <cellStyle name="通貨 4" xfId="5787" xr:uid="{00000000-0005-0000-0000-00008F160000}"/>
    <cellStyle name="底線" xfId="5788" xr:uid="{00000000-0005-0000-0000-000090160000}"/>
    <cellStyle name="提出日" xfId="5789" xr:uid="{00000000-0005-0000-0000-000091160000}"/>
    <cellStyle name="日付" xfId="50" xr:uid="{00000000-0005-0000-0000-000092160000}"/>
    <cellStyle name="日付 2" xfId="5790" xr:uid="{00000000-0005-0000-0000-000093160000}"/>
    <cellStyle name="日付 3" xfId="5791" xr:uid="{00000000-0005-0000-0000-000094160000}"/>
    <cellStyle name="日付 4" xfId="5792" xr:uid="{00000000-0005-0000-0000-000095160000}"/>
    <cellStyle name="日付yyyy/mm/dd" xfId="5793" xr:uid="{00000000-0005-0000-0000-000096160000}"/>
    <cellStyle name="入力 2" xfId="5794" xr:uid="{00000000-0005-0000-0000-000097160000}"/>
    <cellStyle name="入力 2 2" xfId="5795" xr:uid="{00000000-0005-0000-0000-000098160000}"/>
    <cellStyle name="入力 2 2 2" xfId="5796" xr:uid="{00000000-0005-0000-0000-000099160000}"/>
    <cellStyle name="入力 2 2 3" xfId="5797" xr:uid="{00000000-0005-0000-0000-00009A160000}"/>
    <cellStyle name="入力 2 2 4" xfId="5798" xr:uid="{00000000-0005-0000-0000-00009B160000}"/>
    <cellStyle name="入力 2 2 5" xfId="5799" xr:uid="{00000000-0005-0000-0000-00009C160000}"/>
    <cellStyle name="入力 2 3" xfId="5800" xr:uid="{00000000-0005-0000-0000-00009D160000}"/>
    <cellStyle name="入力 2 4" xfId="5801" xr:uid="{00000000-0005-0000-0000-00009E160000}"/>
    <cellStyle name="入力 2 5" xfId="5802" xr:uid="{00000000-0005-0000-0000-00009F160000}"/>
    <cellStyle name="入力 2 6" xfId="5803" xr:uid="{00000000-0005-0000-0000-0000A0160000}"/>
    <cellStyle name="入力 3" xfId="5804" xr:uid="{00000000-0005-0000-0000-0000A1160000}"/>
    <cellStyle name="入力 3 2" xfId="5805" xr:uid="{00000000-0005-0000-0000-0000A2160000}"/>
    <cellStyle name="入力 3 3" xfId="5806" xr:uid="{00000000-0005-0000-0000-0000A3160000}"/>
    <cellStyle name="入力 3 4" xfId="5807" xr:uid="{00000000-0005-0000-0000-0000A4160000}"/>
    <cellStyle name="入力 3 5" xfId="5808" xr:uid="{00000000-0005-0000-0000-0000A5160000}"/>
    <cellStyle name="入力 4" xfId="5809" xr:uid="{00000000-0005-0000-0000-0000A6160000}"/>
    <cellStyle name="入力 4 2" xfId="5810" xr:uid="{00000000-0005-0000-0000-0000A7160000}"/>
    <cellStyle name="入力 4 3" xfId="5811" xr:uid="{00000000-0005-0000-0000-0000A8160000}"/>
    <cellStyle name="入力 4 4" xfId="5812" xr:uid="{00000000-0005-0000-0000-0000A9160000}"/>
    <cellStyle name="入力 4 5" xfId="5813" xr:uid="{00000000-0005-0000-0000-0000AA160000}"/>
    <cellStyle name="年月日" xfId="5814" xr:uid="{00000000-0005-0000-0000-0000AB160000}"/>
    <cellStyle name="標?_Pacific Region P&amp;L" xfId="5815" xr:uid="{00000000-0005-0000-0000-0000AC160000}"/>
    <cellStyle name="標準" xfId="0" builtinId="0"/>
    <cellStyle name="標準 10" xfId="5816" xr:uid="{00000000-0005-0000-0000-0000AE160000}"/>
    <cellStyle name="標準 10 2" xfId="5817" xr:uid="{00000000-0005-0000-0000-0000AF160000}"/>
    <cellStyle name="標準 11" xfId="5818" xr:uid="{00000000-0005-0000-0000-0000B0160000}"/>
    <cellStyle name="標準 11 2" xfId="5819" xr:uid="{00000000-0005-0000-0000-0000B1160000}"/>
    <cellStyle name="標準 12" xfId="5820" xr:uid="{00000000-0005-0000-0000-0000B2160000}"/>
    <cellStyle name="標準 13" xfId="5821" xr:uid="{00000000-0005-0000-0000-0000B3160000}"/>
    <cellStyle name="標準 14" xfId="5822" xr:uid="{00000000-0005-0000-0000-0000B4160000}"/>
    <cellStyle name="標準 2" xfId="51" xr:uid="{00000000-0005-0000-0000-0000B5160000}"/>
    <cellStyle name="標準 2 10" xfId="5823" xr:uid="{00000000-0005-0000-0000-0000B6160000}"/>
    <cellStyle name="標準 2 10 3" xfId="5824" xr:uid="{00000000-0005-0000-0000-0000B7160000}"/>
    <cellStyle name="標準 2 2" xfId="52" xr:uid="{00000000-0005-0000-0000-0000B8160000}"/>
    <cellStyle name="標準 2 2 2" xfId="5825" xr:uid="{00000000-0005-0000-0000-0000B9160000}"/>
    <cellStyle name="標準 2 2 3" xfId="5826" xr:uid="{00000000-0005-0000-0000-0000BA160000}"/>
    <cellStyle name="標準 2 2 4" xfId="53" xr:uid="{00000000-0005-0000-0000-0000BB160000}"/>
    <cellStyle name="標準 2 3" xfId="5827" xr:uid="{00000000-0005-0000-0000-0000BC160000}"/>
    <cellStyle name="標準 2 3 2" xfId="5828" xr:uid="{00000000-0005-0000-0000-0000BD160000}"/>
    <cellStyle name="標準 2 4" xfId="5829" xr:uid="{00000000-0005-0000-0000-0000BE160000}"/>
    <cellStyle name="標準 2 5" xfId="5830" xr:uid="{00000000-0005-0000-0000-0000BF160000}"/>
    <cellStyle name="標準 2 5 2" xfId="5831" xr:uid="{00000000-0005-0000-0000-0000C0160000}"/>
    <cellStyle name="標準 2 6" xfId="5832" xr:uid="{00000000-0005-0000-0000-0000C1160000}"/>
    <cellStyle name="標準 2 7" xfId="5833" xr:uid="{00000000-0005-0000-0000-0000C2160000}"/>
    <cellStyle name="標準 2 8" xfId="5834" xr:uid="{00000000-0005-0000-0000-0000C3160000}"/>
    <cellStyle name="標準 2 9" xfId="5835" xr:uid="{00000000-0005-0000-0000-0000C4160000}"/>
    <cellStyle name="標準 2_（添付資料３）　画面遷移" xfId="5836" xr:uid="{00000000-0005-0000-0000-0000C5160000}"/>
    <cellStyle name="標準 3" xfId="54" xr:uid="{00000000-0005-0000-0000-0000C6160000}"/>
    <cellStyle name="標準 3 2" xfId="55" xr:uid="{00000000-0005-0000-0000-0000C7160000}"/>
    <cellStyle name="標準 3 2 2" xfId="5837" xr:uid="{00000000-0005-0000-0000-0000C8160000}"/>
    <cellStyle name="標準 3 3" xfId="5838" xr:uid="{00000000-0005-0000-0000-0000C9160000}"/>
    <cellStyle name="標準 3 3 2" xfId="5839" xr:uid="{00000000-0005-0000-0000-0000CA160000}"/>
    <cellStyle name="標準 3 4" xfId="5840" xr:uid="{00000000-0005-0000-0000-0000CB160000}"/>
    <cellStyle name="標準 3 4 2" xfId="5841" xr:uid="{00000000-0005-0000-0000-0000CC160000}"/>
    <cellStyle name="標準 3 5" xfId="5842" xr:uid="{00000000-0005-0000-0000-0000CD160000}"/>
    <cellStyle name="標準 3 5 2" xfId="5843" xr:uid="{00000000-0005-0000-0000-0000CE160000}"/>
    <cellStyle name="標準 3 6" xfId="5844" xr:uid="{00000000-0005-0000-0000-0000CF160000}"/>
    <cellStyle name="標準 3 7" xfId="5845" xr:uid="{00000000-0005-0000-0000-0000D0160000}"/>
    <cellStyle name="標準 3_資料授受依頼一覧" xfId="5846" xr:uid="{00000000-0005-0000-0000-0000D1160000}"/>
    <cellStyle name="標準 4" xfId="66" xr:uid="{00000000-0005-0000-0000-0000D2160000}"/>
    <cellStyle name="標準 4 2" xfId="5848" xr:uid="{00000000-0005-0000-0000-0000D3160000}"/>
    <cellStyle name="標準 4 2 2" xfId="5849" xr:uid="{00000000-0005-0000-0000-0000D4160000}"/>
    <cellStyle name="標準 4 3" xfId="5850" xr:uid="{00000000-0005-0000-0000-0000D5160000}"/>
    <cellStyle name="標準 4 3 2" xfId="5851" xr:uid="{00000000-0005-0000-0000-0000D6160000}"/>
    <cellStyle name="標準 4 4" xfId="5852" xr:uid="{00000000-0005-0000-0000-0000D7160000}"/>
    <cellStyle name="標準 4 5" xfId="5853" xr:uid="{00000000-0005-0000-0000-0000D8160000}"/>
    <cellStyle name="標準 4 6" xfId="5847" xr:uid="{00000000-0005-0000-0000-0000D9160000}"/>
    <cellStyle name="標準 4_確認ポイント" xfId="5854" xr:uid="{00000000-0005-0000-0000-0000DA160000}"/>
    <cellStyle name="標準 5" xfId="65" xr:uid="{00000000-0005-0000-0000-0000DB160000}"/>
    <cellStyle name="標準 5 2" xfId="5855" xr:uid="{00000000-0005-0000-0000-0000DC160000}"/>
    <cellStyle name="標準 6" xfId="5856" xr:uid="{00000000-0005-0000-0000-0000DD160000}"/>
    <cellStyle name="標準 6 2" xfId="5857" xr:uid="{00000000-0005-0000-0000-0000DE160000}"/>
    <cellStyle name="標準 6 2 2" xfId="5858" xr:uid="{00000000-0005-0000-0000-0000DF160000}"/>
    <cellStyle name="標準 6 3" xfId="5859" xr:uid="{00000000-0005-0000-0000-0000E0160000}"/>
    <cellStyle name="標準 6 4" xfId="5860" xr:uid="{00000000-0005-0000-0000-0000E1160000}"/>
    <cellStyle name="標準 7" xfId="5861" xr:uid="{00000000-0005-0000-0000-0000E2160000}"/>
    <cellStyle name="標準 7 2" xfId="5862" xr:uid="{00000000-0005-0000-0000-0000E3160000}"/>
    <cellStyle name="標準 7 3" xfId="5863" xr:uid="{00000000-0005-0000-0000-0000E4160000}"/>
    <cellStyle name="標準 8" xfId="5864" xr:uid="{00000000-0005-0000-0000-0000E5160000}"/>
    <cellStyle name="標準 8 2" xfId="5865" xr:uid="{00000000-0005-0000-0000-0000E6160000}"/>
    <cellStyle name="標準 9" xfId="5866" xr:uid="{00000000-0005-0000-0000-0000E7160000}"/>
    <cellStyle name="標準 9 2" xfId="5867" xr:uid="{00000000-0005-0000-0000-0000E8160000}"/>
    <cellStyle name="標準1" xfId="5868" xr:uid="{00000000-0005-0000-0000-0000E9160000}"/>
    <cellStyle name="標準2" xfId="5869" xr:uid="{00000000-0005-0000-0000-0000EA160000}"/>
    <cellStyle name="標準２" xfId="5870" xr:uid="{00000000-0005-0000-0000-0000EB160000}"/>
    <cellStyle name="標準Ａ" xfId="5871" xr:uid="{00000000-0005-0000-0000-0000EC160000}"/>
    <cellStyle name="標準JOB" xfId="5872" xr:uid="{00000000-0005-0000-0000-0000ED160000}"/>
    <cellStyle name="標準Pﾃﾞｰﾀ項目変更管理手順" xfId="5873" xr:uid="{00000000-0005-0000-0000-0000EE160000}"/>
    <cellStyle name="標準TY" xfId="5874" xr:uid="{00000000-0005-0000-0000-0000EF160000}"/>
    <cellStyle name="標準TY 2" xfId="5875" xr:uid="{00000000-0005-0000-0000-0000F0160000}"/>
    <cellStyle name="標準TY 2 2" xfId="5876" xr:uid="{00000000-0005-0000-0000-0000F1160000}"/>
    <cellStyle name="標準TY 2 3" xfId="5877" xr:uid="{00000000-0005-0000-0000-0000F2160000}"/>
    <cellStyle name="標準TY 2 4" xfId="5878" xr:uid="{00000000-0005-0000-0000-0000F3160000}"/>
    <cellStyle name="標準TY 3" xfId="5879" xr:uid="{00000000-0005-0000-0000-0000F4160000}"/>
    <cellStyle name="標準TY 4" xfId="5880" xr:uid="{00000000-0005-0000-0000-0000F5160000}"/>
    <cellStyle name="標準TY 5" xfId="5881" xr:uid="{00000000-0005-0000-0000-0000F6160000}"/>
    <cellStyle name="標準フォント" xfId="5882" xr:uid="{00000000-0005-0000-0000-0000F7160000}"/>
    <cellStyle name="標準外部設計" xfId="5883" xr:uid="{00000000-0005-0000-0000-0000F8160000}"/>
    <cellStyle name="標準仕様書" xfId="56" xr:uid="{00000000-0005-0000-0000-0000F9160000}"/>
    <cellStyle name="表・・・・ハイパーリンク" xfId="5884" xr:uid="{00000000-0005-0000-0000-0000FA160000}"/>
    <cellStyle name="表ヘッダー" xfId="5885" xr:uid="{00000000-0005-0000-0000-0000FB160000}"/>
    <cellStyle name="表旨巧・・ハイパーリンク" xfId="57" xr:uid="{00000000-0005-0000-0000-0000FC160000}"/>
    <cellStyle name="表旨巧・・ハイパーリンク 2" xfId="5886" xr:uid="{00000000-0005-0000-0000-0000FD160000}"/>
    <cellStyle name="付表" xfId="5887" xr:uid="{00000000-0005-0000-0000-0000FE160000}"/>
    <cellStyle name="文字列" xfId="58" xr:uid="{00000000-0005-0000-0000-0000FF160000}"/>
    <cellStyle name="文字列 2" xfId="5888" xr:uid="{00000000-0005-0000-0000-000000170000}"/>
    <cellStyle name="保護" xfId="5889" xr:uid="{00000000-0005-0000-0000-000001170000}"/>
    <cellStyle name="本文" xfId="5890" xr:uid="{00000000-0005-0000-0000-000002170000}"/>
    <cellStyle name="磨葬e義" xfId="5891" xr:uid="{00000000-0005-0000-0000-000003170000}"/>
    <cellStyle name="未定義" xfId="59" xr:uid="{00000000-0005-0000-0000-000004170000}"/>
    <cellStyle name="未定義 2" xfId="60" xr:uid="{00000000-0005-0000-0000-000005170000}"/>
    <cellStyle name="未定義 2 2" xfId="5892" xr:uid="{00000000-0005-0000-0000-000006170000}"/>
    <cellStyle name="未定義 2 3" xfId="5893" xr:uid="{00000000-0005-0000-0000-000007170000}"/>
    <cellStyle name="未定義 3" xfId="5894" xr:uid="{00000000-0005-0000-0000-000008170000}"/>
    <cellStyle name="未定義 4" xfId="5895" xr:uid="{00000000-0005-0000-0000-000009170000}"/>
    <cellStyle name="未定義 5" xfId="5896" xr:uid="{00000000-0005-0000-0000-00000A170000}"/>
    <cellStyle name="無人" xfId="5897" xr:uid="{00000000-0005-0000-0000-00000B170000}"/>
    <cellStyle name="約定ベース" xfId="5898" xr:uid="{00000000-0005-0000-0000-00000C170000}"/>
    <cellStyle name="良い 2" xfId="5899" xr:uid="{00000000-0005-0000-0000-00000D170000}"/>
    <cellStyle name="良い 2 2" xfId="5900" xr:uid="{00000000-0005-0000-0000-00000E170000}"/>
    <cellStyle name="良い 3" xfId="5901" xr:uid="{00000000-0005-0000-0000-00000F170000}"/>
    <cellStyle name="良い 4" xfId="5902" xr:uid="{00000000-0005-0000-0000-000010170000}"/>
    <cellStyle name="枠内" xfId="5903" xr:uid="{00000000-0005-0000-0000-000011170000}"/>
    <cellStyle name="爲敲据⁹〨崩⡜⑜Ⱓ⌣⸰〰⥜ ‪ⴢ㼢弿㬠 彀㼠 弻䀠 †††††††††††††††††††††††††㠠᠇鰁묂堀뀽w" xfId="61" xr:uid="{00000000-0005-0000-0000-000012170000}"/>
    <cellStyle name="爲敲据⁹〨崩⡜⑜Ⱓ⌣⸰〰⥜ ‪ⴢ㼢弿㬠 彀㼠 弻䀠 †††††††††††††††††††††††††㠠᠇鰁묂堀뀽w 2" xfId="5904" xr:uid="{00000000-0005-0000-0000-000013170000}"/>
    <cellStyle name="爲敲据⁹〨崩⡜⑜Ⱓ⌣⸰〰⥜ ‪ⴢ㼢弿㬠 彀㼠 弻䀠 †††††††††††††††††††††††††㠠᠇鰁묂堀뀽w 3" xfId="5905" xr:uid="{00000000-0005-0000-0000-000014170000}"/>
    <cellStyle name="爲敲据⁹〨崩⡜⑜Ⱓ⌣⸰〰⥜ ‪ⴢ㼢弿㬠 彀㼠 弻䀠 †††††††††††††††††††††††††㠠᠇鰁묂堀뀽w 4" xfId="5906" xr:uid="{00000000-0005-0000-0000-000015170000}"/>
    <cellStyle name="爲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7" xr:uid="{00000000-0005-0000-0000-000016170000}"/>
    <cellStyle name="捬䌠牵敲据⁹〨崩⡜⑜Ⱓ⌣⸰〰⥜ ‪ⴢ㼢弿㬠 彀㼠 弻䀠 †††††††††††††††††††††††††㠠᠇鰁묂堀뀽w" xfId="62" xr:uid="{00000000-0005-0000-0000-000017170000}"/>
    <cellStyle name="捬䌠牵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" xfId="5908" xr:uid="{00000000-0005-0000-0000-000018170000}"/>
    <cellStyle name="爱敲据⁹〨崩⡜⑜Ⱓ⌣⸰〰⥜ ‪ⴢ㼢弿㬠 彀㼠 弻䀠 †††††††††††††††††††††††††㠠᠇鰁묂堀뀽w" xfId="63" xr:uid="{00000000-0005-0000-0000-000019170000}"/>
    <cellStyle name="爱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9" xr:uid="{00000000-0005-0000-0000-00001A170000}"/>
    <cellStyle name="㠱䤭瑮牥敮⡴⑜Ⱓ⌣⸰〰⥜ ‪ⴢ㼢弿㬠 彀㼠 弻䀠 †††††††††††††††††††††††††㠠᠇鰁묂堀뀽w" xfId="64" xr:uid="{00000000-0005-0000-0000-00001B170000}"/>
    <cellStyle name="㠱䤭瑮牥敮⡴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☀" xfId="5910" xr:uid="{00000000-0005-0000-0000-00001C170000}"/>
  </cellStyles>
  <dxfs count="0"/>
  <tableStyles count="1" defaultTableStyle="TableStyleMedium2" defaultPivotStyle="PivotStyleLight16">
    <tableStyle name="テーブル スタイル 1" pivot="0" count="0" xr9:uid="{00000000-0011-0000-FFFF-FFFF00000000}"/>
  </tableStyles>
  <colors>
    <mruColors>
      <color rgb="FFFFFFCC"/>
      <color rgb="FFFF99FF"/>
      <color rgb="FFFFCCCC"/>
      <color rgb="FFCCFFCC"/>
      <color rgb="FFCCFFFF"/>
      <color rgb="FFFFCC99"/>
      <color rgb="FFCCFF99"/>
      <color rgb="FF0099CC"/>
      <color rgb="FF66FF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1289050</xdr:colOff>
          <xdr:row>0</xdr:row>
          <xdr:rowOff>38100</xdr:rowOff>
        </xdr:from>
        <xdr:to>
          <xdr:col>2</xdr:col>
          <xdr:colOff>1651000</xdr:colOff>
          <xdr:row>1</xdr:row>
          <xdr:rowOff>171450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0</xdr:row>
          <xdr:rowOff>31750</xdr:rowOff>
        </xdr:from>
        <xdr:to>
          <xdr:col>1</xdr:col>
          <xdr:colOff>400050</xdr:colOff>
          <xdr:row>1</xdr:row>
          <xdr:rowOff>171450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603250</xdr:rowOff>
        </xdr:from>
        <xdr:to>
          <xdr:col>0</xdr:col>
          <xdr:colOff>393700</xdr:colOff>
          <xdr:row>2</xdr:row>
          <xdr:rowOff>965200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0</xdr:col>
          <xdr:colOff>393700</xdr:colOff>
          <xdr:row>1</xdr:row>
          <xdr:rowOff>171450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2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0</xdr:row>
          <xdr:rowOff>38100</xdr:rowOff>
        </xdr:from>
        <xdr:to>
          <xdr:col>2</xdr:col>
          <xdr:colOff>1193800</xdr:colOff>
          <xdr:row>1</xdr:row>
          <xdr:rowOff>165100</xdr:rowOff>
        </xdr:to>
        <xdr:sp macro="" textlink="">
          <xdr:nvSpPr>
            <xdr:cNvPr id="21502" name="Check Box 1022" hidden="1">
              <a:extLst>
                <a:ext uri="{63B3BB69-23CF-44E3-9099-C40C66FF867C}">
                  <a14:compatExt spid="_x0000_s21502"/>
                </a:ext>
                <a:ext uri="{FF2B5EF4-FFF2-40B4-BE49-F238E27FC236}">
                  <a16:creationId xmlns:a16="http://schemas.microsoft.com/office/drawing/2014/main" id="{00000000-0008-0000-0200-0000F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317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日次明細列の値削除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196850</xdr:colOff>
          <xdr:row>3</xdr:row>
          <xdr:rowOff>127000</xdr:rowOff>
        </xdr:to>
        <xdr:sp macro="" textlink="">
          <xdr:nvSpPr>
            <xdr:cNvPr id="59788" name="Check Box 2444" hidden="1">
              <a:extLst>
                <a:ext uri="{63B3BB69-23CF-44E3-9099-C40C66FF867C}">
                  <a14:compatExt spid="_x0000_s59788"/>
                </a:ext>
                <a:ext uri="{FF2B5EF4-FFF2-40B4-BE49-F238E27FC236}">
                  <a16:creationId xmlns:a16="http://schemas.microsoft.com/office/drawing/2014/main" id="{00000000-0008-0000-0200-00008C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196850</xdr:colOff>
          <xdr:row>4</xdr:row>
          <xdr:rowOff>127000</xdr:rowOff>
        </xdr:to>
        <xdr:sp macro="" textlink="">
          <xdr:nvSpPr>
            <xdr:cNvPr id="59789" name="Check Box 2445" hidden="1">
              <a:extLst>
                <a:ext uri="{63B3BB69-23CF-44E3-9099-C40C66FF867C}">
                  <a14:compatExt spid="_x0000_s59789"/>
                </a:ext>
                <a:ext uri="{FF2B5EF4-FFF2-40B4-BE49-F238E27FC236}">
                  <a16:creationId xmlns:a16="http://schemas.microsoft.com/office/drawing/2014/main" id="{00000000-0008-0000-0200-00008D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196850</xdr:colOff>
          <xdr:row>5</xdr:row>
          <xdr:rowOff>127000</xdr:rowOff>
        </xdr:to>
        <xdr:sp macro="" textlink="">
          <xdr:nvSpPr>
            <xdr:cNvPr id="59790" name="Check Box 2446" hidden="1">
              <a:extLst>
                <a:ext uri="{63B3BB69-23CF-44E3-9099-C40C66FF867C}">
                  <a14:compatExt spid="_x0000_s59790"/>
                </a:ext>
                <a:ext uri="{FF2B5EF4-FFF2-40B4-BE49-F238E27FC236}">
                  <a16:creationId xmlns:a16="http://schemas.microsoft.com/office/drawing/2014/main" id="{00000000-0008-0000-0200-00008E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196850</xdr:colOff>
          <xdr:row>6</xdr:row>
          <xdr:rowOff>127000</xdr:rowOff>
        </xdr:to>
        <xdr:sp macro="" textlink="">
          <xdr:nvSpPr>
            <xdr:cNvPr id="59791" name="Check Box 2447" hidden="1">
              <a:extLst>
                <a:ext uri="{63B3BB69-23CF-44E3-9099-C40C66FF867C}">
                  <a14:compatExt spid="_x0000_s59791"/>
                </a:ext>
                <a:ext uri="{FF2B5EF4-FFF2-40B4-BE49-F238E27FC236}">
                  <a16:creationId xmlns:a16="http://schemas.microsoft.com/office/drawing/2014/main" id="{00000000-0008-0000-0200-00008F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196850</xdr:colOff>
          <xdr:row>7</xdr:row>
          <xdr:rowOff>127000</xdr:rowOff>
        </xdr:to>
        <xdr:sp macro="" textlink="">
          <xdr:nvSpPr>
            <xdr:cNvPr id="59792" name="Check Box 2448" hidden="1">
              <a:extLst>
                <a:ext uri="{63B3BB69-23CF-44E3-9099-C40C66FF867C}">
                  <a14:compatExt spid="_x0000_s59792"/>
                </a:ext>
                <a:ext uri="{FF2B5EF4-FFF2-40B4-BE49-F238E27FC236}">
                  <a16:creationId xmlns:a16="http://schemas.microsoft.com/office/drawing/2014/main" id="{00000000-0008-0000-0200-000090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196850</xdr:colOff>
          <xdr:row>8</xdr:row>
          <xdr:rowOff>127000</xdr:rowOff>
        </xdr:to>
        <xdr:sp macro="" textlink="">
          <xdr:nvSpPr>
            <xdr:cNvPr id="59793" name="Check Box 2449" hidden="1">
              <a:extLst>
                <a:ext uri="{63B3BB69-23CF-44E3-9099-C40C66FF867C}">
                  <a14:compatExt spid="_x0000_s59793"/>
                </a:ext>
                <a:ext uri="{FF2B5EF4-FFF2-40B4-BE49-F238E27FC236}">
                  <a16:creationId xmlns:a16="http://schemas.microsoft.com/office/drawing/2014/main" id="{00000000-0008-0000-0200-000091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196850</xdr:colOff>
          <xdr:row>9</xdr:row>
          <xdr:rowOff>127000</xdr:rowOff>
        </xdr:to>
        <xdr:sp macro="" textlink="">
          <xdr:nvSpPr>
            <xdr:cNvPr id="59794" name="Check Box 2450" hidden="1">
              <a:extLst>
                <a:ext uri="{63B3BB69-23CF-44E3-9099-C40C66FF867C}">
                  <a14:compatExt spid="_x0000_s59794"/>
                </a:ext>
                <a:ext uri="{FF2B5EF4-FFF2-40B4-BE49-F238E27FC236}">
                  <a16:creationId xmlns:a16="http://schemas.microsoft.com/office/drawing/2014/main" id="{00000000-0008-0000-0200-000092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196850</xdr:colOff>
          <xdr:row>10</xdr:row>
          <xdr:rowOff>127000</xdr:rowOff>
        </xdr:to>
        <xdr:sp macro="" textlink="">
          <xdr:nvSpPr>
            <xdr:cNvPr id="59795" name="Check Box 2451" hidden="1">
              <a:extLst>
                <a:ext uri="{63B3BB69-23CF-44E3-9099-C40C66FF867C}">
                  <a14:compatExt spid="_x0000_s59795"/>
                </a:ext>
                <a:ext uri="{FF2B5EF4-FFF2-40B4-BE49-F238E27FC236}">
                  <a16:creationId xmlns:a16="http://schemas.microsoft.com/office/drawing/2014/main" id="{00000000-0008-0000-0200-000093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196850</xdr:colOff>
          <xdr:row>11</xdr:row>
          <xdr:rowOff>127000</xdr:rowOff>
        </xdr:to>
        <xdr:sp macro="" textlink="">
          <xdr:nvSpPr>
            <xdr:cNvPr id="59796" name="Check Box 2452" hidden="1">
              <a:extLst>
                <a:ext uri="{63B3BB69-23CF-44E3-9099-C40C66FF867C}">
                  <a14:compatExt spid="_x0000_s59796"/>
                </a:ext>
                <a:ext uri="{FF2B5EF4-FFF2-40B4-BE49-F238E27FC236}">
                  <a16:creationId xmlns:a16="http://schemas.microsoft.com/office/drawing/2014/main" id="{00000000-0008-0000-0200-000094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196850</xdr:colOff>
          <xdr:row>12</xdr:row>
          <xdr:rowOff>127000</xdr:rowOff>
        </xdr:to>
        <xdr:sp macro="" textlink="">
          <xdr:nvSpPr>
            <xdr:cNvPr id="59797" name="Check Box 2453" hidden="1">
              <a:extLst>
                <a:ext uri="{63B3BB69-23CF-44E3-9099-C40C66FF867C}">
                  <a14:compatExt spid="_x0000_s59797"/>
                </a:ext>
                <a:ext uri="{FF2B5EF4-FFF2-40B4-BE49-F238E27FC236}">
                  <a16:creationId xmlns:a16="http://schemas.microsoft.com/office/drawing/2014/main" id="{00000000-0008-0000-0200-000095E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13" Type="http://schemas.openxmlformats.org/officeDocument/2006/relationships/printerSettings" Target="../printerSettings/printerSettings16.bin"/><Relationship Id="rId3" Type="http://schemas.openxmlformats.org/officeDocument/2006/relationships/printerSettings" Target="../printerSettings/printerSettings6.bin"/><Relationship Id="rId7" Type="http://schemas.openxmlformats.org/officeDocument/2006/relationships/printerSettings" Target="../printerSettings/printerSettings10.bin"/><Relationship Id="rId12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printerSettings" Target="../printerSettings/printerSettings9.bin"/><Relationship Id="rId11" Type="http://schemas.openxmlformats.org/officeDocument/2006/relationships/printerSettings" Target="../printerSettings/printerSettings14.bin"/><Relationship Id="rId5" Type="http://schemas.openxmlformats.org/officeDocument/2006/relationships/printerSettings" Target="../printerSettings/printerSettings8.bin"/><Relationship Id="rId10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7.bin"/><Relationship Id="rId9" Type="http://schemas.openxmlformats.org/officeDocument/2006/relationships/printerSettings" Target="../printerSettings/printerSettings12.bin"/><Relationship Id="rId14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24"/>
  <sheetViews>
    <sheetView topLeftCell="A10" zoomScaleNormal="100" workbookViewId="0">
      <selection activeCell="BB15" sqref="A4:BB24"/>
    </sheetView>
  </sheetViews>
  <sheetFormatPr defaultColWidth="2.6328125" defaultRowHeight="13"/>
  <cols>
    <col min="1" max="53" width="2.6328125" style="7" customWidth="1"/>
    <col min="54" max="61" width="8.90625" customWidth="1"/>
    <col min="62" max="16384" width="2.6328125" style="7"/>
  </cols>
  <sheetData>
    <row r="1" spans="1:61" s="1" customFormat="1" ht="17.149999999999999" customHeight="1">
      <c r="A1" s="180" t="s">
        <v>13</v>
      </c>
      <c r="B1" s="181"/>
      <c r="C1" s="181"/>
      <c r="D1" s="182"/>
      <c r="E1" s="183" t="s">
        <v>51</v>
      </c>
      <c r="F1" s="184"/>
      <c r="G1" s="184"/>
      <c r="H1" s="184"/>
      <c r="I1" s="184"/>
      <c r="J1" s="184"/>
      <c r="K1" s="184"/>
      <c r="L1" s="184"/>
      <c r="M1" s="185"/>
      <c r="N1" s="186" t="s">
        <v>14</v>
      </c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8"/>
    </row>
    <row r="2" spans="1:61" s="3" customFormat="1" ht="17.149999999999999" customHeight="1">
      <c r="A2" s="180" t="s">
        <v>15</v>
      </c>
      <c r="B2" s="181"/>
      <c r="C2" s="181"/>
      <c r="D2" s="182"/>
      <c r="E2" s="183" t="s">
        <v>52</v>
      </c>
      <c r="F2" s="184"/>
      <c r="G2" s="184"/>
      <c r="H2" s="184"/>
      <c r="I2" s="184"/>
      <c r="J2" s="184"/>
      <c r="K2" s="184"/>
      <c r="L2" s="184"/>
      <c r="M2" s="185"/>
      <c r="N2" s="186" t="s">
        <v>16</v>
      </c>
      <c r="O2" s="187"/>
      <c r="P2" s="187"/>
      <c r="Q2" s="187"/>
      <c r="R2" s="188"/>
      <c r="S2" s="189" t="s">
        <v>53</v>
      </c>
      <c r="T2" s="178"/>
      <c r="U2" s="178"/>
      <c r="V2" s="178"/>
      <c r="W2" s="178"/>
      <c r="X2" s="178"/>
      <c r="Y2" s="178"/>
      <c r="Z2" s="178"/>
      <c r="AA2" s="179"/>
      <c r="AB2" s="186" t="s">
        <v>17</v>
      </c>
      <c r="AC2" s="187"/>
      <c r="AD2" s="187"/>
      <c r="AE2" s="188"/>
      <c r="AF2" s="189" t="s">
        <v>54</v>
      </c>
      <c r="AG2" s="178"/>
      <c r="AH2" s="178"/>
      <c r="AI2" s="178"/>
      <c r="AJ2" s="178"/>
      <c r="AK2" s="178"/>
      <c r="AL2" s="179"/>
      <c r="AM2" s="186" t="s">
        <v>18</v>
      </c>
      <c r="AN2" s="187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9"/>
    </row>
    <row r="3" spans="1:61" ht="15.75" customHeight="1">
      <c r="A3" s="4"/>
      <c r="B3" s="4"/>
      <c r="C3" s="5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6"/>
      <c r="Y3" s="6"/>
      <c r="Z3" s="6"/>
      <c r="AA3" s="6"/>
      <c r="AB3" s="6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61">
      <c r="A4" s="8" t="s">
        <v>19</v>
      </c>
      <c r="B4" s="9"/>
      <c r="C4" s="9"/>
      <c r="D4" s="8" t="s">
        <v>20</v>
      </c>
      <c r="E4" s="9"/>
      <c r="F4" s="9"/>
      <c r="G4" s="9"/>
      <c r="H4" s="9"/>
      <c r="I4" s="8" t="s">
        <v>21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8" t="s">
        <v>22</v>
      </c>
      <c r="AP4" s="9"/>
      <c r="AQ4" s="9"/>
      <c r="AR4" s="9"/>
      <c r="AS4" s="9"/>
      <c r="AT4" s="8" t="s">
        <v>23</v>
      </c>
      <c r="AU4" s="9"/>
      <c r="AV4" s="9"/>
      <c r="AW4" s="9"/>
      <c r="AX4" s="9"/>
      <c r="AY4" s="9"/>
      <c r="AZ4" s="9"/>
      <c r="BA4" s="10"/>
    </row>
    <row r="5" spans="1:61" s="11" customFormat="1" ht="27" customHeight="1">
      <c r="A5" s="167" t="s">
        <v>24</v>
      </c>
      <c r="B5" s="168"/>
      <c r="C5" s="169"/>
      <c r="D5" s="170">
        <v>43179</v>
      </c>
      <c r="E5" s="171"/>
      <c r="F5" s="171"/>
      <c r="G5" s="171"/>
      <c r="H5" s="171"/>
      <c r="I5" s="161" t="s">
        <v>25</v>
      </c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3"/>
      <c r="AO5" s="164" t="s">
        <v>26</v>
      </c>
      <c r="AP5" s="165"/>
      <c r="AQ5" s="165"/>
      <c r="AR5" s="165"/>
      <c r="AS5" s="166"/>
      <c r="AT5" s="164"/>
      <c r="AU5" s="165"/>
      <c r="AV5" s="165"/>
      <c r="AW5" s="165"/>
      <c r="AX5" s="165"/>
      <c r="AY5" s="165"/>
      <c r="AZ5" s="165"/>
      <c r="BA5" s="166"/>
      <c r="BB5" s="2"/>
      <c r="BC5" s="2"/>
      <c r="BD5" s="2"/>
      <c r="BE5" s="2"/>
      <c r="BF5" s="2"/>
      <c r="BG5" s="2"/>
      <c r="BH5" s="2"/>
      <c r="BI5" s="2"/>
    </row>
    <row r="6" spans="1:61" s="11" customFormat="1" ht="44.25" customHeight="1">
      <c r="A6" s="167" t="s">
        <v>27</v>
      </c>
      <c r="B6" s="168"/>
      <c r="C6" s="169"/>
      <c r="D6" s="170">
        <v>43182</v>
      </c>
      <c r="E6" s="171"/>
      <c r="F6" s="171"/>
      <c r="G6" s="171"/>
      <c r="H6" s="171"/>
      <c r="I6" s="161" t="s">
        <v>28</v>
      </c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  <c r="AK6" s="162"/>
      <c r="AL6" s="162"/>
      <c r="AM6" s="162"/>
      <c r="AN6" s="163"/>
      <c r="AO6" s="164" t="s">
        <v>26</v>
      </c>
      <c r="AP6" s="165"/>
      <c r="AQ6" s="165"/>
      <c r="AR6" s="165"/>
      <c r="AS6" s="166"/>
      <c r="AT6" s="164"/>
      <c r="AU6" s="165"/>
      <c r="AV6" s="165"/>
      <c r="AW6" s="165"/>
      <c r="AX6" s="165"/>
      <c r="AY6" s="165"/>
      <c r="AZ6" s="165"/>
      <c r="BA6" s="166"/>
      <c r="BB6" s="2"/>
      <c r="BC6" s="2"/>
      <c r="BD6" s="2"/>
      <c r="BE6" s="2"/>
      <c r="BF6" s="2"/>
      <c r="BG6" s="2"/>
      <c r="BH6" s="2"/>
      <c r="BI6" s="2"/>
    </row>
    <row r="7" spans="1:61" s="13" customFormat="1" ht="26.25" customHeight="1">
      <c r="A7" s="172" t="s">
        <v>29</v>
      </c>
      <c r="B7" s="173"/>
      <c r="C7" s="174"/>
      <c r="D7" s="170">
        <v>43185</v>
      </c>
      <c r="E7" s="171"/>
      <c r="F7" s="171"/>
      <c r="G7" s="171"/>
      <c r="H7" s="171"/>
      <c r="I7" s="161" t="s">
        <v>30</v>
      </c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2"/>
      <c r="AJ7" s="162"/>
      <c r="AK7" s="162"/>
      <c r="AL7" s="162"/>
      <c r="AM7" s="162"/>
      <c r="AN7" s="163"/>
      <c r="AO7" s="164" t="s">
        <v>26</v>
      </c>
      <c r="AP7" s="165"/>
      <c r="AQ7" s="165"/>
      <c r="AR7" s="165"/>
      <c r="AS7" s="166"/>
      <c r="AT7" s="175"/>
      <c r="AU7" s="176"/>
      <c r="AV7" s="176"/>
      <c r="AW7" s="176"/>
      <c r="AX7" s="176"/>
      <c r="AY7" s="176"/>
      <c r="AZ7" s="176"/>
      <c r="BA7" s="177"/>
      <c r="BB7" s="12"/>
      <c r="BC7" s="12"/>
      <c r="BD7" s="12"/>
      <c r="BE7" s="12"/>
      <c r="BF7" s="12"/>
      <c r="BG7" s="12"/>
      <c r="BH7" s="12"/>
      <c r="BI7" s="12"/>
    </row>
    <row r="8" spans="1:61" ht="26.25" customHeight="1">
      <c r="A8" s="149" t="s">
        <v>31</v>
      </c>
      <c r="B8" s="150"/>
      <c r="C8" s="151"/>
      <c r="D8" s="152">
        <v>43186</v>
      </c>
      <c r="E8" s="153"/>
      <c r="F8" s="153"/>
      <c r="G8" s="153"/>
      <c r="H8" s="153"/>
      <c r="I8" s="161" t="s">
        <v>48</v>
      </c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3"/>
      <c r="AO8" s="164" t="s">
        <v>26</v>
      </c>
      <c r="AP8" s="165"/>
      <c r="AQ8" s="165"/>
      <c r="AR8" s="165"/>
      <c r="AS8" s="166"/>
      <c r="AT8" s="157"/>
      <c r="AU8" s="158"/>
      <c r="AV8" s="158"/>
      <c r="AW8" s="158"/>
      <c r="AX8" s="158"/>
      <c r="AY8" s="158"/>
      <c r="AZ8" s="158"/>
      <c r="BA8" s="159"/>
    </row>
    <row r="9" spans="1:61" ht="26.25" customHeight="1">
      <c r="A9" s="149" t="s">
        <v>32</v>
      </c>
      <c r="B9" s="150"/>
      <c r="C9" s="151"/>
      <c r="D9" s="152">
        <v>43186</v>
      </c>
      <c r="E9" s="153"/>
      <c r="F9" s="153"/>
      <c r="G9" s="153"/>
      <c r="H9" s="153"/>
      <c r="I9" s="161" t="s">
        <v>49</v>
      </c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  <c r="AK9" s="162"/>
      <c r="AL9" s="162"/>
      <c r="AM9" s="162"/>
      <c r="AN9" s="163"/>
      <c r="AO9" s="164" t="s">
        <v>50</v>
      </c>
      <c r="AP9" s="165"/>
      <c r="AQ9" s="165"/>
      <c r="AR9" s="165"/>
      <c r="AS9" s="166"/>
      <c r="AT9" s="157"/>
      <c r="AU9" s="158"/>
      <c r="AV9" s="158"/>
      <c r="AW9" s="158"/>
      <c r="AX9" s="158"/>
      <c r="AY9" s="158"/>
      <c r="AZ9" s="158"/>
      <c r="BA9" s="159"/>
    </row>
    <row r="10" spans="1:61" ht="36.75" customHeight="1">
      <c r="A10" s="149" t="s">
        <v>33</v>
      </c>
      <c r="B10" s="150"/>
      <c r="C10" s="151"/>
      <c r="D10" s="152">
        <v>43189</v>
      </c>
      <c r="E10" s="153"/>
      <c r="F10" s="153"/>
      <c r="G10" s="153"/>
      <c r="H10" s="153"/>
      <c r="I10" s="160" t="s">
        <v>57</v>
      </c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6"/>
      <c r="AO10" s="157" t="s">
        <v>56</v>
      </c>
      <c r="AP10" s="158"/>
      <c r="AQ10" s="158"/>
      <c r="AR10" s="158"/>
      <c r="AS10" s="159"/>
      <c r="AT10" s="157" t="s">
        <v>55</v>
      </c>
      <c r="AU10" s="158"/>
      <c r="AV10" s="158"/>
      <c r="AW10" s="158"/>
      <c r="AX10" s="158"/>
      <c r="AY10" s="158"/>
      <c r="AZ10" s="158"/>
      <c r="BA10" s="159"/>
    </row>
    <row r="11" spans="1:61" ht="26.25" customHeight="1">
      <c r="A11" s="149" t="s">
        <v>34</v>
      </c>
      <c r="B11" s="150"/>
      <c r="C11" s="151"/>
      <c r="D11" s="152">
        <v>43194</v>
      </c>
      <c r="E11" s="153"/>
      <c r="F11" s="153"/>
      <c r="G11" s="153"/>
      <c r="H11" s="153"/>
      <c r="I11" s="160" t="s">
        <v>59</v>
      </c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6"/>
      <c r="AO11" s="157" t="s">
        <v>58</v>
      </c>
      <c r="AP11" s="158"/>
      <c r="AQ11" s="158"/>
      <c r="AR11" s="158"/>
      <c r="AS11" s="159"/>
      <c r="AT11" s="157"/>
      <c r="AU11" s="158"/>
      <c r="AV11" s="158"/>
      <c r="AW11" s="158"/>
      <c r="AX11" s="158"/>
      <c r="AY11" s="158"/>
      <c r="AZ11" s="158"/>
      <c r="BA11" s="159"/>
    </row>
    <row r="12" spans="1:61" ht="63.75" customHeight="1">
      <c r="A12" s="149" t="s">
        <v>35</v>
      </c>
      <c r="B12" s="150"/>
      <c r="C12" s="151"/>
      <c r="D12" s="152" t="s">
        <v>60</v>
      </c>
      <c r="E12" s="153"/>
      <c r="F12" s="153"/>
      <c r="G12" s="153"/>
      <c r="H12" s="153"/>
      <c r="I12" s="160" t="s">
        <v>62</v>
      </c>
      <c r="J12" s="155"/>
      <c r="K12" s="155"/>
      <c r="L12" s="155"/>
      <c r="M12" s="155"/>
      <c r="N12" s="155"/>
      <c r="O12" s="155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  <c r="AL12" s="155"/>
      <c r="AM12" s="155"/>
      <c r="AN12" s="156"/>
      <c r="AO12" s="157" t="s">
        <v>63</v>
      </c>
      <c r="AP12" s="158"/>
      <c r="AQ12" s="158"/>
      <c r="AR12" s="158"/>
      <c r="AS12" s="159"/>
      <c r="AT12" s="157" t="s">
        <v>61</v>
      </c>
      <c r="AU12" s="158"/>
      <c r="AV12" s="158"/>
      <c r="AW12" s="158"/>
      <c r="AX12" s="158"/>
      <c r="AY12" s="158"/>
      <c r="AZ12" s="158"/>
      <c r="BA12" s="159"/>
    </row>
    <row r="13" spans="1:61" ht="77.25" customHeight="1">
      <c r="A13" s="149" t="s">
        <v>36</v>
      </c>
      <c r="B13" s="150"/>
      <c r="C13" s="151"/>
      <c r="D13" s="152" t="s">
        <v>64</v>
      </c>
      <c r="E13" s="153"/>
      <c r="F13" s="153"/>
      <c r="G13" s="153"/>
      <c r="H13" s="153"/>
      <c r="I13" s="160" t="s">
        <v>66</v>
      </c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6"/>
      <c r="AO13" s="157" t="s">
        <v>67</v>
      </c>
      <c r="AP13" s="158"/>
      <c r="AQ13" s="158"/>
      <c r="AR13" s="158"/>
      <c r="AS13" s="159"/>
      <c r="AT13" s="157" t="s">
        <v>65</v>
      </c>
      <c r="AU13" s="158"/>
      <c r="AV13" s="158"/>
      <c r="AW13" s="158"/>
      <c r="AX13" s="158"/>
      <c r="AY13" s="158"/>
      <c r="AZ13" s="158"/>
      <c r="BA13" s="159"/>
    </row>
    <row r="14" spans="1:61" ht="86.25" customHeight="1">
      <c r="A14" s="149" t="s">
        <v>37</v>
      </c>
      <c r="B14" s="150"/>
      <c r="C14" s="151"/>
      <c r="D14" s="152" t="s">
        <v>68</v>
      </c>
      <c r="E14" s="153"/>
      <c r="F14" s="153"/>
      <c r="G14" s="153"/>
      <c r="H14" s="153"/>
      <c r="I14" s="160" t="s">
        <v>70</v>
      </c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6"/>
      <c r="AO14" s="157" t="s">
        <v>69</v>
      </c>
      <c r="AP14" s="158"/>
      <c r="AQ14" s="158"/>
      <c r="AR14" s="158"/>
      <c r="AS14" s="159"/>
      <c r="AT14" s="157" t="s">
        <v>65</v>
      </c>
      <c r="AU14" s="158"/>
      <c r="AV14" s="158"/>
      <c r="AW14" s="158"/>
      <c r="AX14" s="158"/>
      <c r="AY14" s="158"/>
      <c r="AZ14" s="158"/>
      <c r="BA14" s="159"/>
    </row>
    <row r="15" spans="1:61" ht="26.25" customHeight="1">
      <c r="A15" s="149" t="s">
        <v>38</v>
      </c>
      <c r="B15" s="150"/>
      <c r="C15" s="151"/>
      <c r="D15" s="152">
        <v>43206</v>
      </c>
      <c r="E15" s="153"/>
      <c r="F15" s="153"/>
      <c r="G15" s="153"/>
      <c r="H15" s="153"/>
      <c r="I15" s="154" t="s">
        <v>71</v>
      </c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6"/>
      <c r="AO15" s="157" t="s">
        <v>72</v>
      </c>
      <c r="AP15" s="158"/>
      <c r="AQ15" s="158"/>
      <c r="AR15" s="158"/>
      <c r="AS15" s="159"/>
      <c r="AT15" s="157" t="s">
        <v>73</v>
      </c>
      <c r="AU15" s="158"/>
      <c r="AV15" s="158"/>
      <c r="AW15" s="158"/>
      <c r="AX15" s="158"/>
      <c r="AY15" s="158"/>
      <c r="AZ15" s="158"/>
      <c r="BA15" s="159"/>
    </row>
    <row r="16" spans="1:61" ht="26.25" customHeight="1">
      <c r="A16" s="149" t="s">
        <v>39</v>
      </c>
      <c r="B16" s="150"/>
      <c r="C16" s="151"/>
      <c r="D16" s="152"/>
      <c r="E16" s="153"/>
      <c r="F16" s="153"/>
      <c r="G16" s="153"/>
      <c r="H16" s="153"/>
      <c r="I16" s="154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6"/>
      <c r="AO16" s="157"/>
      <c r="AP16" s="158"/>
      <c r="AQ16" s="158"/>
      <c r="AR16" s="158"/>
      <c r="AS16" s="159"/>
      <c r="AT16" s="157"/>
      <c r="AU16" s="158"/>
      <c r="AV16" s="158"/>
      <c r="AW16" s="158"/>
      <c r="AX16" s="158"/>
      <c r="AY16" s="158"/>
      <c r="AZ16" s="158"/>
      <c r="BA16" s="159"/>
    </row>
    <row r="17" spans="1:53" ht="26.25" customHeight="1">
      <c r="A17" s="149" t="s">
        <v>40</v>
      </c>
      <c r="B17" s="150"/>
      <c r="C17" s="151"/>
      <c r="D17" s="152"/>
      <c r="E17" s="153"/>
      <c r="F17" s="153"/>
      <c r="G17" s="153"/>
      <c r="H17" s="153"/>
      <c r="I17" s="154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6"/>
      <c r="AO17" s="157"/>
      <c r="AP17" s="158"/>
      <c r="AQ17" s="158"/>
      <c r="AR17" s="158"/>
      <c r="AS17" s="159"/>
      <c r="AT17" s="157"/>
      <c r="AU17" s="158"/>
      <c r="AV17" s="158"/>
      <c r="AW17" s="158"/>
      <c r="AX17" s="158"/>
      <c r="AY17" s="158"/>
      <c r="AZ17" s="158"/>
      <c r="BA17" s="159"/>
    </row>
    <row r="18" spans="1:53" ht="26.25" customHeight="1">
      <c r="A18" s="149" t="s">
        <v>41</v>
      </c>
      <c r="B18" s="150"/>
      <c r="C18" s="151"/>
      <c r="D18" s="152"/>
      <c r="E18" s="153"/>
      <c r="F18" s="153"/>
      <c r="G18" s="153"/>
      <c r="H18" s="153"/>
      <c r="I18" s="154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6"/>
      <c r="AO18" s="157"/>
      <c r="AP18" s="158"/>
      <c r="AQ18" s="158"/>
      <c r="AR18" s="158"/>
      <c r="AS18" s="159"/>
      <c r="AT18" s="157"/>
      <c r="AU18" s="158"/>
      <c r="AV18" s="158"/>
      <c r="AW18" s="158"/>
      <c r="AX18" s="158"/>
      <c r="AY18" s="158"/>
      <c r="AZ18" s="158"/>
      <c r="BA18" s="159"/>
    </row>
    <row r="19" spans="1:53" ht="26.25" customHeight="1">
      <c r="A19" s="149" t="s">
        <v>42</v>
      </c>
      <c r="B19" s="150"/>
      <c r="C19" s="151"/>
      <c r="D19" s="152"/>
      <c r="E19" s="153"/>
      <c r="F19" s="153"/>
      <c r="G19" s="153"/>
      <c r="H19" s="153"/>
      <c r="I19" s="154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6"/>
      <c r="AO19" s="157"/>
      <c r="AP19" s="158"/>
      <c r="AQ19" s="158"/>
      <c r="AR19" s="158"/>
      <c r="AS19" s="159"/>
      <c r="AT19" s="157"/>
      <c r="AU19" s="158"/>
      <c r="AV19" s="158"/>
      <c r="AW19" s="158"/>
      <c r="AX19" s="158"/>
      <c r="AY19" s="158"/>
      <c r="AZ19" s="158"/>
      <c r="BA19" s="159"/>
    </row>
    <row r="20" spans="1:53" ht="26.25" customHeight="1">
      <c r="A20" s="149" t="s">
        <v>43</v>
      </c>
      <c r="B20" s="150"/>
      <c r="C20" s="151"/>
      <c r="D20" s="152"/>
      <c r="E20" s="153"/>
      <c r="F20" s="153"/>
      <c r="G20" s="153"/>
      <c r="H20" s="153"/>
      <c r="I20" s="154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6"/>
      <c r="AO20" s="157"/>
      <c r="AP20" s="158"/>
      <c r="AQ20" s="158"/>
      <c r="AR20" s="158"/>
      <c r="AS20" s="159"/>
      <c r="AT20" s="157"/>
      <c r="AU20" s="158"/>
      <c r="AV20" s="158"/>
      <c r="AW20" s="158"/>
      <c r="AX20" s="158"/>
      <c r="AY20" s="158"/>
      <c r="AZ20" s="158"/>
      <c r="BA20" s="159"/>
    </row>
    <row r="21" spans="1:53" ht="26.25" customHeight="1">
      <c r="A21" s="149" t="s">
        <v>44</v>
      </c>
      <c r="B21" s="150"/>
      <c r="C21" s="151"/>
      <c r="D21" s="152"/>
      <c r="E21" s="153"/>
      <c r="F21" s="153"/>
      <c r="G21" s="153"/>
      <c r="H21" s="153"/>
      <c r="I21" s="154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6"/>
      <c r="AO21" s="157"/>
      <c r="AP21" s="158"/>
      <c r="AQ21" s="158"/>
      <c r="AR21" s="158"/>
      <c r="AS21" s="159"/>
      <c r="AT21" s="157"/>
      <c r="AU21" s="158"/>
      <c r="AV21" s="158"/>
      <c r="AW21" s="158"/>
      <c r="AX21" s="158"/>
      <c r="AY21" s="158"/>
      <c r="AZ21" s="158"/>
      <c r="BA21" s="159"/>
    </row>
    <row r="22" spans="1:53" ht="26.25" customHeight="1">
      <c r="A22" s="149" t="s">
        <v>45</v>
      </c>
      <c r="B22" s="150"/>
      <c r="C22" s="151"/>
      <c r="D22" s="152"/>
      <c r="E22" s="153"/>
      <c r="F22" s="153"/>
      <c r="G22" s="153"/>
      <c r="H22" s="153"/>
      <c r="I22" s="154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6"/>
      <c r="AO22" s="157"/>
      <c r="AP22" s="158"/>
      <c r="AQ22" s="158"/>
      <c r="AR22" s="158"/>
      <c r="AS22" s="159"/>
      <c r="AT22" s="157"/>
      <c r="AU22" s="158"/>
      <c r="AV22" s="158"/>
      <c r="AW22" s="158"/>
      <c r="AX22" s="158"/>
      <c r="AY22" s="158"/>
      <c r="AZ22" s="158"/>
      <c r="BA22" s="159"/>
    </row>
    <row r="23" spans="1:53" ht="26.25" customHeight="1">
      <c r="A23" s="149" t="s">
        <v>46</v>
      </c>
      <c r="B23" s="150"/>
      <c r="C23" s="151"/>
      <c r="D23" s="152"/>
      <c r="E23" s="153"/>
      <c r="F23" s="153"/>
      <c r="G23" s="153"/>
      <c r="H23" s="153"/>
      <c r="I23" s="154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6"/>
      <c r="AO23" s="157"/>
      <c r="AP23" s="158"/>
      <c r="AQ23" s="158"/>
      <c r="AR23" s="158"/>
      <c r="AS23" s="159"/>
      <c r="AT23" s="157"/>
      <c r="AU23" s="158"/>
      <c r="AV23" s="158"/>
      <c r="AW23" s="158"/>
      <c r="AX23" s="158"/>
      <c r="AY23" s="158"/>
      <c r="AZ23" s="158"/>
      <c r="BA23" s="159"/>
    </row>
    <row r="24" spans="1:53" ht="26.25" customHeight="1">
      <c r="A24" s="149" t="s">
        <v>47</v>
      </c>
      <c r="B24" s="150"/>
      <c r="C24" s="151"/>
      <c r="D24" s="152"/>
      <c r="E24" s="153"/>
      <c r="F24" s="153"/>
      <c r="G24" s="153"/>
      <c r="H24" s="153"/>
      <c r="I24" s="154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6"/>
      <c r="AO24" s="157"/>
      <c r="AP24" s="158"/>
      <c r="AQ24" s="158"/>
      <c r="AR24" s="158"/>
      <c r="AS24" s="159"/>
      <c r="AT24" s="157"/>
      <c r="AU24" s="158"/>
      <c r="AV24" s="158"/>
      <c r="AW24" s="158"/>
      <c r="AX24" s="158"/>
      <c r="AY24" s="158"/>
      <c r="AZ24" s="158"/>
      <c r="BA24" s="159"/>
    </row>
  </sheetData>
  <mergeCells count="111">
    <mergeCell ref="AO2:BA2"/>
    <mergeCell ref="A5:C5"/>
    <mergeCell ref="D5:H5"/>
    <mergeCell ref="I5:AN5"/>
    <mergeCell ref="AO5:AS5"/>
    <mergeCell ref="AT5:BA5"/>
    <mergeCell ref="A1:D1"/>
    <mergeCell ref="E1:M1"/>
    <mergeCell ref="N1:BA1"/>
    <mergeCell ref="A2:D2"/>
    <mergeCell ref="E2:M2"/>
    <mergeCell ref="N2:R2"/>
    <mergeCell ref="S2:AA2"/>
    <mergeCell ref="AB2:AE2"/>
    <mergeCell ref="AF2:AL2"/>
    <mergeCell ref="AM2:AN2"/>
    <mergeCell ref="A6:C6"/>
    <mergeCell ref="D6:H6"/>
    <mergeCell ref="I6:AN6"/>
    <mergeCell ref="AO6:AS6"/>
    <mergeCell ref="AT6:BA6"/>
    <mergeCell ref="A7:C7"/>
    <mergeCell ref="D7:H7"/>
    <mergeCell ref="I7:AN7"/>
    <mergeCell ref="AO7:AS7"/>
    <mergeCell ref="AT7:BA7"/>
    <mergeCell ref="A8:C8"/>
    <mergeCell ref="D8:H8"/>
    <mergeCell ref="I8:AN8"/>
    <mergeCell ref="AO8:AS8"/>
    <mergeCell ref="AT8:BA8"/>
    <mergeCell ref="A9:C9"/>
    <mergeCell ref="D9:H9"/>
    <mergeCell ref="I9:AN9"/>
    <mergeCell ref="AO9:AS9"/>
    <mergeCell ref="AT9:BA9"/>
    <mergeCell ref="A10:C10"/>
    <mergeCell ref="D10:H10"/>
    <mergeCell ref="I10:AN10"/>
    <mergeCell ref="AO10:AS10"/>
    <mergeCell ref="AT10:BA10"/>
    <mergeCell ref="A11:C11"/>
    <mergeCell ref="D11:H11"/>
    <mergeCell ref="I11:AN11"/>
    <mergeCell ref="AO11:AS11"/>
    <mergeCell ref="AT11:BA11"/>
    <mergeCell ref="A12:C12"/>
    <mergeCell ref="D12:H12"/>
    <mergeCell ref="I12:AN12"/>
    <mergeCell ref="AO12:AS12"/>
    <mergeCell ref="AT12:BA12"/>
    <mergeCell ref="A13:C13"/>
    <mergeCell ref="D13:H13"/>
    <mergeCell ref="I13:AN13"/>
    <mergeCell ref="AO13:AS13"/>
    <mergeCell ref="AT13:BA13"/>
    <mergeCell ref="A14:C14"/>
    <mergeCell ref="D14:H14"/>
    <mergeCell ref="I14:AN14"/>
    <mergeCell ref="AO14:AS14"/>
    <mergeCell ref="AT14:BA14"/>
    <mergeCell ref="A15:C15"/>
    <mergeCell ref="D15:H15"/>
    <mergeCell ref="I15:AN15"/>
    <mergeCell ref="AO15:AS15"/>
    <mergeCell ref="AT15:BA15"/>
    <mergeCell ref="A16:C16"/>
    <mergeCell ref="D16:H16"/>
    <mergeCell ref="I16:AN16"/>
    <mergeCell ref="AO16:AS16"/>
    <mergeCell ref="AT16:BA16"/>
    <mergeCell ref="A17:C17"/>
    <mergeCell ref="D17:H17"/>
    <mergeCell ref="I17:AN17"/>
    <mergeCell ref="AO17:AS17"/>
    <mergeCell ref="AT17:BA17"/>
    <mergeCell ref="A18:C18"/>
    <mergeCell ref="D18:H18"/>
    <mergeCell ref="I18:AN18"/>
    <mergeCell ref="AO18:AS18"/>
    <mergeCell ref="AT18:BA18"/>
    <mergeCell ref="A19:C19"/>
    <mergeCell ref="D19:H19"/>
    <mergeCell ref="I19:AN19"/>
    <mergeCell ref="AO19:AS19"/>
    <mergeCell ref="AT19:BA19"/>
    <mergeCell ref="A20:C20"/>
    <mergeCell ref="D20:H20"/>
    <mergeCell ref="I20:AN20"/>
    <mergeCell ref="AO20:AS20"/>
    <mergeCell ref="AT20:BA20"/>
    <mergeCell ref="A21:C21"/>
    <mergeCell ref="D21:H21"/>
    <mergeCell ref="I21:AN21"/>
    <mergeCell ref="AO21:AS21"/>
    <mergeCell ref="AT21:BA21"/>
    <mergeCell ref="A24:C24"/>
    <mergeCell ref="D24:H24"/>
    <mergeCell ref="I24:AN24"/>
    <mergeCell ref="AO24:AS24"/>
    <mergeCell ref="AT24:BA24"/>
    <mergeCell ref="A22:C22"/>
    <mergeCell ref="D22:H22"/>
    <mergeCell ref="I22:AN22"/>
    <mergeCell ref="AO22:AS22"/>
    <mergeCell ref="AT22:BA22"/>
    <mergeCell ref="A23:C23"/>
    <mergeCell ref="D23:H23"/>
    <mergeCell ref="I23:AN23"/>
    <mergeCell ref="AO23:AS23"/>
    <mergeCell ref="AT23:BA23"/>
  </mergeCells>
  <phoneticPr fontId="2"/>
  <printOptions horizontalCentered="1"/>
  <pageMargins left="0.19685039370078741" right="0.19685039370078741" top="0.82677165354330717" bottom="0.82677165354330717" header="0.70866141732283472" footer="0.51181102362204722"/>
  <pageSetup paperSize="9" scale="85" orientation="landscape" useFirstPageNumber="1" r:id="rId1"/>
  <headerFooter alignWithMargins="0">
    <oddFooter>&amp;L&amp;9&amp;F
&amp;A&amp;C&amp;9&amp;P / &amp;N-1&amp;R&amp;9Ｄ＆Ｉ情報システム株式会社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40"/>
  <sheetViews>
    <sheetView showGridLines="0" zoomScale="85" zoomScaleNormal="85" zoomScaleSheetLayoutView="50" workbookViewId="0"/>
  </sheetViews>
  <sheetFormatPr defaultColWidth="8.7265625" defaultRowHeight="15"/>
  <cols>
    <col min="1" max="1" width="2.90625" style="19" customWidth="1"/>
    <col min="2" max="16384" width="8.7265625" style="19"/>
  </cols>
  <sheetData>
    <row r="1" spans="2:15">
      <c r="B1" s="19" t="s">
        <v>108</v>
      </c>
    </row>
    <row r="2" spans="2:15">
      <c r="C2" s="19" t="s">
        <v>114</v>
      </c>
    </row>
    <row r="3" spans="2:15">
      <c r="C3" s="19" t="s">
        <v>130</v>
      </c>
    </row>
    <row r="4" spans="2:15">
      <c r="C4" s="19" t="s">
        <v>129</v>
      </c>
    </row>
    <row r="6" spans="2:15">
      <c r="B6" s="19" t="s">
        <v>106</v>
      </c>
    </row>
    <row r="7" spans="2:15">
      <c r="B7" s="20" t="s">
        <v>103</v>
      </c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2"/>
    </row>
    <row r="8" spans="2:15">
      <c r="B8" s="23"/>
      <c r="C8" s="24" t="s">
        <v>76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5"/>
    </row>
    <row r="9" spans="2:15">
      <c r="B9" s="23"/>
      <c r="C9" s="24" t="s">
        <v>77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5"/>
    </row>
    <row r="10" spans="2:15">
      <c r="B10" s="23"/>
      <c r="C10" s="24" t="s">
        <v>78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5"/>
    </row>
    <row r="11" spans="2:15">
      <c r="B11" s="23"/>
      <c r="C11" s="26" t="s">
        <v>81</v>
      </c>
      <c r="D11" s="31" t="s">
        <v>79</v>
      </c>
      <c r="E11" s="32"/>
      <c r="F11" s="32"/>
      <c r="G11" s="32"/>
      <c r="H11" s="31" t="s">
        <v>125</v>
      </c>
      <c r="I11" s="32"/>
      <c r="J11" s="32"/>
      <c r="K11" s="33"/>
      <c r="L11" s="24"/>
      <c r="M11" s="24"/>
      <c r="N11" s="24"/>
      <c r="O11" s="25"/>
    </row>
    <row r="12" spans="2:15">
      <c r="B12" s="23"/>
      <c r="C12" s="24"/>
      <c r="D12" s="34" t="s">
        <v>115</v>
      </c>
      <c r="E12" s="35"/>
      <c r="F12" s="35"/>
      <c r="G12" s="35"/>
      <c r="H12" s="34"/>
      <c r="I12" s="35"/>
      <c r="J12" s="35"/>
      <c r="K12" s="36"/>
      <c r="L12" s="24"/>
      <c r="M12" s="24"/>
      <c r="N12" s="24"/>
      <c r="O12" s="25"/>
    </row>
    <row r="13" spans="2:15">
      <c r="B13" s="23"/>
      <c r="C13" s="26"/>
      <c r="D13" s="34" t="s">
        <v>80</v>
      </c>
      <c r="E13" s="35"/>
      <c r="F13" s="35"/>
      <c r="G13" s="35"/>
      <c r="H13" s="34" t="s">
        <v>90</v>
      </c>
      <c r="I13" s="35"/>
      <c r="J13" s="35"/>
      <c r="K13" s="36"/>
      <c r="L13" s="24"/>
      <c r="M13" s="24"/>
      <c r="N13" s="24"/>
      <c r="O13" s="25"/>
    </row>
    <row r="14" spans="2:15">
      <c r="B14" s="23"/>
      <c r="C14" s="24"/>
      <c r="D14" s="34" t="s">
        <v>116</v>
      </c>
      <c r="E14" s="35"/>
      <c r="F14" s="35"/>
      <c r="G14" s="35"/>
      <c r="H14" s="34"/>
      <c r="I14" s="35"/>
      <c r="J14" s="35"/>
      <c r="K14" s="36"/>
      <c r="L14" s="24"/>
      <c r="M14" s="24"/>
      <c r="N14" s="24"/>
      <c r="O14" s="25"/>
    </row>
    <row r="15" spans="2:15">
      <c r="B15" s="23"/>
      <c r="C15" s="26" t="s">
        <v>81</v>
      </c>
      <c r="D15" s="34" t="s">
        <v>117</v>
      </c>
      <c r="E15" s="35"/>
      <c r="F15" s="35"/>
      <c r="G15" s="35"/>
      <c r="H15" s="34" t="s">
        <v>118</v>
      </c>
      <c r="I15" s="35"/>
      <c r="J15" s="35"/>
      <c r="K15" s="36"/>
      <c r="L15" s="24"/>
      <c r="M15" s="24"/>
      <c r="N15" s="24"/>
      <c r="O15" s="25"/>
    </row>
    <row r="16" spans="2:15">
      <c r="B16" s="23"/>
      <c r="C16" s="26" t="s">
        <v>81</v>
      </c>
      <c r="D16" s="34" t="s">
        <v>124</v>
      </c>
      <c r="E16" s="35"/>
      <c r="F16" s="35"/>
      <c r="G16" s="35"/>
      <c r="H16" s="34" t="s">
        <v>123</v>
      </c>
      <c r="I16" s="35"/>
      <c r="J16" s="35"/>
      <c r="K16" s="36"/>
      <c r="L16" s="24"/>
      <c r="M16" s="24"/>
      <c r="N16" s="24"/>
      <c r="O16" s="25"/>
    </row>
    <row r="17" spans="2:15">
      <c r="B17" s="23"/>
      <c r="C17" s="24"/>
      <c r="D17" s="34" t="s">
        <v>119</v>
      </c>
      <c r="E17" s="35"/>
      <c r="F17" s="35"/>
      <c r="G17" s="35"/>
      <c r="H17" s="34"/>
      <c r="I17" s="35"/>
      <c r="J17" s="35"/>
      <c r="K17" s="36"/>
      <c r="L17" s="24"/>
      <c r="M17" s="24"/>
      <c r="N17" s="24"/>
      <c r="O17" s="25"/>
    </row>
    <row r="18" spans="2:15">
      <c r="B18" s="23"/>
      <c r="C18" s="26" t="s">
        <v>81</v>
      </c>
      <c r="D18" s="37" t="s">
        <v>120</v>
      </c>
      <c r="E18" s="38"/>
      <c r="F18" s="38"/>
      <c r="G18" s="38"/>
      <c r="H18" s="37" t="s">
        <v>121</v>
      </c>
      <c r="I18" s="38"/>
      <c r="J18" s="38"/>
      <c r="K18" s="39"/>
      <c r="L18" s="24"/>
      <c r="M18" s="24"/>
      <c r="N18" s="24"/>
      <c r="O18" s="25"/>
    </row>
    <row r="19" spans="2:15">
      <c r="B19" s="23"/>
      <c r="C19" s="24"/>
      <c r="D19" s="27" t="s">
        <v>85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5"/>
    </row>
    <row r="20" spans="2:15">
      <c r="B20" s="23"/>
      <c r="C20" s="24"/>
      <c r="D20" s="27" t="s">
        <v>99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5"/>
    </row>
    <row r="21" spans="2:15">
      <c r="B21" s="23"/>
      <c r="C21" s="24"/>
      <c r="D21" s="24" t="s">
        <v>131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5"/>
    </row>
    <row r="22" spans="2:15">
      <c r="B22" s="23"/>
      <c r="C22" s="24"/>
      <c r="D22" s="24" t="s">
        <v>122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5"/>
    </row>
    <row r="23" spans="2:15">
      <c r="B23" s="23"/>
      <c r="C23" s="24" t="s">
        <v>82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5"/>
    </row>
    <row r="24" spans="2:15">
      <c r="B24" s="23"/>
      <c r="C24" s="24"/>
      <c r="D24" s="27" t="s">
        <v>107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5"/>
    </row>
    <row r="25" spans="2:15">
      <c r="B25" s="23"/>
      <c r="C25" s="24"/>
      <c r="D25" s="24" t="s">
        <v>86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5"/>
    </row>
    <row r="26" spans="2:15">
      <c r="B26" s="23"/>
      <c r="C26" s="24"/>
      <c r="D26" s="27" t="s">
        <v>100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5"/>
    </row>
    <row r="27" spans="2:15">
      <c r="B27" s="23"/>
      <c r="C27" s="24"/>
      <c r="D27" s="24" t="s">
        <v>132</v>
      </c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5"/>
    </row>
    <row r="28" spans="2:15">
      <c r="B28" s="23"/>
      <c r="C28" s="24"/>
      <c r="D28" s="24" t="s">
        <v>101</v>
      </c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5"/>
    </row>
    <row r="29" spans="2:15">
      <c r="B29" s="23"/>
      <c r="C29" s="24"/>
      <c r="D29" s="24" t="s">
        <v>102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5"/>
    </row>
    <row r="30" spans="2:15">
      <c r="B30" s="28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30"/>
    </row>
    <row r="31" spans="2:15">
      <c r="B31" s="40" t="s">
        <v>104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58"/>
      <c r="O31" s="42"/>
    </row>
    <row r="32" spans="2:15">
      <c r="B32" s="43"/>
      <c r="C32" s="44" t="s">
        <v>83</v>
      </c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5"/>
    </row>
    <row r="33" spans="2:15">
      <c r="B33" s="43"/>
      <c r="C33" s="44" t="s">
        <v>84</v>
      </c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5"/>
    </row>
    <row r="34" spans="2:15">
      <c r="B34" s="43"/>
      <c r="C34" s="44" t="s">
        <v>87</v>
      </c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5"/>
    </row>
    <row r="35" spans="2:15">
      <c r="B35" s="43"/>
      <c r="C35" s="44" t="s">
        <v>82</v>
      </c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5"/>
    </row>
    <row r="36" spans="2:15">
      <c r="B36" s="46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8"/>
    </row>
    <row r="37" spans="2:15">
      <c r="B37" s="49" t="s">
        <v>105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9"/>
      <c r="O37" s="51"/>
    </row>
    <row r="38" spans="2:15">
      <c r="B38" s="52"/>
      <c r="C38" s="53" t="s">
        <v>88</v>
      </c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>
      <c r="B39" s="52"/>
      <c r="C39" s="53" t="s">
        <v>89</v>
      </c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4"/>
    </row>
    <row r="40" spans="2:15">
      <c r="B40" s="55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</row>
  </sheetData>
  <phoneticPr fontId="2"/>
  <pageMargins left="0.7" right="0.7" top="0.75" bottom="0.75" header="0.3" footer="0.3"/>
  <pageSetup paperSize="9" scale="6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A1:AW15"/>
  <sheetViews>
    <sheetView showGridLines="0" tabSelected="1" zoomScaleNormal="100" zoomScaleSheetLayoutView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4" sqref="R4:AS13"/>
    </sheetView>
  </sheetViews>
  <sheetFormatPr defaultColWidth="9" defaultRowHeight="12"/>
  <cols>
    <col min="1" max="1" width="5.90625" style="68" customWidth="1"/>
    <col min="2" max="2" width="8.453125" style="68" bestFit="1" customWidth="1"/>
    <col min="3" max="3" width="34.6328125" style="68" customWidth="1"/>
    <col min="4" max="4" width="1.7265625" style="70" customWidth="1"/>
    <col min="5" max="5" width="4.90625" style="68" customWidth="1"/>
    <col min="6" max="6" width="13.08984375" style="68" bestFit="1" customWidth="1"/>
    <col min="7" max="7" width="8.54296875" style="71" bestFit="1" customWidth="1"/>
    <col min="8" max="9" width="8.26953125" style="71" bestFit="1" customWidth="1"/>
    <col min="10" max="10" width="8.08984375" style="71" customWidth="1"/>
    <col min="11" max="11" width="6.26953125" style="68" bestFit="1" customWidth="1"/>
    <col min="12" max="12" width="8.36328125" style="71" customWidth="1"/>
    <col min="13" max="13" width="8.26953125" style="71" bestFit="1" customWidth="1"/>
    <col min="14" max="14" width="7.7265625" style="71" bestFit="1" customWidth="1"/>
    <col min="15" max="16" width="9.26953125" style="71" bestFit="1" customWidth="1"/>
    <col min="17" max="17" width="6.08984375" style="71" customWidth="1"/>
    <col min="18" max="16384" width="9" style="68"/>
  </cols>
  <sheetData>
    <row r="1" spans="1:49" ht="18" customHeight="1">
      <c r="A1" s="194"/>
      <c r="B1" s="196"/>
      <c r="C1" s="197"/>
      <c r="D1" s="66"/>
      <c r="E1" s="199" t="s">
        <v>12</v>
      </c>
      <c r="F1" s="201" t="s">
        <v>111</v>
      </c>
      <c r="G1" s="202"/>
      <c r="H1" s="203"/>
      <c r="I1" s="204"/>
      <c r="J1" s="205"/>
      <c r="K1" s="212" t="s">
        <v>113</v>
      </c>
      <c r="L1" s="213"/>
      <c r="M1" s="213"/>
      <c r="N1" s="213"/>
      <c r="O1" s="213"/>
      <c r="P1" s="203"/>
      <c r="Q1" s="190" t="s">
        <v>8</v>
      </c>
      <c r="R1" s="86">
        <v>43374</v>
      </c>
      <c r="S1" s="87">
        <v>43374</v>
      </c>
      <c r="T1" s="87">
        <v>43374</v>
      </c>
      <c r="U1" s="108">
        <v>43374</v>
      </c>
      <c r="V1" s="109">
        <v>43375</v>
      </c>
      <c r="W1" s="87">
        <v>43375</v>
      </c>
      <c r="X1" s="87">
        <v>43375</v>
      </c>
      <c r="Y1" s="108">
        <v>43375</v>
      </c>
      <c r="Z1" s="109">
        <v>43376</v>
      </c>
      <c r="AA1" s="87">
        <v>43376</v>
      </c>
      <c r="AB1" s="87">
        <v>43376</v>
      </c>
      <c r="AC1" s="108">
        <v>43376</v>
      </c>
      <c r="AD1" s="109">
        <v>43377</v>
      </c>
      <c r="AE1" s="87">
        <v>43377</v>
      </c>
      <c r="AF1" s="87">
        <v>43377</v>
      </c>
      <c r="AG1" s="108">
        <v>43377</v>
      </c>
      <c r="AH1" s="109">
        <v>43378</v>
      </c>
      <c r="AI1" s="87">
        <v>43378</v>
      </c>
      <c r="AJ1" s="87">
        <v>43378</v>
      </c>
      <c r="AK1" s="108">
        <v>43378</v>
      </c>
      <c r="AL1" s="109">
        <v>43379</v>
      </c>
      <c r="AM1" s="87">
        <v>43379</v>
      </c>
      <c r="AN1" s="87">
        <v>43379</v>
      </c>
      <c r="AO1" s="108">
        <v>43379</v>
      </c>
      <c r="AP1" s="109">
        <v>43380</v>
      </c>
      <c r="AQ1" s="87">
        <v>43380</v>
      </c>
      <c r="AR1" s="87">
        <v>43380</v>
      </c>
      <c r="AS1" s="108">
        <v>43380</v>
      </c>
      <c r="AT1" s="118" t="s">
        <v>128</v>
      </c>
      <c r="AU1" s="93" t="s">
        <v>128</v>
      </c>
      <c r="AV1" s="93" t="s">
        <v>128</v>
      </c>
      <c r="AW1" s="119" t="s">
        <v>128</v>
      </c>
    </row>
    <row r="2" spans="1:49" ht="15" customHeight="1">
      <c r="A2" s="195"/>
      <c r="B2" s="198"/>
      <c r="C2" s="198"/>
      <c r="D2" s="67"/>
      <c r="E2" s="200"/>
      <c r="F2" s="61"/>
      <c r="G2" s="206" t="s">
        <v>1</v>
      </c>
      <c r="H2" s="207"/>
      <c r="I2" s="206" t="s">
        <v>4</v>
      </c>
      <c r="J2" s="206"/>
      <c r="K2" s="208" t="s">
        <v>0</v>
      </c>
      <c r="L2" s="209" t="s">
        <v>4</v>
      </c>
      <c r="M2" s="210"/>
      <c r="N2" s="211" t="s">
        <v>7</v>
      </c>
      <c r="O2" s="193" t="s">
        <v>6</v>
      </c>
      <c r="P2" s="193"/>
      <c r="Q2" s="191"/>
      <c r="R2" s="88" t="s">
        <v>126</v>
      </c>
      <c r="S2" s="88" t="s">
        <v>126</v>
      </c>
      <c r="T2" s="88" t="s">
        <v>127</v>
      </c>
      <c r="U2" s="110" t="s">
        <v>127</v>
      </c>
      <c r="V2" s="111" t="s">
        <v>126</v>
      </c>
      <c r="W2" s="88" t="s">
        <v>126</v>
      </c>
      <c r="X2" s="88" t="s">
        <v>127</v>
      </c>
      <c r="Y2" s="110" t="s">
        <v>127</v>
      </c>
      <c r="Z2" s="111" t="s">
        <v>126</v>
      </c>
      <c r="AA2" s="88" t="s">
        <v>126</v>
      </c>
      <c r="AB2" s="88" t="s">
        <v>127</v>
      </c>
      <c r="AC2" s="110" t="s">
        <v>127</v>
      </c>
      <c r="AD2" s="111" t="s">
        <v>126</v>
      </c>
      <c r="AE2" s="88" t="s">
        <v>126</v>
      </c>
      <c r="AF2" s="88" t="s">
        <v>127</v>
      </c>
      <c r="AG2" s="110" t="s">
        <v>127</v>
      </c>
      <c r="AH2" s="111" t="s">
        <v>126</v>
      </c>
      <c r="AI2" s="88" t="s">
        <v>126</v>
      </c>
      <c r="AJ2" s="88" t="s">
        <v>127</v>
      </c>
      <c r="AK2" s="110" t="s">
        <v>127</v>
      </c>
      <c r="AL2" s="111" t="s">
        <v>126</v>
      </c>
      <c r="AM2" s="88" t="s">
        <v>126</v>
      </c>
      <c r="AN2" s="88" t="s">
        <v>127</v>
      </c>
      <c r="AO2" s="110" t="s">
        <v>127</v>
      </c>
      <c r="AP2" s="111" t="s">
        <v>126</v>
      </c>
      <c r="AQ2" s="88" t="s">
        <v>126</v>
      </c>
      <c r="AR2" s="88" t="s">
        <v>127</v>
      </c>
      <c r="AS2" s="110" t="s">
        <v>127</v>
      </c>
      <c r="AT2" s="120" t="s">
        <v>126</v>
      </c>
      <c r="AU2" s="94" t="s">
        <v>126</v>
      </c>
      <c r="AV2" s="94" t="s">
        <v>127</v>
      </c>
      <c r="AW2" s="121" t="s">
        <v>127</v>
      </c>
    </row>
    <row r="3" spans="1:49" ht="79.5" customHeight="1">
      <c r="A3" s="69"/>
      <c r="B3" s="62" t="s">
        <v>11</v>
      </c>
      <c r="C3" s="62" t="s">
        <v>109</v>
      </c>
      <c r="D3" s="67"/>
      <c r="E3" s="200"/>
      <c r="F3" s="60" t="s">
        <v>5</v>
      </c>
      <c r="G3" s="63" t="s">
        <v>2</v>
      </c>
      <c r="H3" s="64" t="s">
        <v>3</v>
      </c>
      <c r="I3" s="63" t="s">
        <v>2</v>
      </c>
      <c r="J3" s="63" t="s">
        <v>3</v>
      </c>
      <c r="K3" s="208"/>
      <c r="L3" s="64" t="s">
        <v>2</v>
      </c>
      <c r="M3" s="63" t="s">
        <v>3</v>
      </c>
      <c r="N3" s="211"/>
      <c r="O3" s="65" t="s">
        <v>9</v>
      </c>
      <c r="P3" s="65" t="s">
        <v>10</v>
      </c>
      <c r="Q3" s="192"/>
      <c r="R3" s="88" t="s">
        <v>74</v>
      </c>
      <c r="S3" s="88" t="s">
        <v>75</v>
      </c>
      <c r="T3" s="88" t="s">
        <v>74</v>
      </c>
      <c r="U3" s="110" t="s">
        <v>75</v>
      </c>
      <c r="V3" s="111" t="s">
        <v>74</v>
      </c>
      <c r="W3" s="88" t="s">
        <v>75</v>
      </c>
      <c r="X3" s="88" t="s">
        <v>74</v>
      </c>
      <c r="Y3" s="110" t="s">
        <v>75</v>
      </c>
      <c r="Z3" s="111" t="s">
        <v>74</v>
      </c>
      <c r="AA3" s="88" t="s">
        <v>75</v>
      </c>
      <c r="AB3" s="88" t="s">
        <v>74</v>
      </c>
      <c r="AC3" s="110" t="s">
        <v>75</v>
      </c>
      <c r="AD3" s="111" t="s">
        <v>74</v>
      </c>
      <c r="AE3" s="88" t="s">
        <v>75</v>
      </c>
      <c r="AF3" s="88" t="s">
        <v>74</v>
      </c>
      <c r="AG3" s="110" t="s">
        <v>75</v>
      </c>
      <c r="AH3" s="111" t="s">
        <v>74</v>
      </c>
      <c r="AI3" s="88" t="s">
        <v>75</v>
      </c>
      <c r="AJ3" s="88" t="s">
        <v>74</v>
      </c>
      <c r="AK3" s="110" t="s">
        <v>75</v>
      </c>
      <c r="AL3" s="111" t="s">
        <v>74</v>
      </c>
      <c r="AM3" s="88" t="s">
        <v>75</v>
      </c>
      <c r="AN3" s="88" t="s">
        <v>74</v>
      </c>
      <c r="AO3" s="110" t="s">
        <v>75</v>
      </c>
      <c r="AP3" s="111" t="s">
        <v>74</v>
      </c>
      <c r="AQ3" s="88" t="s">
        <v>75</v>
      </c>
      <c r="AR3" s="88" t="s">
        <v>74</v>
      </c>
      <c r="AS3" s="110" t="s">
        <v>75</v>
      </c>
      <c r="AT3" s="120" t="s">
        <v>74</v>
      </c>
      <c r="AU3" s="94" t="s">
        <v>75</v>
      </c>
      <c r="AV3" s="94" t="s">
        <v>74</v>
      </c>
      <c r="AW3" s="121" t="s">
        <v>75</v>
      </c>
    </row>
    <row r="4" spans="1:49">
      <c r="A4" s="72"/>
      <c r="B4" s="97">
        <v>1</v>
      </c>
      <c r="C4" s="76"/>
      <c r="D4" s="73"/>
      <c r="E4" s="75"/>
      <c r="F4" s="75" t="s">
        <v>134</v>
      </c>
      <c r="G4" s="98">
        <v>43377</v>
      </c>
      <c r="H4" s="74">
        <v>43374</v>
      </c>
      <c r="I4" s="98">
        <v>43375</v>
      </c>
      <c r="J4" s="74">
        <v>43377</v>
      </c>
      <c r="K4" s="75"/>
      <c r="L4" s="98">
        <v>43375</v>
      </c>
      <c r="M4" s="74"/>
      <c r="N4" s="78"/>
      <c r="O4" s="77"/>
      <c r="P4" s="77"/>
      <c r="Q4" s="78"/>
      <c r="R4" s="80"/>
      <c r="S4" s="82">
        <v>1</v>
      </c>
      <c r="T4" s="84"/>
      <c r="U4" s="106"/>
      <c r="V4" s="112">
        <v>1</v>
      </c>
      <c r="W4" s="82"/>
      <c r="X4" s="84"/>
      <c r="Y4" s="106"/>
      <c r="Z4" s="112"/>
      <c r="AA4" s="82"/>
      <c r="AB4" s="84"/>
      <c r="AC4" s="106"/>
      <c r="AD4" s="112"/>
      <c r="AE4" s="82">
        <v>1</v>
      </c>
      <c r="AF4" s="84"/>
      <c r="AG4" s="106"/>
      <c r="AH4" s="112">
        <v>1</v>
      </c>
      <c r="AI4" s="82"/>
      <c r="AJ4" s="84"/>
      <c r="AK4" s="106"/>
      <c r="AL4" s="112"/>
      <c r="AM4" s="82"/>
      <c r="AN4" s="84"/>
      <c r="AO4" s="106"/>
      <c r="AP4" s="112"/>
      <c r="AQ4" s="82"/>
      <c r="AR4" s="84"/>
      <c r="AS4" s="106"/>
      <c r="AT4" s="114">
        <f t="shared" ref="AT4:AT13" si="0">SUMPRODUCT((MOD(COLUMN($R4:$AS4),4)=2)*($R4:$AS4))</f>
        <v>2</v>
      </c>
      <c r="AU4" s="89">
        <f t="shared" ref="AU4:AU13" si="1">SUMPRODUCT((MOD(COLUMN($R4:$AS4),4)=3)*($R4:$AS4))</f>
        <v>2</v>
      </c>
      <c r="AV4" s="91">
        <f t="shared" ref="AV4:AV13" si="2">SUMPRODUCT((MOD(COLUMN($R4:$AS4),4)=0)*($R4:$AS4))</f>
        <v>0</v>
      </c>
      <c r="AW4" s="116">
        <f t="shared" ref="AW4:AW13" si="3">SUMPRODUCT((MOD(COLUMN($R4:$AS4),4)=1)*($R4:$AS4))</f>
        <v>0</v>
      </c>
    </row>
    <row r="5" spans="1:49">
      <c r="A5" s="72"/>
      <c r="B5" s="97">
        <v>1</v>
      </c>
      <c r="C5" s="76"/>
      <c r="D5" s="73"/>
      <c r="E5" s="75"/>
      <c r="F5" s="75" t="s">
        <v>134</v>
      </c>
      <c r="G5" s="98"/>
      <c r="H5" s="74"/>
      <c r="I5" s="98"/>
      <c r="J5" s="74"/>
      <c r="K5" s="75"/>
      <c r="L5" s="98"/>
      <c r="M5" s="74"/>
      <c r="N5" s="78"/>
      <c r="O5" s="77"/>
      <c r="P5" s="77"/>
      <c r="Q5" s="99"/>
      <c r="R5" s="80"/>
      <c r="S5" s="82"/>
      <c r="T5" s="84"/>
      <c r="U5" s="106"/>
      <c r="V5" s="112"/>
      <c r="W5" s="82"/>
      <c r="X5" s="84"/>
      <c r="Y5" s="106"/>
      <c r="Z5" s="112"/>
      <c r="AA5" s="82"/>
      <c r="AB5" s="84"/>
      <c r="AC5" s="106"/>
      <c r="AD5" s="112"/>
      <c r="AE5" s="82"/>
      <c r="AF5" s="84"/>
      <c r="AG5" s="106"/>
      <c r="AH5" s="112"/>
      <c r="AI5" s="82"/>
      <c r="AJ5" s="84"/>
      <c r="AK5" s="106"/>
      <c r="AL5" s="112"/>
      <c r="AM5" s="82"/>
      <c r="AN5" s="84"/>
      <c r="AO5" s="106"/>
      <c r="AP5" s="112"/>
      <c r="AQ5" s="82"/>
      <c r="AR5" s="84"/>
      <c r="AS5" s="106"/>
      <c r="AT5" s="114">
        <f t="shared" si="0"/>
        <v>0</v>
      </c>
      <c r="AU5" s="89">
        <f t="shared" si="1"/>
        <v>0</v>
      </c>
      <c r="AV5" s="91">
        <f t="shared" si="2"/>
        <v>0</v>
      </c>
      <c r="AW5" s="116">
        <f t="shared" si="3"/>
        <v>0</v>
      </c>
    </row>
    <row r="6" spans="1:49">
      <c r="A6" s="72"/>
      <c r="B6" s="97">
        <v>1</v>
      </c>
      <c r="C6" s="76"/>
      <c r="D6" s="73"/>
      <c r="E6" s="75"/>
      <c r="F6" s="75" t="s">
        <v>134</v>
      </c>
      <c r="G6" s="98"/>
      <c r="H6" s="74">
        <v>43374</v>
      </c>
      <c r="I6" s="98"/>
      <c r="J6" s="74">
        <v>43380</v>
      </c>
      <c r="K6" s="75"/>
      <c r="L6" s="98"/>
      <c r="M6" s="74">
        <v>43380</v>
      </c>
      <c r="N6" s="78"/>
      <c r="O6" s="77"/>
      <c r="P6" s="77"/>
      <c r="Q6" s="99"/>
      <c r="R6" s="80">
        <v>0</v>
      </c>
      <c r="S6" s="82">
        <v>1</v>
      </c>
      <c r="T6" s="84">
        <v>0</v>
      </c>
      <c r="U6" s="106">
        <v>0</v>
      </c>
      <c r="V6" s="112">
        <v>1</v>
      </c>
      <c r="W6" s="82">
        <v>0</v>
      </c>
      <c r="X6" s="84">
        <v>0</v>
      </c>
      <c r="Y6" s="106">
        <v>0</v>
      </c>
      <c r="Z6" s="112">
        <v>0</v>
      </c>
      <c r="AA6" s="82">
        <v>0</v>
      </c>
      <c r="AB6" s="84">
        <v>0</v>
      </c>
      <c r="AC6" s="106">
        <v>0</v>
      </c>
      <c r="AD6" s="112">
        <v>0</v>
      </c>
      <c r="AE6" s="82">
        <v>1</v>
      </c>
      <c r="AF6" s="84">
        <v>0</v>
      </c>
      <c r="AG6" s="106">
        <v>0</v>
      </c>
      <c r="AH6" s="112">
        <v>1</v>
      </c>
      <c r="AI6" s="82">
        <v>0</v>
      </c>
      <c r="AJ6" s="84">
        <v>0</v>
      </c>
      <c r="AK6" s="106">
        <v>0</v>
      </c>
      <c r="AL6" s="112">
        <v>0</v>
      </c>
      <c r="AM6" s="82">
        <v>0</v>
      </c>
      <c r="AN6" s="84">
        <v>0</v>
      </c>
      <c r="AO6" s="106">
        <v>0</v>
      </c>
      <c r="AP6" s="112">
        <v>0</v>
      </c>
      <c r="AQ6" s="82">
        <v>0</v>
      </c>
      <c r="AR6" s="84">
        <v>0</v>
      </c>
      <c r="AS6" s="106">
        <v>0</v>
      </c>
      <c r="AT6" s="114">
        <f t="shared" si="0"/>
        <v>2</v>
      </c>
      <c r="AU6" s="89">
        <f t="shared" si="1"/>
        <v>2</v>
      </c>
      <c r="AV6" s="91">
        <f t="shared" si="2"/>
        <v>0</v>
      </c>
      <c r="AW6" s="116">
        <f t="shared" si="3"/>
        <v>0</v>
      </c>
    </row>
    <row r="7" spans="1:49">
      <c r="A7" s="72"/>
      <c r="B7" s="97">
        <v>1</v>
      </c>
      <c r="C7" s="76"/>
      <c r="D7" s="73"/>
      <c r="E7" s="75"/>
      <c r="F7" s="75" t="s">
        <v>136</v>
      </c>
      <c r="G7" s="98"/>
      <c r="H7" s="74"/>
      <c r="I7" s="98"/>
      <c r="J7" s="74"/>
      <c r="K7" s="75"/>
      <c r="L7" s="98"/>
      <c r="M7" s="74">
        <v>43380</v>
      </c>
      <c r="N7" s="78"/>
      <c r="O7" s="77"/>
      <c r="P7" s="77"/>
      <c r="Q7" s="99"/>
      <c r="R7" s="80">
        <v>0</v>
      </c>
      <c r="S7" s="82">
        <v>1</v>
      </c>
      <c r="T7" s="84">
        <v>0</v>
      </c>
      <c r="U7" s="106">
        <v>0</v>
      </c>
      <c r="V7" s="112">
        <v>1</v>
      </c>
      <c r="W7" s="82">
        <v>1</v>
      </c>
      <c r="X7" s="84">
        <v>0</v>
      </c>
      <c r="Y7" s="106">
        <v>0</v>
      </c>
      <c r="Z7" s="112">
        <v>1</v>
      </c>
      <c r="AA7" s="82">
        <v>1</v>
      </c>
      <c r="AB7" s="84">
        <v>0</v>
      </c>
      <c r="AC7" s="106">
        <v>0</v>
      </c>
      <c r="AD7" s="112">
        <v>1</v>
      </c>
      <c r="AE7" s="82">
        <v>2</v>
      </c>
      <c r="AF7" s="84">
        <v>0</v>
      </c>
      <c r="AG7" s="106">
        <v>0</v>
      </c>
      <c r="AH7" s="112">
        <v>2</v>
      </c>
      <c r="AI7" s="82">
        <v>2</v>
      </c>
      <c r="AJ7" s="84">
        <v>0</v>
      </c>
      <c r="AK7" s="106">
        <v>0</v>
      </c>
      <c r="AL7" s="112">
        <v>2</v>
      </c>
      <c r="AM7" s="82">
        <v>2</v>
      </c>
      <c r="AN7" s="84">
        <v>0</v>
      </c>
      <c r="AO7" s="106">
        <v>0</v>
      </c>
      <c r="AP7" s="112">
        <v>2</v>
      </c>
      <c r="AQ7" s="82">
        <v>2</v>
      </c>
      <c r="AR7" s="84">
        <v>0</v>
      </c>
      <c r="AS7" s="106">
        <v>0</v>
      </c>
      <c r="AT7" s="114">
        <f t="shared" si="0"/>
        <v>9</v>
      </c>
      <c r="AU7" s="89">
        <f t="shared" si="1"/>
        <v>11</v>
      </c>
      <c r="AV7" s="91">
        <f t="shared" si="2"/>
        <v>0</v>
      </c>
      <c r="AW7" s="116">
        <f t="shared" si="3"/>
        <v>0</v>
      </c>
    </row>
    <row r="8" spans="1:49">
      <c r="A8" s="72"/>
      <c r="B8" s="97">
        <v>1</v>
      </c>
      <c r="C8" s="76"/>
      <c r="D8" s="73"/>
      <c r="E8" s="75"/>
      <c r="F8" s="75" t="s">
        <v>136</v>
      </c>
      <c r="G8" s="98"/>
      <c r="H8" s="74"/>
      <c r="I8" s="98"/>
      <c r="J8" s="74"/>
      <c r="K8" s="75"/>
      <c r="L8" s="98"/>
      <c r="M8" s="74"/>
      <c r="N8" s="78"/>
      <c r="O8" s="77"/>
      <c r="P8" s="77"/>
      <c r="Q8" s="78"/>
      <c r="R8" s="80"/>
      <c r="S8" s="82"/>
      <c r="T8" s="84"/>
      <c r="U8" s="106"/>
      <c r="V8" s="112"/>
      <c r="W8" s="82"/>
      <c r="X8" s="84"/>
      <c r="Y8" s="106"/>
      <c r="Z8" s="112"/>
      <c r="AA8" s="82"/>
      <c r="AB8" s="84"/>
      <c r="AC8" s="106"/>
      <c r="AD8" s="112"/>
      <c r="AE8" s="82"/>
      <c r="AF8" s="84"/>
      <c r="AG8" s="106"/>
      <c r="AH8" s="112"/>
      <c r="AI8" s="82"/>
      <c r="AJ8" s="84"/>
      <c r="AK8" s="106"/>
      <c r="AL8" s="112"/>
      <c r="AM8" s="82"/>
      <c r="AN8" s="84"/>
      <c r="AO8" s="106"/>
      <c r="AP8" s="112"/>
      <c r="AQ8" s="82"/>
      <c r="AR8" s="84"/>
      <c r="AS8" s="106"/>
      <c r="AT8" s="114">
        <f t="shared" si="0"/>
        <v>0</v>
      </c>
      <c r="AU8" s="89">
        <f t="shared" si="1"/>
        <v>0</v>
      </c>
      <c r="AV8" s="91">
        <f t="shared" si="2"/>
        <v>0</v>
      </c>
      <c r="AW8" s="116">
        <f t="shared" si="3"/>
        <v>0</v>
      </c>
    </row>
    <row r="9" spans="1:49">
      <c r="A9" s="72"/>
      <c r="B9" s="97">
        <v>1</v>
      </c>
      <c r="C9" s="76"/>
      <c r="D9" s="73"/>
      <c r="E9" s="75"/>
      <c r="F9" s="75" t="s">
        <v>136</v>
      </c>
      <c r="G9" s="98"/>
      <c r="H9" s="74"/>
      <c r="I9" s="98"/>
      <c r="J9" s="74"/>
      <c r="K9" s="75"/>
      <c r="L9" s="98"/>
      <c r="M9" s="74"/>
      <c r="N9" s="78"/>
      <c r="O9" s="77"/>
      <c r="P9" s="77"/>
      <c r="Q9" s="78"/>
      <c r="R9" s="80"/>
      <c r="S9" s="82"/>
      <c r="T9" s="84"/>
      <c r="U9" s="106"/>
      <c r="V9" s="112"/>
      <c r="W9" s="82"/>
      <c r="X9" s="84"/>
      <c r="Y9" s="106"/>
      <c r="Z9" s="112"/>
      <c r="AA9" s="82"/>
      <c r="AB9" s="84"/>
      <c r="AC9" s="106"/>
      <c r="AD9" s="112"/>
      <c r="AE9" s="82"/>
      <c r="AF9" s="84"/>
      <c r="AG9" s="106"/>
      <c r="AH9" s="112"/>
      <c r="AI9" s="82"/>
      <c r="AJ9" s="84"/>
      <c r="AK9" s="106"/>
      <c r="AL9" s="112"/>
      <c r="AM9" s="82"/>
      <c r="AN9" s="84"/>
      <c r="AO9" s="106"/>
      <c r="AP9" s="112"/>
      <c r="AQ9" s="82"/>
      <c r="AR9" s="84"/>
      <c r="AS9" s="106"/>
      <c r="AT9" s="114">
        <f t="shared" si="0"/>
        <v>0</v>
      </c>
      <c r="AU9" s="89">
        <f t="shared" si="1"/>
        <v>0</v>
      </c>
      <c r="AV9" s="91">
        <f t="shared" si="2"/>
        <v>0</v>
      </c>
      <c r="AW9" s="116">
        <f t="shared" si="3"/>
        <v>0</v>
      </c>
    </row>
    <row r="10" spans="1:49">
      <c r="A10" s="72"/>
      <c r="B10" s="97">
        <v>1</v>
      </c>
      <c r="C10" s="76"/>
      <c r="D10" s="73"/>
      <c r="E10" s="75"/>
      <c r="F10" s="75" t="s">
        <v>136</v>
      </c>
      <c r="G10" s="98"/>
      <c r="H10" s="74"/>
      <c r="I10" s="98"/>
      <c r="J10" s="74"/>
      <c r="K10" s="75"/>
      <c r="L10" s="98"/>
      <c r="M10" s="74"/>
      <c r="N10" s="78"/>
      <c r="O10" s="77"/>
      <c r="P10" s="77"/>
      <c r="Q10" s="78"/>
      <c r="R10" s="80"/>
      <c r="S10" s="82"/>
      <c r="T10" s="84"/>
      <c r="U10" s="106"/>
      <c r="V10" s="112"/>
      <c r="W10" s="82"/>
      <c r="X10" s="84"/>
      <c r="Y10" s="106"/>
      <c r="Z10" s="112"/>
      <c r="AA10" s="82"/>
      <c r="AB10" s="84"/>
      <c r="AC10" s="106"/>
      <c r="AD10" s="112"/>
      <c r="AE10" s="82"/>
      <c r="AF10" s="84"/>
      <c r="AG10" s="106"/>
      <c r="AH10" s="112"/>
      <c r="AI10" s="82"/>
      <c r="AJ10" s="84"/>
      <c r="AK10" s="106"/>
      <c r="AL10" s="112"/>
      <c r="AM10" s="82"/>
      <c r="AN10" s="84"/>
      <c r="AO10" s="106"/>
      <c r="AP10" s="112"/>
      <c r="AQ10" s="82"/>
      <c r="AR10" s="84"/>
      <c r="AS10" s="106"/>
      <c r="AT10" s="114">
        <f t="shared" si="0"/>
        <v>0</v>
      </c>
      <c r="AU10" s="89">
        <f t="shared" si="1"/>
        <v>0</v>
      </c>
      <c r="AV10" s="91">
        <f t="shared" si="2"/>
        <v>0</v>
      </c>
      <c r="AW10" s="116">
        <f t="shared" si="3"/>
        <v>0</v>
      </c>
    </row>
    <row r="11" spans="1:49">
      <c r="A11" s="72"/>
      <c r="B11" s="97">
        <v>1</v>
      </c>
      <c r="C11" s="76"/>
      <c r="D11" s="73"/>
      <c r="E11" s="75"/>
      <c r="F11" s="75" t="s">
        <v>136</v>
      </c>
      <c r="G11" s="98"/>
      <c r="H11" s="74"/>
      <c r="I11" s="98"/>
      <c r="J11" s="74"/>
      <c r="K11" s="75"/>
      <c r="L11" s="98"/>
      <c r="M11" s="74"/>
      <c r="N11" s="78"/>
      <c r="O11" s="77"/>
      <c r="P11" s="77"/>
      <c r="Q11" s="78"/>
      <c r="R11" s="80"/>
      <c r="S11" s="82"/>
      <c r="T11" s="84"/>
      <c r="U11" s="106"/>
      <c r="V11" s="112"/>
      <c r="W11" s="82"/>
      <c r="X11" s="84"/>
      <c r="Y11" s="106"/>
      <c r="Z11" s="112"/>
      <c r="AA11" s="82"/>
      <c r="AB11" s="84"/>
      <c r="AC11" s="106"/>
      <c r="AD11" s="112"/>
      <c r="AE11" s="82"/>
      <c r="AF11" s="84"/>
      <c r="AG11" s="106"/>
      <c r="AH11" s="112"/>
      <c r="AI11" s="82"/>
      <c r="AJ11" s="84"/>
      <c r="AK11" s="106"/>
      <c r="AL11" s="112"/>
      <c r="AM11" s="82"/>
      <c r="AN11" s="84"/>
      <c r="AO11" s="106"/>
      <c r="AP11" s="112"/>
      <c r="AQ11" s="82"/>
      <c r="AR11" s="84"/>
      <c r="AS11" s="106"/>
      <c r="AT11" s="114">
        <f t="shared" si="0"/>
        <v>0</v>
      </c>
      <c r="AU11" s="89">
        <f t="shared" si="1"/>
        <v>0</v>
      </c>
      <c r="AV11" s="91">
        <f t="shared" si="2"/>
        <v>0</v>
      </c>
      <c r="AW11" s="116">
        <f t="shared" si="3"/>
        <v>0</v>
      </c>
    </row>
    <row r="12" spans="1:49">
      <c r="A12" s="72"/>
      <c r="B12" s="97">
        <v>1</v>
      </c>
      <c r="C12" s="76"/>
      <c r="D12" s="73"/>
      <c r="E12" s="75"/>
      <c r="F12" s="75" t="s">
        <v>136</v>
      </c>
      <c r="G12" s="98"/>
      <c r="H12" s="74"/>
      <c r="I12" s="98"/>
      <c r="J12" s="74"/>
      <c r="K12" s="75"/>
      <c r="L12" s="98"/>
      <c r="M12" s="74"/>
      <c r="N12" s="78"/>
      <c r="O12" s="77"/>
      <c r="P12" s="77"/>
      <c r="Q12" s="78"/>
      <c r="R12" s="80"/>
      <c r="S12" s="82"/>
      <c r="T12" s="84"/>
      <c r="U12" s="106"/>
      <c r="V12" s="112"/>
      <c r="W12" s="82"/>
      <c r="X12" s="84"/>
      <c r="Y12" s="106"/>
      <c r="Z12" s="112"/>
      <c r="AA12" s="82"/>
      <c r="AB12" s="84"/>
      <c r="AC12" s="106"/>
      <c r="AD12" s="112"/>
      <c r="AE12" s="82"/>
      <c r="AF12" s="84"/>
      <c r="AG12" s="106"/>
      <c r="AH12" s="112"/>
      <c r="AI12" s="82"/>
      <c r="AJ12" s="84"/>
      <c r="AK12" s="106"/>
      <c r="AL12" s="112"/>
      <c r="AM12" s="82"/>
      <c r="AN12" s="84"/>
      <c r="AO12" s="106"/>
      <c r="AP12" s="112"/>
      <c r="AQ12" s="82"/>
      <c r="AR12" s="84"/>
      <c r="AS12" s="106"/>
      <c r="AT12" s="114">
        <f t="shared" si="0"/>
        <v>0</v>
      </c>
      <c r="AU12" s="89">
        <f t="shared" si="1"/>
        <v>0</v>
      </c>
      <c r="AV12" s="91">
        <f t="shared" si="2"/>
        <v>0</v>
      </c>
      <c r="AW12" s="116">
        <f t="shared" si="3"/>
        <v>0</v>
      </c>
    </row>
    <row r="13" spans="1:49" ht="12.5" thickBot="1">
      <c r="A13" s="72"/>
      <c r="B13" s="97">
        <v>1</v>
      </c>
      <c r="C13" s="76"/>
      <c r="D13" s="73"/>
      <c r="E13" s="75"/>
      <c r="F13" s="75" t="s">
        <v>136</v>
      </c>
      <c r="G13" s="98"/>
      <c r="H13" s="74"/>
      <c r="I13" s="98"/>
      <c r="J13" s="74"/>
      <c r="K13" s="75"/>
      <c r="L13" s="98"/>
      <c r="M13" s="74"/>
      <c r="N13" s="78"/>
      <c r="O13" s="77"/>
      <c r="P13" s="77"/>
      <c r="Q13" s="78"/>
      <c r="R13" s="81"/>
      <c r="S13" s="83"/>
      <c r="T13" s="85"/>
      <c r="U13" s="107"/>
      <c r="V13" s="113"/>
      <c r="W13" s="83"/>
      <c r="X13" s="85"/>
      <c r="Y13" s="107"/>
      <c r="Z13" s="113"/>
      <c r="AA13" s="83"/>
      <c r="AB13" s="85"/>
      <c r="AC13" s="107"/>
      <c r="AD13" s="113"/>
      <c r="AE13" s="83"/>
      <c r="AF13" s="85"/>
      <c r="AG13" s="107"/>
      <c r="AH13" s="113"/>
      <c r="AI13" s="83"/>
      <c r="AJ13" s="85"/>
      <c r="AK13" s="107"/>
      <c r="AL13" s="113"/>
      <c r="AM13" s="83"/>
      <c r="AN13" s="85"/>
      <c r="AO13" s="107"/>
      <c r="AP13" s="113"/>
      <c r="AQ13" s="83"/>
      <c r="AR13" s="85"/>
      <c r="AS13" s="107"/>
      <c r="AT13" s="115">
        <f t="shared" si="0"/>
        <v>0</v>
      </c>
      <c r="AU13" s="90">
        <f t="shared" si="1"/>
        <v>0</v>
      </c>
      <c r="AV13" s="92">
        <f t="shared" si="2"/>
        <v>0</v>
      </c>
      <c r="AW13" s="117">
        <f t="shared" si="3"/>
        <v>0</v>
      </c>
    </row>
    <row r="14" spans="1:49">
      <c r="R14" s="96">
        <f>SUM($R$4:$R$13)</f>
        <v>0</v>
      </c>
      <c r="S14" s="79">
        <f>SUM($S$4:$S$13)</f>
        <v>3</v>
      </c>
      <c r="T14" s="79">
        <f>SUM($T$4:$T$13)</f>
        <v>0</v>
      </c>
      <c r="U14" s="100">
        <f>SUM($U$4:$U$13)</f>
        <v>0</v>
      </c>
      <c r="V14" s="101">
        <f>SUM($V$4:$V$13)</f>
        <v>3</v>
      </c>
      <c r="W14" s="79">
        <f>SUM($W$4:$W$13)</f>
        <v>1</v>
      </c>
      <c r="X14" s="79">
        <f>SUM($X$4:$X$13)</f>
        <v>0</v>
      </c>
      <c r="Y14" s="100">
        <f>SUM($Y$4:$Y$13)</f>
        <v>0</v>
      </c>
      <c r="Z14" s="101">
        <f>SUM($Z$4:$Z$13)</f>
        <v>1</v>
      </c>
      <c r="AA14" s="79">
        <f>SUM($AA$4:$AA$13)</f>
        <v>1</v>
      </c>
      <c r="AB14" s="79">
        <f>SUM($AB$4:$AB$13)</f>
        <v>0</v>
      </c>
      <c r="AC14" s="100">
        <f>SUM($AC$4:$AC$13)</f>
        <v>0</v>
      </c>
      <c r="AD14" s="101">
        <f>SUM($AD$4:$AD$13)</f>
        <v>1</v>
      </c>
      <c r="AE14" s="79">
        <f>SUM($AE$4:$AE$13)</f>
        <v>4</v>
      </c>
      <c r="AF14" s="79">
        <f>SUM($AF$4:$AF$13)</f>
        <v>0</v>
      </c>
      <c r="AG14" s="100">
        <f>SUM($AG$4:$AG$13)</f>
        <v>0</v>
      </c>
      <c r="AH14" s="101">
        <f>SUM($AH$4:$AH$13)</f>
        <v>4</v>
      </c>
      <c r="AI14" s="79">
        <f>SUM($AI$4:$AI$13)</f>
        <v>2</v>
      </c>
      <c r="AJ14" s="79">
        <f>SUM($AJ$4:$AJ$13)</f>
        <v>0</v>
      </c>
      <c r="AK14" s="100">
        <f>SUM($AK$4:$AK$13)</f>
        <v>0</v>
      </c>
      <c r="AL14" s="101">
        <f>SUM($AL$4:$AL$13)</f>
        <v>2</v>
      </c>
      <c r="AM14" s="79">
        <f>SUM($AM$4:$AM$13)</f>
        <v>2</v>
      </c>
      <c r="AN14" s="79">
        <f>SUM($AN$4:$AN$13)</f>
        <v>0</v>
      </c>
      <c r="AO14" s="100">
        <f>SUM($AO$4:$AO$13)</f>
        <v>0</v>
      </c>
      <c r="AP14" s="101">
        <f>SUM($AP$4:$AP$13)</f>
        <v>2</v>
      </c>
      <c r="AQ14" s="79">
        <f>SUM($AQ$4:$AQ$13)</f>
        <v>2</v>
      </c>
      <c r="AR14" s="79">
        <f>SUM($AR$4:$AR$13)</f>
        <v>0</v>
      </c>
      <c r="AS14" s="100">
        <f>SUM($AS$4:$AS$13)</f>
        <v>0</v>
      </c>
      <c r="AT14" s="122">
        <f>SUM($AT$4:$AT$13)</f>
        <v>13</v>
      </c>
      <c r="AU14" s="95">
        <f>SUM($AU$4:$AU$13)</f>
        <v>15</v>
      </c>
      <c r="AV14" s="95">
        <f>SUM($AV$4:$AV$13)</f>
        <v>0</v>
      </c>
      <c r="AW14" s="123">
        <f>SUM($AW$4:$AW$13)</f>
        <v>0</v>
      </c>
    </row>
    <row r="15" spans="1:49" ht="12.5" thickBot="1">
      <c r="R15" s="102">
        <f>$R$14</f>
        <v>0</v>
      </c>
      <c r="S15" s="103">
        <f>$S$14</f>
        <v>3</v>
      </c>
      <c r="T15" s="103">
        <f>$T$14</f>
        <v>0</v>
      </c>
      <c r="U15" s="104">
        <f>$U$14</f>
        <v>0</v>
      </c>
      <c r="V15" s="105">
        <f>$V$14+$R$15</f>
        <v>3</v>
      </c>
      <c r="W15" s="103">
        <f>$W$14+$S$15</f>
        <v>4</v>
      </c>
      <c r="X15" s="103">
        <f>$X$14+$T$15</f>
        <v>0</v>
      </c>
      <c r="Y15" s="104">
        <f>$Y$14+$U$15</f>
        <v>0</v>
      </c>
      <c r="Z15" s="105">
        <f>$Z$14+$V$15</f>
        <v>4</v>
      </c>
      <c r="AA15" s="103">
        <f>$AA$14+$W$15</f>
        <v>5</v>
      </c>
      <c r="AB15" s="103">
        <f>$AB$14+$X$15</f>
        <v>0</v>
      </c>
      <c r="AC15" s="104">
        <f>$AC$14+$Y$15</f>
        <v>0</v>
      </c>
      <c r="AD15" s="105">
        <f>$AD$14+$Z$15</f>
        <v>5</v>
      </c>
      <c r="AE15" s="103">
        <f>$AE$14+$AA$15</f>
        <v>9</v>
      </c>
      <c r="AF15" s="103">
        <f>$AF$14+$AB$15</f>
        <v>0</v>
      </c>
      <c r="AG15" s="104">
        <f>$AG$14+$AC$15</f>
        <v>0</v>
      </c>
      <c r="AH15" s="105">
        <f>$AH$14+$AD$15</f>
        <v>9</v>
      </c>
      <c r="AI15" s="103">
        <f>$AI$14+$AE$15</f>
        <v>11</v>
      </c>
      <c r="AJ15" s="103">
        <f>$AJ$14+$AF$15</f>
        <v>0</v>
      </c>
      <c r="AK15" s="104">
        <f>$AK$14+$AG$15</f>
        <v>0</v>
      </c>
      <c r="AL15" s="105">
        <f>$AL$14+$AH$15</f>
        <v>11</v>
      </c>
      <c r="AM15" s="103">
        <f>$AM$14+$AI$15</f>
        <v>13</v>
      </c>
      <c r="AN15" s="103">
        <f>$AN$14+$AJ$15</f>
        <v>0</v>
      </c>
      <c r="AO15" s="104">
        <f>$AO$14+$AK$15</f>
        <v>0</v>
      </c>
      <c r="AP15" s="105">
        <f>$AP$14+$AL$15</f>
        <v>13</v>
      </c>
      <c r="AQ15" s="103">
        <f>$AQ$14+$AM$15</f>
        <v>15</v>
      </c>
      <c r="AR15" s="103">
        <f>$AR$14+$AN$15</f>
        <v>0</v>
      </c>
      <c r="AS15" s="104">
        <f>$AS$14+$AO$15</f>
        <v>0</v>
      </c>
      <c r="AT15" s="105"/>
      <c r="AU15" s="103"/>
      <c r="AV15" s="103"/>
      <c r="AW15" s="104"/>
    </row>
  </sheetData>
  <mergeCells count="12">
    <mergeCell ref="Q1:Q3"/>
    <mergeCell ref="O2:P2"/>
    <mergeCell ref="A1:A2"/>
    <mergeCell ref="B1:C2"/>
    <mergeCell ref="E1:E3"/>
    <mergeCell ref="F1:J1"/>
    <mergeCell ref="G2:H2"/>
    <mergeCell ref="I2:J2"/>
    <mergeCell ref="K2:K3"/>
    <mergeCell ref="L2:M2"/>
    <mergeCell ref="N2:N3"/>
    <mergeCell ref="K1:P1"/>
  </mergeCells>
  <phoneticPr fontId="2"/>
  <dataValidations count="2">
    <dataValidation type="list" allowBlank="1" showInputMessage="1" showErrorMessage="1" sqref="N4:N13" xr:uid="{00000000-0002-0000-0200-000000000000}">
      <formula1>"有,無"</formula1>
    </dataValidation>
    <dataValidation type="list" allowBlank="1" showInputMessage="1" showErrorMessage="1" sqref="Q4:Q13" xr:uid="{00000000-0002-0000-0200-000001000000}">
      <formula1>"実施中,精査中,再実施中,再精査中,完了"</formula1>
    </dataValidation>
  </dataValidations>
  <pageMargins left="0.44" right="0.47" top="0.56000000000000005" bottom="0.61" header="0.51200000000000001" footer="0.51200000000000001"/>
  <pageSetup paperSize="9" scale="2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行Copy">
                <anchor moveWithCells="1" sizeWithCells="1">
                  <from>
                    <xdr:col>2</xdr:col>
                    <xdr:colOff>1289050</xdr:colOff>
                    <xdr:row>0</xdr:row>
                    <xdr:rowOff>38100</xdr:rowOff>
                  </from>
                  <to>
                    <xdr:col>2</xdr:col>
                    <xdr:colOff>1651000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日毎予実管理追加">
                <anchor moveWithCells="1" sizeWithCells="1">
                  <from>
                    <xdr:col>1</xdr:col>
                    <xdr:colOff>50800</xdr:colOff>
                    <xdr:row>0</xdr:row>
                    <xdr:rowOff>31750</xdr:rowOff>
                  </from>
                  <to>
                    <xdr:col>1</xdr:col>
                    <xdr:colOff>400050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6" name="Button 6">
              <controlPr defaultSize="0" print="0" autoFill="0" autoPict="0" macro="[0]!行削除">
                <anchor moveWithCells="1" sizeWithCells="1">
                  <from>
                    <xdr:col>0</xdr:col>
                    <xdr:colOff>38100</xdr:colOff>
                    <xdr:row>2</xdr:row>
                    <xdr:rowOff>603250</xdr:rowOff>
                  </from>
                  <to>
                    <xdr:col>0</xdr:col>
                    <xdr:colOff>393700</xdr:colOff>
                    <xdr:row>2</xdr:row>
                    <xdr:rowOff>965200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7" name="Button 9">
              <controlPr defaultSize="0" print="0" autoFill="0" autoPict="0" macro="[0]!初期化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0</xdr:col>
                    <xdr:colOff>393700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2" r:id="rId8" name="Check Box 1022">
              <controlPr defaultSize="0" autoFill="0" autoLine="0" autoPict="0">
                <anchor moveWithCells="1">
                  <from>
                    <xdr:col>1</xdr:col>
                    <xdr:colOff>488950</xdr:colOff>
                    <xdr:row>0</xdr:row>
                    <xdr:rowOff>38100</xdr:rowOff>
                  </from>
                  <to>
                    <xdr:col>2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8" r:id="rId9" name="Check Box 24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0</xdr:col>
                    <xdr:colOff>196850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9" r:id="rId10" name="Check Box 2445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0</xdr:col>
                    <xdr:colOff>196850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0" r:id="rId11" name="Check Box 2446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196850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1" r:id="rId12" name="Check Box 2447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0</xdr:col>
                    <xdr:colOff>196850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2" r:id="rId13" name="Check Box 2448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0</xdr:col>
                    <xdr:colOff>196850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3" r:id="rId14" name="Check Box 2449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196850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4" r:id="rId15" name="Check Box 2450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0</xdr:col>
                    <xdr:colOff>196850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5" r:id="rId16" name="Check Box 2451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0</xdr:col>
                    <xdr:colOff>196850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6" r:id="rId17" name="Check Box 2452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196850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7" r:id="rId18" name="Check Box 2453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196850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3"/>
  <sheetViews>
    <sheetView zoomScale="90" zoomScaleNormal="90" workbookViewId="0">
      <pane xSplit="1" topLeftCell="B1" activePane="topRight" state="frozen"/>
      <selection activeCell="A4" sqref="A4"/>
      <selection pane="topRight" activeCell="G10" sqref="G10"/>
    </sheetView>
  </sheetViews>
  <sheetFormatPr defaultColWidth="5.6328125" defaultRowHeight="20" customHeight="1"/>
  <cols>
    <col min="1" max="1" width="13.7265625" style="15" customWidth="1"/>
    <col min="2" max="3" width="12.453125" style="15" customWidth="1"/>
    <col min="4" max="5" width="15.6328125" style="15" customWidth="1"/>
    <col min="6" max="21" width="5.6328125" style="15" customWidth="1"/>
    <col min="22" max="16384" width="5.6328125" style="15"/>
  </cols>
  <sheetData>
    <row r="1" spans="1:5" ht="20" customHeight="1">
      <c r="A1" s="14" t="s">
        <v>97</v>
      </c>
      <c r="B1" s="16" t="s">
        <v>98</v>
      </c>
    </row>
    <row r="2" spans="1:5" ht="20" customHeight="1" thickBot="1">
      <c r="A2" s="14" t="s">
        <v>110</v>
      </c>
      <c r="B2" s="14" t="s">
        <v>96</v>
      </c>
    </row>
    <row r="3" spans="1:5" ht="40" customHeight="1">
      <c r="A3" s="17">
        <f ca="1">TODAY()</f>
        <v>43377</v>
      </c>
      <c r="B3" s="124">
        <v>43378</v>
      </c>
      <c r="C3" s="18">
        <v>43378</v>
      </c>
      <c r="D3" s="214" t="s">
        <v>95</v>
      </c>
      <c r="E3" s="215"/>
    </row>
    <row r="4" spans="1:5" ht="20" customHeight="1" thickBot="1">
      <c r="A4" s="125" t="s">
        <v>91</v>
      </c>
      <c r="B4" s="126" t="s">
        <v>74</v>
      </c>
      <c r="C4" s="127" t="s">
        <v>75</v>
      </c>
      <c r="D4" s="126" t="s">
        <v>93</v>
      </c>
      <c r="E4" s="128" t="s">
        <v>94</v>
      </c>
    </row>
    <row r="5" spans="1:5" ht="20" customHeight="1">
      <c r="A5" s="129" t="s">
        <v>133</v>
      </c>
      <c r="B5" s="130">
        <f>SUMPRODUCT((日次管理!$R$1:$AS$1&lt;=$B$3)*(日次管理!$F$4:$F$13=$A$5)*(日次管理!$R$2:$AS$2="実施完了")*(日次管理!$R$3:$AS$3="予定"),日次管理!$R$4:$AS$13)</f>
        <v>4</v>
      </c>
      <c r="C5" s="131">
        <f>SUMPRODUCT((日次管理!$R$1:$AS$1&lt;=$C$3)*(日次管理!$F$4:$F$13=$A$5)*(日次管理!$R$2:$AS$2="実施完了")*(日次管理!$R$3:$AS$3="実績"),日次管理!$R$4:$AS$13)</f>
        <v>4</v>
      </c>
      <c r="D5" s="132">
        <f ca="1">SUMPRODUCT(($A$3- WEEKDAY($A$3) + 6 =$B$3:$C$3)*("実績"=$B$4:$C$4),$B$5:$C$5)/SUMPRODUCT(($A$3- WEEKDAY($A$3) + 6 =$B$3:$C$3)*("予定"=$B$4:$C$4),$B$5:$C$5)</f>
        <v>1</v>
      </c>
      <c r="E5" s="133">
        <f>$C$5/$B$5</f>
        <v>1</v>
      </c>
    </row>
    <row r="6" spans="1:5" ht="20" customHeight="1">
      <c r="A6" s="134" t="s">
        <v>135</v>
      </c>
      <c r="B6" s="135">
        <f>SUMPRODUCT((日次管理!$R$1:$AS$1&lt;=$B$3)*(日次管理!$F$4:$F$13=$A$6)*(日次管理!$R$2:$AS$2="実施完了")*(日次管理!$R$3:$AS$3="予定"),日次管理!$R$4:$AS$13)</f>
        <v>5</v>
      </c>
      <c r="C6" s="136">
        <f>SUMPRODUCT((日次管理!$R$1:$AS$1&lt;=$C$3)*(日次管理!$F$4:$F$13=$A$6)*(日次管理!$R$2:$AS$2="実施完了")*(日次管理!$R$3:$AS$3="実績"),日次管理!$R$4:$AS$13)</f>
        <v>7</v>
      </c>
      <c r="D6" s="137">
        <f ca="1">SUMPRODUCT(($A$3- WEEKDAY($A$3) + 6 =$B$3:$C$3)*("実績"=$B$4:$C$4),$B$6:$C$6)/SUMPRODUCT(($A$3- WEEKDAY($A$3) + 6 =$B$3:$C$3)*("予定"=$B$4:$C$4),$B$6:$C$6)</f>
        <v>1.4</v>
      </c>
      <c r="E6" s="138">
        <f>$C$6/$B$6</f>
        <v>1.4</v>
      </c>
    </row>
    <row r="7" spans="1:5" ht="20" customHeight="1" thickBot="1">
      <c r="A7" s="139" t="s">
        <v>92</v>
      </c>
      <c r="B7" s="140">
        <f>SUM($B$5:$B$6)</f>
        <v>9</v>
      </c>
      <c r="C7" s="141">
        <f>SUM($C$5:$C$6)</f>
        <v>11</v>
      </c>
      <c r="D7" s="142">
        <f ca="1">SUMPRODUCT(($A$3- WEEKDAY($A$3) + 6 =$B$3:$C$3)*("実績"=$B$4:$C$4),$B$7:$C$7)/SUMPRODUCT(($A$3- WEEKDAY($A$3) + 6 =$B$3:$C$3)*("予定"=$B$4:$C$4),$B$7:$C$7)</f>
        <v>1.2222222222222223</v>
      </c>
      <c r="E7" s="143">
        <f>$C$7/$B$7</f>
        <v>1.2222222222222223</v>
      </c>
    </row>
    <row r="10" spans="1:5" ht="20" customHeight="1" thickBot="1">
      <c r="A10" s="14" t="s">
        <v>112</v>
      </c>
      <c r="B10" s="14" t="s">
        <v>96</v>
      </c>
    </row>
    <row r="11" spans="1:5" ht="40" customHeight="1">
      <c r="A11" s="17">
        <f ca="1">TODAY()</f>
        <v>43377</v>
      </c>
      <c r="B11" s="124">
        <v>43378</v>
      </c>
      <c r="C11" s="18">
        <v>43378</v>
      </c>
      <c r="D11" s="214" t="s">
        <v>95</v>
      </c>
      <c r="E11" s="215"/>
    </row>
    <row r="12" spans="1:5" ht="20" customHeight="1" thickBot="1">
      <c r="A12" s="125" t="s">
        <v>91</v>
      </c>
      <c r="B12" s="126" t="s">
        <v>74</v>
      </c>
      <c r="C12" s="127" t="s">
        <v>75</v>
      </c>
      <c r="D12" s="126" t="s">
        <v>93</v>
      </c>
      <c r="E12" s="128" t="s">
        <v>94</v>
      </c>
    </row>
    <row r="13" spans="1:5" ht="20" customHeight="1" thickBot="1">
      <c r="A13" s="144" t="s">
        <v>92</v>
      </c>
      <c r="B13" s="145">
        <f ca="1">SUM($B$12:$B$13)</f>
        <v>0</v>
      </c>
      <c r="C13" s="146">
        <f ca="1">SUM($C$12:$C$13)</f>
        <v>0</v>
      </c>
      <c r="D13" s="147" t="e">
        <f ca="1">SUMPRODUCT(($A$11- WEEKDAY($A$11) + 6 =$B$11:$C$11)*("実績"=$B$12:$C$12),$B$13:$C$13)/SUMPRODUCT(($A$11- WEEKDAY($A$11) + 6 =$B$11:$C$11)*("予定"=$B$12:$C$12),$B$13:$C$13)</f>
        <v>#DIV/0!</v>
      </c>
      <c r="E13" s="148" t="e">
        <f ca="1">$C$13/$B$13</f>
        <v>#DIV/0!</v>
      </c>
    </row>
  </sheetData>
  <customSheetViews>
    <customSheetView guid="{C10C481D-786C-49EF-AF5B-F601FFA551BD}">
      <pageMargins left="0.7" right="0.7" top="0.75" bottom="0.75" header="0.3" footer="0.3"/>
      <pageSetup paperSize="0" orientation="portrait" horizontalDpi="0" verticalDpi="0" copies="0"/>
    </customSheetView>
    <customSheetView guid="{6842B3AB-F41E-4932-9EBC-CFA0784D336D}" topLeftCell="A30">
      <selection activeCell="J54" sqref="J54"/>
      <pageMargins left="0.7" right="0.7" top="0.75" bottom="0.75" header="0.3" footer="0.3"/>
      <pageSetup paperSize="9" orientation="portrait" r:id="rId1"/>
    </customSheetView>
    <customSheetView guid="{7ECDAAC4-34F0-43A8-A4B2-130DA4AD5DD0}" topLeftCell="A4">
      <selection activeCell="A20" sqref="A20:XFD20"/>
      <pageMargins left="0.7" right="0.7" top="0.75" bottom="0.75" header="0.3" footer="0.3"/>
      <pageSetup paperSize="9" orientation="portrait" r:id="rId2"/>
    </customSheetView>
    <customSheetView guid="{7093C8BF-2EC1-49AC-861D-8EFC794CADA5}">
      <selection activeCell="A68" sqref="A68"/>
      <pageMargins left="0.7" right="0.7" top="0.75" bottom="0.75" header="0.3" footer="0.3"/>
      <pageSetup paperSize="9" orientation="portrait" r:id="rId3"/>
    </customSheetView>
    <customSheetView guid="{F7C2C936-91B5-4B31-82ED-98507AFD645C}" topLeftCell="A30">
      <selection activeCell="J54" sqref="J54"/>
      <pageMargins left="0.7" right="0.7" top="0.75" bottom="0.75" header="0.3" footer="0.3"/>
      <pageSetup paperSize="9" orientation="portrait" r:id="rId4"/>
    </customSheetView>
    <customSheetView guid="{95B55486-BD75-4985-9753-024EE2BF93BE}" topLeftCell="A34">
      <selection activeCell="I51" sqref="I51"/>
      <pageMargins left="0.7" right="0.7" top="0.75" bottom="0.75" header="0.3" footer="0.3"/>
      <pageSetup paperSize="9" orientation="portrait" r:id="rId5"/>
    </customSheetView>
    <customSheetView guid="{08FCF471-0DC7-4288-AE6D-786A7B5DF5C3}">
      <selection activeCell="I51" sqref="I51"/>
      <pageMargins left="0.7" right="0.7" top="0.75" bottom="0.75" header="0.3" footer="0.3"/>
      <pageSetup paperSize="9" orientation="portrait" r:id="rId6"/>
    </customSheetView>
    <customSheetView guid="{F9AEC056-FB60-47D6-8250-C4CC070C3A06}">
      <selection activeCell="L5" sqref="L5"/>
      <pageMargins left="0.7" right="0.7" top="0.75" bottom="0.75" header="0.3" footer="0.3"/>
      <pageSetup paperSize="9" orientation="portrait" r:id="rId7"/>
    </customSheetView>
    <customSheetView guid="{00523DC3-E37D-4462-81FB-00E40301F3BF}" topLeftCell="A30">
      <selection activeCell="J54" sqref="J54"/>
      <pageMargins left="0.7" right="0.7" top="0.75" bottom="0.75" header="0.3" footer="0.3"/>
      <pageSetup paperSize="9" orientation="portrait" r:id="rId8"/>
    </customSheetView>
    <customSheetView guid="{36928E36-9B02-4D5F-96F8-FC0BFDD0E95D}" topLeftCell="A33">
      <selection activeCell="N44" sqref="N44"/>
      <pageMargins left="0.7" right="0.7" top="0.75" bottom="0.75" header="0.3" footer="0.3"/>
      <pageSetup paperSize="9" orientation="portrait" r:id="rId9"/>
    </customSheetView>
    <customSheetView guid="{3FE2949A-1B55-45D5-8D70-E4751351BA04}">
      <selection activeCell="J54" sqref="J54"/>
      <pageMargins left="0.7" right="0.7" top="0.75" bottom="0.75" header="0.3" footer="0.3"/>
      <pageSetup paperSize="9" orientation="portrait" r:id="rId10"/>
    </customSheetView>
    <customSheetView guid="{5B824599-7422-4BEF-B6C9-B1346FFE3767}">
      <pageMargins left="0.7" right="0.7" top="0.75" bottom="0.75" header="0.3" footer="0.3"/>
      <pageSetup paperSize="9" orientation="portrait" r:id="rId11"/>
    </customSheetView>
    <customSheetView guid="{57ADC195-94B3-4E80-ADF4-9DE2EA6E24D4}">
      <pageMargins left="0.7" right="0.7" top="0.75" bottom="0.75" header="0.3" footer="0.3"/>
      <pageSetup paperSize="9" orientation="portrait" r:id="rId12"/>
    </customSheetView>
    <customSheetView guid="{8AFB005D-99E7-499E-A120-156A0EDF41A0}">
      <selection activeCell="A33" sqref="A33"/>
      <pageMargins left="0.7" right="0.7" top="0.75" bottom="0.75" header="0.3" footer="0.3"/>
      <pageSetup paperSize="9" orientation="portrait" r:id="rId13"/>
    </customSheetView>
  </customSheetViews>
  <mergeCells count="2">
    <mergeCell ref="D3:E3"/>
    <mergeCell ref="D11:E11"/>
  </mergeCells>
  <phoneticPr fontId="2"/>
  <pageMargins left="0.7" right="0.7" top="0.75" bottom="0.75" header="0.3" footer="0.3"/>
  <pageSetup paperSize="9" orientation="portrait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改訂履歴</vt:lpstr>
      <vt:lpstr>ガイド</vt:lpstr>
      <vt:lpstr>日次管理</vt:lpstr>
      <vt:lpstr>予実管理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森山展成</cp:lastModifiedBy>
  <cp:lastPrinted>2018-02-08T08:01:50Z</cp:lastPrinted>
  <dcterms:created xsi:type="dcterms:W3CDTF">1997-01-08T22:48:59Z</dcterms:created>
  <dcterms:modified xsi:type="dcterms:W3CDTF">2018-10-04T14:41:33Z</dcterms:modified>
</cp:coreProperties>
</file>